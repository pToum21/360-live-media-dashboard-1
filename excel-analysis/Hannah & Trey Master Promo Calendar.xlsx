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smithbucklin-my.sharepoint.com/personal/ptouma_smithbucklin_com/Documents/Desktop/Dev/360-marketing-dashboard/excel-analysis/"/>
    </mc:Choice>
  </mc:AlternateContent>
  <xr:revisionPtr revIDLastSave="0" documentId="8_{30A604FA-FAC7-40C4-A465-26DFE486A217}" xr6:coauthVersionLast="47" xr6:coauthVersionMax="47" xr10:uidLastSave="{00000000-0000-0000-0000-000000000000}"/>
  <bookViews>
    <workbookView xWindow="2900" yWindow="1140" windowWidth="14400" windowHeight="8170" firstSheet="8" activeTab="8" xr2:uid="{00000000-000D-0000-FFFF-FFFF00000000}"/>
  </bookViews>
  <sheets>
    <sheet name="ASHE" sheetId="2" state="hidden" r:id="rId1"/>
    <sheet name="AHRMM" sheetId="7" state="hidden" r:id="rId2"/>
    <sheet name="ASHE 2025 - Kris" sheetId="14" state="hidden" r:id="rId3"/>
    <sheet name="ASHE - Kris" sheetId="10" r:id="rId4"/>
    <sheet name="SHSMD - Jill" sheetId="15" r:id="rId5"/>
    <sheet name="AHE - Kevin (Only)" sheetId="13" r:id="rId6"/>
    <sheet name="AHRMM - Kris &amp; Jill" sheetId="11" r:id="rId7"/>
    <sheet name="ASHRM - Kevin" sheetId="12" r:id="rId8"/>
    <sheet name="ATC - Sara &amp; Sky" sheetId="18" r:id="rId9"/>
    <sheet name="HCMC - Kris" sheetId="17" r:id="rId10"/>
    <sheet name="ASHRM" sheetId="3" state="hidden" r:id="rId11"/>
    <sheet name="AHE" sheetId="9" state="hidden" r:id="rId12"/>
    <sheet name="TEST - Krishna" sheetId="16" state="hidden" r:id="rId13"/>
    <sheet name="ADA - Sara" sheetId="19" state="hidden" r:id="rId14"/>
  </sheets>
  <definedNames>
    <definedName name="_xlnm._FilterDatabase" localSheetId="1" hidden="1">AHRMM!$A$2:$E$2</definedName>
    <definedName name="_xlnm._FilterDatabase" localSheetId="0" hidden="1">ASHE!$B$2:$F$2</definedName>
    <definedName name="_xlnm._FilterDatabase" localSheetId="3" hidden="1">'ASHE - Kris'!#REF!</definedName>
    <definedName name="_xlnm._FilterDatabase" localSheetId="2" hidden="1">'ASHE 2025 - Kris'!$B$2:$F$2</definedName>
    <definedName name="_xlnm._FilterDatabase" localSheetId="4" hidden="1">'SHSMD - Jill'!#REF!</definedName>
    <definedName name="_xlnm.Print_Area" localSheetId="0">ASHE!$B$1:$F$106</definedName>
    <definedName name="_xlnm.Print_Area" localSheetId="3">'ASHE - Kris'!$C$1:$G$129</definedName>
    <definedName name="_xlnm.Print_Area" localSheetId="2">'ASHE 2025 - Kris'!$B$1:$F$49</definedName>
    <definedName name="_xlnm.Print_Area" localSheetId="4">'SHSMD - Jill'!$B$1:$F$18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8" l="1"/>
  <c r="E1" i="18"/>
  <c r="G1" i="10"/>
  <c r="E1" i="10"/>
  <c r="E1" i="13"/>
  <c r="I1" i="15"/>
  <c r="G1" i="15"/>
  <c r="G2" i="17"/>
  <c r="E2" i="17"/>
  <c r="G1" i="13"/>
  <c r="F1" i="11"/>
  <c r="D1" i="11"/>
  <c r="E1" i="12"/>
  <c r="G1" i="12"/>
  <c r="P2" i="16"/>
  <c r="R2" i="16"/>
  <c r="T2" i="16"/>
  <c r="P3" i="16"/>
  <c r="R3" i="16"/>
  <c r="T3" i="16"/>
  <c r="P4" i="16"/>
  <c r="R4" i="16"/>
  <c r="T4" i="16"/>
  <c r="P6" i="16"/>
  <c r="R6" i="16"/>
  <c r="P8" i="16"/>
  <c r="R8" i="16"/>
  <c r="T8" i="16"/>
  <c r="V8" i="16"/>
  <c r="P9" i="16"/>
  <c r="R9" i="16"/>
  <c r="V9" i="16"/>
  <c r="P10" i="16"/>
  <c r="R10" i="16"/>
  <c r="T10" i="16"/>
  <c r="V10" i="16"/>
  <c r="P11" i="16"/>
  <c r="R11" i="16"/>
  <c r="T11" i="16"/>
  <c r="V11" i="16"/>
  <c r="P12" i="16"/>
  <c r="R12" i="16"/>
  <c r="T12" i="16"/>
  <c r="V12" i="16"/>
  <c r="P17" i="16"/>
  <c r="R17" i="16"/>
  <c r="T17" i="16"/>
  <c r="V17" i="16"/>
  <c r="P18" i="16"/>
  <c r="R18" i="16"/>
  <c r="T18" i="16"/>
  <c r="V18" i="16"/>
  <c r="P19" i="16"/>
  <c r="R19" i="16"/>
  <c r="T19" i="16"/>
  <c r="V19" i="16"/>
  <c r="P20" i="16"/>
  <c r="R20" i="16"/>
  <c r="T20" i="16"/>
  <c r="V20" i="16"/>
  <c r="P21" i="16"/>
  <c r="V21" i="16" s="1"/>
  <c r="R21" i="16"/>
  <c r="T21" i="16"/>
  <c r="P22" i="16"/>
  <c r="R22" i="16"/>
  <c r="T22" i="16"/>
  <c r="V22" i="16"/>
  <c r="P24" i="16"/>
  <c r="R24" i="16"/>
  <c r="T24" i="16"/>
  <c r="V24" i="16"/>
  <c r="P26" i="16"/>
  <c r="R26" i="16"/>
  <c r="P27" i="16"/>
  <c r="V27" i="16"/>
  <c r="P28" i="16"/>
  <c r="R28" i="16"/>
  <c r="T28" i="16"/>
  <c r="P30" i="16"/>
  <c r="R30" i="16"/>
  <c r="P31" i="16"/>
  <c r="V31" i="16"/>
  <c r="P32" i="16"/>
  <c r="R32" i="16"/>
  <c r="T32" i="16"/>
  <c r="P33" i="16"/>
  <c r="R33" i="16"/>
  <c r="T33" i="16"/>
  <c r="V33" i="16"/>
  <c r="P34" i="16"/>
  <c r="R34" i="16"/>
  <c r="T34" i="16"/>
  <c r="V34" i="16"/>
  <c r="P35" i="16"/>
  <c r="T35" i="16"/>
  <c r="P36" i="16"/>
  <c r="T36" i="16"/>
  <c r="V36" i="16"/>
  <c r="P38" i="16"/>
  <c r="R38" i="16"/>
  <c r="P39" i="16"/>
  <c r="R39" i="16"/>
  <c r="T39" i="16"/>
  <c r="V39" i="16"/>
  <c r="P40" i="16"/>
  <c r="R40" i="16"/>
  <c r="V40" i="16"/>
  <c r="P41" i="16"/>
  <c r="T41" i="16"/>
  <c r="P42" i="16"/>
  <c r="R42" i="16"/>
  <c r="P45" i="16"/>
  <c r="R45" i="16"/>
  <c r="T45" i="16"/>
  <c r="P48" i="16"/>
  <c r="R48" i="16"/>
  <c r="T48" i="16"/>
  <c r="V48" i="16"/>
  <c r="P49" i="16"/>
  <c r="R49" i="16"/>
  <c r="P51" i="16"/>
  <c r="R51" i="16"/>
  <c r="V51" i="16"/>
  <c r="P52" i="16"/>
  <c r="R52" i="16"/>
  <c r="V52" i="16"/>
  <c r="P53" i="16"/>
  <c r="R53" i="16"/>
  <c r="T53" i="16"/>
  <c r="V53" i="16"/>
  <c r="P54" i="16"/>
  <c r="R54" i="16"/>
  <c r="P57" i="16"/>
  <c r="R57" i="16"/>
  <c r="T57" i="16"/>
  <c r="V57" i="16"/>
  <c r="P58" i="16"/>
  <c r="R58" i="16"/>
  <c r="P59" i="16"/>
  <c r="R59" i="16"/>
  <c r="T59" i="16"/>
  <c r="V59" i="16"/>
  <c r="P60" i="16"/>
  <c r="R60" i="16"/>
  <c r="P61" i="16"/>
  <c r="R61" i="16"/>
  <c r="P63" i="16"/>
  <c r="R63" i="16"/>
  <c r="T63" i="16"/>
  <c r="V63" i="16"/>
  <c r="P64" i="16"/>
  <c r="R64" i="16"/>
  <c r="P65" i="16"/>
  <c r="R65" i="16"/>
  <c r="T65" i="16"/>
  <c r="P66" i="16"/>
  <c r="R66" i="16"/>
  <c r="P67" i="16"/>
  <c r="R67" i="16"/>
  <c r="P68" i="16"/>
  <c r="P70" i="16"/>
  <c r="R70" i="16"/>
  <c r="P71" i="16"/>
  <c r="R71" i="16"/>
  <c r="P73" i="16"/>
  <c r="R73" i="16"/>
  <c r="P74" i="16"/>
  <c r="R74" i="16"/>
  <c r="T22" i="12"/>
  <c r="S3" i="14"/>
  <c r="Q3" i="14"/>
  <c r="O3" i="14"/>
  <c r="M3" i="14"/>
  <c r="L3" i="14"/>
  <c r="O15" i="15"/>
  <c r="M15" i="15"/>
  <c r="O16" i="15"/>
  <c r="M16" i="15"/>
  <c r="O14" i="15"/>
  <c r="M14" i="15"/>
  <c r="P75" i="12"/>
  <c r="P74" i="12"/>
  <c r="P72" i="12"/>
  <c r="P71" i="12"/>
  <c r="Q62" i="13"/>
  <c r="O13" i="15"/>
  <c r="M13" i="15"/>
  <c r="O12" i="15"/>
  <c r="M12" i="15"/>
  <c r="O11" i="15"/>
  <c r="M11" i="15"/>
  <c r="N78" i="11"/>
  <c r="N77" i="11"/>
  <c r="P68" i="12"/>
  <c r="N76" i="11"/>
  <c r="N75" i="11"/>
  <c r="N73" i="11"/>
  <c r="P67" i="12"/>
  <c r="R66" i="12"/>
  <c r="P66" i="12"/>
  <c r="S10" i="15"/>
  <c r="O10" i="15"/>
  <c r="M10" i="15"/>
  <c r="S9" i="15"/>
  <c r="O9" i="15"/>
  <c r="M9" i="15"/>
  <c r="R5" i="12"/>
  <c r="R3" i="12"/>
  <c r="R4" i="12"/>
  <c r="Q8" i="15"/>
  <c r="O8" i="15"/>
  <c r="M8" i="15"/>
  <c r="N72" i="11"/>
  <c r="Q58" i="13"/>
  <c r="T64" i="12"/>
  <c r="R64" i="12"/>
  <c r="P64" i="12"/>
  <c r="P65" i="12"/>
  <c r="N71" i="11"/>
  <c r="N68" i="11"/>
  <c r="Q55" i="13"/>
  <c r="P62" i="12"/>
  <c r="P61" i="12"/>
  <c r="T60" i="12"/>
  <c r="R60" i="12"/>
  <c r="P60" i="12"/>
  <c r="P59" i="12"/>
  <c r="T58" i="12"/>
  <c r="R58" i="12"/>
  <c r="P58" i="12"/>
  <c r="Q54" i="13"/>
  <c r="N66" i="11"/>
  <c r="N63" i="11"/>
  <c r="N62" i="11"/>
  <c r="N65" i="11"/>
  <c r="N64" i="11"/>
  <c r="T54" i="12"/>
  <c r="R54" i="12"/>
  <c r="P54" i="12"/>
  <c r="P55" i="12"/>
  <c r="N61" i="11"/>
  <c r="Q50" i="13"/>
  <c r="Q49" i="13"/>
  <c r="T52" i="12"/>
  <c r="P52" i="12"/>
  <c r="T53" i="12"/>
  <c r="P53" i="12"/>
  <c r="N60" i="11"/>
  <c r="N59" i="11"/>
  <c r="P50" i="12"/>
  <c r="R49" i="12"/>
  <c r="T49" i="12"/>
  <c r="P49" i="12"/>
  <c r="N57" i="11"/>
  <c r="N55" i="11"/>
  <c r="N54" i="11"/>
  <c r="R46" i="12"/>
  <c r="P46" i="12"/>
  <c r="N52" i="11"/>
  <c r="Q39" i="13"/>
  <c r="N51" i="11"/>
  <c r="N49" i="11"/>
  <c r="N50" i="11"/>
  <c r="P43" i="12"/>
  <c r="R42" i="12"/>
  <c r="N47" i="11"/>
  <c r="T40" i="12"/>
  <c r="R40" i="12"/>
  <c r="P40" i="12"/>
  <c r="T41" i="12"/>
  <c r="P41" i="12"/>
  <c r="P39" i="12"/>
  <c r="N46" i="11"/>
  <c r="N45" i="11"/>
  <c r="N43" i="11"/>
  <c r="N44" i="11"/>
  <c r="N41" i="11"/>
  <c r="Q34" i="13"/>
  <c r="R36" i="12"/>
  <c r="T37" i="12"/>
  <c r="R37" i="12"/>
  <c r="T35" i="12"/>
  <c r="R35" i="12"/>
  <c r="P35" i="12"/>
  <c r="T34" i="12"/>
  <c r="R34" i="12"/>
  <c r="P34" i="12"/>
  <c r="R33" i="12"/>
  <c r="P33" i="12"/>
  <c r="T32" i="12"/>
  <c r="P31" i="12"/>
  <c r="Q28" i="13"/>
  <c r="N37" i="11"/>
  <c r="N36" i="11"/>
  <c r="N34" i="11"/>
  <c r="N39" i="11"/>
  <c r="R29" i="12"/>
  <c r="P29" i="12"/>
  <c r="T28" i="12"/>
  <c r="P27" i="12"/>
  <c r="Q25" i="13"/>
  <c r="N32" i="11"/>
  <c r="T25" i="12"/>
  <c r="R25" i="12"/>
  <c r="P25" i="12"/>
  <c r="N28" i="11"/>
  <c r="N30" i="11"/>
  <c r="N31" i="11"/>
  <c r="R23" i="12"/>
  <c r="P23" i="12"/>
  <c r="T23" i="12"/>
  <c r="R22" i="12"/>
  <c r="P22" i="12"/>
  <c r="T21" i="12"/>
  <c r="R21" i="12"/>
  <c r="P21" i="12"/>
  <c r="Q20" i="13"/>
  <c r="Q21" i="13"/>
  <c r="T20" i="12"/>
  <c r="R20" i="12"/>
  <c r="P20" i="12"/>
  <c r="T19" i="12"/>
  <c r="R19" i="12"/>
  <c r="P19" i="12"/>
  <c r="T18" i="12"/>
  <c r="R18" i="12"/>
  <c r="P18" i="12"/>
  <c r="N27" i="11"/>
  <c r="N26" i="11"/>
  <c r="N25" i="11"/>
  <c r="N24" i="11"/>
  <c r="N23" i="11"/>
  <c r="N22" i="11"/>
  <c r="Q18" i="13"/>
  <c r="Q17" i="13"/>
  <c r="Q15" i="13"/>
  <c r="Q16" i="13"/>
  <c r="N19" i="11"/>
  <c r="Q12" i="13"/>
  <c r="Q14" i="13"/>
  <c r="Q13" i="13"/>
  <c r="T13" i="12"/>
  <c r="R13" i="12"/>
  <c r="P13" i="12"/>
  <c r="T12" i="12"/>
  <c r="R12" i="12"/>
  <c r="P12" i="12"/>
  <c r="N15" i="11"/>
  <c r="N17" i="11"/>
  <c r="N16" i="11"/>
  <c r="Q10" i="13"/>
  <c r="Q11" i="13"/>
  <c r="T10" i="12"/>
  <c r="P10" i="12"/>
  <c r="T11" i="12"/>
  <c r="R11" i="12"/>
  <c r="P11" i="12"/>
  <c r="N13" i="11"/>
  <c r="N12" i="11"/>
  <c r="N11" i="11"/>
  <c r="N9" i="11"/>
  <c r="N10" i="11"/>
  <c r="Q8" i="13"/>
  <c r="T9" i="12"/>
  <c r="R9" i="12"/>
  <c r="P9" i="12"/>
  <c r="P7" i="12"/>
  <c r="N8" i="11"/>
  <c r="P5" i="12"/>
  <c r="N6" i="11"/>
  <c r="N5" i="11"/>
  <c r="N4" i="11"/>
  <c r="P4" i="12"/>
  <c r="P3" i="12"/>
  <c r="K56" i="9"/>
  <c r="K55" i="9"/>
  <c r="J74" i="7"/>
  <c r="K63" i="3"/>
  <c r="L120" i="2"/>
  <c r="L117" i="2"/>
  <c r="L118" i="2"/>
  <c r="L116" i="2"/>
  <c r="L113" i="2"/>
  <c r="L114" i="2"/>
  <c r="L111" i="2"/>
  <c r="L112" i="2"/>
  <c r="K54" i="9"/>
  <c r="K52" i="9"/>
  <c r="K51" i="9"/>
  <c r="K50" i="9"/>
  <c r="L108" i="2"/>
  <c r="L107" i="2"/>
  <c r="K49" i="9"/>
  <c r="K46" i="9"/>
  <c r="L101" i="2"/>
  <c r="K45" i="9"/>
  <c r="L92" i="2"/>
  <c r="L91" i="2"/>
  <c r="L90" i="2"/>
  <c r="L89" i="2"/>
  <c r="L80" i="2"/>
  <c r="L79" i="2"/>
  <c r="L78" i="2"/>
  <c r="K32" i="9"/>
  <c r="K31" i="9"/>
  <c r="L68" i="2"/>
  <c r="L70" i="2"/>
  <c r="L72" i="2"/>
  <c r="L59" i="2"/>
  <c r="L60" i="2"/>
  <c r="L61" i="2"/>
  <c r="L62" i="2"/>
  <c r="L58" i="2"/>
  <c r="L42" i="2"/>
  <c r="L43" i="2"/>
  <c r="L44" i="2"/>
  <c r="L45" i="2"/>
  <c r="L46" i="2"/>
  <c r="L48" i="2"/>
  <c r="L49" i="2"/>
  <c r="L50" i="2"/>
  <c r="L52" i="2"/>
  <c r="L53" i="2"/>
  <c r="L54" i="2"/>
  <c r="L55" i="2"/>
  <c r="L39" i="2"/>
  <c r="L40" i="2"/>
  <c r="L38" i="2"/>
  <c r="L16" i="2"/>
  <c r="L17" i="2"/>
  <c r="L18" i="2"/>
  <c r="L19" i="2"/>
  <c r="L20" i="2"/>
  <c r="L21" i="2"/>
  <c r="L22" i="2"/>
  <c r="L23" i="2"/>
  <c r="L24" i="2"/>
  <c r="L25" i="2"/>
  <c r="L26" i="2"/>
  <c r="L27" i="2"/>
  <c r="L28" i="2"/>
  <c r="L29" i="2"/>
  <c r="L30" i="2"/>
  <c r="L33" i="2"/>
  <c r="L15" i="2"/>
  <c r="L5" i="2"/>
  <c r="L6" i="2"/>
  <c r="L7" i="2"/>
  <c r="L8" i="2"/>
  <c r="L9" i="2"/>
  <c r="L10" i="2"/>
  <c r="L11" i="2"/>
  <c r="L4" i="2"/>
  <c r="L74" i="2"/>
  <c r="L75" i="2"/>
  <c r="K17" i="9"/>
  <c r="K18" i="9"/>
  <c r="K19" i="9"/>
  <c r="K20" i="9"/>
  <c r="K21" i="9"/>
  <c r="K22" i="9"/>
  <c r="K23" i="9"/>
  <c r="K24" i="9"/>
  <c r="K25" i="9"/>
  <c r="K26" i="9"/>
  <c r="K27" i="9"/>
  <c r="K28" i="9"/>
  <c r="K16" i="9"/>
  <c r="K15" i="9"/>
  <c r="V62" i="16" l="1"/>
  <c r="T62" i="16"/>
  <c r="P62" i="16"/>
  <c r="R62" i="16"/>
  <c r="T63" i="12"/>
  <c r="R63" i="12"/>
  <c r="P63" i="12"/>
  <c r="N6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tc={229C207F-3871-4EFA-A959-C8F4C63A30F2}</author>
  </authors>
  <commentList>
    <comment ref="E44" authorId="0" shapeId="0" xr:uid="{229C207F-3871-4EFA-A959-C8F4C63A30F2}">
      <text>
        <t xml:space="preserve">[Threaded comment]
Your version of Excel allows you to read this threaded comment; however, any edits to it will get removed if the file is opened in a newer version of Excel. Learn more: https://go.microsoft.com/fwlink/?linkid=870924
Comment:
    @binz.jeannie@gmail.com FYI for you, made slight tweaks to this one.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tc={C51C39BB-CCFB-4511-9829-3E18721F5F45}</author>
    <author>tc={F4D7B278-3D45-4524-AF3F-42BD1A845F52}</author>
  </authors>
  <commentList>
    <comment ref="F105" authorId="0" shapeId="0" xr:uid="{C51C39BB-CCFB-4511-9829-3E18721F5F45}">
      <text>
        <t>[Threaded comment]
Your version of Excel allows you to read this threaded comment; however, any edits to it will get removed if the file is opened in a newer version of Excel. Learn more: https://go.microsoft.com/fwlink/?linkid=870924
Comment:
    @King, Kris I have a reminder for our next call, but there is still no PDC 2024 Sponsorship contract/the page is still hidden as of 7/24.</t>
      </text>
    </comment>
    <comment ref="F106" authorId="1" shapeId="0" xr:uid="{F4D7B278-3D45-4524-AF3F-42BD1A845F52}">
      <text>
        <t>[Threaded comment]
Your version of Excel allows you to read this threaded comment; however, any edits to it will get removed if the file is opened in a newer version of Excel. Learn more: https://go.microsoft.com/fwlink/?linkid=870924
Comment:
    @King, Kris I have a reminder for our next call, but there is still no PDC 2024 Sponsorship contract/the page is still hidden as of 7/24.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tc={CB8948FD-B2E7-4355-98C7-9B49489E9337}</author>
    <author>tc={3BCEFED4-6DD6-4F17-AAEE-592D4A30088E}</author>
  </authors>
  <commentList>
    <comment ref="E45" authorId="0" shapeId="0" xr:uid="{CB8948FD-B2E7-4355-98C7-9B49489E9337}">
      <text>
        <t xml:space="preserve">[Threaded comment]
Your version of Excel allows you to read this threaded comment; however, any edits to it will get removed if the file is opened in a newer version of Excel. Learn more: https://go.microsoft.com/fwlink/?linkid=870924
Comment:
    @Schuette, Nick based on Patrick mentioning their KBYG email on 7/18, I'm pushing this Space Appointment reminder to Friday 7/19. We'll then do the Monday one still on 7/22. </t>
      </text>
    </comment>
    <comment ref="E55" authorId="1" shapeId="0" xr:uid="{3BCEFED4-6DD6-4F17-AAEE-592D4A30088E}">
      <text>
        <t xml:space="preserve">[Threaded comment]
Your version of Excel allows you to read this threaded comment; however, any edits to it will get removed if the file is opened in a newer version of Excel. Learn more: https://go.microsoft.com/fwlink/?linkid=870924
Comment:
    @Magalona, Krishna I will add to our board, but we have a new email for 8/27. </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<sst xmlns="http://schemas.openxmlformats.org/spreadsheetml/2006/main" count="8659" uniqueCount="4313">
  <si>
    <t>Internal promo approval: Kris King (Conferences Only), Nick Schuette (Year-round /Marketing only) for approval. Client promo approval (HFM only + Sustainability): Mike Hrickiewicz (ONLY HFM Magazine), Tracy Dagnon. Request HFM editorial from Mike H.</t>
  </si>
  <si>
    <t>Week of</t>
  </si>
  <si>
    <t>Target Send Date (Avoid Tuesdays)</t>
  </si>
  <si>
    <t>Audience/Target Groups</t>
  </si>
  <si>
    <t>"From" Email Address</t>
  </si>
  <si>
    <t>Subject/Campaign</t>
  </si>
  <si>
    <t>Key Opportunities</t>
  </si>
  <si>
    <t>Notes/Comment</t>
  </si>
  <si>
    <t>MarkUp Preview/Review Link</t>
  </si>
  <si>
    <t>Sent</t>
  </si>
  <si>
    <t>Opens</t>
  </si>
  <si>
    <t>Open %</t>
  </si>
  <si>
    <t>Unique Clicks</t>
  </si>
  <si>
    <t>Email Link</t>
  </si>
  <si>
    <t>Week of January 2</t>
  </si>
  <si>
    <t>All (Remove Architecture Showcase contacts)</t>
  </si>
  <si>
    <t>Your ASHE New Year's Checklist</t>
  </si>
  <si>
    <t>Download the media kit; Reserve booth for PDC and ASHE Annual; Hospital Construction Survey; Ad Retargeting</t>
  </si>
  <si>
    <t>Did not send</t>
  </si>
  <si>
    <t>Week of January 9</t>
  </si>
  <si>
    <t>Architecture Showcase Contacts Only</t>
  </si>
  <si>
    <t>Feature Your Design Project with ASHE</t>
  </si>
  <si>
    <t>Architecture for Health Packages - highlight remaining inventory</t>
  </si>
  <si>
    <t>Hanna to write/send</t>
  </si>
  <si>
    <t>Week of January 16</t>
  </si>
  <si>
    <t>All (Remove Architecture Showcase contacts), add in PDC Exhibitor Contacts</t>
  </si>
  <si>
    <t>PDC Conference Edition, HFM March Preview</t>
  </si>
  <si>
    <t>Deadline January 27</t>
  </si>
  <si>
    <t>Sent 1.19.23</t>
  </si>
  <si>
    <t>Resend to non-opens (Arch Showcase)</t>
  </si>
  <si>
    <t>Last Chance: Architecture for Health Showcase</t>
  </si>
  <si>
    <t>Sent 1.18.23</t>
  </si>
  <si>
    <t>Non-Exhibitors</t>
  </si>
  <si>
    <t>See You in Phoenix? (PDC)</t>
  </si>
  <si>
    <t>Booth Opportunities, Search for Solutions</t>
  </si>
  <si>
    <t>Exhibitors</t>
  </si>
  <si>
    <t>Stand Out at the 2023 PDC Summit</t>
  </si>
  <si>
    <t>Last call for sponsorships, Lanyards, Search for Solutions</t>
  </si>
  <si>
    <t>Week of January 23</t>
  </si>
  <si>
    <t>Tweak last week's messaging</t>
  </si>
  <si>
    <t>Sent 1.26.23</t>
  </si>
  <si>
    <t>Entire Database</t>
  </si>
  <si>
    <t>HFM March Last Call</t>
  </si>
  <si>
    <t>Replicate last week's promo and include 'Last Call' in subject line</t>
  </si>
  <si>
    <t>Sent 1.25.22</t>
  </si>
  <si>
    <t>ASHE Academy Contacts</t>
  </si>
  <si>
    <t>ASHE Academy</t>
  </si>
  <si>
    <t>Launch email, how to get involved</t>
  </si>
  <si>
    <t>Architecture Showcase Deadline</t>
  </si>
  <si>
    <t>Hospital Construction Survey - Phase 2 Deadline</t>
  </si>
  <si>
    <t>HFM March Space Deadline</t>
  </si>
  <si>
    <t>Week of January 30</t>
  </si>
  <si>
    <t>Entire Database (remove current Exhibitors (A-M))</t>
  </si>
  <si>
    <t>ASHE Annual Conference, San Antonio</t>
  </si>
  <si>
    <t>New booths, sustainability angle</t>
  </si>
  <si>
    <t>Sent 2.1.23</t>
  </si>
  <si>
    <t>Entire Database (remove current Exhibitors (N-Z))</t>
  </si>
  <si>
    <t>Week of February 6</t>
  </si>
  <si>
    <t>Exhibitors (A-M)</t>
  </si>
  <si>
    <t>Share your insights and solutions at PDC Summit</t>
  </si>
  <si>
    <t>Highlight remaining sponsorships: Search for Solutions, Bar Carts, Preview Email, Keynote, Discovery Stage, Onsite enews letter</t>
  </si>
  <si>
    <t>Sent 2.8.23</t>
  </si>
  <si>
    <t>Exhibitors (N-Z)</t>
  </si>
  <si>
    <t>Current PDC 2023 Exhibitors ONLY (A-M)</t>
  </si>
  <si>
    <t>PDC 2024 Preview</t>
  </si>
  <si>
    <t>Contract for your timeslot for Space Selection, booth rates? Sustainability</t>
  </si>
  <si>
    <t>Sent 2.9.23</t>
  </si>
  <si>
    <t>Current PDC 2023 Exhibitors ONLY (N-Z)</t>
  </si>
  <si>
    <t>Non-Exhibitors (A-M)</t>
  </si>
  <si>
    <t>It's Now or Never: PDC Summit</t>
  </si>
  <si>
    <t>Only X booths remaining</t>
  </si>
  <si>
    <t>Non-Exhibitors (N-Z)</t>
  </si>
  <si>
    <t>Week of February 13</t>
  </si>
  <si>
    <t>Current PDC 2023 Exhibitors ONLY</t>
  </si>
  <si>
    <t>PDC 2024 Space Selection - Call For Contracts 2SG</t>
  </si>
  <si>
    <t>Contract for your timeslot for Space Selection</t>
  </si>
  <si>
    <t>Sent 2.15.23</t>
  </si>
  <si>
    <t>PDC 2024 Space Selection - Call For Contracts 2KK</t>
  </si>
  <si>
    <t>HFM April Preview</t>
  </si>
  <si>
    <t>HFM April, E-news, and Digital Edition</t>
  </si>
  <si>
    <t>Sent 2.16.23</t>
  </si>
  <si>
    <t>Week of February 20</t>
  </si>
  <si>
    <t>Sent 2.21.23</t>
  </si>
  <si>
    <t>Week of February 27</t>
  </si>
  <si>
    <t>Final call for Space Selection</t>
  </si>
  <si>
    <t>scheduled 2.28</t>
  </si>
  <si>
    <t>All</t>
  </si>
  <si>
    <t>Preview of Q2 HFM Opportunities</t>
  </si>
  <si>
    <t>Upcoming issues, remaining e-news inventory; specialty ads.</t>
  </si>
  <si>
    <t>sent 2.28.23</t>
  </si>
  <si>
    <t>PDC Space Selection Deadline</t>
  </si>
  <si>
    <t>HFM April Space Deadline</t>
  </si>
  <si>
    <t>Week of March 6</t>
  </si>
  <si>
    <t>PDC Contracted Exhibitors</t>
  </si>
  <si>
    <t>Space Selection Appointment</t>
  </si>
  <si>
    <t>Need times and contacts - SUE</t>
  </si>
  <si>
    <t>Sent 3.10.23</t>
  </si>
  <si>
    <t>RESEND Space Selection Appointment</t>
  </si>
  <si>
    <t xml:space="preserve">Not sent as first was sent on Friday of this week. </t>
  </si>
  <si>
    <t>Renewals for ASHE Annual</t>
  </si>
  <si>
    <t>See You in San Antonio?</t>
  </si>
  <si>
    <t>Push ASHE Annual, Book Your Booth</t>
  </si>
  <si>
    <t xml:space="preserve">Didn't receive response from team on wanting to send this out. </t>
  </si>
  <si>
    <t>March 13-15, 2023</t>
  </si>
  <si>
    <t>PDC Summit, Phoenix</t>
  </si>
  <si>
    <t>Week of March 13</t>
  </si>
  <si>
    <t>Off Week</t>
  </si>
  <si>
    <t>Week of March 20</t>
  </si>
  <si>
    <t>HFM May Preview</t>
  </si>
  <si>
    <t>HFM May + Opps determined by Nick</t>
  </si>
  <si>
    <t>Sent 3.22.23</t>
  </si>
  <si>
    <t>Week of March 27</t>
  </si>
  <si>
    <t>Non Renewals 2023</t>
  </si>
  <si>
    <t>We Missed You in Phoenix</t>
  </si>
  <si>
    <t>Sign up for PDC 2024 - Attendance was 3,000+</t>
  </si>
  <si>
    <t>Sent 3.29.23</t>
  </si>
  <si>
    <t>Push sponsorship opportunities, https://www.ashemarketingsolutions.org/events/ashe-academy/</t>
  </si>
  <si>
    <t>Sent 3.28.23</t>
  </si>
  <si>
    <t>Entire Database (exclude current exhibitors)</t>
  </si>
  <si>
    <t>See You at ASHE Annual 2023?</t>
  </si>
  <si>
    <t>don't send this week, save for future</t>
  </si>
  <si>
    <t>A-M</t>
  </si>
  <si>
    <t>2023 PDC Summit - We missed you</t>
  </si>
  <si>
    <t>N-Z</t>
  </si>
  <si>
    <t>Week of April 3</t>
  </si>
  <si>
    <t>Current ASHE Annual Exhibitors (A-M)</t>
  </si>
  <si>
    <t>ASHE Annual Sponsorships</t>
  </si>
  <si>
    <t>Need contract, rules &amp; regs</t>
  </si>
  <si>
    <t>Sent 4.5.23</t>
  </si>
  <si>
    <t>Current ASHE Annual Exhibitors (N-Z)</t>
  </si>
  <si>
    <t>Sponsored Advertorial Options</t>
  </si>
  <si>
    <t>Magazine, eNews and website (sponsored content on all 3)</t>
  </si>
  <si>
    <t>Sent 4.6.23</t>
  </si>
  <si>
    <t>HFM May Space Deadline</t>
  </si>
  <si>
    <t>Week of April 10</t>
  </si>
  <si>
    <t>HFM June Issue Preview</t>
  </si>
  <si>
    <t>Add a small digital opportunity call out - link to microsite</t>
  </si>
  <si>
    <t>Scheduled 4.13.23</t>
  </si>
  <si>
    <t>Push opportunities &amp; PDF</t>
  </si>
  <si>
    <t>sent 4.11.23</t>
  </si>
  <si>
    <t>Renewals</t>
  </si>
  <si>
    <t>Thousands of Hospital &amp; Health System Leaders Are Waiting</t>
  </si>
  <si>
    <t>Space is filling up quickly</t>
  </si>
  <si>
    <t>Sent 4.12.23</t>
  </si>
  <si>
    <t>Week of April 17</t>
  </si>
  <si>
    <t>Current ASHE Annual Exhibitors</t>
  </si>
  <si>
    <t>Banner opportunities, floor clings</t>
  </si>
  <si>
    <t xml:space="preserve">requested more info on sponsorship opps. </t>
  </si>
  <si>
    <t>HFM Lead Gen</t>
  </si>
  <si>
    <t>Highlight partner eblasts and ad-retargeting</t>
  </si>
  <si>
    <t>Sent 4.19.23</t>
  </si>
  <si>
    <t>Week of April 24</t>
  </si>
  <si>
    <t>HFM June Issue Last Call</t>
  </si>
  <si>
    <t>Cover story: Modular construction: A look at the latest trends in the fast-developing areas of modular and prefabricated hospital construction and what they mean for health facilities managers.</t>
  </si>
  <si>
    <t>Sent 4.26.23</t>
  </si>
  <si>
    <t>Look at week of April 17 promo to use?</t>
  </si>
  <si>
    <t>Venue branding opportunities</t>
  </si>
  <si>
    <t>Sent 4.27.23</t>
  </si>
  <si>
    <t>May 1-5, 2023</t>
  </si>
  <si>
    <t>ASHE Academy, Columbus, OH</t>
  </si>
  <si>
    <t>Week of May 1</t>
  </si>
  <si>
    <t xml:space="preserve">PDC Non Exhibitors </t>
  </si>
  <si>
    <t>Renew PDC 2024</t>
  </si>
  <si>
    <t>sent for review 5.1.23</t>
  </si>
  <si>
    <t>Full Database</t>
  </si>
  <si>
    <t>Year-Round Sponsorship Opportunities</t>
  </si>
  <si>
    <t>Web Ads &amp; Redirects</t>
  </si>
  <si>
    <t>Sent 5.3.23</t>
  </si>
  <si>
    <t>HFM June Space Deadline</t>
  </si>
  <si>
    <t>Week of May 8</t>
  </si>
  <si>
    <t>Current Annual Exhibitors</t>
  </si>
  <si>
    <t>Sponsorship Opportunities - Booth traffic drivers</t>
  </si>
  <si>
    <t>Raffle, "passport to prizes," etc.</t>
  </si>
  <si>
    <t>scheduled 5.11.23</t>
  </si>
  <si>
    <t>200/141</t>
  </si>
  <si>
    <t>93/41</t>
  </si>
  <si>
    <t>8/?</t>
  </si>
  <si>
    <t>July Conference Edition (HFM)</t>
  </si>
  <si>
    <t>This is handed out onsite at Annual (bonus distro), conference preview "edition"</t>
  </si>
  <si>
    <t>Sent 5.10.23</t>
  </si>
  <si>
    <t>Week of May 15</t>
  </si>
  <si>
    <t>Specialty Advertising (HFM)</t>
  </si>
  <si>
    <t>Solutions product/services section, case studies (call out for conference addition)</t>
  </si>
  <si>
    <t>sent 5.18.23</t>
  </si>
  <si>
    <t>PDC 2024 Exhibitors</t>
  </si>
  <si>
    <t>PDC 2024 Sponsorships are LIVE!</t>
  </si>
  <si>
    <t>Highlight key opportunities</t>
  </si>
  <si>
    <t>Mid May</t>
  </si>
  <si>
    <t>PDC 2024 Launch</t>
  </si>
  <si>
    <t>Week of May 22</t>
  </si>
  <si>
    <t>HFM July Last Call</t>
  </si>
  <si>
    <t>Focus on conference edition (top seller)</t>
  </si>
  <si>
    <t>sent 5.25.23</t>
  </si>
  <si>
    <t>HFM Deadline</t>
  </si>
  <si>
    <t>Week of June 5 (was May 29)</t>
  </si>
  <si>
    <t>Booth traffic drivers</t>
  </si>
  <si>
    <t xml:space="preserve">Drive attendees to your booth with these impactful opportunities. Push the keynote opportunity </t>
  </si>
  <si>
    <t>sent 6.7.23</t>
  </si>
  <si>
    <t>N-Z: 43,  A-M: 72</t>
  </si>
  <si>
    <t>N-z: 8, A-M: 27</t>
  </si>
  <si>
    <t>N-Z: 1,  A-M: 1</t>
  </si>
  <si>
    <t>Week of June 5</t>
  </si>
  <si>
    <t>TBD on 6.5.23</t>
  </si>
  <si>
    <t xml:space="preserve">KBYG for PDC. Keynote and other sponsorships opps. </t>
  </si>
  <si>
    <t>Need more info before send - link to keynote &amp; sponsorship pricing</t>
  </si>
  <si>
    <t>Week of June 12</t>
  </si>
  <si>
    <t>23 Exhibitors Non-Renewed</t>
  </si>
  <si>
    <t>Don't Miss</t>
  </si>
  <si>
    <t>Plain text email in MailChimp."We've noticed you're not on the floor plan." Use the email titled 
ASHE Annual 2023 Renewals (copy 01)) and add in the list of exhibs similar to AHRMM (5/29 week email)/use the same message.</t>
  </si>
  <si>
    <t>resent for list and edits 6.14.23</t>
  </si>
  <si>
    <t>HFM August Preview</t>
  </si>
  <si>
    <t>sent 6.14.23</t>
  </si>
  <si>
    <t>Salary Survey Phase 1 Deadline</t>
  </si>
  <si>
    <t>Week of June 19</t>
  </si>
  <si>
    <t>Lead Gen</t>
  </si>
  <si>
    <t>Partner Insights Dedicated Emails, webinars</t>
  </si>
  <si>
    <t>sent 6.22.23</t>
  </si>
  <si>
    <t>General email to sign up/renew</t>
  </si>
  <si>
    <t>A-M: 183 N-Z: 84</t>
  </si>
  <si>
    <t>A-M: 50 N-Z: 21</t>
  </si>
  <si>
    <t>A-M: 7 N-Z: 1</t>
  </si>
  <si>
    <t>Week of June 26</t>
  </si>
  <si>
    <t>HFM August Last Call</t>
  </si>
  <si>
    <t>Sent 6.27.23</t>
  </si>
  <si>
    <t>Contracted '23 Exhibitors</t>
  </si>
  <si>
    <t>NF - Contract Call for '24</t>
  </si>
  <si>
    <t>Submit contract for ASHE '24 show</t>
  </si>
  <si>
    <t>Sent 6.28.23</t>
  </si>
  <si>
    <t>HFM August Space Deadline</t>
  </si>
  <si>
    <t>Week of July 3</t>
  </si>
  <si>
    <t>Week of July 10</t>
  </si>
  <si>
    <t>Sue to provide</t>
  </si>
  <si>
    <t>NF - DEADLINE SOON: Contract Call for '24</t>
  </si>
  <si>
    <t>Sent 7.11 at 11 am CST</t>
  </si>
  <si>
    <t>September Preview (HFM)</t>
  </si>
  <si>
    <t>Sent 7.13.23</t>
  </si>
  <si>
    <t>Week of July 17</t>
  </si>
  <si>
    <t>NF - LAST CALL: Contract Call for '24</t>
  </si>
  <si>
    <t>Submit contract for ASHE '24 show by THIS FRIDAY</t>
  </si>
  <si>
    <t>Sent 7.19.23</t>
  </si>
  <si>
    <t>HFM Ad Retargeting</t>
  </si>
  <si>
    <t>Sent 7.20.23</t>
  </si>
  <si>
    <t>Week of July 24</t>
  </si>
  <si>
    <t>Digital Opps</t>
  </si>
  <si>
    <t>Highlight digital offerings</t>
  </si>
  <si>
    <t>scheduled 7.26.23</t>
  </si>
  <si>
    <t>PDC Renewals</t>
  </si>
  <si>
    <t>PDC</t>
  </si>
  <si>
    <t>Sponsorships available</t>
  </si>
  <si>
    <t>Scheduled 7.27.23</t>
  </si>
  <si>
    <t>A-M = 124
N-Z = 57</t>
  </si>
  <si>
    <t>A-M = 35
N-Z = 24</t>
  </si>
  <si>
    <t>A-M = 28.2% 
N-Z = 42.9%</t>
  </si>
  <si>
    <t>A-M = 4
N-Z = 1</t>
  </si>
  <si>
    <t>Week of July 31</t>
  </si>
  <si>
    <t>Sue/Kris to provide (CONTRACTED)</t>
  </si>
  <si>
    <t>2024 SPACE APPOINTMENT - NF</t>
  </si>
  <si>
    <t>Event services to provide information</t>
  </si>
  <si>
    <t>Sent 8.3.23</t>
  </si>
  <si>
    <t>Sue/Kris to provide (NON-CONTRACTED)</t>
  </si>
  <si>
    <t>Last Call September Preview (HFM)</t>
  </si>
  <si>
    <t>Sent 8.1.23</t>
  </si>
  <si>
    <t>HFM September Space Deadline</t>
  </si>
  <si>
    <t>August 7-9, 2023</t>
  </si>
  <si>
    <t>Week of August 7</t>
  </si>
  <si>
    <t>2023 Contracted</t>
  </si>
  <si>
    <t>ASHE Name Change Announcement</t>
  </si>
  <si>
    <t>8.7.23</t>
  </si>
  <si>
    <t>Week of August 13</t>
  </si>
  <si>
    <t>October Preview (HFM)</t>
  </si>
  <si>
    <t>8.15.23</t>
  </si>
  <si>
    <t>Contraced ASHE23</t>
  </si>
  <si>
    <t>Post-Show Survey - NF</t>
  </si>
  <si>
    <t>8.14.23</t>
  </si>
  <si>
    <t>Post-Show Survey (RESEND) - NF</t>
  </si>
  <si>
    <t>8.16.23</t>
  </si>
  <si>
    <t>Week of August 20</t>
  </si>
  <si>
    <t>8.23.23</t>
  </si>
  <si>
    <t>Entire Database (dicuss with Nick s to send to limited list)</t>
  </si>
  <si>
    <t>Last Call October Preview (HFM)</t>
  </si>
  <si>
    <t>Week of August 27</t>
  </si>
  <si>
    <t>PDC Non Exhibitors 21-23</t>
  </si>
  <si>
    <t>General email to sign up/renew -&gt; tweak message from sent 6.22.23 email</t>
  </si>
  <si>
    <t>9.1.23</t>
  </si>
  <si>
    <t>A-M = 254
N-Z = 94</t>
  </si>
  <si>
    <t>A-M = 74
N-Z = 20</t>
  </si>
  <si>
    <t>A-M = 29.1% 
N-Z = 21.2%</t>
  </si>
  <si>
    <t>A-M = 11
N-Z = 2</t>
  </si>
  <si>
    <t>HFM October Space Deadline</t>
  </si>
  <si>
    <t>Week of September 4</t>
  </si>
  <si>
    <t>Labor Day Week</t>
  </si>
  <si>
    <t>Week of Sept. 11</t>
  </si>
  <si>
    <t>Nov/Dec Preview (HFM)</t>
  </si>
  <si>
    <t>9.14.23</t>
  </si>
  <si>
    <t>Current Exhibitors PDC</t>
  </si>
  <si>
    <t>PDC Resources</t>
  </si>
  <si>
    <t>To resources page...etc. Kris to help provide content.</t>
  </si>
  <si>
    <t>From ASHE@Smithbucklin -&gt; DO NOT INCLUDE KRIS/SUE.
Send Tues/Wed</t>
  </si>
  <si>
    <t>Week of Sept. 18</t>
  </si>
  <si>
    <t>PDC Exhibitors (all)</t>
  </si>
  <si>
    <r>
      <rPr>
        <b/>
        <sz val="10"/>
        <color rgb="FF000000"/>
        <rFont val="Arial"/>
      </rPr>
      <t>Sue:</t>
    </r>
    <r>
      <rPr>
        <sz val="10"/>
        <color rgb="FF000000"/>
        <rFont val="Arial"/>
      </rPr>
      <t xml:space="preserve"> A-M
</t>
    </r>
    <r>
      <rPr>
        <b/>
        <sz val="10"/>
        <color rgb="FF000000"/>
        <rFont val="Arial"/>
      </rPr>
      <t>Kris</t>
    </r>
    <r>
      <rPr>
        <sz val="10"/>
        <color rgb="FF000000"/>
        <rFont val="Arial"/>
      </rPr>
      <t>: N-Z</t>
    </r>
  </si>
  <si>
    <t>Sponsorships</t>
  </si>
  <si>
    <t xml:space="preserve">
 Promo Items &amp; Breakfast Sessions &amp; Speaking (Thought leadership). Highlight venue branding -&gt; Kris -&gt; digital ads</t>
  </si>
  <si>
    <t>What are the "venue branding" opps to highlight? I don't see too many I would consider venue on the site.</t>
  </si>
  <si>
    <t>Wed, September 20th 11:30 AM</t>
  </si>
  <si>
    <t>A-M = 71
N-Z = 44</t>
  </si>
  <si>
    <t>A-M = 31
N-Z = 15</t>
  </si>
  <si>
    <t>A-M = 43.6% 
N-Z = 34.1%</t>
  </si>
  <si>
    <t>Week of Sept. 25</t>
  </si>
  <si>
    <t>Last Call Nov/Dec Preview (HFM)</t>
  </si>
  <si>
    <t>Email had 58 bounces and 11 unsubs.</t>
  </si>
  <si>
    <t>9/26/23 at 10:30 am CST</t>
  </si>
  <si>
    <t>PDC Renewals ('21 &amp; '22)</t>
  </si>
  <si>
    <t>Exhibit &amp; Sponsorships (3 price points)</t>
  </si>
  <si>
    <t>A-M = 130
N-Z = 74</t>
  </si>
  <si>
    <t>A-M = 41
N-Z = 24</t>
  </si>
  <si>
    <t>A-M = 31.8% 
N-Z = 32.4%</t>
  </si>
  <si>
    <t>A-M = 8
N-Z = 2</t>
  </si>
  <si>
    <t>Week of October 2</t>
  </si>
  <si>
    <t>HFIC</t>
  </si>
  <si>
    <t>Renewal</t>
  </si>
  <si>
    <t>https://app.markup.io/invite/accept/fbiFgLmP</t>
  </si>
  <si>
    <t>Sent 10.5,23 at 3:45 pm CST</t>
  </si>
  <si>
    <t>A-M = 117
N-Z = 91</t>
  </si>
  <si>
    <t>A-M = 44
N-Z = 24</t>
  </si>
  <si>
    <t>A-M = 37.6% 
N-Z = 26.4%</t>
  </si>
  <si>
    <t>A-M = 5
N-Z = 3</t>
  </si>
  <si>
    <t>Salary Survey Phase 2 Deadline</t>
  </si>
  <si>
    <t>HFM Nov/Dec Space Deadline</t>
  </si>
  <si>
    <t>Week of October 9</t>
  </si>
  <si>
    <t>PDC Non-Exhibitors</t>
  </si>
  <si>
    <t>Sign up for PDC2024!</t>
  </si>
  <si>
    <t>https://app.markup.io/invite/accept/MSWLijL6</t>
  </si>
  <si>
    <t>10.12.23 at 2:30 pm CST</t>
  </si>
  <si>
    <t>A-M = 90
N-Z = 22</t>
  </si>
  <si>
    <t>A-M = 22
N-Z = 6</t>
  </si>
  <si>
    <t>A-M = 24.4% 
N-Z = 27.3%</t>
  </si>
  <si>
    <t>A-M = 2
N-Z = 1</t>
  </si>
  <si>
    <t>Week of October 23</t>
  </si>
  <si>
    <t>Media Kit Launch - Tenative</t>
  </si>
  <si>
    <t>Take a Look at 2024 Offerings!</t>
  </si>
  <si>
    <t>https://app.markup.io/invite/accept/u9cBzdf-</t>
  </si>
  <si>
    <t>Sent 10/26/23 at 12:30 pm CST</t>
  </si>
  <si>
    <t>Arch Showcase Contacts Only</t>
  </si>
  <si>
    <t>Arch Showcase 2024 Launch</t>
  </si>
  <si>
    <t>https://app.markup.io/invite/accept/BJzyUziZ</t>
  </si>
  <si>
    <t>10.25.23 at 2:20 pm CST</t>
  </si>
  <si>
    <t>October 23-27, 2023</t>
  </si>
  <si>
    <t>ASHE Engineering Week</t>
  </si>
  <si>
    <t>Week of October 30</t>
  </si>
  <si>
    <t>Thursday, 11/2</t>
  </si>
  <si>
    <t>PDC Exhibitors</t>
  </si>
  <si>
    <t>Split Send -&gt; Sue + Kris</t>
  </si>
  <si>
    <t>PDC Sponsorships &amp; Arch Showcase reminder</t>
  </si>
  <si>
    <t>Highlight opps from each sponsorship section/grouping.</t>
  </si>
  <si>
    <t>11/2/23 at 1 pm CST</t>
  </si>
  <si>
    <t>A-M = 61
N-Z = 34</t>
  </si>
  <si>
    <t>A-M = 27
N-Z = 16</t>
  </si>
  <si>
    <t>A-M = 45% 
N-Z = 45.7%</t>
  </si>
  <si>
    <t>A-M = 3
N-Z = 1</t>
  </si>
  <si>
    <t>Week of November 6</t>
  </si>
  <si>
    <t>Thrusday, Nov 9</t>
  </si>
  <si>
    <t>HFIC Sustainability List</t>
  </si>
  <si>
    <t>Sue G</t>
  </si>
  <si>
    <t>Jan Feb Issue is Sustainability Focused</t>
  </si>
  <si>
    <t xml:space="preserve">Look at media Kit </t>
  </si>
  <si>
    <t>https://app.markup.io/invite/accept/6eBbBqWh</t>
  </si>
  <si>
    <t>11/9/23 at 1:30 pm CST</t>
  </si>
  <si>
    <t>Tuesday, Nov 7  (NS is OOO end of week)</t>
  </si>
  <si>
    <t>HFM</t>
  </si>
  <si>
    <t>Nick S</t>
  </si>
  <si>
    <t>Jan Feb Deadline Promo</t>
  </si>
  <si>
    <t>Look at media kit</t>
  </si>
  <si>
    <t>Connect with Nick S on this - deadline is Dec 1 is reservation deadline</t>
  </si>
  <si>
    <t>https://app.markup.io/markup/612e9dbd-2663-4d07-9a77-dad915e93e1e</t>
  </si>
  <si>
    <t>11.6.23 at 11:30 am CST</t>
  </si>
  <si>
    <t>Week of November 13</t>
  </si>
  <si>
    <t>Thursday, 11/16</t>
  </si>
  <si>
    <t>ALL</t>
  </si>
  <si>
    <t>ASHE@Smithbucklin.com</t>
  </si>
  <si>
    <t>2023 Partner Thank You!</t>
  </si>
  <si>
    <t>In the Spirit of the Holiday - Thanks for Supporting Us</t>
  </si>
  <si>
    <t>Mimic 2022 email -&gt; template for header in Canva</t>
  </si>
  <si>
    <t>https://app.markup.io/invite/accept/wVueIzML</t>
  </si>
  <si>
    <t>11.16.23 at 1:30 pm CST</t>
  </si>
  <si>
    <t>Wednesday, 11/15</t>
  </si>
  <si>
    <t>Arch Showcase 2024 - Reminder (12/15 deadline)</t>
  </si>
  <si>
    <t>https://app.markup.io/invite/accept/WwN0Ax8-</t>
  </si>
  <si>
    <t>11.15.23 at 10:30 am CST</t>
  </si>
  <si>
    <t>Week of November 20</t>
  </si>
  <si>
    <t>Thanksgiving Week</t>
  </si>
  <si>
    <t>Week of November 27</t>
  </si>
  <si>
    <t>Jan Feb Deadline Promo LAST CALL</t>
  </si>
  <si>
    <t>https://app.markup.io/invite/accept/NEm5ptjr</t>
  </si>
  <si>
    <t>11.28.23 at 9:30 am CST</t>
  </si>
  <si>
    <t>Week of December 4</t>
  </si>
  <si>
    <t>Tuesday, 12/5</t>
  </si>
  <si>
    <t>Arch Showcase Contacts Only (UNOPENS)</t>
  </si>
  <si>
    <t>Resend 11/15 email to just unopens.</t>
  </si>
  <si>
    <t>12.5.23 at 10:30 am CST</t>
  </si>
  <si>
    <t>Thursday, December 7</t>
  </si>
  <si>
    <t>Krking@smithbucklin.com
sgriffin@smithbucklin.com</t>
  </si>
  <si>
    <t>PDC Sponsorship</t>
  </si>
  <si>
    <t>Bar carts, breakfasts, digital signs (marquee + ciruclar) -&gt; HIGH VISIBILITY
Keep in Arch</t>
  </si>
  <si>
    <t xml:space="preserve">Send early in AM </t>
  </si>
  <si>
    <t>https://app.markup.io/invite/accept/Utwrw-ij</t>
  </si>
  <si>
    <t>12.7.23 at 3 pm CST</t>
  </si>
  <si>
    <t>Week of December 11</t>
  </si>
  <si>
    <t>Thursday, 12/14</t>
  </si>
  <si>
    <t>Past HFIC/Annual Exhibitors</t>
  </si>
  <si>
    <t>HFIC 2024 Renewals</t>
  </si>
  <si>
    <t>https://app.markup.io/invite/accept/DW0HUAxn</t>
  </si>
  <si>
    <t>Tuesday, 12/12</t>
  </si>
  <si>
    <t>nschuette@smithbucklin.com</t>
  </si>
  <si>
    <t>Arch Showcase 2024 LAST CALL (12/15 Deadline)</t>
  </si>
  <si>
    <t>Add in a small section on Booth Exhibit at PDC</t>
  </si>
  <si>
    <t>https://app.markup.io/invite/accept/wHzxfa-E</t>
  </si>
  <si>
    <t>12.12.23 at 2 pm CST</t>
  </si>
  <si>
    <t>https://mailchi.mp/smithbucklin/ashe-architecture-showcase-16922036?e=[UNIQID]</t>
  </si>
  <si>
    <t>Week of December 18</t>
  </si>
  <si>
    <t>Wednesday, 12/20</t>
  </si>
  <si>
    <t>ASHE@smithbucklin.com</t>
  </si>
  <si>
    <t>Holiday Weekend</t>
  </si>
  <si>
    <t>https://app.markup.io/invite/accept/e49nWG4E</t>
  </si>
  <si>
    <t>Week of December 25</t>
  </si>
  <si>
    <t>Christmas Week</t>
  </si>
  <si>
    <t>TBD</t>
  </si>
  <si>
    <t>Past PDC Exhibitors</t>
  </si>
  <si>
    <t>PDC 2024 Renewals</t>
  </si>
  <si>
    <t>https://app.markup.io/invite/accept/qAbQ6_7P</t>
  </si>
  <si>
    <t>Send promo drafts to Kris King (Conference Only) for approval -&gt; Nick S=1-M / Kris = N-Z
Client does not approve promo drafts, but has requested to see initial drafts of SCS&amp;S emails (please confirm with Nick S).
Request SCS&amp;S editorial line-ups from Mary Kravenas.</t>
  </si>
  <si>
    <t>Target Send Date</t>
  </si>
  <si>
    <t>MarkUp Link/Report Sent (OLD)</t>
  </si>
  <si>
    <t>Open Rate</t>
  </si>
  <si>
    <t>Clicks</t>
  </si>
  <si>
    <t>Week of January 3</t>
  </si>
  <si>
    <t>Download Now: AHRMM 2022 Media Kit</t>
  </si>
  <si>
    <t>Highlight new opportunities: Ad retargeting, Partner Insights Webinars, New AHRMM Web Placements</t>
  </si>
  <si>
    <t>Week of January 10</t>
  </si>
  <si>
    <t>Non-opens from previous campaign</t>
  </si>
  <si>
    <t>[ICYMI] AHRMM 2022 Media Kit Now Available</t>
  </si>
  <si>
    <t>Week of January 17</t>
  </si>
  <si>
    <t>Your Invitation to Connect with Health Care Supply Chain Leaders</t>
  </si>
  <si>
    <t>AHRMM22 Booths &amp; Sponsorships</t>
  </si>
  <si>
    <t>AHRMM22 Sponsorship Update</t>
  </si>
  <si>
    <t>Highlight new sponsorship offerings (if ready to promote, otherwise keep pushing V1 of prospectus)</t>
  </si>
  <si>
    <t>Week of January 31</t>
  </si>
  <si>
    <t>Limited Inventory: AHRMM Dedicated Marketing Emails</t>
  </si>
  <si>
    <t>Dedicated Marketing Emails; Cross-promote White Papers, Webinars, Webcasts/Podcasts</t>
  </si>
  <si>
    <t>Week of February 14</t>
  </si>
  <si>
    <t>Showcase Your Latest Solutions at AHRMM22</t>
  </si>
  <si>
    <t>AHRMM22 Booths &amp; Sponsorships; highlight audience demographics; companies exhibiting</t>
  </si>
  <si>
    <t>Increase Your Exposure at AHRMM22</t>
  </si>
  <si>
    <t>Highlight Tiered Sponsorship Program; cross-promote ofther sponsorships as directed by sales</t>
  </si>
  <si>
    <t>Week of February 28</t>
  </si>
  <si>
    <t>Connect with AHRMM Members All Year Round</t>
  </si>
  <si>
    <t>Enewsletters, Website, Connect; List Rental</t>
  </si>
  <si>
    <t>Your AHRMM New Year's Checklist</t>
  </si>
  <si>
    <t>New Year's Checklist: Download the Media Kit; Reserve a Booth; Book a Sponsorship; Secure your Ad Placements;</t>
  </si>
  <si>
    <t>Just Launched: AHRMM 2023 Media Kit (Year-Round Advertising)</t>
  </si>
  <si>
    <t>Include key opportunities</t>
  </si>
  <si>
    <t>Did not send this week</t>
  </si>
  <si>
    <t>1.25.23</t>
  </si>
  <si>
    <t>Sent 1.24.23</t>
  </si>
  <si>
    <t>AHRMM23 Sponsorship Roundup</t>
  </si>
  <si>
    <t>Booth traffic drivers, on sponsorships page of microsite</t>
  </si>
  <si>
    <t>1.30.24</t>
  </si>
  <si>
    <t>Make Lasting In-Person Connections at AHRMM23</t>
  </si>
  <si>
    <t>AHRMM23 Booths &amp; Sponsorships; how to partner with AHRMM year-round</t>
  </si>
  <si>
    <t>2.7.23</t>
  </si>
  <si>
    <t>SCS&amp;S Q2 Issue Preview</t>
  </si>
  <si>
    <t>SCS&amp;S Q2, Digital Edition, March 17 deadline</t>
  </si>
  <si>
    <t>2.10.23</t>
  </si>
  <si>
    <t>Sent 2.7.23</t>
  </si>
  <si>
    <t>Make an Impact at AHRMM23</t>
  </si>
  <si>
    <t>Key sponsorship opps as directed by sales, parties &amp; receptions</t>
  </si>
  <si>
    <t>Sent 2.17.23</t>
  </si>
  <si>
    <t>Week of February 15</t>
  </si>
  <si>
    <t>First Right of Renewal reminder</t>
  </si>
  <si>
    <t>Deadline this week!</t>
  </si>
  <si>
    <t>Waiting for Kris &amp; decision on right of renewal extension</t>
  </si>
  <si>
    <t>First Right of Renewal - Extended?</t>
  </si>
  <si>
    <t>SCS&amp;S Q2 Issue Reminder</t>
  </si>
  <si>
    <t>Include info from 2.6 promo</t>
  </si>
  <si>
    <t>2.24.23</t>
  </si>
  <si>
    <t>Sent 2.22.23</t>
  </si>
  <si>
    <t>Exhibitor Service Manual Launch</t>
  </si>
  <si>
    <t>Non-Renewals (2019, 2021, 2022)</t>
  </si>
  <si>
    <t>Renew Your Booth for AHRMM23</t>
  </si>
  <si>
    <t>AHRMM23 Booths; highlight what's new, programming and/or attendance</t>
  </si>
  <si>
    <t>Sent 3.3.23</t>
  </si>
  <si>
    <t>Sent 3.1.23</t>
  </si>
  <si>
    <t>Reach the AHRMM Audience with Precision</t>
  </si>
  <si>
    <t>Last chance for SCS&amp;S Q2</t>
  </si>
  <si>
    <t>Sent 3.7.23</t>
  </si>
  <si>
    <t>RESEND LAST WEEK Last chance for SCS&amp;S Q2</t>
  </si>
  <si>
    <t>Sent 3.20.23</t>
  </si>
  <si>
    <t>Sent 3.15.23</t>
  </si>
  <si>
    <t>SCS&amp;S Q2 Issue Deadline</t>
  </si>
  <si>
    <t>Top Branding for Prime Exposure at AHRMM23</t>
  </si>
  <si>
    <t>Top branding opportunities available - Aisle signs, attendee e-blasts</t>
  </si>
  <si>
    <t>See You in Orlando?</t>
  </si>
  <si>
    <t>AHRMM23 Booths &amp; Sponsorships; highlight programming and attendance</t>
  </si>
  <si>
    <t>need updated floor plan</t>
  </si>
  <si>
    <t xml:space="preserve"> Week of April 3</t>
  </si>
  <si>
    <t>Thought Leadership Opportunities</t>
  </si>
  <si>
    <t>Promote webinars and white papers</t>
  </si>
  <si>
    <t>Sent 4.4.23</t>
  </si>
  <si>
    <t>Highlight AHRMM23 &amp; Q3 features</t>
  </si>
  <si>
    <t>4.16.23</t>
  </si>
  <si>
    <t>sent 4.13.23</t>
  </si>
  <si>
    <t>Renewal Reminder</t>
  </si>
  <si>
    <t>Registration info</t>
  </si>
  <si>
    <t>Sent 4.13.23</t>
  </si>
  <si>
    <t>Exhibitor Newsletter</t>
  </si>
  <si>
    <t>Exhibitor service manual, etc.</t>
  </si>
  <si>
    <t>Kaci to send</t>
  </si>
  <si>
    <t>AHRMM23 Booths &amp; Sponsorships; highlight what's new, programming and/or attendance, keynote speakers</t>
  </si>
  <si>
    <t>Sent 4.20.23</t>
  </si>
  <si>
    <t>Search for Solutions, Attendee Bag Insert, Mobile App Push, Exhibit Hall Announcement, $1,500&lt;</t>
  </si>
  <si>
    <t>Sent 4.25.23</t>
  </si>
  <si>
    <t>Supply Chain Week</t>
  </si>
  <si>
    <t>October 1-7</t>
  </si>
  <si>
    <t>5.7.23</t>
  </si>
  <si>
    <t>Sent 5.1.23</t>
  </si>
  <si>
    <t>Visibility Focus</t>
  </si>
  <si>
    <t>Escalator cling opportunities. Aisle signs. Entrance decal</t>
  </si>
  <si>
    <t>5.14.23</t>
  </si>
  <si>
    <t>93/48</t>
  </si>
  <si>
    <t>28/15</t>
  </si>
  <si>
    <t>Push S4S -&gt; from 4/26 internal?</t>
  </si>
  <si>
    <t>Promote Supply Chain Week (info pending)</t>
  </si>
  <si>
    <t>5.21.23</t>
  </si>
  <si>
    <t>sent 5.16.23</t>
  </si>
  <si>
    <t>Opportunities Await You at AHRMM23</t>
  </si>
  <si>
    <t>Booth inventory</t>
  </si>
  <si>
    <t>Reserve your Q3 Placements</t>
  </si>
  <si>
    <t>Highight SCS&amp;S, highlight Q3 conference preview issue, digital edition.</t>
  </si>
  <si>
    <t>Week of May 29</t>
  </si>
  <si>
    <t>Thank You to Current Partners</t>
  </si>
  <si>
    <t>Snapshot of exhibitors</t>
  </si>
  <si>
    <t>6.2.23</t>
  </si>
  <si>
    <t>sent 6.1.23</t>
  </si>
  <si>
    <t>N-Z: 778,  A-M: 1331</t>
  </si>
  <si>
    <t>N-z: 156, A-m:235</t>
  </si>
  <si>
    <t>N-Z: 10,  A-M: 18</t>
  </si>
  <si>
    <t>Reserve your Q3 Ad Placements</t>
  </si>
  <si>
    <t>Highight SCS&amp;S, highlight Q3 conference preview issue, digital edition. LAST CHANCE (6/9 deadline)</t>
  </si>
  <si>
    <t>scheduled 6.6.23</t>
  </si>
  <si>
    <t>Digital Opportunities</t>
  </si>
  <si>
    <t>Ad-Retargeting</t>
  </si>
  <si>
    <t>sent 6.13.23</t>
  </si>
  <si>
    <t>AHRMM23 Can't-miss Opportunities</t>
  </si>
  <si>
    <t>Send on Tuesday. "Last chance sponsorships." Promo products (lanyards, water bottles, Search for Solutions) - "Connect with sales" and not list $$.</t>
  </si>
  <si>
    <t>https://mailchi.mp/smithbucklin/ahrmm-cant_miss_sponsorships_n-z</t>
  </si>
  <si>
    <t>Sent 6.14.23</t>
  </si>
  <si>
    <t>N-Z: 47,  A-M: 102</t>
  </si>
  <si>
    <t>N-Z: 14, A-M:32</t>
  </si>
  <si>
    <t>N-Z: 2,  A-M: 7</t>
  </si>
  <si>
    <t>See Who'll Meet On-Site at AHRMM23</t>
  </si>
  <si>
    <t>75% of floorplan sold out/booths still available (as of 6/14). Focus on exhibitors who will be at show.</t>
  </si>
  <si>
    <t>6.29.23</t>
  </si>
  <si>
    <t>Sent 6.21.23</t>
  </si>
  <si>
    <t>N-Z: 672,  A-M: 1131</t>
  </si>
  <si>
    <t>N-Z: 130, A-M:184</t>
  </si>
  <si>
    <t>N-Z: 12,  A-M: 4</t>
  </si>
  <si>
    <t>Promote Supply Chain Week, include call-out for ad-retargeting</t>
  </si>
  <si>
    <t>https://mailchi.mp/smithbucklin/ahrmm-scweek23-retargeting</t>
  </si>
  <si>
    <t>July - TBD</t>
  </si>
  <si>
    <t xml:space="preserve">AHRMM24 Space Selection Announcement to Current Exhibitors </t>
  </si>
  <si>
    <t>eNews, eBlasts, ad-retargeting</t>
  </si>
  <si>
    <t>Reserve Ad Placements</t>
  </si>
  <si>
    <t>Q4 SCS&amp;S Post-Show Issue</t>
  </si>
  <si>
    <t>7.21.23</t>
  </si>
  <si>
    <t>7.18.23</t>
  </si>
  <si>
    <t>Call for Contracts</t>
  </si>
  <si>
    <t>Submit contract for AHRMM24 show -&gt; Deadline 7/31 - NF</t>
  </si>
  <si>
    <t>Send 7/25</t>
  </si>
  <si>
    <t xml:space="preserve">Contracted Exhibitors </t>
  </si>
  <si>
    <t>See You in Orlando/Space Selection</t>
  </si>
  <si>
    <t>Space Selection -&gt; NF</t>
  </si>
  <si>
    <t>Send 8/1 or 8/2</t>
  </si>
  <si>
    <t>Non-Contracted Exhibitors</t>
  </si>
  <si>
    <t>August 6-9</t>
  </si>
  <si>
    <t>AHRMM23 Conference &amp; Exhibition, Orlando, FL</t>
  </si>
  <si>
    <t>RESEND Space Selection -&gt; NF</t>
  </si>
  <si>
    <t>Scheduled 8/7/23 at 8 am CST</t>
  </si>
  <si>
    <t>Week of August 14</t>
  </si>
  <si>
    <t>Exhibitors &amp; Sponsors -&gt; from Event Services?</t>
  </si>
  <si>
    <t>Thank You &amp; Recap</t>
  </si>
  <si>
    <t>AHRMM23 Recap/Survey - NF</t>
  </si>
  <si>
    <t>Last Chance for Ad Space (SCS&amp;S)</t>
  </si>
  <si>
    <t>Last Chance for Ad Space Q4 (SCS&amp;S)</t>
  </si>
  <si>
    <t>8.20.23</t>
  </si>
  <si>
    <t>Sent 8.15.23</t>
  </si>
  <si>
    <t>Week of August 21</t>
  </si>
  <si>
    <t>8.27.23</t>
  </si>
  <si>
    <t>Sent 8.24.23</t>
  </si>
  <si>
    <t>Week of August 28</t>
  </si>
  <si>
    <t>We Missed You in Orlando</t>
  </si>
  <si>
    <t>Pull '21 &amp; '22 that did not exhibit</t>
  </si>
  <si>
    <t>8.31.23</t>
  </si>
  <si>
    <t>Sent 8.29.23</t>
  </si>
  <si>
    <t>N-Z: 27,  A-M: 116</t>
  </si>
  <si>
    <t>N-Z: 6, A-M:36</t>
  </si>
  <si>
    <t>N-Z: 0,  A-M: 5</t>
  </si>
  <si>
    <t>Ad-retargeting, eNews, eBlasts</t>
  </si>
  <si>
    <t>Sent 9.6.23</t>
  </si>
  <si>
    <t>Week of September 18</t>
  </si>
  <si>
    <t>Scheduled 9.19.23 at 10:30 AM CST</t>
  </si>
  <si>
    <t>Week of September 25</t>
  </si>
  <si>
    <t>Nick S Out</t>
  </si>
  <si>
    <t>SCS&amp;S Q4 Issue Deadline</t>
  </si>
  <si>
    <t>UDI -&gt; Kris to bring info.</t>
  </si>
  <si>
    <t>https://app.markup.io/invite/accept/kBrSiRpg</t>
  </si>
  <si>
    <t>10.5.23 at 2:30 pm CST</t>
  </si>
  <si>
    <t>Renewal Exhibitors</t>
  </si>
  <si>
    <t>2024 Booth Promo</t>
  </si>
  <si>
    <t>Will you be joining us again at AHRMM24?</t>
  </si>
  <si>
    <t>https://app.markup.io/invite/accept/s25ahNzy</t>
  </si>
  <si>
    <t>10.9.23 at 2:30 PM CST</t>
  </si>
  <si>
    <t>A-M: 75
N-Z: 45</t>
  </si>
  <si>
    <t>A-M: 20
N-Z: 17</t>
  </si>
  <si>
    <t>A-M: 3
N-Z: 4</t>
  </si>
  <si>
    <t>Webinars and White Papers</t>
  </si>
  <si>
    <t>https://app.markup.io/invite/accept/_nNzz6CD</t>
  </si>
  <si>
    <t>10.31.23 at 10 AM CST</t>
  </si>
  <si>
    <t>Discuss</t>
  </si>
  <si>
    <t>Thank you!</t>
  </si>
  <si>
    <t>Mimic ASHE thank you email for Holiday</t>
  </si>
  <si>
    <t>https://app.markup.io/invite/accept/Ik_naYQP</t>
  </si>
  <si>
    <t>11.16.23 at 1:30 PM CST</t>
  </si>
  <si>
    <t>Tuesday, 11/28</t>
  </si>
  <si>
    <t>11.28/23 at 11:30 AM CST</t>
  </si>
  <si>
    <t>12/12 - SCS&amp;S Q1 Deadline (12/18)</t>
  </si>
  <si>
    <t>SCS&amp;S Q1</t>
  </si>
  <si>
    <t>https://app.markup.io/invite/accept/5PVSaNo2</t>
  </si>
  <si>
    <t>12/7/23 at 10:15 AM CST</t>
  </si>
  <si>
    <t>Non-Opens from 12/7 send</t>
  </si>
  <si>
    <t>12/12/23 at 11:15 am CST</t>
  </si>
  <si>
    <t>AHRMM Holiday Message</t>
  </si>
  <si>
    <t>Internal promo approval: Kris King (Conferences Only), Nick Schuette (Year-round /Marketing only) for approval. Client promo approval (HFM only + Sustainability): Mike Hrickiewicz (ONLY HFM Magazine), Tracy Dagnon (HFM + Sustainability). 
Request HFM editorial from Mike H.</t>
  </si>
  <si>
    <r>
      <rPr>
        <b/>
        <sz val="10"/>
        <color rgb="FF000000"/>
        <rFont val="Arial"/>
      </rPr>
      <t xml:space="preserve">Client Contacts:
</t>
    </r>
    <r>
      <rPr>
        <sz val="10"/>
        <color rgb="FF000000"/>
        <rFont val="Arial"/>
      </rPr>
      <t>Mollie Staniewicz (Marketing)
Tracy Dagnon (Sr. Director)</t>
    </r>
  </si>
  <si>
    <r>
      <rPr>
        <b/>
        <sz val="10"/>
        <color rgb="FF000000"/>
        <rFont val="Arial"/>
      </rPr>
      <t xml:space="preserve">Email Cadences: 
</t>
    </r>
    <r>
      <rPr>
        <u/>
        <sz val="10"/>
        <color rgb="FF000000"/>
        <rFont val="Arial"/>
      </rPr>
      <t>PDC 2024</t>
    </r>
    <r>
      <rPr>
        <sz val="10"/>
        <color rgb="FF000000"/>
        <rFont val="Arial"/>
      </rPr>
      <t xml:space="preserve"> -&gt; Weekly until show, start back for 2025 in May (PDC Launch)
</t>
    </r>
    <r>
      <rPr>
        <u/>
        <sz val="10"/>
        <color rgb="FF000000"/>
        <rFont val="Arial"/>
      </rPr>
      <t xml:space="preserve">HFIC 2024 </t>
    </r>
    <r>
      <rPr>
        <sz val="10"/>
        <color rgb="FF000000"/>
        <rFont val="Arial"/>
      </rPr>
      <t xml:space="preserve">-&gt; Every other week until March, then weekly
</t>
    </r>
    <r>
      <rPr>
        <u/>
        <sz val="10"/>
        <color rgb="FF000000"/>
        <rFont val="Arial"/>
      </rPr>
      <t>Academy 2024</t>
    </r>
    <r>
      <rPr>
        <sz val="10"/>
        <color rgb="FF000000"/>
        <rFont val="Arial"/>
      </rPr>
      <t xml:space="preserve"> -&gt; Every other week until show</t>
    </r>
  </si>
  <si>
    <r>
      <rPr>
        <u/>
        <sz val="10"/>
        <color rgb="FF000000"/>
        <rFont val="Arial"/>
      </rPr>
      <t>HFM</t>
    </r>
    <r>
      <rPr>
        <sz val="10"/>
        <color rgb="FF000000"/>
        <rFont val="Arial"/>
      </rPr>
      <t xml:space="preserve"> -&gt; First Calls 1-month from deadline, Last Calls 1-week from deadline -&gt; just digital. Need to also incorporate other stuff (eNews...etc.)
</t>
    </r>
    <r>
      <rPr>
        <u/>
        <sz val="10"/>
        <color rgb="FF000000"/>
        <rFont val="Arial"/>
      </rPr>
      <t>Sustainability Week</t>
    </r>
    <r>
      <rPr>
        <sz val="10"/>
        <color rgb="FF000000"/>
        <rFont val="Arial"/>
      </rPr>
      <t xml:space="preserve"> -&gt; Every other until 3/18/24, then weekly
</t>
    </r>
    <r>
      <rPr>
        <u/>
        <sz val="10"/>
        <color rgb="FF000000"/>
        <rFont val="Arial"/>
      </rPr>
      <t>Engineering Week</t>
    </r>
    <r>
      <rPr>
        <sz val="10"/>
        <color rgb="FF000000"/>
        <rFont val="Arial"/>
      </rPr>
      <t xml:space="preserve"> -&gt; Every other month until May, then every other week to Sept., then weekly.</t>
    </r>
  </si>
  <si>
    <r>
      <rPr>
        <b/>
        <sz val="10"/>
        <color rgb="FF000000"/>
        <rFont val="Arial"/>
      </rPr>
      <t xml:space="preserve">Ideas:
</t>
    </r>
    <r>
      <rPr>
        <sz val="10"/>
        <color rgb="FF000000"/>
        <rFont val="Arial"/>
      </rPr>
      <t>1. Split emails to send to prospects &amp; past exhibitors/sponsors</t>
    </r>
  </si>
  <si>
    <r>
      <rPr>
        <b/>
        <sz val="11"/>
        <color rgb="FFFFFFFF"/>
        <rFont val="Calibri"/>
      </rPr>
      <t>Target Send Date</t>
    </r>
    <r>
      <rPr>
        <sz val="11"/>
        <color rgb="FFFFFFFF"/>
        <rFont val="Calibri"/>
      </rPr>
      <t xml:space="preserve"> </t>
    </r>
  </si>
  <si>
    <t>Primary Audience</t>
  </si>
  <si>
    <t>Target Sends</t>
  </si>
  <si>
    <t>Sent (Date/Time)</t>
  </si>
  <si>
    <t>Microsite Daily Visitors</t>
  </si>
  <si>
    <t>Total Sends</t>
  </si>
  <si>
    <t>Click %</t>
  </si>
  <si>
    <t>Unsubs</t>
  </si>
  <si>
    <t>Unsub %</t>
  </si>
  <si>
    <t>Bounces</t>
  </si>
  <si>
    <t>BounceRate %</t>
  </si>
  <si>
    <t>Week of December 30</t>
  </si>
  <si>
    <t>New Year's Week</t>
  </si>
  <si>
    <t>Week of January 6</t>
  </si>
  <si>
    <t>Week of January 13</t>
  </si>
  <si>
    <t>Week of January 20</t>
  </si>
  <si>
    <t>Week of January 27</t>
  </si>
  <si>
    <t>Week of February 3</t>
  </si>
  <si>
    <t>PDC 2025 Exhibitors</t>
  </si>
  <si>
    <t>ashe@smithbucklin.com</t>
  </si>
  <si>
    <t>PDC Summit 2025 - Exhibitor News #4</t>
  </si>
  <si>
    <t>Week of February 10</t>
  </si>
  <si>
    <t>Space Selection Reminder (No Times)</t>
  </si>
  <si>
    <t>This cadence is based on a scheduled provided by EVS/MiAnna</t>
  </si>
  <si>
    <t>Week of February 17</t>
  </si>
  <si>
    <t>PDC 2025 Pre-Show Attendee List Sent -&gt; Event Services</t>
  </si>
  <si>
    <t>Week of February 24</t>
  </si>
  <si>
    <t>Space Selection Appointments (First Call)</t>
  </si>
  <si>
    <t>Week of March 3</t>
  </si>
  <si>
    <t>Space Selection Appointments (2nd Reminder)</t>
  </si>
  <si>
    <t>Space Selection Appointments (3rd Reminder)</t>
  </si>
  <si>
    <t>Week of March10</t>
  </si>
  <si>
    <t>MORNING OF - Space Selection Appoinment Final Remidner</t>
  </si>
  <si>
    <t>Thank You for Joining PDC 2025 / Take the Survey</t>
  </si>
  <si>
    <t>MiAnna noting in provided EVS calender to send Post-Show list on 3/24/25</t>
  </si>
  <si>
    <t>Week of March 17</t>
  </si>
  <si>
    <t>Unopens form 3/12</t>
  </si>
  <si>
    <t>REMINDER to Unoepns - Thank You for Joining PDC 2025 / Take the Survey</t>
  </si>
  <si>
    <t>Week of March 24</t>
  </si>
  <si>
    <t>Week of March 31</t>
  </si>
  <si>
    <t>Week of April 7</t>
  </si>
  <si>
    <t>Week of April 14</t>
  </si>
  <si>
    <t>Week of April 21</t>
  </si>
  <si>
    <t>Week of April 28</t>
  </si>
  <si>
    <t xml:space="preserve">Arch Showcase Digital Directory Launch | Education News - 							</t>
  </si>
  <si>
    <t>Week of May 5</t>
  </si>
  <si>
    <t>Week of May 12</t>
  </si>
  <si>
    <t>Week of May 19</t>
  </si>
  <si>
    <t>PDC Summit | March 9-12, Atlanta, GA</t>
  </si>
  <si>
    <t>Launch PDC 2026 on Microsite - Become an Exhibitor</t>
  </si>
  <si>
    <t>Week of May 26</t>
  </si>
  <si>
    <t>Week of June 2</t>
  </si>
  <si>
    <t>Week of June 9</t>
  </si>
  <si>
    <t>Week of June 16</t>
  </si>
  <si>
    <t>Week of June 23</t>
  </si>
  <si>
    <t>Week of June 30</t>
  </si>
  <si>
    <t>4th of July Week</t>
  </si>
  <si>
    <t>Week of July 7</t>
  </si>
  <si>
    <t>Week of July 15</t>
  </si>
  <si>
    <t>Week of September 2</t>
  </si>
  <si>
    <t>Week of October 7</t>
  </si>
  <si>
    <t>HFM 2024 Operations Survey - Phase 2 Deadline (10/7/24)</t>
  </si>
  <si>
    <t>Week of October 21</t>
  </si>
  <si>
    <t>Engineering Week</t>
  </si>
  <si>
    <t>2025 Hospital Construction Survey - Phase 1 Deadline (10/25/24)</t>
  </si>
  <si>
    <t>Week of November 11</t>
  </si>
  <si>
    <t>Veterans Day Week</t>
  </si>
  <si>
    <t>Week of November 18</t>
  </si>
  <si>
    <t>Thursday, 11/21</t>
  </si>
  <si>
    <t>Thank You Message 2024</t>
  </si>
  <si>
    <t>Mimic 2023 sends</t>
  </si>
  <si>
    <t>Week of November 25</t>
  </si>
  <si>
    <t>Thanksgiving Week - Thursday, 11/28</t>
  </si>
  <si>
    <t>Week of December 2</t>
  </si>
  <si>
    <t>Week of December 9</t>
  </si>
  <si>
    <t>Week of December 16</t>
  </si>
  <si>
    <t>Week of December 23</t>
  </si>
  <si>
    <t>Average Open Rate:</t>
  </si>
  <si>
    <t>Average Click Rate:</t>
  </si>
  <si>
    <t xml:space="preserve">Target Send Date </t>
  </si>
  <si>
    <t>Status</t>
  </si>
  <si>
    <t>Final Link</t>
  </si>
  <si>
    <t>Microsite Visitors</t>
  </si>
  <si>
    <t>Click Rate</t>
  </si>
  <si>
    <t>Week of January 1</t>
  </si>
  <si>
    <t>List all key dates/for things -&gt; top 5-10 things to do with ASHE...etc.</t>
  </si>
  <si>
    <t>https://app.markup.io/invite/accept/n9LMSYkf</t>
  </si>
  <si>
    <t>1/3/2024 at 1:30 pm CST</t>
  </si>
  <si>
    <t>HFM Prospects/Non-Advertisers</t>
  </si>
  <si>
    <t>HFM March/April First Call</t>
  </si>
  <si>
    <t>PDC Preview/Bonus Distro</t>
  </si>
  <si>
    <t>https://app.markup.io/invite/accept/Qzpj6ef3</t>
  </si>
  <si>
    <t>1/4/2024 at 1:00 pm CST</t>
  </si>
  <si>
    <t>Week of January 8</t>
  </si>
  <si>
    <t>Arch Showcase Contacts</t>
  </si>
  <si>
    <t>Nschuette@smithbucklin.com</t>
  </si>
  <si>
    <t>Arch Showcase Deadline 1/22/24</t>
  </si>
  <si>
    <t>Last Call to Sign Up!</t>
  </si>
  <si>
    <t>https://app.markup.io/invite/accept/rUagOp-4</t>
  </si>
  <si>
    <t>1/10/24 at 1:30 pm CST</t>
  </si>
  <si>
    <t>Education News - Monday, 1/8 | PDC News Deployment - Wednesday, 1/10</t>
  </si>
  <si>
    <t>Week of January 15</t>
  </si>
  <si>
    <t>HFM - Past Advertisers</t>
  </si>
  <si>
    <t>HFM March/April LAST CALL - Past Advertisers</t>
  </si>
  <si>
    <t>https://app.markup.io/invite/accept/3cLSSPOP</t>
  </si>
  <si>
    <t>1/16/24 at 1 pm CST</t>
  </si>
  <si>
    <t>PDC 2024 Current Exhibitors</t>
  </si>
  <si>
    <t xml:space="preserve">
krking@smithbucklin.com</t>
  </si>
  <si>
    <t>PDC 2024 Sponsorships (w/ ARCH) - Kris</t>
  </si>
  <si>
    <t>Lego Wall
Photo Booth
Keynote
Discover Stage
Annie the Chat Bot
Mobile App
Beer and Wine Cart</t>
  </si>
  <si>
    <t>Include a call out for the ARCH showcase</t>
  </si>
  <si>
    <t>https://app.markup.io/invite/accept/ovkkHkg0</t>
  </si>
  <si>
    <t>1/18/24 at 2:30 pm CST</t>
  </si>
  <si>
    <t>sgriffin@smithbucklin.com</t>
  </si>
  <si>
    <t>PDC 2024 Sponsorships (w/ ARCH) - Sue</t>
  </si>
  <si>
    <t>Week of January 22</t>
  </si>
  <si>
    <t>Apollo Contacts</t>
  </si>
  <si>
    <t>Arch Showcase Promotion</t>
  </si>
  <si>
    <t>1/23/24 at 11:30 am CST</t>
  </si>
  <si>
    <t>PDC News Deployment - Wednesday, 1/24</t>
  </si>
  <si>
    <t>Week of January 29</t>
  </si>
  <si>
    <t>Arch Showcase Promotion (Resend of 1/23)</t>
  </si>
  <si>
    <t>Contacts will not be included in PDC resends</t>
  </si>
  <si>
    <t>1/29/24 at 11:00 am CST</t>
  </si>
  <si>
    <t>PDC 2024 Current Exhibitors - UNOPENS from 1/17</t>
  </si>
  <si>
    <t>Split Send
krking@smithbucklin.com</t>
  </si>
  <si>
    <t>Resend of 1/17 PDC 2024 Sponsorships</t>
  </si>
  <si>
    <t>Keep arch but update needed parts</t>
  </si>
  <si>
    <t>1/29/24 at 11:30 am CST</t>
  </si>
  <si>
    <t>Split Send
sgriffin@smithbucklin.com</t>
  </si>
  <si>
    <t>Full ASHE database w/ PDC24 Current Exhibitors removed.</t>
  </si>
  <si>
    <t>ASHE@smitbucklin</t>
  </si>
  <si>
    <t>ASHE + CHD Partnership (Shortended Email)</t>
  </si>
  <si>
    <t xml:space="preserve">Will be going to full ASHE database sans contracted 2024 PDC exhibitors. </t>
  </si>
  <si>
    <t>https://app.markup.io/invite/accept/NxC0YLec</t>
  </si>
  <si>
    <t>1/31/24 at 3 pm CST</t>
  </si>
  <si>
    <t>Unopens of 1/31 Email</t>
  </si>
  <si>
    <t>krking@smithbucklin.com</t>
  </si>
  <si>
    <t>ASHE + CHD Partnership</t>
  </si>
  <si>
    <t>Went to unopens of the 1/31 email</t>
  </si>
  <si>
    <t>https://app.markup.io/invite/accept/xI_8OVzy</t>
  </si>
  <si>
    <t>2/1/24 at 1:30 pm CST</t>
  </si>
  <si>
    <t>Week of February 5</t>
  </si>
  <si>
    <t>Ad Retargeting w/ Other Digital Opps (eNews/blasts...etc.)</t>
  </si>
  <si>
    <t>Website, eNews...etc.</t>
  </si>
  <si>
    <t>Include ARCH info at bottom</t>
  </si>
  <si>
    <t>https://app.markup.io/invite/accept/6qlDqWb-</t>
  </si>
  <si>
    <t>2/6/24 at 10 am CST</t>
  </si>
  <si>
    <t>Contracted 2024 PDC</t>
  </si>
  <si>
    <t>PDC 2025 Call for Contracts (First Call)</t>
  </si>
  <si>
    <t>2/8/25 at 2 pm CST</t>
  </si>
  <si>
    <t>Education News - Monday, 2/5</t>
  </si>
  <si>
    <t>Week of February 12</t>
  </si>
  <si>
    <t>Contracted 2024 PDC (Unopens from 2/8)</t>
  </si>
  <si>
    <t>PDC 2025 Call for Contracts - Deadline Soon</t>
  </si>
  <si>
    <t>2.13.24 at 1:30 pm CST</t>
  </si>
  <si>
    <t>Sponsored Content Opps</t>
  </si>
  <si>
    <t>Website sponsored content, eNews sponsored content, Lunch &amp; Learn Webinars</t>
  </si>
  <si>
    <t>2.15.24 at 10:15 am CST</t>
  </si>
  <si>
    <t>PDC News Deployment - Wednesday, 2/14</t>
  </si>
  <si>
    <t>Week of February 19</t>
  </si>
  <si>
    <t>Non-HFM Advertisers</t>
  </si>
  <si>
    <t>HFM May/June First Call - New Advertisers</t>
  </si>
  <si>
    <t>https://app.markup.io/invite/accept/px4xn16H</t>
  </si>
  <si>
    <t>2.21.24 at 2:30 pm CST</t>
  </si>
  <si>
    <t>PDC 2025 Renewals (non-contracted)</t>
  </si>
  <si>
    <t>PDC 2025 Space Selection Reminder</t>
  </si>
  <si>
    <t>Will this be the same OR different than the Call for Contracts email?</t>
  </si>
  <si>
    <t>https://app.markup.io/invite/accept/sG212JZU</t>
  </si>
  <si>
    <t>2.22.24 at 11 am CST</t>
  </si>
  <si>
    <t>Week of February 26</t>
  </si>
  <si>
    <t>PDC News Deployment - Wednesday, 2/28</t>
  </si>
  <si>
    <t>Week of March 4</t>
  </si>
  <si>
    <r>
      <t xml:space="preserve">PDC 2025 Space Selection Deadline Reminder - </t>
    </r>
    <r>
      <rPr>
        <b/>
        <sz val="16"/>
        <color rgb="FF000000"/>
        <rFont val="Aptos"/>
      </rPr>
      <t>1 Week Left for Contracts</t>
    </r>
  </si>
  <si>
    <t>Contract Deadline 3/8 - Appointments start 3/17 or 3/18</t>
  </si>
  <si>
    <t>3.4.24 at 10 am CST</t>
  </si>
  <si>
    <t xml:space="preserve">Arch Showcase Digital Directory Launch | Education News - Monday, 3/4												</t>
  </si>
  <si>
    <t>Unopens from 3/1</t>
  </si>
  <si>
    <t>RESEND of 3/1/24 PDC 2025 Space Selection Deadline Reminder - 1 Week Left for Contracts</t>
  </si>
  <si>
    <t>Update copy to show "less than 1 week"</t>
  </si>
  <si>
    <t>3.6.24 at 1 pm CST</t>
  </si>
  <si>
    <t>Education News - Monday, 3/4</t>
  </si>
  <si>
    <t>PDC News Deployment - Wednesday, 3/13</t>
  </si>
  <si>
    <t>Week of March 11</t>
  </si>
  <si>
    <t>Non-Contracted 2025 PDC</t>
  </si>
  <si>
    <t>PDC 2025 Space Selection Appointment (Date &amp; Time)_Non Contracted</t>
  </si>
  <si>
    <t>INCLUDE FLOOR PLAN - https://smithbucklin.expocad.com/Events/25pdc/index.html#floorplan</t>
  </si>
  <si>
    <t>MAKE NOTE OF TIME ZONE
Link to floorplan</t>
  </si>
  <si>
    <t>3.11.25 at 1:58 pm CST</t>
  </si>
  <si>
    <t>Contracted 2025 PDC</t>
  </si>
  <si>
    <t>PDC 2025 Space Selection Appointment (Date &amp; Time)_Contracted</t>
  </si>
  <si>
    <t>https://app.markup.io/invite/accept/Idig3xIK</t>
  </si>
  <si>
    <t>3.11.25 at 12:15 pm CST</t>
  </si>
  <si>
    <t>3.15.24 at 12:30 pm CT</t>
  </si>
  <si>
    <t>Resend to Unopens of 2/13 Email</t>
  </si>
  <si>
    <t>Week of March 18</t>
  </si>
  <si>
    <t>PDC Summit in San Diego</t>
  </si>
  <si>
    <t>Thank You for Joining Us/Take the 2024 PDC Survey?</t>
  </si>
  <si>
    <t>3/20/24 at 12 pm CT</t>
  </si>
  <si>
    <t>Sign up for HFIC</t>
  </si>
  <si>
    <t>3/21/24 at 2 pm CT</t>
  </si>
  <si>
    <t>Launch PDC 2025 on Microsite - Become an Exhibitor</t>
  </si>
  <si>
    <t>Week of March 25</t>
  </si>
  <si>
    <t>PDC 2025 Non-Renewals</t>
  </si>
  <si>
    <t>Split Send (Kris + Sue)</t>
  </si>
  <si>
    <t>PDC 2025 Save the Date / We Missed You at Space Selection!</t>
  </si>
  <si>
    <t>https://app.markup.io/invite/accept/DlslfKu3</t>
  </si>
  <si>
    <t>3/27/24 at 10 am CT</t>
  </si>
  <si>
    <t>Split Send (Kris)</t>
  </si>
  <si>
    <t>3/28/24 at 10 am CT</t>
  </si>
  <si>
    <t>Split Send (Sue)</t>
  </si>
  <si>
    <t>Week of April 1</t>
  </si>
  <si>
    <t>4/2/24 at 2 PM CT</t>
  </si>
  <si>
    <t>Week of April 8</t>
  </si>
  <si>
    <t>Non-2024 HFIC Exhibitors -&gt; Kris to provide new list</t>
  </si>
  <si>
    <t>HFIC Renewals</t>
  </si>
  <si>
    <t>This can be a resend/duplicate of the 3/21 email</t>
  </si>
  <si>
    <t>4/9/24 at 3:15 pm CT</t>
  </si>
  <si>
    <t>PDC News Deployment - Wednesday, 4/10</t>
  </si>
  <si>
    <t>Week of April 15</t>
  </si>
  <si>
    <t>HFM July/August First Call</t>
  </si>
  <si>
    <t>4/16/24 at 11 am CT</t>
  </si>
  <si>
    <t>Week of April 22</t>
  </si>
  <si>
    <t>Current 2024 HFIC Exhibitors</t>
  </si>
  <si>
    <t>Sue Griffin</t>
  </si>
  <si>
    <t>HFIC Block Party</t>
  </si>
  <si>
    <t>Kris to provide opps around 4/8-9</t>
  </si>
  <si>
    <t>4.23.24 at 2:30 pm CT</t>
  </si>
  <si>
    <t>Kris King</t>
  </si>
  <si>
    <t>2024 PDC Summit Sponsors</t>
  </si>
  <si>
    <t>PDC 2024 Sponsor Pulse Survey</t>
  </si>
  <si>
    <t>2024 PDC Summit Exhibitors ONLY</t>
  </si>
  <si>
    <t>PDC 2024 Exhibitor Pulse Survey</t>
  </si>
  <si>
    <t>Nick S Out of Country + 'Sustainability Week (April 22-26) + 'PDC News Deployment - Wednesday, 4/24</t>
  </si>
  <si>
    <t>Week of April 29</t>
  </si>
  <si>
    <t>RESEND of 4/26 - PDC 2024 Sponsor Pulse Survey</t>
  </si>
  <si>
    <t>4.30.24 at 10:30 am CT</t>
  </si>
  <si>
    <t>RESEND of 4/26 - PDC 2024 Exhibitor Pulse Survey</t>
  </si>
  <si>
    <t>PDC 2025 Sponsorship Launch (Update Website)</t>
  </si>
  <si>
    <t>Week of May 6</t>
  </si>
  <si>
    <t>Unopens of 4/23 Email</t>
  </si>
  <si>
    <t>RESEND of 4/23 HFIC Block Party</t>
  </si>
  <si>
    <t>Add in New Recognition Aspect</t>
  </si>
  <si>
    <t>5.7.24 at 10 am CT</t>
  </si>
  <si>
    <t>Unopens of 4/16 Email</t>
  </si>
  <si>
    <t>HFM July/August LAST CALL</t>
  </si>
  <si>
    <t>Nick F to pull unopens/schedule email for 5/9 on 5/2 before leaving for NPE (5/5-5/13, in office 5/14)</t>
  </si>
  <si>
    <t>5.9.24</t>
  </si>
  <si>
    <t>Nick F at NPE 5/5 - 5/10 + ASHE Academy, 'PDC News Deployment - Wednesday, 5/8</t>
  </si>
  <si>
    <t>Week of May 13</t>
  </si>
  <si>
    <t>2020-2023 ASHE Annual/HFIC</t>
  </si>
  <si>
    <t>Kris King - KrKing@smithbucklin.com</t>
  </si>
  <si>
    <t>HFIC Join Us Again (Mirror AHRMM Email)</t>
  </si>
  <si>
    <t>5.15.24 at 3:15 pm CT</t>
  </si>
  <si>
    <t>Sue Griffin - sgriffin@smithbucklin.com</t>
  </si>
  <si>
    <t>Year-Round</t>
  </si>
  <si>
    <t>ASHE Year-Round (Digital Opps Focus)</t>
  </si>
  <si>
    <t>Week of May 20</t>
  </si>
  <si>
    <t>PDC News Deployment - Wednesday, 5/22</t>
  </si>
  <si>
    <t>Current 2024 Exhibitors</t>
  </si>
  <si>
    <t>Split Send 
Kris King
krking@smithbucklin.com</t>
  </si>
  <si>
    <t>HFIC Sponsorship Push</t>
  </si>
  <si>
    <t>Annie + Food Trucks + Keynote</t>
  </si>
  <si>
    <t>5.23.24 at 2:30 pm CT</t>
  </si>
  <si>
    <t>Split Send 
Sue Griffin sgriffin@smithbucklin.com</t>
  </si>
  <si>
    <t>Week of May 27</t>
  </si>
  <si>
    <t>Memorial Day Week</t>
  </si>
  <si>
    <t>Sue</t>
  </si>
  <si>
    <t>ASHE Sustainability Push</t>
  </si>
  <si>
    <t>Can this mimic this email from November? 
https://app.markup.io/invite/accept/6eBbBqWh</t>
  </si>
  <si>
    <t>5.30.24 at 2 pm CT</t>
  </si>
  <si>
    <t>Week of June 3</t>
  </si>
  <si>
    <t>Here's What to Expect the Rest of the Year in ASHE!</t>
  </si>
  <si>
    <t>USE OLD MARK UP FOR UPDATES -&gt; https://app.markup.io/invite/accept/n9LMSYkf</t>
  </si>
  <si>
    <t>6.6.24 at 2:30 pm CT</t>
  </si>
  <si>
    <t>Week of June 10</t>
  </si>
  <si>
    <t>2024 HFIC Exhibitors</t>
  </si>
  <si>
    <t>Last Call for Sponsorships</t>
  </si>
  <si>
    <t>Change from Floor Clings to Daily Newsletter</t>
  </si>
  <si>
    <t>6.11.24 at 3:30 pm CT</t>
  </si>
  <si>
    <t>2022 - 2024 Contracted Partners</t>
  </si>
  <si>
    <t>Sue Griffin
sgriffin@smithbucklin.com</t>
  </si>
  <si>
    <t>Operations Survey Phase 1 (6/21/24)</t>
  </si>
  <si>
    <t>6.12.24 at 9:30 am CT</t>
  </si>
  <si>
    <t>2024 PDC Non Exhibitors</t>
  </si>
  <si>
    <t>PDC 2025 Booth Promotion (Link to press release of new partnership -&gt; see old PDC email for annoucement)</t>
  </si>
  <si>
    <t>6.13.24 at 9:15 am CT</t>
  </si>
  <si>
    <t>PDC News Deployment - Wednesday, 6/12</t>
  </si>
  <si>
    <t>Week of June 17</t>
  </si>
  <si>
    <t>HFIC 2024 Non-Exhibitors</t>
  </si>
  <si>
    <t>HFIC 2025 - Call for Contracts / Launch</t>
  </si>
  <si>
    <t>Contracts Are Now Live!</t>
  </si>
  <si>
    <t>6.20.24 at 9:15 am CT</t>
  </si>
  <si>
    <t>HFM 2024 Operations Survey - Phase 1 Deadline (6/21/24)</t>
  </si>
  <si>
    <t>Week of June 24</t>
  </si>
  <si>
    <t>HFIC 2025 - Call for Contracts (REMINDER)</t>
  </si>
  <si>
    <t>6.25.24 at 1:30 pm CT</t>
  </si>
  <si>
    <t>PDC Promos (Clone 6/13 Emails)</t>
  </si>
  <si>
    <t>6.26.24 at 9:30 am CT</t>
  </si>
  <si>
    <t>PDC News Deployment - Wednesday, 6/26</t>
  </si>
  <si>
    <t>Week of July 1</t>
  </si>
  <si>
    <t>Week of July 8</t>
  </si>
  <si>
    <t>Full List from 6/29</t>
  </si>
  <si>
    <t>FINAL REMINDER/RESEND - HFIC 2025 - Last Call for Contracts (7/12 Deadline)</t>
  </si>
  <si>
    <t>Update -&gt; If you have not submitted already...etc.</t>
  </si>
  <si>
    <t>7.9.24 at 10 am CT</t>
  </si>
  <si>
    <t>HFM Advertisers</t>
  </si>
  <si>
    <t>HFM Sept/Oct First Call</t>
  </si>
  <si>
    <t>7.10.24 at 9 am CT</t>
  </si>
  <si>
    <t>New List (Kris to Provide)</t>
  </si>
  <si>
    <t>Krking@smithbucklin.com</t>
  </si>
  <si>
    <t>RESEND of 6/26 PDC Promos (Clone 6/13 Emails)</t>
  </si>
  <si>
    <t>7.12.24 at 9:15 am CT</t>
  </si>
  <si>
    <t>PDC News Deployment - Wednesday, 7/10</t>
  </si>
  <si>
    <t>HFIC 2024 - Know Before You Go</t>
  </si>
  <si>
    <t xml:space="preserve">Made a copy that has mobile app. But check with Mollie if Mobile App is live. </t>
  </si>
  <si>
    <t>Update to say "Final Reminder"</t>
  </si>
  <si>
    <t>7.15.24 at 9 am CT</t>
  </si>
  <si>
    <t>ASHE's "HFIC24 Know Before You Go" Email</t>
  </si>
  <si>
    <t>All Current 2024 Exhibitors</t>
  </si>
  <si>
    <t>HFIC 2025 Space Appointment</t>
  </si>
  <si>
    <t>Make a note that "If you are not the person on-site, please forward this email to your company's on-site contact"</t>
  </si>
  <si>
    <t>7.17.24 at 2:30 pm CT</t>
  </si>
  <si>
    <t>HFIC 2025 Space Appointment - REMINDER</t>
  </si>
  <si>
    <t>7.19.24 at 8:30 am CT</t>
  </si>
  <si>
    <t>Week of July 22</t>
  </si>
  <si>
    <t>HFIC in San Diego (July 21-24)</t>
  </si>
  <si>
    <t>HFIC 2025 Space Appointment - LAST LAST REMINDER</t>
  </si>
  <si>
    <t>7.22.24 at 9 am CT</t>
  </si>
  <si>
    <t>PDC News Deployment - Wednesday, 7/24</t>
  </si>
  <si>
    <t>HFIC 2024 - "Here's What You Missed" Email - Friday, July 26</t>
  </si>
  <si>
    <t>Week of July 29</t>
  </si>
  <si>
    <t>HFIC 2024 Thank You / Link ASHE's Highlights Article / Survey</t>
  </si>
  <si>
    <t>http://45453794.hs-sites.com/2024-health-care-facilities-innovation-conference-exhibitor-survey?hs_preview=LnRGUYWZ-173034476037</t>
  </si>
  <si>
    <t>7/29/24 at 12:30 pm CT</t>
  </si>
  <si>
    <t>Full database (using 7/10 list)</t>
  </si>
  <si>
    <t>HFM Sept/Oct LAST CALL</t>
  </si>
  <si>
    <t>http://45453794.hs-sites.com/hfm-september-october-advertise?hs_preview=FpAFhCzz-173883764327</t>
  </si>
  <si>
    <t>8/1/24 at 9:15 am CT</t>
  </si>
  <si>
    <t>RESEND to UNOPENS - HFIC 2024 Thank You / Survey</t>
  </si>
  <si>
    <t>8.1.24 at 10 am CT</t>
  </si>
  <si>
    <t>Week of August 5</t>
  </si>
  <si>
    <t>Education News - Monday, 8/5</t>
  </si>
  <si>
    <t>Week of August 12</t>
  </si>
  <si>
    <t>PDC News Deployment - Wednesday, 8/14</t>
  </si>
  <si>
    <t>Week of August 19</t>
  </si>
  <si>
    <t>2024 Non-Exhibitors</t>
  </si>
  <si>
    <t>HFIC 2024 "We Missed You"</t>
  </si>
  <si>
    <t>8.19.24 at 2:30 pm CT</t>
  </si>
  <si>
    <t>2025 ASHE Hospital Construction Survey</t>
  </si>
  <si>
    <t>Will mimic the last survey send from Operations Survey</t>
  </si>
  <si>
    <t>8.21.24 at 2:15 pm CT</t>
  </si>
  <si>
    <t>2025 Exhibitors</t>
  </si>
  <si>
    <t>Split 
Sgriffin@smithbucklin.com
Krking@smithbucklin.com</t>
  </si>
  <si>
    <t>KRIS - PDC Sponsorship Promos</t>
  </si>
  <si>
    <t>Main focus on Water Bottles w/ breakfast + exhibit hall sessions</t>
  </si>
  <si>
    <t>8.22.24 at 2:30 pm CT</t>
  </si>
  <si>
    <t>SUE - PDC Sponsorship Promos</t>
  </si>
  <si>
    <t>Week of August 26</t>
  </si>
  <si>
    <t>jeiding@smithbucklin.com</t>
  </si>
  <si>
    <t>HFM Nov/Dec First Call</t>
  </si>
  <si>
    <t xml:space="preserve">Look to include digital at bottom (call out w/ link -&gt; not lists) </t>
  </si>
  <si>
    <t>8.27.24 at 2:30 pm CT</t>
  </si>
  <si>
    <t>2022 - 2024 Past Digital Advertisers</t>
  </si>
  <si>
    <t>Digital Advertsing</t>
  </si>
  <si>
    <t>8.29.24 at 2:30 pm CT</t>
  </si>
  <si>
    <t>PDC News Deployment - Wednesday, 8/28</t>
  </si>
  <si>
    <t>Week of September 9</t>
  </si>
  <si>
    <t>Education News - Monday, 9/9</t>
  </si>
  <si>
    <t>PDC News Deployment - Wednesday, 9/11</t>
  </si>
  <si>
    <t>Week of September 16</t>
  </si>
  <si>
    <t>2022 - 2024 past Digital Advertisers</t>
  </si>
  <si>
    <t>Digital Packages (Focus on 3 HFM Ones)</t>
  </si>
  <si>
    <t>Link to new page</t>
  </si>
  <si>
    <t>http://45453794.hs-sites.com/ashe-hfm-advertising-packages?hs_preview=WlWujryQ-177978465389</t>
  </si>
  <si>
    <t>9.17.24 at 1:30 pm CT</t>
  </si>
  <si>
    <t>Unopens from 9/17</t>
  </si>
  <si>
    <t>RESEND of 9/17 -&gt; Digital Packages (Focus on 3 HFM Ones)</t>
  </si>
  <si>
    <t>Discuss new "RESEND" strategy -&gt; Send to OPENED contacts only -&gt; "Still interested in ASHE's Ad Packages?"</t>
  </si>
  <si>
    <t>9.19.24 at 11:30 am CT</t>
  </si>
  <si>
    <t>Week of September 23</t>
  </si>
  <si>
    <t>AHRMM Conference - NO EMAILS from Nick / Kris</t>
  </si>
  <si>
    <t>PDC News Deployment - Wednesday, 9/25</t>
  </si>
  <si>
    <t>RESEND of 2025 ASHE Hospital Construction Survey (TO OPENS)</t>
  </si>
  <si>
    <t>9.24.24 at 1:30 pm CT</t>
  </si>
  <si>
    <t>KRIS - PDC Booth Promo</t>
  </si>
  <si>
    <t>http://45453794.hs-sites.com/2025-pdc-summit-exhibit?hs_preview=PoZciCcB-174754766878</t>
  </si>
  <si>
    <t>9.25.24 at 2:15 pm CT</t>
  </si>
  <si>
    <t>SUE - PDC Booth Promo</t>
  </si>
  <si>
    <t>Week of September 30</t>
  </si>
  <si>
    <t>Last call for Nov/Dec HFM (not typical layout) + Utilize/take advantage of the year-end packaging that includes Nov/Dec</t>
  </si>
  <si>
    <t>NOT THE SAME HFM Format - 10/9 deadline</t>
  </si>
  <si>
    <t>10.1.24 at 2 pm CT</t>
  </si>
  <si>
    <t>Unopens from 10/1</t>
  </si>
  <si>
    <t>RESEND of 10/1 -&gt; Last call for Nov/Dec HFM (not typical layout) + Utilize/take advantage of the year-end packaging that includes Nov/Dec</t>
  </si>
  <si>
    <t>10.3.24 at 1:45 pm CT</t>
  </si>
  <si>
    <t>Digital Package Promotion (Jill's offerings)</t>
  </si>
  <si>
    <t>Make the focus on the 3 NON HFM offerings</t>
  </si>
  <si>
    <t>10.9.24 at 2:15 pm CT</t>
  </si>
  <si>
    <t>ASHRM Annual Conference</t>
  </si>
  <si>
    <t>Education News - Monday, 10/7</t>
  </si>
  <si>
    <t>PDC News Deployment - Wednesday, 10/9</t>
  </si>
  <si>
    <t>Week of October 14</t>
  </si>
  <si>
    <t>Targeted Send</t>
  </si>
  <si>
    <t>Split</t>
  </si>
  <si>
    <t>PDC Booth Promo</t>
  </si>
  <si>
    <t>Full</t>
  </si>
  <si>
    <t>PDC Sponsorships (BRANDING - Sponsored Breakfast Sessions, Discovery Stage Presentations + Annie)</t>
  </si>
  <si>
    <t>Changed from Venue Branding while waiting for TEG</t>
  </si>
  <si>
    <t>Don't have to exhibit to sponsor -&gt; but higher $$
Kris to confirm what that is
Can hold off per Kris10/17</t>
  </si>
  <si>
    <t>SHSMD - NO EMAILS for NICK S</t>
  </si>
  <si>
    <t>Design Firms / Renewals</t>
  </si>
  <si>
    <t>ARCH Showcase
Targeted launch 10/17 - Pending Approval (ASHE)</t>
  </si>
  <si>
    <t>Include call out for Digital (way to expand Digital/other offerings to a wider audience...etc.)</t>
  </si>
  <si>
    <t xml:space="preserve">Find 2024 launch to mimic.
</t>
  </si>
  <si>
    <t>http://45453794.hs-sites.com/arch-showcase-launch-2025</t>
  </si>
  <si>
    <t>Sent 10.21.24</t>
  </si>
  <si>
    <t>2022 - 2024 Past Advertisers</t>
  </si>
  <si>
    <t>Digital Advertising Packages - Still Time to Make an Impact in 2024</t>
  </si>
  <si>
    <t>Still have a budget? Check out the packages + Jan/Feb HFM issue is coming up.</t>
  </si>
  <si>
    <t>Change from last promo + See how previous emails performed -&gt; Discuss skipping to give audience a "break" - resend 10/9 email</t>
  </si>
  <si>
    <t>Sent 10.24.24</t>
  </si>
  <si>
    <t>PDC Summit 2025 - Exhibitor News #1</t>
  </si>
  <si>
    <t>MiAnna to send from ASHE inbox</t>
  </si>
  <si>
    <t>Sent 10.23.24</t>
  </si>
  <si>
    <t>Engineering Week (October 20-26)</t>
  </si>
  <si>
    <t>PDC News Deployment - Wednesday, 10/23</t>
  </si>
  <si>
    <t>Week of October 28</t>
  </si>
  <si>
    <t>Not Contracted for HFIC 2025</t>
  </si>
  <si>
    <t>HFIC Booth Promo + Digital Ad Push (Halloween/Fall Theme)</t>
  </si>
  <si>
    <t>http://45453794.hs-sites.com/health-care-facilities-innovation-conference-2025</t>
  </si>
  <si>
    <t>Sent 10.29.24</t>
  </si>
  <si>
    <t>Week of November 4</t>
  </si>
  <si>
    <t>Education News - Monday, 11/4</t>
  </si>
  <si>
    <t>Jill Prospect List</t>
  </si>
  <si>
    <t>What is ARCH Showcase?</t>
  </si>
  <si>
    <t xml:space="preserve">High Bounce Rate - Email Send Stopped </t>
  </si>
  <si>
    <t>http://45453794.hs-sites.com/secure-your-place-in-the-2025-architecture-for-health-showcase</t>
  </si>
  <si>
    <t>Sent 11.6.24</t>
  </si>
  <si>
    <t>2025 Media Kit Launch</t>
  </si>
  <si>
    <t>http://45453794.hs-sites.com/2025-ashe-marketing-guide-launch</t>
  </si>
  <si>
    <t>Sent 11.7.24</t>
  </si>
  <si>
    <t>Election Day</t>
  </si>
  <si>
    <t>PDC News Deployment - Wednesday, 11/13</t>
  </si>
  <si>
    <t>HFM 2025 Jan/Feb First Call</t>
  </si>
  <si>
    <t>https://www.ashemarketingsolutions.org/hfm-magazine/editorial-calendar/</t>
  </si>
  <si>
    <t>http://45453794.hs-sites.com/start-2025-strong-with-health-facilities-management-hfm-magazine</t>
  </si>
  <si>
    <t>Sent 11.11.24</t>
  </si>
  <si>
    <t>Opens from 11/7</t>
  </si>
  <si>
    <t>RESEND of 11/7 HFM 2025 Jan/Feb First Call</t>
  </si>
  <si>
    <t>Still interested?</t>
  </si>
  <si>
    <t>http://45453794.hs-sites.com/dont-delay-advertise-with-health-facilities-management-hfm-magazine</t>
  </si>
  <si>
    <t>Sent 11.14.24</t>
  </si>
  <si>
    <t>RESEND to CLEAN list from Bouncer</t>
  </si>
  <si>
    <t>http://45453794.hs-sites.com/secure-your-place-in-the-2025-architecture-for-health-showcase-1</t>
  </si>
  <si>
    <t>Sponsorship Push</t>
  </si>
  <si>
    <t>Discovery Stage, Mobile App, Beer &amp; Wine</t>
  </si>
  <si>
    <t>http://45453794.hs-sites.com/sponsor-pdc-summit-2025</t>
  </si>
  <si>
    <t>http://45453794.hs-sites.com/highlight-your-best-health-care-facility-design</t>
  </si>
  <si>
    <t>Sent 11.20.24</t>
  </si>
  <si>
    <t>Media Kit Push - Expand Footprint with ASHE</t>
  </si>
  <si>
    <t>CTA - meet with team to discuss options for 2025</t>
  </si>
  <si>
    <t>http://45453794.hs-sites.com/expand-your-ashe-footprint</t>
  </si>
  <si>
    <t>Sent 11.21.24</t>
  </si>
  <si>
    <t>HFM January/February Ad Close: Sustainability</t>
  </si>
  <si>
    <t>PDC News Deployment - Wednesday, 11/27</t>
  </si>
  <si>
    <t>Education News - Monday, 12/2</t>
  </si>
  <si>
    <t>2025 Booth Push</t>
  </si>
  <si>
    <t>See You in Atlanta?</t>
  </si>
  <si>
    <t>http://45453794.hs-sites.com/join-us-at-pdc-summit-2025</t>
  </si>
  <si>
    <t>Sent 12.5.24</t>
  </si>
  <si>
    <t>PDC Summit 2025 - Exhibitor News #2</t>
  </si>
  <si>
    <t>Info from MiAnna</t>
  </si>
  <si>
    <t>http://45453794.hs-sites.com/pdc-2025-exh-bulletin-2</t>
  </si>
  <si>
    <t>HFIC Exhibitors</t>
  </si>
  <si>
    <t>HFIC Sponsorship Promo</t>
  </si>
  <si>
    <t>Sponsored Breakfast Sessions, Headshot Lounge, Hotel Room Drop</t>
  </si>
  <si>
    <t>Don't have to exhibit to sponsor -&gt; have to spend $10K</t>
  </si>
  <si>
    <t>http://45453794.hs-sites.com/go-beyond-your-hfic-booth</t>
  </si>
  <si>
    <t>Sent 12.10.24</t>
  </si>
  <si>
    <t>PDC News Deployment - Wednesday, 12/11</t>
  </si>
  <si>
    <t>Happy Holidays from ASHE</t>
  </si>
  <si>
    <t>Make your ASHE list and check it twice! (HFM deadline coming up)</t>
  </si>
  <si>
    <t>https://www.jibjab.com/view/template/elf_dance</t>
  </si>
  <si>
    <t>http://45453794.hs-sites.com/happy-holidays-from-ashe-sales</t>
  </si>
  <si>
    <t>Sent 12.18.24</t>
  </si>
  <si>
    <t>PDC Summit Exhibitors</t>
  </si>
  <si>
    <t>HFM March/April Bonus Distribution</t>
  </si>
  <si>
    <t>http://45453794.hs-sites.com/reserve-your-hfm-march/april-ad-before-the-holiday-rush</t>
  </si>
  <si>
    <t>Off Week - Christmas Week</t>
  </si>
  <si>
    <t>Off Week - New Years Week</t>
  </si>
  <si>
    <t>HFM March/April Ad Close: SPECIAL SECTION ASHE Annual Construction Survey</t>
  </si>
  <si>
    <t>Tailored List</t>
  </si>
  <si>
    <t>What to Expect from ASHE in 2025</t>
  </si>
  <si>
    <t>http://45453794.hs-sites.com/whats-in-store-for-ashe-in-2025</t>
  </si>
  <si>
    <t>Sent 1.9.25</t>
  </si>
  <si>
    <t>ARCH Showcase</t>
  </si>
  <si>
    <t>Highlight packages</t>
  </si>
  <si>
    <t>https://www.ashemarketingsolutions.org/events/architecture-showcase/</t>
  </si>
  <si>
    <t>http://45453794.hs-sites.com/spotlight-your-best-design-apply-for-2025-architecture-for-health-showcase</t>
  </si>
  <si>
    <t>Sent 1.15.25</t>
  </si>
  <si>
    <t>https://www.ashemarketingsolutions.org/events/pdc-summit/sponsorship-opportunities/</t>
  </si>
  <si>
    <t>Include added benefits</t>
  </si>
  <si>
    <t>http://45453794.hs-sites.com/take-your-pdc-summit-2025-involvement-a-step-further</t>
  </si>
  <si>
    <t>Sent 1.22.25</t>
  </si>
  <si>
    <t>PDC Internal Signage Deadline</t>
  </si>
  <si>
    <t>Last Call! There's Still Time to Submit</t>
  </si>
  <si>
    <t>PDC 2025 is coming up - additional exposure</t>
  </si>
  <si>
    <t>Artwork deadline January 31</t>
  </si>
  <si>
    <t>Sent for OK 1.22.25</t>
  </si>
  <si>
    <t>Pre-Show Advertising Opportunity</t>
  </si>
  <si>
    <t>Include Jill package information</t>
  </si>
  <si>
    <t>Ask Jill for list 1/27</t>
  </si>
  <si>
    <t>http://45453794.hs-sites.com/plan-your-pre-show-advertising</t>
  </si>
  <si>
    <t>Sent 1.28.25</t>
  </si>
  <si>
    <t>PDC Exhibitor Bulletin #3</t>
  </si>
  <si>
    <t>http://45453794.hs-sites.com/ashe-pdc-2025-exhibitor-bulletin-3</t>
  </si>
  <si>
    <t>Sent 1.27.25</t>
  </si>
  <si>
    <t>Go Beyond Your HFIC Booth</t>
  </si>
  <si>
    <t>http://45453794.hs-sites.com/go-beyond-your-hfic-booth-1</t>
  </si>
  <si>
    <t>Advertising</t>
  </si>
  <si>
    <t>You'll Love These Opportunities</t>
  </si>
  <si>
    <t>Valentine's Day Theme</t>
  </si>
  <si>
    <t>Push digital opportunities</t>
  </si>
  <si>
    <t>http://45453794.hs-sites.com/ashe-opportunities-youll-love</t>
  </si>
  <si>
    <t>Sent 2.5.25</t>
  </si>
  <si>
    <t>PDC Save the Date Booth Space Selection</t>
  </si>
  <si>
    <t>PDC 2026 Contract Launch</t>
  </si>
  <si>
    <t>2026 Contract Launch</t>
  </si>
  <si>
    <t>Don't need to have exhibitor page on microsite yet</t>
  </si>
  <si>
    <t>http://45453794.hs-sites.com/pdc-summit-2026-space-selection-preview</t>
  </si>
  <si>
    <t>Sent 2.12.25</t>
  </si>
  <si>
    <r>
      <t xml:space="preserve">PDC Pre-Show Attendee List Send - </t>
    </r>
    <r>
      <rPr>
        <i/>
        <sz val="16"/>
        <color rgb="FFFF0000"/>
        <rFont val="Aptos"/>
      </rPr>
      <t>Events to send</t>
    </r>
  </si>
  <si>
    <t>Take advantage of these low-cost opportunities to advertise your involvement pre-event</t>
  </si>
  <si>
    <t>No more Search for Solutions</t>
  </si>
  <si>
    <t>http://45453794.hs-sites.com/exclusive-plan-your-pre-show-advertising</t>
  </si>
  <si>
    <t>Sent 2.18.25</t>
  </si>
  <si>
    <t>PDC Sponsor Logos Due</t>
  </si>
  <si>
    <t>HFM May/June</t>
  </si>
  <si>
    <t>Features health care design and construction, facilities and engineering, sustainability</t>
  </si>
  <si>
    <t>Includes award recognition</t>
  </si>
  <si>
    <t>http://45453794.hs-sites.com/reach-health-care-professionals-with-hfm-advertising</t>
  </si>
  <si>
    <t>Sent 2.24.25</t>
  </si>
  <si>
    <t>PDC Mobile App Launch</t>
  </si>
  <si>
    <r>
      <t xml:space="preserve">PDC Exhibitor Bulletin #4 - Pack Your Bags - </t>
    </r>
    <r>
      <rPr>
        <i/>
        <sz val="16"/>
        <color rgb="FFFF0000"/>
        <rFont val="Aptos"/>
      </rPr>
      <t>Include Webinar Link? - Doreen</t>
    </r>
  </si>
  <si>
    <t>http://45453794.hs-sites.com/ashe-pdc-2025-exhibitor-bulletin-4</t>
  </si>
  <si>
    <t>Sent 3.3.25</t>
  </si>
  <si>
    <t>HFIC Prospects</t>
  </si>
  <si>
    <t>We Hope to See You in Columbus!</t>
  </si>
  <si>
    <t>Attendee information, who you'll meet</t>
  </si>
  <si>
    <t>Need list</t>
  </si>
  <si>
    <t>http://45453794.hs-sites.com/join-us-at-health-facilities-innovation-conference-2025</t>
  </si>
  <si>
    <t>Sent 3.4.25</t>
  </si>
  <si>
    <t>Space Selection Appointments</t>
  </si>
  <si>
    <t>Need updated list</t>
  </si>
  <si>
    <t>http://45453794.hs-sites.com/pdc-summit-2026-space-selection-details</t>
  </si>
  <si>
    <t>http://45453794.hs-sites.com/reminder-your-pdc-summit-2026-space-selection-details</t>
  </si>
  <si>
    <t>Sent 3.6.25</t>
  </si>
  <si>
    <t>Week of March 10</t>
  </si>
  <si>
    <t>Spring Into Action: Strategize with ASHE Advertising</t>
  </si>
  <si>
    <t>Include upcoming HFM May/June deadline</t>
  </si>
  <si>
    <t>http://45453794.hs-sites.com/spring-into-action</t>
  </si>
  <si>
    <t>Sent 3.12.25</t>
  </si>
  <si>
    <t>March 9-12, 2025</t>
  </si>
  <si>
    <t>PDC Summit 2025 | Atlanta, GA</t>
  </si>
  <si>
    <t>Link from Doreen</t>
  </si>
  <si>
    <t>http://45453794.hs-sites.com/pdc-summit-2025-thank-you-exhibitor-survey</t>
  </si>
  <si>
    <t>Sent 3.17.25</t>
  </si>
  <si>
    <t>http://45453794.hs-sites.com/go-beyond-your-booth</t>
  </si>
  <si>
    <t>Sent 3.18.25</t>
  </si>
  <si>
    <t>Unopens form 3/17</t>
  </si>
  <si>
    <t>REMINDER to Unopens - Thank You for Joining PDC 2025 / Take the Survey</t>
  </si>
  <si>
    <t>https://calendly.com/</t>
  </si>
  <si>
    <t>http://45453794.hs-sites.com/pdc-summit-2025-survey-reminder</t>
  </si>
  <si>
    <t>Sent 3.20.25</t>
  </si>
  <si>
    <t>HFM May/June Ad Close: Awards celebrating the best in new construction, renovation, and infrastructure</t>
  </si>
  <si>
    <t>Spring Into Action: Reserve Your Sponsorship</t>
  </si>
  <si>
    <t>http://45453794.hs-sites.com/spring-into-hfic-action</t>
  </si>
  <si>
    <t>Sent 3.25.25</t>
  </si>
  <si>
    <t>Survey Close &amp; PDC Post-Show Attendee List Send</t>
  </si>
  <si>
    <t>Opportunities in Bloom</t>
  </si>
  <si>
    <t>https://www.ashemarketingsolutions.org/lead-generation/</t>
  </si>
  <si>
    <t>http://45453794.hs-sites.com/ashe-advertising-opportunities-in-bloom</t>
  </si>
  <si>
    <t>Sent 4.2.25</t>
  </si>
  <si>
    <t>Opportunities for Your Budget</t>
  </si>
  <si>
    <t>Low cost items, big impact</t>
  </si>
  <si>
    <t>http://45453794.hs-sites.com/high-impact-low-cost</t>
  </si>
  <si>
    <t>Sent 4.3.25</t>
  </si>
  <si>
    <t>HFIC Exhibitor Bulletin #1</t>
  </si>
  <si>
    <t>http://45453794.hs-sites.com/hfic-exhibitor-newsletter-1</t>
  </si>
  <si>
    <t>Sent 4.4.25</t>
  </si>
  <si>
    <t>HFIC Exhibitor Kit Launch</t>
  </si>
  <si>
    <t>ASHE Academy Launch</t>
  </si>
  <si>
    <t>Targeted List</t>
  </si>
  <si>
    <t>Sustainability Forum</t>
  </si>
  <si>
    <t>Official Launch</t>
  </si>
  <si>
    <t>Reference Hanna's 3.19 email</t>
  </si>
  <si>
    <t>http://45453794.hs-sites.com/aha-sustainability-forum</t>
  </si>
  <si>
    <t>Sent 4.17.25</t>
  </si>
  <si>
    <t>HFM July/August Sponsorship Package</t>
  </si>
  <si>
    <t>http://45453794.hs-sites.com/maximize-your-brand</t>
  </si>
  <si>
    <t>Sent 4.24.25</t>
  </si>
  <si>
    <t>Sponsorship Opportunities</t>
  </si>
  <si>
    <t>https://www.ashemarketingsolutions.org/events/ashe-academy/</t>
  </si>
  <si>
    <t>http://45453794.hs-sites.com/join-us-at-ashe-academy</t>
  </si>
  <si>
    <t>Sent 5.1.25</t>
  </si>
  <si>
    <t>May</t>
  </si>
  <si>
    <t>PDC Summit 2026 Sponsorship Launch</t>
  </si>
  <si>
    <t>HFIC Exhibitor Bulletin #2</t>
  </si>
  <si>
    <t>http://45453794.hs-sites.com/hfic-exhibitor-newsletter-2</t>
  </si>
  <si>
    <t>Sent 5.5.25</t>
  </si>
  <si>
    <t>Venue Branding</t>
  </si>
  <si>
    <t>http://45453794.hs-sites.com/hfic-venue-branding</t>
  </si>
  <si>
    <t>Sent 5.7.25</t>
  </si>
  <si>
    <t>HFM July/August Push</t>
  </si>
  <si>
    <t>http://45453794.hs-sites.com/hfm-july/august</t>
  </si>
  <si>
    <t>Sent 5.6.25</t>
  </si>
  <si>
    <t>Sustainability Initiative</t>
  </si>
  <si>
    <t>https://www.ashemarketingsolutions.org/corporate-support/sustainability-initiative/</t>
  </si>
  <si>
    <t>http://45453794.hs-sites.com/sustainability-initiative</t>
  </si>
  <si>
    <t>Sent 5.20.25</t>
  </si>
  <si>
    <t>HFM July/August Ad Close: Compliance Challenges</t>
  </si>
  <si>
    <t>Join Us in Columbus</t>
  </si>
  <si>
    <t>http://45453794.hs-sites.com/secure-your-booth-at-hfic-2025</t>
  </si>
  <si>
    <t>Sent 5.28.20</t>
  </si>
  <si>
    <t>Sustainability Forum Push</t>
  </si>
  <si>
    <t>Supporting Sponsor &amp; Sustainability Panel</t>
  </si>
  <si>
    <t>http://45453794.hs-sites.com/dont-delay-sustainability-forum</t>
  </si>
  <si>
    <t>Sent 5.29.25</t>
  </si>
  <si>
    <t>HFIC Exhibitor Bulletin #3 - Include Exhibitor Webinar Registration</t>
  </si>
  <si>
    <t>http://45453794.hs-sites.com/hfic-exhibitor-newsletter-3</t>
  </si>
  <si>
    <t>Sent 6.5.25</t>
  </si>
  <si>
    <t>Exhibitor Webinar Reminder</t>
  </si>
  <si>
    <t>Include Sign Up Link</t>
  </si>
  <si>
    <t>http://45453794.hs-sites.com/hfic-exhibitor-webinar-rem</t>
  </si>
  <si>
    <t>Sent 6.10.25</t>
  </si>
  <si>
    <t>HFIC Webinar @ 2:30 CST</t>
  </si>
  <si>
    <t>Exhibitor Webinar Thank You</t>
  </si>
  <si>
    <t>Include Recording</t>
  </si>
  <si>
    <t>http://45453794.hs-sites.com/hfic-exhibitor-webinar-thank-you</t>
  </si>
  <si>
    <t>Sent 6.11.25</t>
  </si>
  <si>
    <t>Booth Push with Featured Sponsorships</t>
  </si>
  <si>
    <t>Per Kris</t>
  </si>
  <si>
    <t>5 Remaining Search for Solutions, Headshot Lounge $10K, 29 Booths Left</t>
  </si>
  <si>
    <t>http://45453794.hs-sites.com/act-now-hfic-booths</t>
  </si>
  <si>
    <t>Sent 6.24.25</t>
  </si>
  <si>
    <r>
      <t xml:space="preserve">HFIC Booth Selection Save the Date - </t>
    </r>
    <r>
      <rPr>
        <sz val="16"/>
        <color rgb="FFFF0000"/>
        <rFont val="Aptos"/>
      </rPr>
      <t>Include Exhibit Contract</t>
    </r>
  </si>
  <si>
    <t>http://45453794.hs-sites.com/hfic-2026-space-selection-save-the-date</t>
  </si>
  <si>
    <t>Sent 6.25.25</t>
  </si>
  <si>
    <t>Sustainability Forum Last Call</t>
  </si>
  <si>
    <t>Showcase Your Company as a Sustainability Leader</t>
  </si>
  <si>
    <t>Share $1,000 Ask</t>
  </si>
  <si>
    <t>http://45453794.hs-sites.com/sustainability-summit-last-call</t>
  </si>
  <si>
    <t>Sent 6.30.25</t>
  </si>
  <si>
    <t>What to Look Forward to During Rest of 2025</t>
  </si>
  <si>
    <t>http://45453794.hs-sites.com/upcoming-ashe-happenings</t>
  </si>
  <si>
    <t>Sent 7.8.25</t>
  </si>
  <si>
    <t>HFIC Pre-Show Attendee List</t>
  </si>
  <si>
    <t>Week of July 14</t>
  </si>
  <si>
    <t>HFM September/October Issue</t>
  </si>
  <si>
    <t>Ad Close Deadline, Featured Topics</t>
  </si>
  <si>
    <t>http://45453794.hs-sites.com/hfm-magazine-september/october</t>
  </si>
  <si>
    <t>Sent 7.15.25</t>
  </si>
  <si>
    <t>AHA Sustainability Summit - Nashville, TN</t>
  </si>
  <si>
    <t>Week of July 21</t>
  </si>
  <si>
    <t>HFIC Assigned Space Selection Times</t>
  </si>
  <si>
    <t>http://45453794.hs-sites.com/space-selection-for-hfic-2026</t>
  </si>
  <si>
    <t>Sent 7.21.25</t>
  </si>
  <si>
    <t>HFIC Exhibitor Bulletin #4 - Pack Your Bags</t>
  </si>
  <si>
    <t>http://45453794.hs-sites.com/hfic-exhibitor-newsletter-4</t>
  </si>
  <si>
    <t>Sent 7.22.25</t>
  </si>
  <si>
    <t>HFIC Assigned Space Selection Times Send #2</t>
  </si>
  <si>
    <t>http://45453794.hs-sites.com/hfic-2026-space-selection-reminder</t>
  </si>
  <si>
    <t>Sent 7.24.25</t>
  </si>
  <si>
    <t>HFM September/October Ad Close: Awards in leadership, factilities, excellence and sustainability</t>
  </si>
  <si>
    <t>July 27-30, 2025</t>
  </si>
  <si>
    <t>HFIC | Columbus, OH</t>
  </si>
  <si>
    <t>Week of July 28</t>
  </si>
  <si>
    <t>Flip Microsite to HFIC 2026 - Need Separate Booth Contract</t>
  </si>
  <si>
    <t>Thank You &amp; Survey Outreach</t>
  </si>
  <si>
    <t>http://45453794.hs-sites.com/hfic-2025-thank-you-survey</t>
  </si>
  <si>
    <t>Sent 8.6.25</t>
  </si>
  <si>
    <t>Week of August 11</t>
  </si>
  <si>
    <t>HFIC Survey Reminder</t>
  </si>
  <si>
    <t>http://45453794.hs-sites.com/hfic-2025-survey-reminder</t>
  </si>
  <si>
    <t>Sent 8.12.25</t>
  </si>
  <si>
    <t>HFIC Post-Show Attendee List</t>
  </si>
  <si>
    <t>Week of August 18</t>
  </si>
  <si>
    <t>ASHE Biennial Salary Survey</t>
  </si>
  <si>
    <t>Deadline October 6!</t>
  </si>
  <si>
    <t>http://45453794.hs-sites.com/ashe-biennial-survey-sponsorship</t>
  </si>
  <si>
    <t>Sent 8.21.25</t>
  </si>
  <si>
    <t>Week of August 25</t>
  </si>
  <si>
    <t>http://45453794.hs-sites.com/ashe-academy-2025-push</t>
  </si>
  <si>
    <t>Sent 8.28.25</t>
  </si>
  <si>
    <t>Week of September 1</t>
  </si>
  <si>
    <t>All Advertising</t>
  </si>
  <si>
    <t>HFM November/December Deadline</t>
  </si>
  <si>
    <t>Secure Your Placement!</t>
  </si>
  <si>
    <t>http://45453794.hs-sites.com/hfm-november-december-2025</t>
  </si>
  <si>
    <t>Sent 9.4.25</t>
  </si>
  <si>
    <t>Week of September 8</t>
  </si>
  <si>
    <t>Week of September 15</t>
  </si>
  <si>
    <r>
      <t xml:space="preserve">HFIC 2026 Exhibit Launch - </t>
    </r>
    <r>
      <rPr>
        <i/>
        <sz val="16"/>
        <color rgb="FFFF0000"/>
        <rFont val="Aptos"/>
      </rPr>
      <t>Need Exhibitor Resources Info</t>
    </r>
  </si>
  <si>
    <t>http://45453794.hs-sites.com/hfic-2026-exhibitor-launch</t>
  </si>
  <si>
    <t>Sent 9.16.25</t>
  </si>
  <si>
    <t>September 15-19, 2025</t>
  </si>
  <si>
    <t>ASHE Academy - Chicago, IL</t>
  </si>
  <si>
    <t>Week of September 22</t>
  </si>
  <si>
    <t>Hold</t>
  </si>
  <si>
    <r>
      <t xml:space="preserve">HFM November/December Ad Close: </t>
    </r>
    <r>
      <rPr>
        <sz val="16"/>
        <color rgb="FFFF0000"/>
        <rFont val="Aptos"/>
      </rPr>
      <t>SPECIAL SECTION</t>
    </r>
    <r>
      <rPr>
        <sz val="16"/>
        <color rgb="FF000000"/>
        <rFont val="Aptos"/>
      </rPr>
      <t xml:space="preserve"> ASHE Biennial Salary Survey</t>
    </r>
  </si>
  <si>
    <t>Week of September 29</t>
  </si>
  <si>
    <t>Week of October 6</t>
  </si>
  <si>
    <t>Event Database</t>
  </si>
  <si>
    <t>Introduction to Scott / Maribell</t>
  </si>
  <si>
    <t>http://45453794.hs-sites.com/meet-the-2026-hfic-team</t>
  </si>
  <si>
    <t>Sent 10.9.25</t>
  </si>
  <si>
    <t>Coming Soon: 2026 Sponsorships</t>
  </si>
  <si>
    <t>Join the Early Access List!</t>
  </si>
  <si>
    <t>Include Link</t>
  </si>
  <si>
    <t>http://45453794.hs-sites.com/hfic-2026-sponsorships-coming-soon</t>
  </si>
  <si>
    <t>Sent 10.8.25</t>
  </si>
  <si>
    <t>Round Out 2025 Advertising</t>
  </si>
  <si>
    <t>http://45453794.hs-sites.com/ashe-end-of-year-advertising</t>
  </si>
  <si>
    <t>Week of October 13</t>
  </si>
  <si>
    <t>Week of October 20</t>
  </si>
  <si>
    <t>Week of October 27</t>
  </si>
  <si>
    <t>Venue Branding Opportunities Are Here!</t>
  </si>
  <si>
    <t>Enhance Your Brand in Houston</t>
  </si>
  <si>
    <t>https://www.ashemarketingsolutions.org/pdc-summit/sponsorship-opportunities/venue-branding/</t>
  </si>
  <si>
    <t>http://45453794.hs-sites.com/pdc-summit-2026-venue-branding</t>
  </si>
  <si>
    <t>Sent 10.30.25</t>
  </si>
  <si>
    <t>Exhibitor Bulletin #1</t>
  </si>
  <si>
    <t>http://45453794.hs-sites.com/ashe-pdc-summit-2026-exhibitor-bulletin-1</t>
  </si>
  <si>
    <t>Sent 10.27.25</t>
  </si>
  <si>
    <t>Week of November 3</t>
  </si>
  <si>
    <r>
      <t xml:space="preserve">HFIC 2026 </t>
    </r>
    <r>
      <rPr>
        <b/>
        <sz val="16"/>
        <color rgb="FF000000"/>
        <rFont val="Aptos"/>
      </rPr>
      <t>EARLY ACCESS</t>
    </r>
    <r>
      <rPr>
        <sz val="16"/>
        <color rgb="FF000000"/>
        <rFont val="Aptos"/>
      </rPr>
      <t xml:space="preserve"> Sponsorship Launch -</t>
    </r>
    <r>
      <rPr>
        <i/>
        <sz val="16"/>
        <color rgb="FFFF0000"/>
        <rFont val="Aptos"/>
      </rPr>
      <t xml:space="preserve"> Need Sponsorship Contract / Rules &amp; Regs</t>
    </r>
  </si>
  <si>
    <t>http://45453794.hs-sites.com/first-look-see-the-2026-health-care-facilities-innovation-conference-prospectus</t>
  </si>
  <si>
    <t>Sent 11.3.25</t>
  </si>
  <si>
    <r>
      <t xml:space="preserve">HFIC 2026 </t>
    </r>
    <r>
      <rPr>
        <b/>
        <sz val="16"/>
        <color rgb="FF000000"/>
        <rFont val="Aptos"/>
      </rPr>
      <t xml:space="preserve">ENTIRE DATABASE </t>
    </r>
    <r>
      <rPr>
        <sz val="16"/>
        <color rgb="FF000000"/>
        <rFont val="Aptos"/>
      </rPr>
      <t>Sponsorship Launch -</t>
    </r>
    <r>
      <rPr>
        <i/>
        <sz val="16"/>
        <color rgb="FFFF0000"/>
        <rFont val="Aptos"/>
      </rPr>
      <t xml:space="preserve"> Need Sponsorship Contract / Rules &amp; Regs</t>
    </r>
  </si>
  <si>
    <t>http://45453794.hs-sites.com/2026-health-care-facilities-innovation-conference-prospectus-launch</t>
  </si>
  <si>
    <t>Sent 11.5.25</t>
  </si>
  <si>
    <t>ARCH Showcase 2026 Launch</t>
  </si>
  <si>
    <t>http://45453794.hs-sites.com/arch-showcase-2026-launch</t>
  </si>
  <si>
    <t>Week of November 10</t>
  </si>
  <si>
    <t>Coming Soon: 2026 Advertising</t>
  </si>
  <si>
    <t>Round Out Your 2025 Advertising</t>
  </si>
  <si>
    <t>Go Digital - Big Impact</t>
  </si>
  <si>
    <t>http://45453794.hs-sites.com/end-the-year-strong-with-hfm-ashe-advertising</t>
  </si>
  <si>
    <t>Sent 11.13.25</t>
  </si>
  <si>
    <t>Week of November 17</t>
  </si>
  <si>
    <t>All Events</t>
  </si>
  <si>
    <t>2026 ASHE Events</t>
  </si>
  <si>
    <t>Prepare Your Event Presence</t>
  </si>
  <si>
    <t>http://45453794.hs-sites.com/fall-send-ashe-2026-events</t>
  </si>
  <si>
    <t>Sent 11.20.25</t>
  </si>
  <si>
    <t>Week of November 24</t>
  </si>
  <si>
    <t>Week of December 1</t>
  </si>
  <si>
    <t>Exhibitor Bulletin #2</t>
  </si>
  <si>
    <t>http://45453794.hs-sites.com/ashe-pdc-summit-2026-exhibitor-bulletin-2</t>
  </si>
  <si>
    <t>Sent 12.1.25</t>
  </si>
  <si>
    <t>ARCH Prospects</t>
  </si>
  <si>
    <t>Interested in Showcasing Your Project?</t>
  </si>
  <si>
    <t>ARCH Showcase Deadline Soon</t>
  </si>
  <si>
    <t>http://45453794.hs-sites.com/deadline-soon-2026-architecture-for-health-showcase</t>
  </si>
  <si>
    <t>Sent 12.2.25</t>
  </si>
  <si>
    <t>Get Ahead with 2026 Advertising</t>
  </si>
  <si>
    <t>Media Kit is NOW LIVE!</t>
  </si>
  <si>
    <t>http://45453794.hs-sites.com/ashe-2026-media-kit-launch</t>
  </si>
  <si>
    <t>Sent 12.4.25</t>
  </si>
  <si>
    <t>Week of December 8</t>
  </si>
  <si>
    <t>HFM Spring Issue &amp; Conference Preview</t>
  </si>
  <si>
    <t>http://45453794.hs-sites.com/pdc-summit-2026-hfm-preview</t>
  </si>
  <si>
    <t>Sent 12.10.25</t>
  </si>
  <si>
    <t>HFM Spring 2026 Ad Close: PDC Summit Preview, ASHE Vista Awards, Center for Health Awards, Facilities and enginnering</t>
  </si>
  <si>
    <r>
      <t xml:space="preserve">Application Deadline - </t>
    </r>
    <r>
      <rPr>
        <i/>
        <sz val="16"/>
        <color rgb="FFFF0000"/>
        <rFont val="Aptos"/>
      </rPr>
      <t>Send Another Reminder for January</t>
    </r>
  </si>
  <si>
    <t>Week of December 15</t>
  </si>
  <si>
    <t>2025 and 2026 Partners</t>
  </si>
  <si>
    <t>http://45453794.hs-sites.com/ashe-happy-holidays-2025</t>
  </si>
  <si>
    <t>Sent 12.17.25</t>
  </si>
  <si>
    <t>Happening January 13!</t>
  </si>
  <si>
    <t>http://45453794.hs-sites.com/pdc-summit-2026-exhibitor-webinar-sign-up</t>
  </si>
  <si>
    <t>Sent 12.16.25</t>
  </si>
  <si>
    <t>Week of December 22</t>
  </si>
  <si>
    <t>Off Week- Christmas</t>
  </si>
  <si>
    <t>Week of December 29</t>
  </si>
  <si>
    <t>Off Week- Wellness Week</t>
  </si>
  <si>
    <t>Week of January 5</t>
  </si>
  <si>
    <t>Exhibitor Bulletin #3</t>
  </si>
  <si>
    <t>http://45453794.hs-sites.com/ashe-pdc-summit-2026-exhibitor-bulletin-3</t>
  </si>
  <si>
    <t>Sent 1.8.26</t>
  </si>
  <si>
    <t>Exhibitor Webinar Reminder Email</t>
  </si>
  <si>
    <t>http://45453794.hs-sites.com/pdc-summit-2026-exhibitor-webinar-reminder</t>
  </si>
  <si>
    <t>Sent 1.6.26</t>
  </si>
  <si>
    <t>Week of January 12</t>
  </si>
  <si>
    <t>Exhibitor Webinar Last Call</t>
  </si>
  <si>
    <t>http://45453794.hs-sites.com/pdc-summit-2026-webinar-last-call</t>
  </si>
  <si>
    <t>Sent 1.12.26</t>
  </si>
  <si>
    <t>Exhibitor Webinar</t>
  </si>
  <si>
    <t>Webinar Attendees</t>
  </si>
  <si>
    <t>NOT SENDING PER VIRGINIA</t>
  </si>
  <si>
    <t>Need Recording Link</t>
  </si>
  <si>
    <t>http://45453794.hs-sites.com/pdc-summit-2026-exhibitor-webinar-thank-you</t>
  </si>
  <si>
    <t>Week of January 19</t>
  </si>
  <si>
    <t>ARCH Showcase 2026 Reminder</t>
  </si>
  <si>
    <t>http://45453794.hs-sites.com/2026-architecture-for-health-showcase-last-call</t>
  </si>
  <si>
    <t>Sent 1.21.26</t>
  </si>
  <si>
    <t>Week of January 26</t>
  </si>
  <si>
    <t>Week of February 2</t>
  </si>
  <si>
    <t>List from Kris</t>
  </si>
  <si>
    <t>2027 Exhibits Launch</t>
  </si>
  <si>
    <t>Include Floor Plan</t>
  </si>
  <si>
    <t>Send Thursday</t>
  </si>
  <si>
    <t>http://45453794.hs-sites.com/pdc-summit-2027-exhibits-launch</t>
  </si>
  <si>
    <t>Sent 2.5.26</t>
  </si>
  <si>
    <t>Exhibitor Bulletin #4 - February 6</t>
  </si>
  <si>
    <t>http://45453794.hs-sites.com/ashe-pdc-summit-2026-exhibitor-bulletin-4</t>
  </si>
  <si>
    <t>Sent 2.4.26</t>
  </si>
  <si>
    <t>Week of February 9</t>
  </si>
  <si>
    <t>Space Selection Save the Date &amp; Contract Reminder</t>
  </si>
  <si>
    <t>http://45453794.hs-sites.com/pdc-summit-2026-space-selection-preview-1</t>
  </si>
  <si>
    <t>Sent 2.11.26</t>
  </si>
  <si>
    <t>Your February Advertising Lineup</t>
  </si>
  <si>
    <t>http://45453794.hs-sites.com/february-2026-advertising</t>
  </si>
  <si>
    <t>Week of February 16</t>
  </si>
  <si>
    <r>
      <t xml:space="preserve">Pre-Show Attendee List - </t>
    </r>
    <r>
      <rPr>
        <i/>
        <sz val="16"/>
        <color rgb="FFFF0000"/>
        <rFont val="Aptos"/>
      </rPr>
      <t>Events to Send</t>
    </r>
  </si>
  <si>
    <t>Week of February 23</t>
  </si>
  <si>
    <t>Space Selection Appointment Times - February 24</t>
  </si>
  <si>
    <t>https://45453794.hs-sites.com/pdc-summit-2027-space-selection-appointment</t>
  </si>
  <si>
    <t>Sent 2.24.26</t>
  </si>
  <si>
    <t>Top PDC Partners</t>
  </si>
  <si>
    <t>Space Selection Before Houston</t>
  </si>
  <si>
    <t>Special Appointment Time for March 4</t>
  </si>
  <si>
    <t>Kris to Provide List / Copy</t>
  </si>
  <si>
    <t>https://45453794.hs-sites.com/pdc-2027-space-selection-top-partners</t>
  </si>
  <si>
    <t>Sent 2.25.26</t>
  </si>
  <si>
    <r>
      <rPr>
        <sz val="16"/>
        <color rgb="FF000000"/>
        <rFont val="Aptos"/>
      </rPr>
      <t>Exhibitor Bulletin #5 - Pack Your Bags!-</t>
    </r>
    <r>
      <rPr>
        <i/>
        <sz val="16"/>
        <color rgb="FFFF0000"/>
        <rFont val="Aptos"/>
      </rPr>
      <t xml:space="preserve"> Events to Send</t>
    </r>
  </si>
  <si>
    <t>Week of March 2</t>
  </si>
  <si>
    <t>Space Selection Appointment Times Reminder - March 5</t>
  </si>
  <si>
    <t>https://45453794.hs-sites.com/your-pdc-summit-2027-space-selection-reminder</t>
  </si>
  <si>
    <t>Sent 3.5.26</t>
  </si>
  <si>
    <t>Week of March 9</t>
  </si>
  <si>
    <t>Furnishings Contacts</t>
  </si>
  <si>
    <t>HFM Summer 2026 Issue Preview</t>
  </si>
  <si>
    <t>https://45453794.hs-sites.com/call-for-advertising-hfm-magazine-summer-preview</t>
  </si>
  <si>
    <t>Sent 3.12.26</t>
  </si>
  <si>
    <t>March 8-11, 2026</t>
  </si>
  <si>
    <t>PDC Summit 2026 | Houston, TX</t>
  </si>
  <si>
    <t>March 9, 2026</t>
  </si>
  <si>
    <t>PDC Day 1 Recap</t>
  </si>
  <si>
    <t>https://45453794.hs-sites.com/pdc-summit-2026-day-1-recap</t>
  </si>
  <si>
    <t>Sent 3.9.26</t>
  </si>
  <si>
    <t>Thank You Email &amp; Survey</t>
  </si>
  <si>
    <t>https://45453794.hs-sites.com/pdc-summit-2026-thank-you</t>
  </si>
  <si>
    <t>Sent 3.11.26</t>
  </si>
  <si>
    <t>Week of March 16</t>
  </si>
  <si>
    <t>Venue Branding is LIVE!</t>
  </si>
  <si>
    <t>https://www.ashemarketingsolutions.org/health-care-facilities-innovation-conference/sponsorship-opportunities/#:~:text=Submit%20Sponsorship%20Contract-,Venue%20Branding,-Reserve%20your%20sponsorship</t>
  </si>
  <si>
    <t>https://45453794.hs-sites.com/hfic-2026-venue-branding</t>
  </si>
  <si>
    <t>Sent 3.19.26</t>
  </si>
  <si>
    <r>
      <rPr>
        <sz val="16"/>
        <color rgb="FF000000"/>
        <rFont val="Aptos"/>
      </rPr>
      <t xml:space="preserve">Reminder to Complete Survey - </t>
    </r>
    <r>
      <rPr>
        <i/>
        <sz val="16"/>
        <color rgb="FFFF0000"/>
        <rFont val="Aptos"/>
      </rPr>
      <t>Events to Send</t>
    </r>
  </si>
  <si>
    <r>
      <rPr>
        <sz val="16"/>
        <color rgb="FF000000"/>
        <rFont val="Aptos"/>
      </rPr>
      <t xml:space="preserve">Post-Show Attendee List - </t>
    </r>
    <r>
      <rPr>
        <i/>
        <sz val="16"/>
        <color rgb="FFFF0000"/>
        <rFont val="Aptos"/>
      </rPr>
      <t>Events to Send</t>
    </r>
  </si>
  <si>
    <t>Gear Up for Summer Advertising</t>
  </si>
  <si>
    <t>HFM Summer Ad Close Reminder</t>
  </si>
  <si>
    <t>https://45453794.hs-sites.com/last-call-hfm-magazine-summer</t>
  </si>
  <si>
    <t>Sent 4.2.26</t>
  </si>
  <si>
    <t>Lanyard Deadline</t>
  </si>
  <si>
    <t>Reserve by May 22</t>
  </si>
  <si>
    <t>Include Sponsor Logos</t>
  </si>
  <si>
    <t>https://45453794.hs-sites.com/hfic-2026-lanyards</t>
  </si>
  <si>
    <t>Sent 4.9.26</t>
  </si>
  <si>
    <t>https://45453794.hs-sites.com/hfic-2026-exhibitor-bulletin-1</t>
  </si>
  <si>
    <t>Sent 4.16.26</t>
  </si>
  <si>
    <t>HFM Summer 2026 Ad Close: HFIC Preview, Health care design and construction, Facilities and engineering</t>
  </si>
  <si>
    <t>Exhibitor Registration Launch</t>
  </si>
  <si>
    <t>Core Competency Sponsorship</t>
  </si>
  <si>
    <t>https://45453794.hs-sites.com/hfic-core-competency-framework</t>
  </si>
  <si>
    <t>Sent 4.28.26</t>
  </si>
  <si>
    <t>Follow-Up</t>
  </si>
  <si>
    <t>Opens and Clicks</t>
  </si>
  <si>
    <t>2027 Sponsorship Launch</t>
  </si>
  <si>
    <t>https://45453794.hs-sites.com/pdc-summit-2027-prospectus-launch</t>
  </si>
  <si>
    <t>Sent 5.6.26</t>
  </si>
  <si>
    <t>https://45453794.hs-sites.com/hfic-2026-exhibitor-bulletin-2</t>
  </si>
  <si>
    <t>Sent 5.12.26</t>
  </si>
  <si>
    <t>Lanyards, WiFi, Hotel Room Drop</t>
  </si>
  <si>
    <t>Why Sponsor</t>
  </si>
  <si>
    <t>https://45453794.hs-sites.com/hfic-spons-push-may</t>
  </si>
  <si>
    <t>Sent 5.14.26</t>
  </si>
  <si>
    <t>Focus Group, Bar, Snack Station</t>
  </si>
  <si>
    <t>https://45453794.hs-sites.com/hfic-sponsorship-push-2</t>
  </si>
  <si>
    <t>Sent 5.21.26</t>
  </si>
  <si>
    <t>Headshot Station, Massage Station, Wayfinder</t>
  </si>
  <si>
    <t>https://45453794.hs-sites.com/hfic-sponsorships-3</t>
  </si>
  <si>
    <t>Sent 6.3.26</t>
  </si>
  <si>
    <t>https://45453794.hs-sites.com/hfic-exhibitor-bulletin-3</t>
  </si>
  <si>
    <t>Sent 6.2.26</t>
  </si>
  <si>
    <t>Advertising with HFM</t>
  </si>
  <si>
    <t>General Push</t>
  </si>
  <si>
    <t>https://45453794.hs-sites.com/hfm-june</t>
  </si>
  <si>
    <t>Sent 6.10.26</t>
  </si>
  <si>
    <t>Reach Beyond the Exhibit Hall</t>
  </si>
  <si>
    <t>Advertising Opportunities</t>
  </si>
  <si>
    <t>https://45453794.hs-sites.com/hfic-post-event-advertising</t>
  </si>
  <si>
    <t>Sent 6.16.26</t>
  </si>
  <si>
    <t>Deadline Approaching</t>
  </si>
  <si>
    <t>Be Part of HFM Fall</t>
  </si>
  <si>
    <t>Internal Review</t>
  </si>
  <si>
    <t>https://45453794.hs-sites.com/hfm-july-deadline</t>
  </si>
  <si>
    <t>Exhibitor Bulletin #4</t>
  </si>
  <si>
    <t>https://45453794.hs-sites.com/hfic-exhibitor-news-4</t>
  </si>
  <si>
    <t>Sent 6.23.26</t>
  </si>
  <si>
    <t>Space Selection Save the Date</t>
  </si>
  <si>
    <t>Exhibitor Space Selection Webinar</t>
  </si>
  <si>
    <t>HFM Fall 2026 Ad Close: Facilities and engineering, Health care design and construction, Sustainability</t>
  </si>
  <si>
    <t>Space Selection Appointment Times - Contract Launch</t>
  </si>
  <si>
    <t>Exhibitor Bulletin #5 - Pack Your Bags</t>
  </si>
  <si>
    <t>Space Selection Appointment Times Reminder</t>
  </si>
  <si>
    <t>August 2-5, 2026</t>
  </si>
  <si>
    <t>HFIC 2026 | Minneapolis, MN</t>
  </si>
  <si>
    <t>Reminder to Complete Survey</t>
  </si>
  <si>
    <t>HFIC 2027 Sponsorship Launch</t>
  </si>
  <si>
    <t>HFM Winter 2026 Ad Close: AHE Environmental Services Departments of the Year awards, Health care design and construction, Facilities and engineering</t>
  </si>
  <si>
    <r>
      <rPr>
        <b/>
        <sz val="16"/>
        <color rgb="FF000000"/>
        <rFont val="Aptos"/>
      </rPr>
      <t xml:space="preserve">SHSMD Email Schedule - </t>
    </r>
    <r>
      <rPr>
        <u/>
        <sz val="16"/>
        <color rgb="FF0563C1"/>
        <rFont val="Aptos"/>
      </rPr>
      <t>https://app.smartsheet.com/b/publish?EQBCT=58674b3f806f4d01aefe4183d6804aad</t>
    </r>
  </si>
  <si>
    <r>
      <t xml:space="preserve">MONDAYS: </t>
    </r>
    <r>
      <rPr>
        <sz val="16"/>
        <color rgb="FF000000"/>
        <rFont val="Aptos"/>
      </rPr>
      <t xml:space="preserve">SHSMD Education emails 
</t>
    </r>
    <r>
      <rPr>
        <b/>
        <sz val="16"/>
        <color rgb="FF000000"/>
        <rFont val="Aptos"/>
      </rPr>
      <t xml:space="preserve">WEDNESDAYS: </t>
    </r>
    <r>
      <rPr>
        <sz val="16"/>
        <color rgb="FF000000"/>
        <rFont val="Aptos"/>
      </rPr>
      <t xml:space="preserve">News Scan 
</t>
    </r>
    <r>
      <rPr>
        <b/>
        <sz val="16"/>
        <color rgb="FF000000"/>
        <rFont val="Aptos"/>
      </rPr>
      <t xml:space="preserve">FRIDAYS: </t>
    </r>
    <r>
      <rPr>
        <sz val="16"/>
        <color rgb="FF000000"/>
        <rFont val="Aptos"/>
      </rPr>
      <t>Career Center</t>
    </r>
  </si>
  <si>
    <t xml:space="preserve">Target Send Date  </t>
  </si>
  <si>
    <t>Key Opportunities/Notes</t>
  </si>
  <si>
    <t>Total Delivered</t>
  </si>
  <si>
    <t>shsmd@smithbucklin.com</t>
  </si>
  <si>
    <t>Smithbucklin / SHSMD Announcement (SHSMD Announce on 9/10)</t>
  </si>
  <si>
    <t>9.16.24 at 2:45 pm CT</t>
  </si>
  <si>
    <t>2024 Current Exhibitors</t>
  </si>
  <si>
    <t xml:space="preserve">Space Selection Announcement </t>
  </si>
  <si>
    <t>No Times / Just Reminder to Save the Date for Email</t>
  </si>
  <si>
    <t>9.20.24 at 9 am CT</t>
  </si>
  <si>
    <t>Space Selection Announcement (NEW CONTACTS)</t>
  </si>
  <si>
    <t>9.20.24 at 1:15 pm CT</t>
  </si>
  <si>
    <t>Space Selection Webinar Announcement</t>
  </si>
  <si>
    <t>Link FAQ Page -&gt; Need Qs</t>
  </si>
  <si>
    <t>9.24.24 at 11:30 am CT</t>
  </si>
  <si>
    <t>Reminder for 10/1 Space Selection Webinar Announcement</t>
  </si>
  <si>
    <t>Make Sure You Join Tomorrow's Webinar (10/1)!</t>
  </si>
  <si>
    <t>9.30.24 at 2:30 pm CT</t>
  </si>
  <si>
    <t>Non Webinar Registrants</t>
  </si>
  <si>
    <t>Webinar Recording / Sign up for 2025</t>
  </si>
  <si>
    <t>Include Contract Link</t>
  </si>
  <si>
    <t>10.2.24. at 2:30 pm CT</t>
  </si>
  <si>
    <t>Space Appointment (First Call)</t>
  </si>
  <si>
    <t>Include Times</t>
  </si>
  <si>
    <t>10.7.24 at 11 am CT</t>
  </si>
  <si>
    <t>Unopens from 10/4</t>
  </si>
  <si>
    <t>Space Appointment (Reminder)</t>
  </si>
  <si>
    <t>10.9.24 at 2:30 pm CT</t>
  </si>
  <si>
    <t>Space Appointment (2nd Reminder)</t>
  </si>
  <si>
    <t>10.11.24 at 11 am CT</t>
  </si>
  <si>
    <t>SHSMD Connections</t>
  </si>
  <si>
    <t>Space Appointment (DAY OF REMINDER)</t>
  </si>
  <si>
    <t>Early Morning (local) Send</t>
  </si>
  <si>
    <t>Exhibitor Survey (10/25 Deadline + 10/28 Attendee List)</t>
  </si>
  <si>
    <t>Unopens from 10/16</t>
  </si>
  <si>
    <t>RESEND of Exhibitor Survey (10/25 Deadline + 10/28 Attendee List)</t>
  </si>
  <si>
    <t>Sent 10.22.24</t>
  </si>
  <si>
    <t>http://47186043.hs-sites.com/shsmd-connections-2024-exhibitor-survey-reminder</t>
  </si>
  <si>
    <t>We Missed You at Connections / Sign up for 2025!</t>
  </si>
  <si>
    <t>Sent 10.30.24</t>
  </si>
  <si>
    <t>http://47186043.hs-sites.com/shsmd-connections-we-missed-you</t>
  </si>
  <si>
    <t>Election Day is Nov. 5</t>
  </si>
  <si>
    <t>Unopens from 10/29</t>
  </si>
  <si>
    <t>RESEND - We Missed You at Connections / Sign up for 2025!</t>
  </si>
  <si>
    <t>http://47186043.hs-sites.com/icymi-reserve-your-2025-shsmd-connections-exhibit-space</t>
  </si>
  <si>
    <t>Year-Round Advertising Launch</t>
  </si>
  <si>
    <t>Now available https://www.shsmdmediakit.org/year-round-digital-advertising/</t>
  </si>
  <si>
    <t>Sent 11.15.24</t>
  </si>
  <si>
    <t>http://47186043.hs-sites.com/2025-shsdm-year-round-advertising-launch</t>
  </si>
  <si>
    <t>[RESEND] Year-Round Advertising Launch</t>
  </si>
  <si>
    <t>Sent 11.19.24</t>
  </si>
  <si>
    <t>http://47186043.hs-sites.com/dont-delay-get-ahead-with-2025-shsmd-advertising</t>
  </si>
  <si>
    <t>Prepare for 2025 Marketing</t>
  </si>
  <si>
    <t>https://www.shsmdmediakit.org/year-round-digital-advertising/</t>
  </si>
  <si>
    <t>Sent 12.4.24</t>
  </si>
  <si>
    <t>http://47186043.hs-sites.com/prepare-for-2025-shsmd-advertising</t>
  </si>
  <si>
    <t>2025 Propsects</t>
  </si>
  <si>
    <t>Become a SHSMD Connections Exhibitor</t>
  </si>
  <si>
    <t>Jill</t>
  </si>
  <si>
    <t>http://47186043.hs-sites.com/meet-key-decision-makers-at-2025-shsmd-connections</t>
  </si>
  <si>
    <t>http://47186043.hs-sites.com/meet-key-decision-makers-at-2025-shsmd-connections-1</t>
  </si>
  <si>
    <t>Happy Holidays from SHSMD</t>
  </si>
  <si>
    <t>Sent 12.17.24</t>
  </si>
  <si>
    <t>http://47186043.hs-sites.com/happy-holidays-from-shsmd-2025-events-advertising</t>
  </si>
  <si>
    <t>http://47186043.hs-sites.com/happy-holidays-from-shsmd-2025-events-advertising-1</t>
  </si>
  <si>
    <t>New Years Week</t>
  </si>
  <si>
    <t>New in 2025: Advertising</t>
  </si>
  <si>
    <t>https://www.shsmdmediakit.org/year-round-digital-advertising/#:~:text=NEW%20OPPORTUNITIES!,-Take%20advantage%20of</t>
  </si>
  <si>
    <t>http://47186043.hs-sites.com/new-year-new-shsmd-opportunities</t>
  </si>
  <si>
    <t>http://47186043.hs-sites.com/shsmd-2025-new-advertising</t>
  </si>
  <si>
    <t>Ways to Engage with the SHSMD Audience</t>
  </si>
  <si>
    <t>Events / Advertising</t>
  </si>
  <si>
    <t>Sent 1.14.25</t>
  </si>
  <si>
    <t>http://47186043.hs-sites.com/engage-with-the-shsmd-audience</t>
  </si>
  <si>
    <t>http://47186043.hs-sites.com/ways-to-engage-with-3700-health-care-strategists-and-marketers</t>
  </si>
  <si>
    <t>SHSMD Connections Prospects</t>
  </si>
  <si>
    <t>Why Attend SHSMD 2025 Connections</t>
  </si>
  <si>
    <t>https://www.shsmdmediakit.org/shsmd-connections/</t>
  </si>
  <si>
    <t>Sent 1.21.25</t>
  </si>
  <si>
    <t>http://47186043.hs-sites.com/engage-with-1100-health-care-strategists-and-marketers</t>
  </si>
  <si>
    <t>http://47186043.hs-sites.com/engage-with-1100-health-care-strategists-and-marketers-%F0%9F%91%8B</t>
  </si>
  <si>
    <t>Go Digital with Year-Round Advertising</t>
  </si>
  <si>
    <t>http://47186043.hs-sites.com/go-digital-with-shsmd-2</t>
  </si>
  <si>
    <t>http://47186043.hs-sites.com/go-digital-with-shsmd-%F0%9F%92%BB</t>
  </si>
  <si>
    <t>Digital Advertising You'll Love</t>
  </si>
  <si>
    <t>Webinars, Eblasts</t>
  </si>
  <si>
    <t>Sent 2.4.25</t>
  </si>
  <si>
    <t>http://47186043.hs-sites.com/shsmd-advertising-opportunities-youll-love-%F0%9F%98%8D</t>
  </si>
  <si>
    <t>http://47186043.hs-sites.com/shsmd-advertising-opportunities-youll-love</t>
  </si>
  <si>
    <t>SHSMD Connections 2025 Exhibitors</t>
  </si>
  <si>
    <t>Sponsorship Launch</t>
  </si>
  <si>
    <t>Monday / Tuesday Sunrise Sessions</t>
  </si>
  <si>
    <t>http://47186043.hs-sites.com/now-live-shsmd-connections-2025-sponsorships-%E2%AD%90</t>
  </si>
  <si>
    <t>http://47186043.hs-sites.com/now-live-shsmd-connections-2025-sponsorships</t>
  </si>
  <si>
    <t>Who You'll Meet at SHSMD 2025 Connections</t>
  </si>
  <si>
    <t>Survey results &amp; Sponorship callout</t>
  </si>
  <si>
    <t>Sent 2.11.25</t>
  </si>
  <si>
    <t>http://47186043.hs-sites.com/reach-health-care-strategist-and-marketers-at-shsmd-connections-2025-%F0%9F%A4%9D</t>
  </si>
  <si>
    <t>http://47186043.hs-sites.com/reach-health-care-strategist-and-marketers</t>
  </si>
  <si>
    <t>March Advertising Preview</t>
  </si>
  <si>
    <t>Digital Outreach &amp; Advertising</t>
  </si>
  <si>
    <t>Sent 2.25.25</t>
  </si>
  <si>
    <t>http://47186043.hs-sites.com/maximize-your-impact-with-year-round-shsmd-advertising</t>
  </si>
  <si>
    <t>http://47186043.hs-sites.com/maximize-your-impact-with-year-round-shsmd-advertising-%EF%B8%8F</t>
  </si>
  <si>
    <t>SHSMD Connections Renewals</t>
  </si>
  <si>
    <t>We Saw You in 2024... Join Us in Dallas</t>
  </si>
  <si>
    <t>Key Sponsorship Feature</t>
  </si>
  <si>
    <t>http://47186043.hs-sites.com/will-we-see-you-at-shsmd-connections-2025</t>
  </si>
  <si>
    <t>http://47186043.hs-sites.com/will-we-see-you-at-shsmd-connections-2025-2</t>
  </si>
  <si>
    <t>Hit Your Goals with Sponsorships</t>
  </si>
  <si>
    <t>Sunrise Session Push</t>
  </si>
  <si>
    <t>Sent 3.11.25</t>
  </si>
  <si>
    <t>http://47186043.hs-sites.com/go-beyond-your-booth</t>
  </si>
  <si>
    <t>http://47186043.hs-sites.com/go-beyond-your-booth-1</t>
  </si>
  <si>
    <t>Opens / Clicks from 3/11</t>
  </si>
  <si>
    <t>Still Interested in Sponsorships?</t>
  </si>
  <si>
    <t>Plan in Conjunction with Exhibit Time, Webinars &amp; Emails (Pre-Show)</t>
  </si>
  <si>
    <t>Sent 3.13.25</t>
  </si>
  <si>
    <t>http://47186043.hs-sites.com/dont-delay-sponsorship</t>
  </si>
  <si>
    <t>http://47186043.hs-sites.com/still-interested-in-sponsorships-2</t>
  </si>
  <si>
    <t>Market Your SHSMD Connections 2025 Involvement</t>
  </si>
  <si>
    <t>https://www.shsmdmediakit.org/year-round-digital-advertising/digital-outreach-and-advertising/</t>
  </si>
  <si>
    <t>http://47186043.hs-sites.com/maximize-your-impact</t>
  </si>
  <si>
    <t>http://47186043.hs-sites.com/maximize-your-impact-1</t>
  </si>
  <si>
    <t>Spring into Action: Take Your Presence a Step Further</t>
  </si>
  <si>
    <t>http://47186043.hs-sites.com/spring-into-shsmd-connections-2025-action-2</t>
  </si>
  <si>
    <t>http://47186043.hs-sites.com/spring-into-shsmd-connections-2025-action</t>
  </si>
  <si>
    <t>Already an Exhibitor? Enhance Your Experience in Dallas</t>
  </si>
  <si>
    <t>Keynotes Announced</t>
  </si>
  <si>
    <t>Sent 4.1.25</t>
  </si>
  <si>
    <t>http://47186043.hs-sites.com/enhance-your-shsmd-connections-2025-experience-2</t>
  </si>
  <si>
    <t>http://47186043.hs-sites.com/enhance-your-shsmd-connections-2025-experience</t>
  </si>
  <si>
    <t>Social Networking Sponsorship Launch</t>
  </si>
  <si>
    <t>Who What When Where</t>
  </si>
  <si>
    <t>Sent 4.8.25</t>
  </si>
  <si>
    <t>http://47186043.hs-sites.com/sponsor-shsmds-networking-social</t>
  </si>
  <si>
    <t>Advertising Opportunities in Bloom</t>
  </si>
  <si>
    <t>Sent 4.16.25</t>
  </si>
  <si>
    <t>http://47186043.hs-sites.com/opportunities-in-bloom</t>
  </si>
  <si>
    <t>Targeted Local List</t>
  </si>
  <si>
    <t>We're In Your Region</t>
  </si>
  <si>
    <t>Target Local Organizations</t>
  </si>
  <si>
    <t>Sent 4.23.25</t>
  </si>
  <si>
    <t>http://47186043.hs-sites.com/national-stage-in-your-region</t>
  </si>
  <si>
    <t>Futurescan Sponsorship Push</t>
  </si>
  <si>
    <t>https://www.shsmdmediakit.org/year-round-digital-advertising/futurescan-portfolio/</t>
  </si>
  <si>
    <t>Sent 4.30.25</t>
  </si>
  <si>
    <t>http://47186043.hs-sites.com/exclusive-sponsor-shsmds-networking-social</t>
  </si>
  <si>
    <t>[RESEND] Social Networking Sponsorship</t>
  </si>
  <si>
    <t>Highlight Sponsorship Packages</t>
  </si>
  <si>
    <t>Sent 4.29.25</t>
  </si>
  <si>
    <t>http://47186043.hs-sites.com/act-now-sponsor-shsmds-networking-social</t>
  </si>
  <si>
    <t>SHSMD Renewals</t>
  </si>
  <si>
    <t>Reserve Your Space in Dallas!</t>
  </si>
  <si>
    <t>Exhibit Packages / Pricing / Benefits</t>
  </si>
  <si>
    <t>Sent 5.8.25</t>
  </si>
  <si>
    <t>http://47186043.hs-sites.com/connect-in-dallas</t>
  </si>
  <si>
    <t>New Sponsorships</t>
  </si>
  <si>
    <t>President's Reception, Executive Summit TBD</t>
  </si>
  <si>
    <t>Sent 5.14.25</t>
  </si>
  <si>
    <t>http://47186043.hs-sites.com/new-shsmd-sponsorship</t>
  </si>
  <si>
    <t>Webinar Push</t>
  </si>
  <si>
    <t>http://47186043.hs-sites.com/advertising-reach</t>
  </si>
  <si>
    <t>Social Networking Sponsorship</t>
  </si>
  <si>
    <t>Last Call Push - Event Next Month, Include Jill's Email Link</t>
  </si>
  <si>
    <t>Sent 5.28.25</t>
  </si>
  <si>
    <t>http://47186043.hs-sites.com/act-now-sponsor-shsmds-networking-social-1</t>
  </si>
  <si>
    <t>http://47186043.hs-sites.com/shsmd-connections-2025-exhibitor-bulletin-1</t>
  </si>
  <si>
    <t>Add Your Company to the Floor Plan</t>
  </si>
  <si>
    <t>Join Us in Dallas</t>
  </si>
  <si>
    <t>http://47186043.hs-sites.com/add-your-company-to-the-shsmd-connections-floor-plan</t>
  </si>
  <si>
    <t>Webinar Push (Busy August / September)</t>
  </si>
  <si>
    <t>Promoted throughout the year</t>
  </si>
  <si>
    <t>http://47186043.hs-sites.com/summer-webinar-push</t>
  </si>
  <si>
    <t>SHSMD Prospects</t>
  </si>
  <si>
    <t>Why SHSMD?</t>
  </si>
  <si>
    <t>Reasons to Partner</t>
  </si>
  <si>
    <t>Sent 6.17.25</t>
  </si>
  <si>
    <t>http://47186043.hs-sites.com/we-want-to-see-you-at-shsmd-connections</t>
  </si>
  <si>
    <t>Still Interested? (Opens from 6/17 Send)</t>
  </si>
  <si>
    <t>Partner with SHSMD</t>
  </si>
  <si>
    <t>http://47186043.hs-sites.com/shsmd-booth-follow-up</t>
  </si>
  <si>
    <t>Sent 7.1.25</t>
  </si>
  <si>
    <t>http://47186043.hs-sites.com/shsmd-connections-2025-exhibitor-bulletin-2</t>
  </si>
  <si>
    <t>Set Up Your Summer Success</t>
  </si>
  <si>
    <t>Make a Splash with These Opportunities - Push Futurescan Sponsorship (Mid-August Deadline)</t>
  </si>
  <si>
    <t>http://47186043.hs-sites.com/shsmd-summer-opps</t>
  </si>
  <si>
    <t>jeiding@smithbucklin.com'</t>
  </si>
  <si>
    <t>Low-Ticket Items for Your Budget</t>
  </si>
  <si>
    <t>Low-Cost Items (Push Dallas-Themed All-Attendee Event)</t>
  </si>
  <si>
    <t>Sent 7.9.25</t>
  </si>
  <si>
    <t>http://47186043.hs-sites.com/low-cost-shsmd-sponsorships</t>
  </si>
  <si>
    <t>Don't Miss Us in 2025</t>
  </si>
  <si>
    <t>Renewal Outreach</t>
  </si>
  <si>
    <t>http://47186043.hs-sites.com/dont-miss-out-shsmd-2025</t>
  </si>
  <si>
    <t>Sponsorship Tier Increase</t>
  </si>
  <si>
    <t>Opportunities to Push You to Next Level</t>
  </si>
  <si>
    <t>http://47186043.hs-sites.com/unlock-top-sponsor-benefits</t>
  </si>
  <si>
    <t>Week of August 4</t>
  </si>
  <si>
    <t>Stand Out in Dallas with Sponsorships</t>
  </si>
  <si>
    <t>Onsite Branding &amp; Monday Night Attendee Reception</t>
  </si>
  <si>
    <t>Sent 8.7.25</t>
  </si>
  <si>
    <t>http://47186043.hs-sites.com/new-sponsorships-in-dallas?hs_preview=YHSHmoed-193262688030</t>
  </si>
  <si>
    <t>http://47186043.hs-sites.com/shsmd-connections-2025-exhibitor-bulletin-3?hs_preview=OpLmgeky-193669192981</t>
  </si>
  <si>
    <t>Connect with SHSMD Connections Audience</t>
  </si>
  <si>
    <r>
      <t xml:space="preserve">Opportunities for Pre-Show Marketing </t>
    </r>
    <r>
      <rPr>
        <i/>
        <sz val="16"/>
        <color rgb="FFFF0000"/>
        <rFont val="Aptos"/>
      </rPr>
      <t>Include Executive Summit Sponsorship</t>
    </r>
  </si>
  <si>
    <t>http://47186043.hs-sites.com/shsmd-connections-pre-and-post-show-marketing</t>
  </si>
  <si>
    <t>Include Info from Hanna 7.21</t>
  </si>
  <si>
    <t>Sent 8.20.25</t>
  </si>
  <si>
    <t>http://47186043.hs-sites.com/shsmd-futurescan-sponsorship</t>
  </si>
  <si>
    <t>Push Session Tracks</t>
  </si>
  <si>
    <t>Highlight Each &amp; Value</t>
  </si>
  <si>
    <t>Sent 8.26.25</t>
  </si>
  <si>
    <t>http://47186043.hs-sites.com/shsmd-connections-2025-session-tracks</t>
  </si>
  <si>
    <t>Did You Miss Us?</t>
  </si>
  <si>
    <t>Sent 9.3.25</t>
  </si>
  <si>
    <t>http://47186043.hs-sites.com/few-connections-booths-remain</t>
  </si>
  <si>
    <t>Have Content to Share?</t>
  </si>
  <si>
    <t>Sponsor a Webinar</t>
  </si>
  <si>
    <t>Sent 9.8.25</t>
  </si>
  <si>
    <t>http://47186043.hs-sites.com/shsmd-webinar-push-2</t>
  </si>
  <si>
    <t>Onsite Space Selection Save the Date</t>
  </si>
  <si>
    <t>Info from MiAnna- Trey to Send</t>
  </si>
  <si>
    <t>Sent 9.18.25</t>
  </si>
  <si>
    <t>http://47186043.hs-sites.com/shsmd-connections-2026-dave-the-date</t>
  </si>
  <si>
    <t>Info from MiAnna- Add Webinar Info</t>
  </si>
  <si>
    <t>http://47186043.hs-sites.com/shsmd-connections-2025-exhibitor-bulletin-4</t>
  </si>
  <si>
    <t>Sponsorship Last Call</t>
  </si>
  <si>
    <t>Last Minute Deadlines</t>
  </si>
  <si>
    <t>Sent 9.23.25</t>
  </si>
  <si>
    <t>http://47186043.hs-sites.com/last-call-sponsorships-shsmd-connections-2025</t>
  </si>
  <si>
    <t>Assigned Space Selection Appointment Times</t>
  </si>
  <si>
    <t>Sent 10.1.25</t>
  </si>
  <si>
    <t>http://47186043.hs-sites.com/space-selection-details-for-shsmd-connections-2026</t>
  </si>
  <si>
    <t>Exhibitor Bulletin #5 - Pack Your Bags!</t>
  </si>
  <si>
    <t>Sent 10.7.25</t>
  </si>
  <si>
    <t>http://47186043.hs-sites.com/shsmd-connections-2025-exhibitor-bulletin-5</t>
  </si>
  <si>
    <t>Assigned Space Selection Appointment Reminder</t>
  </si>
  <si>
    <t>http://47186043.hs-sites.com/reminder-space-selection-for-shsmd-connections-2026</t>
  </si>
  <si>
    <t>Thank You Email &amp; Exhibitor Survey</t>
  </si>
  <si>
    <t>Sent 10.15.25</t>
  </si>
  <si>
    <t>http://47186043.hs-sites.com/shsmd-2025-thank-you-survey</t>
  </si>
  <si>
    <t>12-14 October, 2025</t>
  </si>
  <si>
    <t>SHSMD Connections | Dallas, TX</t>
  </si>
  <si>
    <t>Include Virtual Conference Plug</t>
  </si>
  <si>
    <t>Sent 10.20.25</t>
  </si>
  <si>
    <t>http://47186043.hs-sites.com/reminder-fill-out-a-quick-shsmd-connections-2025-survey</t>
  </si>
  <si>
    <t>Last Call: SHSMD Virtual Conference</t>
  </si>
  <si>
    <t>https://www.shsmdmediakit.org/shsmd-connections/virtual-conference/</t>
  </si>
  <si>
    <t>Sent 10.28.25</t>
  </si>
  <si>
    <t>http://47186043.hs-sites.com/shsmd-connections-virtual-conference-sponsorship</t>
  </si>
  <si>
    <t>Stay Connected with Our Audience</t>
  </si>
  <si>
    <t>2026 Media Kit Coming Soon</t>
  </si>
  <si>
    <t>http://47186043.hs-sites.com/lock-in-shsmd-2025-advertising-before-its-too-late</t>
  </si>
  <si>
    <t>Thanksgiving Message</t>
  </si>
  <si>
    <t>Plug for 2026 Media Kit Coming Soon</t>
  </si>
  <si>
    <t>http://47186043.hs-sites.com/grateful-for-you</t>
  </si>
  <si>
    <t>Off Week - Thanksgiving</t>
  </si>
  <si>
    <t>SHSMD Connections 2026 Sponsorships Coming Soon</t>
  </si>
  <si>
    <t>Gain Early Access with Form!</t>
  </si>
  <si>
    <t>Sent 12.9.25</t>
  </si>
  <si>
    <t>http://47186043.hs-sites.com/reminder-fill-out-a-quick-shsmd-connections-2025-survey-1</t>
  </si>
  <si>
    <t>Targeted List of Partners</t>
  </si>
  <si>
    <t>2026 Media Kit Launch</t>
  </si>
  <si>
    <t>Prepare Your Advertising Plan Early</t>
  </si>
  <si>
    <t>http://47186043.hs-sites.com/shsmd-2026-advertising-launch</t>
  </si>
  <si>
    <t>Happy Holidays from SHSMD!</t>
  </si>
  <si>
    <t>Keep Us in Mind for 2026 Opportunities</t>
  </si>
  <si>
    <t>Sent 12.18.25</t>
  </si>
  <si>
    <t>http://47186043.hs-sites.com/happy-holidays-shsmd-2025</t>
  </si>
  <si>
    <t>Off Week - Christmas</t>
  </si>
  <si>
    <t>Off Week - Wellness Week</t>
  </si>
  <si>
    <t>2026 Media Kit Launch Pt. 2</t>
  </si>
  <si>
    <t>In Case You Missed It</t>
  </si>
  <si>
    <t>http://47186043.hs-sites.com/shsmd-2026-happy-new-yea</t>
  </si>
  <si>
    <t>Early Access List</t>
  </si>
  <si>
    <t>2026 Sponsorship Launch [Early Access]</t>
  </si>
  <si>
    <t>See Opportunities Before the Public!</t>
  </si>
  <si>
    <t>Sent 1.20.26</t>
  </si>
  <si>
    <t>http://47186043.hs-sites.com/shsmd-2026-sponsorship-early-access</t>
  </si>
  <si>
    <t>2026 Sponsorship Launch</t>
  </si>
  <si>
    <t>http://47186043.hs-sites.com/shsmd-2026-sponsorship-launch</t>
  </si>
  <si>
    <t>Sponsorships ICYMI</t>
  </si>
  <si>
    <t>Sent 1.28.26</t>
  </si>
  <si>
    <t>http://47186043.hs-sites.com/shsmd-connections-2026-sponsorships-icymi</t>
  </si>
  <si>
    <t>Connections 2026 Exhibitors</t>
  </si>
  <si>
    <t>Your Goal, Your Sponsorship Track</t>
  </si>
  <si>
    <t>Sponsorships are LIVE!</t>
  </si>
  <si>
    <t>http://47186043.hs-sites.com/shsmd-2026-sponsorship-goals</t>
  </si>
  <si>
    <t>February Advertising Lineup</t>
  </si>
  <si>
    <t>Your Featured Opportunities</t>
  </si>
  <si>
    <t>Sent 2.12.26</t>
  </si>
  <si>
    <t>http://47186043.hs-sites.com/personalization_tokencontact.firstname-valued-partner-our-gift-to-you</t>
  </si>
  <si>
    <t>3 Opportunities That Won't Break the Bank</t>
  </si>
  <si>
    <t>Sent 2.19.26</t>
  </si>
  <si>
    <t>http://47186043.hs-sites.com/low-cost-high-reward-sponsorships</t>
  </si>
  <si>
    <t>Connection Booth Push</t>
  </si>
  <si>
    <t>The Floor Plan is Filling Up!</t>
  </si>
  <si>
    <t>Sent 2.26.26</t>
  </si>
  <si>
    <t>https://47186043.hs-sites.com/shsmd-connections-2026-booth-push</t>
  </si>
  <si>
    <t>First-Time Exhibitors</t>
  </si>
  <si>
    <t>Make the Most of Your Onsite Experience</t>
  </si>
  <si>
    <t>New Opportunities Push</t>
  </si>
  <si>
    <t>Sent 3.6.26</t>
  </si>
  <si>
    <t>https://47186043.hs-sites.com/shsmd-connections-first-timers</t>
  </si>
  <si>
    <t>Spring Into SHSMD Advertising!</t>
  </si>
  <si>
    <t>Salary Survey Push</t>
  </si>
  <si>
    <t>https://47186043.hs-sites.com/shsmd-march-advertising</t>
  </si>
  <si>
    <t>Targeted Partners</t>
  </si>
  <si>
    <t>NEW! Networking Event Promotion Sponsorship</t>
  </si>
  <si>
    <t>Targeted Email - Trey to Write</t>
  </si>
  <si>
    <t>Sent 3.18.26</t>
  </si>
  <si>
    <t>https://47186043.hs-sites.com/here-are-some-budget-friendly-sponsorships</t>
  </si>
  <si>
    <t>Week of March 23</t>
  </si>
  <si>
    <t>We Want You to Be Here</t>
  </si>
  <si>
    <t>Why Attend, Who You'll Meet- Maribell Intro</t>
  </si>
  <si>
    <t>Sent 3.27.26</t>
  </si>
  <si>
    <t>https://47186043.hs-sites.com/dont-wait-to-exhibit-at-shsmd-connections-2026</t>
  </si>
  <si>
    <t>Week of March 30</t>
  </si>
  <si>
    <t>Connect with Attendees with Sponsored Discussions</t>
  </si>
  <si>
    <t>https://www.shsmdmediakit.org/shsmd-connections/sponsorship-opportunities/attendee-engagement-and-networking/</t>
  </si>
  <si>
    <t>Sent 3.31.26</t>
  </si>
  <si>
    <t>https://47186043.hs-sites.com/pull-up-a-chair-at-shsmd</t>
  </si>
  <si>
    <t>Week of April 6</t>
  </si>
  <si>
    <t>Stand Out in Baltimore with Sponsorships</t>
  </si>
  <si>
    <t>https://47186043.hs-sites.com/stand-out-in-baltimore-with-shsmd-sponsorships</t>
  </si>
  <si>
    <t>Week of April 13</t>
  </si>
  <si>
    <t>Targeted Message from Evan- Ask Evan for Signature</t>
  </si>
  <si>
    <t>We Hear You, What We're Changing</t>
  </si>
  <si>
    <t>Sent 4.15.26</t>
  </si>
  <si>
    <t>https://47186043.hs-sites.com/a-message-from-shsmd-executive-director</t>
  </si>
  <si>
    <t>Low-Cost, High-Reward Advertising</t>
  </si>
  <si>
    <t>Thought Leadership Advertising</t>
  </si>
  <si>
    <t>Sent 4.17.26</t>
  </si>
  <si>
    <t>https://47186043.hs-sites.com/low-cost-high-reward-advertising-with-shsmd</t>
  </si>
  <si>
    <t>Week of April 20</t>
  </si>
  <si>
    <t>Submit Your Contract and Make Your Mark in Baltimore</t>
  </si>
  <si>
    <t>Sent 4.21.26</t>
  </si>
  <si>
    <t>https://47186043.hs-sites.com/claim-your-spot-on-the-shsmd-connections-floor</t>
  </si>
  <si>
    <t>Week of April 27</t>
  </si>
  <si>
    <t>Sponsorships That Align With Your Goals</t>
  </si>
  <si>
    <t>Opportunities Tailored to You</t>
  </si>
  <si>
    <t>https://47186043.hs-sites.com/show-up-bigger-at-shsmd-connections-2026</t>
  </si>
  <si>
    <t>Week of May 4</t>
  </si>
  <si>
    <t xml:space="preserve">East Coast Vendors &amp; Local Chapter </t>
  </si>
  <si>
    <t>Local Vendor Outreach</t>
  </si>
  <si>
    <t>Sent 5.7.26</t>
  </si>
  <si>
    <t>https://47186043.hs-sites.com/shsmd26-is-in-your-region.-your-brand-should-be-too</t>
  </si>
  <si>
    <t>Week of May 11th</t>
  </si>
  <si>
    <t>Week of May 18</t>
  </si>
  <si>
    <t>Still Interested?</t>
  </si>
  <si>
    <t>Opens from 5.4 Email</t>
  </si>
  <si>
    <t>Sent 5.19.26</t>
  </si>
  <si>
    <t>https://47186043.hs-sites.com/reminder-shsmd26-is-in-your-region</t>
  </si>
  <si>
    <t>Turnkey Booth Option?</t>
  </si>
  <si>
    <t xml:space="preserve">4200 Booth price - summer special </t>
  </si>
  <si>
    <t>https://47186043.hs-sites.com/move-in-ready-booths-are-available-for-shsmd26</t>
  </si>
  <si>
    <t>Week of May 25</t>
  </si>
  <si>
    <t>SHSMD’s 2027 Calendar of Health Days</t>
  </si>
  <si>
    <t>https://www.shsmdmediakit.org/year-round-engagement/member-support-and-resources/</t>
  </si>
  <si>
    <t>Sent 5.28.26</t>
  </si>
  <si>
    <t>https://47186043.hs-sites.com/own-shsmds-most-downloaded-resource</t>
  </si>
  <si>
    <t>Working on dashboard</t>
  </si>
  <si>
    <r>
      <t xml:space="preserve">Exhibitor Bulletin #1 – </t>
    </r>
    <r>
      <rPr>
        <i/>
        <sz val="16"/>
        <color rgb="FFFF0000"/>
        <rFont val="Aptos"/>
      </rPr>
      <t>need to include new HubSpot microsite links</t>
    </r>
  </si>
  <si>
    <t>https://www.shsmdmediakit.org/shsmd-connections-2026-exhibitor-bulletin-1</t>
  </si>
  <si>
    <t>Week of June 1</t>
  </si>
  <si>
    <t>Non- Renewals</t>
  </si>
  <si>
    <t>We'd Love to see you at SHSMD</t>
  </si>
  <si>
    <t>https://www.shsmdmediakit.org/baltimore-is-calling.-claim-your-spot-on-the-shsmd-floor</t>
  </si>
  <si>
    <t>Week of June 8</t>
  </si>
  <si>
    <t xml:space="preserve">The Solution Center is Where You'll Gain the Most Traction Elevate Your Presence </t>
  </si>
  <si>
    <t>https://www.shsmdmediakit.org/shsmd-connections/sponsorship-opportunities/solution-center-engagement/</t>
  </si>
  <si>
    <t>https://www.shsmdmediakit.org/five-ways-to-own-the-shsmd-solution-center-floor</t>
  </si>
  <si>
    <t>Week of June 15</t>
  </si>
  <si>
    <t>Water Bottles</t>
  </si>
  <si>
    <t>FUn canva graphic, potentially crabs crawling out of a water bottle for baltimore</t>
  </si>
  <si>
    <t>https://www.shsmdmediakit.org/your-logo-in-every-shsmd-attendees-hand</t>
  </si>
  <si>
    <r>
      <rPr>
        <sz val="16"/>
        <color rgb="FF000000"/>
        <rFont val="Aptos"/>
      </rPr>
      <t xml:space="preserve">Exhibitor Bulletin #2 - </t>
    </r>
    <r>
      <rPr>
        <i/>
        <sz val="16"/>
        <color rgb="FFFF0000"/>
        <rFont val="Aptos"/>
      </rPr>
      <t>Hannah to Write</t>
    </r>
  </si>
  <si>
    <t>In Progress</t>
  </si>
  <si>
    <t>Week of June 22</t>
  </si>
  <si>
    <t>Turnkey Booth Option Follow-up</t>
  </si>
  <si>
    <t>Changes Needed</t>
  </si>
  <si>
    <t>Week of June 29</t>
  </si>
  <si>
    <t>Off Week – Fourth of July</t>
  </si>
  <si>
    <t>July 5th, 2026</t>
  </si>
  <si>
    <t>Water Bottles Deadline</t>
  </si>
  <si>
    <t>Week of July 6</t>
  </si>
  <si>
    <t>Booth Push</t>
  </si>
  <si>
    <t>https://us6.campaign-archive.com/?e=__test_email__&amp;u=97c5aa1f46&amp;id=3cda10a2d8</t>
  </si>
  <si>
    <t>Week of July 13</t>
  </si>
  <si>
    <t>Own the Stage in Baltimore</t>
  </si>
  <si>
    <t>Sunrise &amp; Insight Sessions, $11,500, content due Aug 7</t>
  </si>
  <si>
    <t>Week of July 20</t>
  </si>
  <si>
    <t>Reach Them All Year, Not Just in Baltimore</t>
  </si>
  <si>
    <t>Year-Round: Dedicated E-Blast $4,500 (35.7% open, 8,000+ reach), News Scan ad, Social $4,000</t>
  </si>
  <si>
    <t>Week of July 27</t>
  </si>
  <si>
    <t>Connections 2026 Exhibitors + Targeted Partners</t>
  </si>
  <si>
    <t>Two Weeks to Lock Your Session</t>
  </si>
  <si>
    <t>Last call: Sunrise/Insight content deadline Aug 7</t>
  </si>
  <si>
    <t>Week of August 3</t>
  </si>
  <si>
    <t>Be the Reason They Connect</t>
  </si>
  <si>
    <t>Networking Event Promo $10K (1 left) + Scholarship $14,250</t>
  </si>
  <si>
    <t>Week of August 10</t>
  </si>
  <si>
    <t>Own the Walk Through Baltimore</t>
  </si>
  <si>
    <t>Venue: escalators, lobby banner $6K, column wrap $5K + Mobile App $10K (push notifications)</t>
  </si>
  <si>
    <t>Week of August 17</t>
  </si>
  <si>
    <t>Drive Traffic Straight to Your Booth</t>
  </si>
  <si>
    <t>Headshot Lounge $10K, Welcome Bar $5K, Passport to Prizes $1K (13 left)</t>
  </si>
  <si>
    <t>Week of August 24</t>
  </si>
  <si>
    <t>Hit $10K, Unlock Top Sponsor</t>
  </si>
  <si>
    <t>$10K+ unlocks priority points, ties to today's Space Selection Save the Date</t>
  </si>
  <si>
    <t>Week of August 31</t>
  </si>
  <si>
    <t>Off Week – Pre-Labor Day</t>
  </si>
  <si>
    <t>Week of September 7</t>
  </si>
  <si>
    <t>Still Time to Make an Impact</t>
  </si>
  <si>
    <t>Pre/Post Sponsor Email $4,500, Presentation Theater $4K, Onsite Podcast $1K</t>
  </si>
  <si>
    <t>Space Selection Appointment Times</t>
  </si>
  <si>
    <t>Week of September 14</t>
  </si>
  <si>
    <t>Baltimore Ends, Your Reach Doesn't</t>
  </si>
  <si>
    <t>Year-Round: Futurescan, Year-Round Thought Leadership (webinar/podcast/resource library), News Scan Sponsored Content $1K</t>
  </si>
  <si>
    <t>Week of September 21</t>
  </si>
  <si>
    <t>See You in Baltimore, Final Adds Open</t>
  </si>
  <si>
    <t>Last bookable onsite: Passport to Prizes $1K, Onsite Podcast $1K, Presentation Theater $4K</t>
  </si>
  <si>
    <t>Week of September 28</t>
  </si>
  <si>
    <t>Thanks for a Great Show, Keep the Momentum</t>
  </si>
  <si>
    <t>Post-Conference Sponsor Email $4,500 + year-round reach + early interest for 2027</t>
  </si>
  <si>
    <t xml:space="preserve">Reminder to Complete Survey </t>
  </si>
  <si>
    <r>
      <t xml:space="preserve">Post-Show Attendee List - </t>
    </r>
    <r>
      <rPr>
        <i/>
        <sz val="16"/>
        <color rgb="FFFF0000"/>
        <rFont val="Aptos"/>
      </rPr>
      <t>Events to Send</t>
    </r>
  </si>
  <si>
    <t xml:space="preserve">•	AI and digital transformation
•	Leadership and advanced strategy
•	Rural, small, children’s, and behavioral health perspectives
•	Analytics, privacy, and performance insights
•	Innovations that prepare teams for the future
</t>
  </si>
  <si>
    <t>Personas:</t>
  </si>
  <si>
    <t>-</t>
  </si>
  <si>
    <t>Marketing</t>
  </si>
  <si>
    <t>Strategic Planning</t>
  </si>
  <si>
    <t>Business Development</t>
  </si>
  <si>
    <t>Communications</t>
  </si>
  <si>
    <t>Public Relations</t>
  </si>
  <si>
    <t>Physician Relations</t>
  </si>
  <si>
    <t>DO NOT SELL AHE DEDICATED EMAILS 2026</t>
  </si>
  <si>
    <t>Email Sent</t>
  </si>
  <si>
    <t>Bounce Rate %</t>
  </si>
  <si>
    <t>AHE24 Non-Exhibitors</t>
  </si>
  <si>
    <t>dcooksey@smithbucklin.com</t>
  </si>
  <si>
    <t>AHE Exchange 2024 Sign-Up (w/ Sponsorship Highlight)</t>
  </si>
  <si>
    <t>Purchase booth space w/ sponsorship</t>
  </si>
  <si>
    <t>https://app.markup.io/invite/accept/92PmUeQo</t>
  </si>
  <si>
    <t>1.11.24 at 12:30 pm CST</t>
  </si>
  <si>
    <t>AHE24 Non-Exhibitors -&gt; Unopens from 1/10 email</t>
  </si>
  <si>
    <t>Duplicate 1/10 email and send to Unopens</t>
  </si>
  <si>
    <t>1.17.24 at 1 pm CST</t>
  </si>
  <si>
    <t>Year-Round Advertising (Webinars at top)
EVS News + Eblasts + Website</t>
  </si>
  <si>
    <t>Webinars, add in section at bottom with general list</t>
  </si>
  <si>
    <t>Similar to ASHE Ad Retargeting from 2/5
Include contact info/photos for Nick/Jordan</t>
  </si>
  <si>
    <t>https://app.markup.io/invite/accept/1eWeDQgD</t>
  </si>
  <si>
    <t>2.15.24 at 1:30 pm CST</t>
  </si>
  <si>
    <t>Exchange24 Exhibitors</t>
  </si>
  <si>
    <t>Exchange24 Sponsorships (Exhibit Hall Lunch/Reception focus)</t>
  </si>
  <si>
    <t>2.22.24 at 12:58 pm CST</t>
  </si>
  <si>
    <t>2023 Exchange Renewals</t>
  </si>
  <si>
    <t>Exchange24 Renewals (Join Us Again)</t>
  </si>
  <si>
    <t>2.27.24 at 7:30 am CST</t>
  </si>
  <si>
    <t>New Prospects</t>
  </si>
  <si>
    <t>Exchange24 New Exhibitors</t>
  </si>
  <si>
    <t>jowens@smithbucklin.com</t>
  </si>
  <si>
    <t>Exchange24 Sponsorships - Booth Traffic Drivers</t>
  </si>
  <si>
    <t>Booth Traffic Drivers</t>
  </si>
  <si>
    <t>Mimic 2/15 email</t>
  </si>
  <si>
    <t>https://app.markup.io/invite/accept/-UlLrVfK</t>
  </si>
  <si>
    <t>3.14.24 at 2 pm CST</t>
  </si>
  <si>
    <t>RESENDS OF 2/27 Email</t>
  </si>
  <si>
    <t>RESEND - Exchange24 Sign up (Join Us Again)</t>
  </si>
  <si>
    <t>3.13.24 at 11 pm CST</t>
  </si>
  <si>
    <t>RESEND - Exchange24 New Exhibitors</t>
  </si>
  <si>
    <t>Unopens from 3/14</t>
  </si>
  <si>
    <t>RESEND - 3/14 Exchange24 Sponsorships - Booth Traffic Drivers</t>
  </si>
  <si>
    <t>3.26.24 at 9:30 am CT</t>
  </si>
  <si>
    <r>
      <rPr>
        <b/>
        <sz val="16"/>
        <color rgb="FF000000"/>
        <rFont val="Aptos"/>
      </rPr>
      <t xml:space="preserve">PAUSED DUE TO BOUNCE RATE - </t>
    </r>
    <r>
      <rPr>
        <sz val="16"/>
        <color rgb="FF000000"/>
        <rFont val="Aptos"/>
      </rPr>
      <t>Year-Round Advertising (eBlasts)
EVS News + Webinars + Website</t>
    </r>
  </si>
  <si>
    <t>PAUSED DUE TO BOUNCE RATE</t>
  </si>
  <si>
    <t>3.28.24 at 9:30 am CT (PAUSED DUE TO BOUNCE RATE)</t>
  </si>
  <si>
    <t>Resend but remove Delivered + Hard Bounces</t>
  </si>
  <si>
    <r>
      <rPr>
        <b/>
        <sz val="16"/>
        <color theme="1"/>
        <rFont val="Aptos"/>
      </rPr>
      <t>NEW SEND</t>
    </r>
    <r>
      <rPr>
        <sz val="16"/>
        <color theme="1"/>
        <rFont val="Aptos"/>
      </rPr>
      <t xml:space="preserve"> - Year-Round Advertising (eBlasts)
EVS News + Webinars + Website</t>
    </r>
  </si>
  <si>
    <t>4.2.24 at 2 pm CT</t>
  </si>
  <si>
    <t>Exchange24 Sponsorships (Bags and more)</t>
  </si>
  <si>
    <t>Discussion in 3/26 AHE call was that we have about 1 month to find bag sponsor.</t>
  </si>
  <si>
    <t>4.4.24 at 10:45 am CT</t>
  </si>
  <si>
    <t>RESEND of 4/4 - Exchange24 Sponsorships (Bags and more)</t>
  </si>
  <si>
    <t>4.8.24 at 2:15 pm CT</t>
  </si>
  <si>
    <t>2023 Exhibitors (Non-2024)</t>
  </si>
  <si>
    <t>Exhcange24 Renewals</t>
  </si>
  <si>
    <t>4.11.23 at 9:30 am CT</t>
  </si>
  <si>
    <t>New Exhibitors (Non-2023 or earlier)</t>
  </si>
  <si>
    <t>RESEND</t>
  </si>
  <si>
    <t>RESEND of 4/11 - Exchange24 Renewals</t>
  </si>
  <si>
    <t>4.16.24 at 10:15 am CT</t>
  </si>
  <si>
    <t>RESEND of 4/11 - Exchange24 New Exhibitors</t>
  </si>
  <si>
    <t>Nick S Out of Country</t>
  </si>
  <si>
    <t>Website Placements - Pending Updates</t>
  </si>
  <si>
    <t>AHE.org HomeOage Updates</t>
  </si>
  <si>
    <t xml:space="preserve">Patrick M discussed on 4/9 call. Nick S sent options for confirmation -&gt; once approved, add to site. </t>
  </si>
  <si>
    <t>http://45453426.hs-sites.com/ahe-website-advertising?hs_preview=JWYvyBnX-164759979533</t>
  </si>
  <si>
    <t>4.23.24 at 1:15 pm CT</t>
  </si>
  <si>
    <t>RESEND of 4/23 Website Placements - Pending Updates</t>
  </si>
  <si>
    <t>4.30.24 at 10:15 am CT</t>
  </si>
  <si>
    <t>Nick F at NPE 5/5 - 5/10</t>
  </si>
  <si>
    <t xml:space="preserve">Exchange24 Sponsorships </t>
  </si>
  <si>
    <t>Leverage Exchange23 Attendee Data
Years of Experience
WHY YOU SHOULD SPONSOR</t>
  </si>
  <si>
    <t>Nick F OOO so email to be scheduled week of 4/29</t>
  </si>
  <si>
    <t>5.7.24 at 8:45 am CT</t>
  </si>
  <si>
    <t xml:space="preserve">Leverage Exchange23 Attendee Data
Years of Experience
</t>
  </si>
  <si>
    <t>Exhcange24 New Exhibitors</t>
  </si>
  <si>
    <t xml:space="preserve">RESEND of 5/7 - Exchange24 Sponsorships </t>
  </si>
  <si>
    <t>5.14.24 at 1:30 pm CT</t>
  </si>
  <si>
    <t>RESEND of 5/7 - Exhcange24 Renewals</t>
  </si>
  <si>
    <t>RESEND of 5/7 - Exhcange24 New Exhibitors</t>
  </si>
  <si>
    <t>AHE Year-Round Advertising (AHE.org + Webinars - Industry/Thought Leader)</t>
  </si>
  <si>
    <t>Over 67% of AHE members are Supervisor, Director or Manager-Level -&gt; Reach EVS Decision-Makers with Buying Power</t>
  </si>
  <si>
    <t>5.21.24 at 1:30 pm CT</t>
  </si>
  <si>
    <t>Unopens from 5/21</t>
  </si>
  <si>
    <t>RESEND of 5/21 AHE Year-Round Advertising (AHE.org + Webinars - Industry/Thought Leader)</t>
  </si>
  <si>
    <t>6.4.24 at 12:15 pm CT</t>
  </si>
  <si>
    <t>2024 Exchange Exhbitors</t>
  </si>
  <si>
    <t>AHE@smithbucklin.com</t>
  </si>
  <si>
    <t>Exchange24 Exhibitor Bulletin #2</t>
  </si>
  <si>
    <t>6.6.24 at 2 pm CT</t>
  </si>
  <si>
    <t>Exchange24 Sponsorships (Low Cost Options)</t>
  </si>
  <si>
    <t>Most "Bang for Your Buck" -&gt; only options that can be fulfilled (Search for Solutions/Mobile App/bag Inserts...etc)</t>
  </si>
  <si>
    <t>6.11.14 at 11 am CT</t>
  </si>
  <si>
    <t>Jowens@smithbucklin.com</t>
  </si>
  <si>
    <t>AHE Year-Round (Dedicated Emails w/ EVS News Call Out)</t>
  </si>
  <si>
    <t>No Resend planned for now (5/21/24)</t>
  </si>
  <si>
    <t>6.20.24 at 1:15 pm CT</t>
  </si>
  <si>
    <t>Exchange25 Contracts Are Live -&gt; Sign Up Now and/or at Space Selection</t>
  </si>
  <si>
    <t>6.26.24 at 9:15 am</t>
  </si>
  <si>
    <t>Unopens from 6/25</t>
  </si>
  <si>
    <t>RESEND - Exchange25 Contracts Are Live -&gt; Sign Up Now and/or at Space Selection</t>
  </si>
  <si>
    <t>7.2.24 at 9 am CT</t>
  </si>
  <si>
    <t>Full List</t>
  </si>
  <si>
    <t>See You in Phoenix/Space Selection</t>
  </si>
  <si>
    <t>Space Selection times</t>
  </si>
  <si>
    <t>SUBMIT CONTRACT BEFORE ON SITE</t>
  </si>
  <si>
    <t>2024 Exhibitors</t>
  </si>
  <si>
    <t>Exchange24 - Pack Your Bags</t>
  </si>
  <si>
    <t>Isabella requested 7/8 -&gt; will provided content.</t>
  </si>
  <si>
    <t>7.12.24 at 9 am CT</t>
  </si>
  <si>
    <t>FINAL REMINDER - See You in Phoenix/Space Selection (FULL LIST)</t>
  </si>
  <si>
    <t>AHE's KBYG Email - 7/18</t>
  </si>
  <si>
    <t>AHE Exchange 2024: July 21-24, Phoenix, AZ</t>
  </si>
  <si>
    <t>7/22/2024 at 9 am MST</t>
  </si>
  <si>
    <t>LAST REMINDER - Space Selection (FULL LIST)</t>
  </si>
  <si>
    <t>Remove "See You Soon" and send at 8:30 am or earlier local time to Phoenix.</t>
  </si>
  <si>
    <t>7.22.24 at 11 am CT</t>
  </si>
  <si>
    <t>Thanks for Joining Us/Survey</t>
  </si>
  <si>
    <t>Complete survey by ____</t>
  </si>
  <si>
    <t>7.30.24 at 1:30 pm CT</t>
  </si>
  <si>
    <t>Non Exhibitors</t>
  </si>
  <si>
    <t>Sign up for AHE Exchange 2025.</t>
  </si>
  <si>
    <t>8.1.24. at 2:30 pm CT</t>
  </si>
  <si>
    <t>Unopens from 7/30</t>
  </si>
  <si>
    <t>RESEND of 7/30 Thanks for Joining Us/Survey</t>
  </si>
  <si>
    <t>8.2.24 at 1:30 pm CT</t>
  </si>
  <si>
    <t>Year-Round (Webinars)</t>
  </si>
  <si>
    <t>8.13.24 at 2:230 pm CT</t>
  </si>
  <si>
    <t>Unopens from 8/13</t>
  </si>
  <si>
    <t>RESEND - Year-Round Webinars</t>
  </si>
  <si>
    <t>8.20.24 at 2:30 pm CT</t>
  </si>
  <si>
    <t>Year-Round (EVS + eBlasts)</t>
  </si>
  <si>
    <t>8.27.24 at 2:15 pm CT</t>
  </si>
  <si>
    <t>Non-2025 Contracted</t>
  </si>
  <si>
    <t>2025 Floor Plan is Live! (Exchange25)</t>
  </si>
  <si>
    <t>9.10.24 at 2:30 pm CT</t>
  </si>
  <si>
    <t>RESEND - 2025 Floor Plan is Live! (Exchange25)</t>
  </si>
  <si>
    <t>9.17.24 at 2:30 pm CT</t>
  </si>
  <si>
    <t>AHRMM24</t>
  </si>
  <si>
    <t>Year-Round (Digital Opps)</t>
  </si>
  <si>
    <t>Afternoon Send on Monday 9/30</t>
  </si>
  <si>
    <t>ASHRM24</t>
  </si>
  <si>
    <t xml:space="preserve">SHSMD24 </t>
  </si>
  <si>
    <t>Unopens from 9/30</t>
  </si>
  <si>
    <t>RESEND of 9/30 Year-Round Digital Opps</t>
  </si>
  <si>
    <t>Likely a full database send w/ new opps. (TBD as of 7/30)</t>
  </si>
  <si>
    <t>http://45453426.hs-sites.com/ahe-digital-ad-reminder</t>
  </si>
  <si>
    <t>Contracted 2025 Exhibitors</t>
  </si>
  <si>
    <t>Exchange25 - Sponsorship Promo</t>
  </si>
  <si>
    <t>Industry Symposia, Lanyards, attendee bags, and water bottles</t>
  </si>
  <si>
    <t>http://45453426.hs-sites.com/exchange25-sponsorship-opportunities</t>
  </si>
  <si>
    <t>Non-Contracted 2025</t>
  </si>
  <si>
    <t>Exchange25 Booth Promo</t>
  </si>
  <si>
    <t>We didn't see you, join us at this time next year</t>
  </si>
  <si>
    <t>http://45453426.hs-sites.com/secure-a-booth-for-exchange25</t>
  </si>
  <si>
    <t>List from 11/7</t>
  </si>
  <si>
    <t>Opens/Clicks from 11/7</t>
  </si>
  <si>
    <t>http://45453426.hs-sites.com/elevate-your-brand-discover-exclusive-sponsorships-at-exchange25</t>
  </si>
  <si>
    <t>http://45453426.hs-sites.com/we-missed-you-last-year-secure-personalization_tokencontact.company-your-organization-s-booth-for-next-years-exchange25</t>
  </si>
  <si>
    <t>Advertising Launch: Jumpstart Your 2025 Marketing</t>
  </si>
  <si>
    <t>https://www.ahemediakit.org/advertise/</t>
  </si>
  <si>
    <t>List 1</t>
  </si>
  <si>
    <t>http://45453426.hs-sites.com/jumpstart-your-2025-marketing-with-ahe-advertising-opportunities-2</t>
  </si>
  <si>
    <t>List 2</t>
  </si>
  <si>
    <t>Exchange Booths</t>
  </si>
  <si>
    <t>https://www.ahemediakit.org/ahe-exchange/become-an-exhibitor/</t>
  </si>
  <si>
    <t>http://45453426.hs-sites.com/secure-your-booth-at-exchange25</t>
  </si>
  <si>
    <t>Sent 12.12.24</t>
  </si>
  <si>
    <t>Exchange Sponsorships</t>
  </si>
  <si>
    <t>http://45453426.hs-sites.com/elevate-your-brand-discover-exclusive-sponsorships-at-exchange25-1</t>
  </si>
  <si>
    <t>Happy Holidays from AHE</t>
  </si>
  <si>
    <t>http://45453426.hs-sites.com/happy-holidays-from-ahe</t>
  </si>
  <si>
    <t xml:space="preserve">2025 AHE Advertising </t>
  </si>
  <si>
    <t>Prepare yourself for the year ahead!</t>
  </si>
  <si>
    <t>http://45453426.hs-sites.com/2025-ahe-advertising</t>
  </si>
  <si>
    <t>Send Content Directly to Member Inboxes</t>
  </si>
  <si>
    <t>AHE EVS News</t>
  </si>
  <si>
    <t>http://45453426.hs-sites.com/reach-16300-evs-professionals-directly</t>
  </si>
  <si>
    <t>Exchange25 Exhibitors</t>
  </si>
  <si>
    <t>Exchange25 Sponsorship Push</t>
  </si>
  <si>
    <t>Water Bottles, Lanyards, Bags, Venue Branding now LIVE - Reach out to Nick to check</t>
  </si>
  <si>
    <t>https://www.ahemediakit.org/ahe-exchange/sponsorship-opportunities/#:~:text=Venue%20Branding,-Reserve%20your%20sponsorship</t>
  </si>
  <si>
    <t>http://45453426.hs-sites.com/exchange-25-sponsorships-venue-branding</t>
  </si>
  <si>
    <t>Make the Most of Your Exchange25 Experience</t>
  </si>
  <si>
    <t>Enhance your experience with sponsorships</t>
  </si>
  <si>
    <t>Floor plan is SOLD OUT!</t>
  </si>
  <si>
    <t>http://45453426.hs-sites.com/dont-miss-out-elevate-your-brand-at-exchange25</t>
  </si>
  <si>
    <t>Build Your Pre-Conference Strategy</t>
  </si>
  <si>
    <t>Emails, digital</t>
  </si>
  <si>
    <t>http://45453426.hs-sites.com/expand-your-reach-with-ahes-advertising-opportunities</t>
  </si>
  <si>
    <t>Feburary 20, 2025</t>
  </si>
  <si>
    <r>
      <rPr>
        <sz val="16"/>
        <color rgb="FF000000"/>
        <rFont val="Aptos"/>
      </rPr>
      <t>Exhibitor Bulletin #1 -</t>
    </r>
    <r>
      <rPr>
        <i/>
        <sz val="16"/>
        <color rgb="FFFF0000"/>
        <rFont val="Aptos"/>
      </rPr>
      <t xml:space="preserve"> Info from MiAnna</t>
    </r>
  </si>
  <si>
    <t>http://45453426.hs-sites.com/exchange25-exhibitor-bulletin-1</t>
  </si>
  <si>
    <t>Connect with the AHE Audience Year-Round</t>
  </si>
  <si>
    <t>http://45453426.hs-sites.com/expand-your-presence-at-exchange25-with-ahes-pre-conference-advertising</t>
  </si>
  <si>
    <t>Hit Your Conference Goals with These Opportunities</t>
  </si>
  <si>
    <t>Water Bottles, Lanyards Deadline March 18</t>
  </si>
  <si>
    <t>Market options based on goal - networking, lead generation, booth traffic</t>
  </si>
  <si>
    <t>http://45453426.hs-sites.com/maximize-your-impact-at-exchange25-with-exclusive-opportunities</t>
  </si>
  <si>
    <t>Sponsorship Madness: Stand Out in Columbus</t>
  </si>
  <si>
    <t>Search for Solutions, eBlasts, Clings</t>
  </si>
  <si>
    <t>Plan on March Madness?</t>
  </si>
  <si>
    <t>http://45453426.hs-sites.com/explore-unique-ways-to-boost-your-brand-at-exchange25</t>
  </si>
  <si>
    <t>Go Beyond Your Booth at Exchange25</t>
  </si>
  <si>
    <t>Highlight additional sponsor benefits - include sponsor thank you</t>
  </si>
  <si>
    <t>http://45453426.hs-sites.com/dont-miss-out-elevate-your-brand-at-exchange25-1</t>
  </si>
  <si>
    <t>Exchange25 Water Bottles &amp; Lanyards Deadline</t>
  </si>
  <si>
    <t>March 20, 2025</t>
  </si>
  <si>
    <r>
      <t xml:space="preserve">Exhibitor Bulletin #2 - </t>
    </r>
    <r>
      <rPr>
        <i/>
        <sz val="16"/>
        <color rgb="FFFF0000"/>
        <rFont val="Aptos"/>
      </rPr>
      <t>Send to Non-Opens?</t>
    </r>
  </si>
  <si>
    <t>http://45453426.hs-sites.com/exchange25-exhibitor-bulletin-2</t>
  </si>
  <si>
    <t>Dedicated Emails</t>
  </si>
  <si>
    <t>Include statistics</t>
  </si>
  <si>
    <t>https://www.ahemediakit.org/advertise/dedicated-emails/</t>
  </si>
  <si>
    <t>http://45453426.hs-sites.com/send-content-directly-to-ahe-members-inboxes</t>
  </si>
  <si>
    <t>Drive Booth Traffic at Exchange25</t>
  </si>
  <si>
    <t>Call out Tote Bag deadline</t>
  </si>
  <si>
    <t>Booth traffic drivers, low ticket items</t>
  </si>
  <si>
    <t>http://45453426.hs-sites.com/start-your-day-right-prep-for-exchange25-with-this-morning-routine</t>
  </si>
  <si>
    <t>Targeted List?</t>
  </si>
  <si>
    <t>Corporate Sponsorship Launch Promotion</t>
  </si>
  <si>
    <t>https://www.ahemediakit.org/partner/</t>
  </si>
  <si>
    <t>https://www.ahemediakit.org/corporate-champion-program/</t>
  </si>
  <si>
    <t>https://45453426.hs-sites.com/stand-out-as-an-ahe-corporate-champion</t>
  </si>
  <si>
    <t>Exchange25 Tote Bags Deadline</t>
  </si>
  <si>
    <t>April 14, 2025</t>
  </si>
  <si>
    <t>Exhibitor Bulletin #3 - MiAnna provides info</t>
  </si>
  <si>
    <t>https://45453426.hs-sites.com/exchange25-exhibitor-bulletin-3</t>
  </si>
  <si>
    <t>Sent 4.15.25</t>
  </si>
  <si>
    <t>Upcoming AHE Exhibitor Webinar</t>
  </si>
  <si>
    <t>Include registration link, date, time</t>
  </si>
  <si>
    <t>http://45453426.hs-sites.com/key-exhibit-tips-and-deadlines-for-columbus-join-us-live-april-29</t>
  </si>
  <si>
    <t>Sent 4.21.25</t>
  </si>
  <si>
    <t>x</t>
  </si>
  <si>
    <t>ahe@smithbucklin.com</t>
  </si>
  <si>
    <t>Reminder: Upcoming AHE Exhibitor Webinar</t>
  </si>
  <si>
    <t>Don't miss it!</t>
  </si>
  <si>
    <t>http://45453426.hs-sites.com/reminder-register-now-for-the-exchange25-logistics-webinar</t>
  </si>
  <si>
    <t>Connect with Members Before Exchange25</t>
  </si>
  <si>
    <t>Emails, EVS News</t>
  </si>
  <si>
    <t>http://45453426.hs-sites.com/connect-with-attendees-before-exchange25</t>
  </si>
  <si>
    <t>Sent 4.22.25</t>
  </si>
  <si>
    <t>Week of April  28</t>
  </si>
  <si>
    <t>Webinar Thank You</t>
  </si>
  <si>
    <t>Make sure to add recording to microsite - ask Hanna</t>
  </si>
  <si>
    <t>http://45453426.hs-sites.com/reminder-register-now-for-the-exchange25-logistics-webinar-1</t>
  </si>
  <si>
    <t>EVS Week &amp; Webinars (fron 4.1.25 draft)</t>
  </si>
  <si>
    <t>https://www.ahemediakit.org/advertise/evs-week/</t>
  </si>
  <si>
    <t>http://45453426.hs-sites.com/maximize-your-reach-with-sponsored-webinars</t>
  </si>
  <si>
    <t>Exhibitor Webinar - 1:30PM EST</t>
  </si>
  <si>
    <t>Save the Date for Booth Selection - MiAnna &amp; Doreen</t>
  </si>
  <si>
    <t>http://45453426.hs-sites.com/space-selection-save-the-date</t>
  </si>
  <si>
    <t>kmcdonnell@smithbucklin.com</t>
  </si>
  <si>
    <t>Last Call: Sponsorships Going Fast!</t>
  </si>
  <si>
    <t>https://45453426.hs-sites.com/boost-visibility-with-ahe-sponsorships.-act-now</t>
  </si>
  <si>
    <t>Sent 5.13.25</t>
  </si>
  <si>
    <t>May 19, 2025</t>
  </si>
  <si>
    <t>Pre-Show Attendee List</t>
  </si>
  <si>
    <t>Hannah to help</t>
  </si>
  <si>
    <t>http://45453426.hs-sites.com/exchange25-space-selection-appointments</t>
  </si>
  <si>
    <t>May 28, 2025</t>
  </si>
  <si>
    <t>Assigned Space Selection TIme</t>
  </si>
  <si>
    <t>June</t>
  </si>
  <si>
    <t>Bi-Weekly Sends: Corporate Sponsor &amp; Advertising</t>
  </si>
  <si>
    <t>Make a Splash This Summer with AHE Advertising</t>
  </si>
  <si>
    <t>https://45453426.hs-sites.com/reach-evs-professionals-with-dedicated-emails-webinars</t>
  </si>
  <si>
    <t>Sent 6.3.25</t>
  </si>
  <si>
    <t>June 2, 2025</t>
  </si>
  <si>
    <t>Exhibitor Bulletin #4 - Pack Your Bags / Know Before You Go</t>
  </si>
  <si>
    <t>https://45453426.hs-sites.com/exchange25-exhibitor-bulletin-4</t>
  </si>
  <si>
    <t>Sent 6.4.25</t>
  </si>
  <si>
    <t>June 5, 2025</t>
  </si>
  <si>
    <t>Assigned Space Selection Time Reminder</t>
  </si>
  <si>
    <t>http://45453426.hs-sites.com/your-space-selection-appointment-date-time-at-exchange25-reminder</t>
  </si>
  <si>
    <t>Off Week - Flip Microsite to Exchange26 Exhibits</t>
  </si>
  <si>
    <t>June 8-11, 2025</t>
  </si>
  <si>
    <t>Exchange25 | Columbus, OH</t>
  </si>
  <si>
    <t>June 11, 2025</t>
  </si>
  <si>
    <r>
      <t xml:space="preserve">Thank You Email - Include Exhibitor Survey - </t>
    </r>
    <r>
      <rPr>
        <i/>
        <sz val="16"/>
        <color rgb="FFFF0000"/>
        <rFont val="Aptos"/>
      </rPr>
      <t>Email Doreen for Survey Link</t>
    </r>
  </si>
  <si>
    <t>https://45453426.hs-sites.com/ahe-2025-exhibitor-survey</t>
  </si>
  <si>
    <t>Spotlight Your Product or Service to the AHE Audience</t>
  </si>
  <si>
    <t>Webinars</t>
  </si>
  <si>
    <t>https://45453426.hs-sites.com/grow-your-audience-with-ahe-webinar-sponsorship</t>
  </si>
  <si>
    <t>June 17, 2025</t>
  </si>
  <si>
    <t>https://45453426.hs-sites.com/ahe-2025-exhibitor-survey-1</t>
  </si>
  <si>
    <t>These Opportunities are Heating Up</t>
  </si>
  <si>
    <t>Summer Send - Hot Items in Salesforce</t>
  </si>
  <si>
    <t>Digital Email Blast, EVS Newsletter Top/Leaderboard Ad &amp; Medium Rectangle, EVS News Sponsored Content</t>
  </si>
  <si>
    <t>https://45453426.hs-sites.com/act-now-hot-ahe-opportunities-you-need</t>
  </si>
  <si>
    <t>June 24, 2025</t>
  </si>
  <si>
    <t>Post-Show Attendee List</t>
  </si>
  <si>
    <t>Exchange25 Renewals</t>
  </si>
  <si>
    <t>We Missed You in Columbus</t>
  </si>
  <si>
    <t>Include Exchange26 Exhibitor Page Link</t>
  </si>
  <si>
    <t>https://45453426.hs-sites.com/ahe-2025-exhibitor-survey-2</t>
  </si>
  <si>
    <t>Keep the Exchange25 Interested</t>
  </si>
  <si>
    <t>Year-Round Opportunities</t>
  </si>
  <si>
    <t>https://45453426.hs-sites.com/keep-the-exchange25-buzz-going</t>
  </si>
  <si>
    <t>Extend Your Reach Using AHE.org</t>
  </si>
  <si>
    <t>http://45453426.hs-sites.com/get-seen-by-evs-pros-where-it-matters-most</t>
  </si>
  <si>
    <t>Sent 7.29.25</t>
  </si>
  <si>
    <t>Make Sure Your Organization Remains Relevant post Exchange25</t>
  </si>
  <si>
    <t>https://45453426.hs-sites.com/engage-16000-evs-professionals</t>
  </si>
  <si>
    <t>Entire Databse</t>
  </si>
  <si>
    <t>Reach Enviromental Service Leaders Today</t>
  </si>
  <si>
    <t>Digital Advertising Options</t>
  </si>
  <si>
    <t>https://45453426.hs-sites.com/get-seen-by-evs-pros-where-it-matters-most-ahe.org</t>
  </si>
  <si>
    <t>Exchange25 Non-Renewals</t>
  </si>
  <si>
    <t>Will we see you next year?</t>
  </si>
  <si>
    <t>https://45453426.hs-sites.com/will-we-see-you-next-year</t>
  </si>
  <si>
    <t>Week of October 6th</t>
  </si>
  <si>
    <t>Target the AHE Audience This Fall - Coming Soon 2026 Opportunities</t>
  </si>
  <si>
    <t>Media Kit Launches Mid-October</t>
  </si>
  <si>
    <t>https://45453426.hs-sites.com/target-the-audience-this-fall</t>
  </si>
  <si>
    <t>If You're Not Taking Full Advantage of Year-Round Ads You're Missing out</t>
  </si>
  <si>
    <t>Webinars &amp; Dedicated Emails</t>
  </si>
  <si>
    <t>https://45453426.hs-sites.com/dont-let-your-brand-collect-dust-stay-top-of-mind-year-round</t>
  </si>
  <si>
    <t>Sent 10.21.25</t>
  </si>
  <si>
    <t>Week of October 13th</t>
  </si>
  <si>
    <t>Week of October 20th</t>
  </si>
  <si>
    <t>2026 Sponsorships coming soon - Early Access</t>
  </si>
  <si>
    <t>Fill out form to see sponsorships before anyone else</t>
  </si>
  <si>
    <t>Sponsorship grid SHOULD be complete by this date</t>
  </si>
  <si>
    <t>https://45453426.hs-sites.com/2026-sponsorships-coming-soon</t>
  </si>
  <si>
    <t>Week of October 27th</t>
  </si>
  <si>
    <t>Week of November 3rd</t>
  </si>
  <si>
    <t>Week of November 10th</t>
  </si>
  <si>
    <t>Premium Placement on Premium Resources</t>
  </si>
  <si>
    <t>AHE EVS News &amp; AHE.org</t>
  </si>
  <si>
    <t>https://45453426.hs-sites.com/keep-your-brand-shining-all-year-with-ahe</t>
  </si>
  <si>
    <t>Week of November 17th</t>
  </si>
  <si>
    <t>2026 Year-Round Media Kit Launch</t>
  </si>
  <si>
    <t>Most popular opportunities, break it out into categories</t>
  </si>
  <si>
    <t>Make live on microsite Monday, launch email Tuesday</t>
  </si>
  <si>
    <t>https://45453426.hs-sites.com/your-early-access-to-ahe-exchange-2026</t>
  </si>
  <si>
    <t>Sent 11.18.25</t>
  </si>
  <si>
    <t>Week of November 24th</t>
  </si>
  <si>
    <t xml:space="preserve">AHE Year-round final 2025 push </t>
  </si>
  <si>
    <t>https://45453426.hs-sites.com/ahe-year-round-final-2025-push</t>
  </si>
  <si>
    <t>Sent 11.25.25</t>
  </si>
  <si>
    <t>Week of December 1st</t>
  </si>
  <si>
    <t>Week of December 8th</t>
  </si>
  <si>
    <t>AHE Digest #1</t>
  </si>
  <si>
    <t>All Advertising Opportuniuties</t>
  </si>
  <si>
    <t>Advertising Digest?</t>
  </si>
  <si>
    <t>http://45453426.hs-sites.com/ahe-digest-december-edition-webinar-opportunities</t>
  </si>
  <si>
    <t>Early Access Launch Exchange26</t>
  </si>
  <si>
    <t>Maybe just send copy to Kevin for personalized email send?</t>
  </si>
  <si>
    <t>Ready to Send</t>
  </si>
  <si>
    <t>Kevin to send personalized copy</t>
  </si>
  <si>
    <t>Week of December 15th</t>
  </si>
  <si>
    <t xml:space="preserve">Happy Hoildays from AHE </t>
  </si>
  <si>
    <t>looking forward to seeing you next year</t>
  </si>
  <si>
    <t>https://45453426.hs-sites.com/celebrating-the-season-with-ahe</t>
  </si>
  <si>
    <t>Week of December 22nd</t>
  </si>
  <si>
    <t>Week of December 29th</t>
  </si>
  <si>
    <t>Week of January 5th</t>
  </si>
  <si>
    <t>Week of January 12th</t>
  </si>
  <si>
    <t>AHE Digest #2</t>
  </si>
  <si>
    <t xml:space="preserve">Targeted segment </t>
  </si>
  <si>
    <t>Advertising Digest</t>
  </si>
  <si>
    <t>https://45453426.hs-sites.com/ahe-digest-january-edition-dedicated-email-opportunities</t>
  </si>
  <si>
    <t>Week of January 19th</t>
  </si>
  <si>
    <t>Week of January 26th</t>
  </si>
  <si>
    <t>January 27th, 2026</t>
  </si>
  <si>
    <t>Own the Conversation in EVS All Year</t>
  </si>
  <si>
    <t>AHE Media Kit (Year-Round Advertising)</t>
  </si>
  <si>
    <t>https://45453426.hs-sites.com/your-next-evs-leads-are-already-here-</t>
  </si>
  <si>
    <t>Sent 1.27.26</t>
  </si>
  <si>
    <t>Week of Feburary 2nd</t>
  </si>
  <si>
    <t>February 4th, 2026</t>
  </si>
  <si>
    <t>Exchange26 Exhibitors</t>
  </si>
  <si>
    <t xml:space="preserve">2026 Official Sponsorship Launch </t>
  </si>
  <si>
    <t>Check with Kevin &amp; Kris to make sure this launch date is attainable</t>
  </si>
  <si>
    <t>https://45453426.hs-sites.com/first-look-2026-sponsorships-just-launched</t>
  </si>
  <si>
    <t>February 5th, 2026</t>
  </si>
  <si>
    <t>AHE Digest #3</t>
  </si>
  <si>
    <t>https://45453426.hs-sites.com/your-next-best-lead-source-ahe-webinars</t>
  </si>
  <si>
    <t>Week of Feburary 9th</t>
  </si>
  <si>
    <t>Week of Feburary 16th</t>
  </si>
  <si>
    <t>February 20th, 2026</t>
  </si>
  <si>
    <t>Stay Top-of-Mind in Every Touchpoint</t>
  </si>
  <si>
    <t>https://45453426.hs-sites.com/boost-booth-traffic-at-ahe-exchange</t>
  </si>
  <si>
    <t>Sent 2.20.26</t>
  </si>
  <si>
    <t>Week of Feburary 23rd</t>
  </si>
  <si>
    <t>February 24th, 2026</t>
  </si>
  <si>
    <t>Get Seen Fast: High-Impact Visibility Starts Here</t>
  </si>
  <si>
    <t xml:space="preserve">AHE.org </t>
  </si>
  <si>
    <t>https://45453426.hs-sites.com/stay-visible-on-ahe.org-year-round</t>
  </si>
  <si>
    <t>Week of March 2nd</t>
  </si>
  <si>
    <t>Week of March 9th</t>
  </si>
  <si>
    <t>March 11th, 2026</t>
  </si>
  <si>
    <t>AHE Digest #4</t>
  </si>
  <si>
    <t>https://45453426.hs-sites.com/put-your-message-in-every-inbox-ahe-dedicated-emails</t>
  </si>
  <si>
    <t>Week of March 16th</t>
  </si>
  <si>
    <t>March 19th, 2026</t>
  </si>
  <si>
    <t>https://45453426.hs-sites.com/sponsorship-madness-stand-out-in-new-orleans</t>
  </si>
  <si>
    <t>Week of March 23rd</t>
  </si>
  <si>
    <t>Week of March 30th</t>
  </si>
  <si>
    <t>March 31st, 2026</t>
  </si>
  <si>
    <t>Close the Quarter Strong with AHE Visibility</t>
  </si>
  <si>
    <t>https://45453426.hs-sites.com/close-the-quarter-strong-with-ahe-visibility</t>
  </si>
  <si>
    <t xml:space="preserve">Off Week - Kevin on PTO &amp; Exhibitor Bulletin going out </t>
  </si>
  <si>
    <t>April 9th</t>
  </si>
  <si>
    <r>
      <rPr>
        <sz val="16"/>
        <color rgb="FF000000"/>
        <rFont val="Aptos"/>
      </rPr>
      <t xml:space="preserve">Exhibitor Bulletin #1 - </t>
    </r>
    <r>
      <rPr>
        <i/>
        <sz val="16"/>
        <color rgb="FFFF0000"/>
        <rFont val="Aptos"/>
      </rPr>
      <t>Send 4/9</t>
    </r>
  </si>
  <si>
    <t>https://45453426.hs-sites.com/exchange26-exhibitor-bulletin-1</t>
  </si>
  <si>
    <t>Pushed to 4/14</t>
  </si>
  <si>
    <t>April 17th, 2026</t>
  </si>
  <si>
    <t>Exchange26 Showcase Pavilion &amp; First Timers Reception</t>
  </si>
  <si>
    <t>https://www.ahemediakit.org/ahe-exchange/sponsorship-opportunities/speaking-and-engagement/#:~:text=NEW!%20Exchange26%20Showcase%20Pavilion</t>
  </si>
  <si>
    <t>https://45453426.hs-sites.com/new-at-exchange26-two-fresh-ways-to-get-seen</t>
  </si>
  <si>
    <t>April 20th, 2026</t>
  </si>
  <si>
    <t xml:space="preserve">General AHE Advertsing Push </t>
  </si>
  <si>
    <t>https://45453426.hs-sites.com/expand-your-reach-with-ahe-advertising-opportunities</t>
  </si>
  <si>
    <t>Sent 4.20.26</t>
  </si>
  <si>
    <t>April 29th, 2026</t>
  </si>
  <si>
    <t>Sponsorship Push - Venue Branding now LIVE</t>
  </si>
  <si>
    <t>https://www.ahemediakit.org/ahe-exchange/sponsorship-opportunities/venue-branding-and-meeting-space/</t>
  </si>
  <si>
    <t>Included Unengaged</t>
  </si>
  <si>
    <t>https://45453426.hs-sites.com/ahe-venue-branding-just-dropped</t>
  </si>
  <si>
    <t>Sent 4.29.26</t>
  </si>
  <si>
    <t>May 4th</t>
  </si>
  <si>
    <t>https://45453426.hs-sites.com/exchange26-exhibitor-bulletin-2</t>
  </si>
  <si>
    <t>Sent 5.4.26</t>
  </si>
  <si>
    <t>May 6th, 2026</t>
  </si>
  <si>
    <t xml:space="preserve">Reg bags and Lanyards with Registration Bags Conference Inserts </t>
  </si>
  <si>
    <t>https://www.ahemediakit.org/ahe-exchange/sponsorship-opportunities/branding-and-advertising/#:~:text=Attendee%20Conference%20Bag%20Insert</t>
  </si>
  <si>
    <t>https://www.ahemediakit.org/ahe-exchange/sponsorship-opportunities/branding-and-advertising/#:~:text=Attendee%20Conference%20Bags%20and%20Lanyards</t>
  </si>
  <si>
    <t>https://45453426.hs-sites.com/put-your-brand-in-every-attendees-hands-at-exchange26</t>
  </si>
  <si>
    <t>Week of May 11</t>
  </si>
  <si>
    <t>May 13th, 2026</t>
  </si>
  <si>
    <t>EVS Week</t>
  </si>
  <si>
    <t>https://45453426.hs-sites.com/put-your-brand-behind-evs-week-recognition</t>
  </si>
  <si>
    <t>Sent 5.13.26</t>
  </si>
  <si>
    <t>May 19th, 2026</t>
  </si>
  <si>
    <t xml:space="preserve"> booth upgrade for $700 add too bottom </t>
  </si>
  <si>
    <t>https://45453426.hs-sites.com/stand-out-at-exchange26-with-two-new-opportunities</t>
  </si>
  <si>
    <t>Off Week - Memorial Day</t>
  </si>
  <si>
    <t>June 4th, 2026</t>
  </si>
  <si>
    <t>AHE Webinars</t>
  </si>
  <si>
    <t>https://www.ahemediakit.org/advertise/webinars/</t>
  </si>
  <si>
    <t>https://45453426.hs-sites.com/get-in-front-of-200-evs-pros-host-an-ahe-webinar</t>
  </si>
  <si>
    <t>Sent 6.4.26</t>
  </si>
  <si>
    <t>June 8th</t>
  </si>
  <si>
    <t>https://45453426.hs-sites.com/exchange26-exhibitor-bulletin-3</t>
  </si>
  <si>
    <t>Sent 6.9.26</t>
  </si>
  <si>
    <t>Week of June 8th</t>
  </si>
  <si>
    <t>June 10th, 2026</t>
  </si>
  <si>
    <t>Theater/Booth Upgrade</t>
  </si>
  <si>
    <t>https://45453426.hs-sites.com/claim-your-stage-at-exchange26</t>
  </si>
  <si>
    <t>June 24th, 2026</t>
  </si>
  <si>
    <t>Sponsorship Push - Speaking &amp; Engagement</t>
  </si>
  <si>
    <t xml:space="preserve"> </t>
  </si>
  <si>
    <t>Off Week - Fourth of July</t>
  </si>
  <si>
    <t>Last Call for Venue Branding Artwork</t>
  </si>
  <si>
    <t>Door Clings $12K, Escalator Clings $8K (4), Column Wraps $6K (4), Tower Display $4K (4)</t>
  </si>
  <si>
    <t>Artwork due ~July 17, so this is the hard deadline send. Lead the quarter with it</t>
  </si>
  <si>
    <t>Own the Room at Exchange26</t>
  </si>
  <si>
    <t>CHESP Reception $7,500 (script due July 20)</t>
  </si>
  <si>
    <t>Address EVS leaders directly; CHESP has a July 20 script deadline</t>
  </si>
  <si>
    <t>Make Them Come to You in NOLA</t>
  </si>
  <si>
    <t>Cocktail Bar $5K, Search for Solutions $1K</t>
  </si>
  <si>
    <t>Booth Traffic Drivers, fresh category not used in Q2</t>
  </si>
  <si>
    <t>July 20th</t>
  </si>
  <si>
    <t xml:space="preserve"> July 21st</t>
  </si>
  <si>
    <t>Non-exhibitors + prospects</t>
  </si>
  <si>
    <t>Not Exhibiting Yet? Still Time to Be Seen</t>
  </si>
  <si>
    <t>If show floor expands</t>
  </si>
  <si>
    <t>July 27th</t>
  </si>
  <si>
    <t>August 3rd</t>
  </si>
  <si>
    <t>Two Weeks Out: Final Adds</t>
  </si>
  <si>
    <t>Registration Desk Giveaway $8K</t>
  </si>
  <si>
    <t>No-artwork-lead items that still book this close</t>
  </si>
  <si>
    <t>See You in New Orleans, Last Chance to Add On</t>
  </si>
  <si>
    <t>Private Meeting Room $1K/day</t>
  </si>
  <si>
    <t>August 10th</t>
  </si>
  <si>
    <t>August 12th</t>
  </si>
  <si>
    <t>Celebrate Your Team for EVS Week</t>
  </si>
  <si>
    <t>EVS Week sponsorship</t>
  </si>
  <si>
    <t xml:space="preserve"> August 20th</t>
  </si>
  <si>
    <t>Lapsed + year-round prospects</t>
  </si>
  <si>
    <t>Stay in Front of EVS Leaders All Year</t>
  </si>
  <si>
    <t>Corporate Champion Program</t>
  </si>
  <si>
    <t>Post-show budget-planning; sell the annual package</t>
  </si>
  <si>
    <t xml:space="preserve"> August 26th</t>
  </si>
  <si>
    <t>August 31st</t>
  </si>
  <si>
    <t>Off Week - Pre-Labor Day</t>
  </si>
  <si>
    <t>EVS Week Prospects</t>
  </si>
  <si>
    <t>EVS Week Is Here, Last Call to Sponsor</t>
  </si>
  <si>
    <t>Timely: EVS Week is Sept 13-19. Final push before it runs</t>
  </si>
  <si>
    <t>Year-round prospects</t>
  </si>
  <si>
    <t>Reach EVS Leaders Between Shows</t>
  </si>
  <si>
    <t>Year-round digital; catches budget left after the conference</t>
  </si>
  <si>
    <t>Exchange26 exhibitors</t>
  </si>
  <si>
    <t>New Orleans Was Just the Start</t>
  </si>
  <si>
    <t>Exchange27 early interest + priority</t>
  </si>
  <si>
    <t>Recap + teaser that sets up the 9/29 launch to the full list</t>
  </si>
  <si>
    <t>Sponsorship 2027 launch (tentative)</t>
  </si>
  <si>
    <t>Highlight 2024 Advertising Opportunties</t>
  </si>
  <si>
    <t>Resent for review 1/2, but discussion on if this was sent or not.</t>
  </si>
  <si>
    <t>https://app.markup.io/invite/accept/FzlZZCXv</t>
  </si>
  <si>
    <t>1/9/24 at 11 am CST</t>
  </si>
  <si>
    <t>Sign Up for AHRMM 2024 (Kris)</t>
  </si>
  <si>
    <t xml:space="preserve">"Join Us!" </t>
  </si>
  <si>
    <t>Use the same email as Renewals w/ updated copy.</t>
  </si>
  <si>
    <t>https://app.markup.io/invite/accept/1ni7akrJ</t>
  </si>
  <si>
    <t>1/17/24 at 11 am CST</t>
  </si>
  <si>
    <t>Sign Up for AHRMM 2024 (Nick)</t>
  </si>
  <si>
    <t>Digital Opps (ALL)</t>
  </si>
  <si>
    <t>Highlight all opps available</t>
  </si>
  <si>
    <t>Nick S out later in week</t>
  </si>
  <si>
    <t>https://app.markup.io/invite/accept/OTP3Fuw6</t>
  </si>
  <si>
    <t>1/29/24 at 11 am CST</t>
  </si>
  <si>
    <t>Unopens from 1/17 email</t>
  </si>
  <si>
    <t>Resend of 1/17 - Sign Up for AHRMM 2024 - NICK</t>
  </si>
  <si>
    <t>Send to Non-Opens form 1/17 Email</t>
  </si>
  <si>
    <t>2/6/24 at 11 am CST</t>
  </si>
  <si>
    <t>Resend of 1/17 - Sign Up for AHRMM 2024 - KRIS</t>
  </si>
  <si>
    <t>AHRMM 2024 Exhibitors</t>
  </si>
  <si>
    <t>Sponsorship Launch to Current 2024 Exhibitors - NICK</t>
  </si>
  <si>
    <t>Current Opportunities Available....</t>
  </si>
  <si>
    <t>Include images</t>
  </si>
  <si>
    <t>https://app.markup.io/invite/accept/as9F8KiH</t>
  </si>
  <si>
    <t>2/8/24 at 10:30 am CST</t>
  </si>
  <si>
    <t>Sponsorship Launch to Current 2024 Exhibitors - KRIS</t>
  </si>
  <si>
    <t>SCS&amp;S Q2 Preview</t>
  </si>
  <si>
    <t>Highlight Q2 features (3/18)</t>
  </si>
  <si>
    <t>https://app.markup.io/invite/accept/QztUL-bd</t>
  </si>
  <si>
    <t>2/13/24 at 1:30 pm CST</t>
  </si>
  <si>
    <t>Unopens from 2/13</t>
  </si>
  <si>
    <t>SCS&amp;S Q2 Preview (Reminder)</t>
  </si>
  <si>
    <t>NOT A RESEND TO UNOPENS</t>
  </si>
  <si>
    <t>2/27/24 at 1 pm CST</t>
  </si>
  <si>
    <t>Unopens from 2/6 Email</t>
  </si>
  <si>
    <t>2/29/24 at 10:30 am CST</t>
  </si>
  <si>
    <t>2023 Exhibitors (not signed up for 2024)</t>
  </si>
  <si>
    <t>AHRMM@Smithbucklin.com</t>
  </si>
  <si>
    <t>Renewal for AHRMM 2024 - 1 Email</t>
  </si>
  <si>
    <t xml:space="preserve">"Join us Again" </t>
  </si>
  <si>
    <t>With Nick S' email issues, Nick F recommends sending this from AHRMM@Smithbucklin.com email address and to just have people reach out to that for responses. Or email sent from Kris only.</t>
  </si>
  <si>
    <t>MASTER REVIEW FILE - 
https://app.markup.io/invite/accept/hJcQsXP9</t>
  </si>
  <si>
    <t>3/14/24 at 2 pm CST</t>
  </si>
  <si>
    <t>SCS&amp;S Q2 Deadline</t>
  </si>
  <si>
    <t>AHRMM Announcement Email - Mike Schiller</t>
  </si>
  <si>
    <t>ORIGINAL SEND PAUSED at 10:15 am CT Due to Bounce Rate</t>
  </si>
  <si>
    <t>AHRMM Announcement Email - Mike Schiller #1</t>
  </si>
  <si>
    <t>4/3/24 at 9:15 am CT</t>
  </si>
  <si>
    <t>AHRMM Announcement Email - Mike Schiller #2</t>
  </si>
  <si>
    <t>AHRMM Announcement Email - Mike Schiller #3</t>
  </si>
  <si>
    <t>AHRMM Announcement Email - Mike Schiller #4</t>
  </si>
  <si>
    <t>AHRMM Announcement Email - Mike Schiller #5</t>
  </si>
  <si>
    <t>AHRMM Announcement Email - Mike Schiller #6</t>
  </si>
  <si>
    <t>2020 - 2022 Non-Contracted for 2024</t>
  </si>
  <si>
    <t>Nick</t>
  </si>
  <si>
    <t>Join Us Again at AHRMM24 (2022-2023 Non-Contracted Exhibitors)</t>
  </si>
  <si>
    <t>4/9/24 at 1:30 pm CT</t>
  </si>
  <si>
    <t>Kris</t>
  </si>
  <si>
    <t>AHRMM24 Sponsorships (Opps Pending)</t>
  </si>
  <si>
    <t>Pending</t>
  </si>
  <si>
    <t>AHRMM Year- Round (Digital Opps)</t>
  </si>
  <si>
    <t>4/16/24 at 10:30 am CT</t>
  </si>
  <si>
    <t xml:space="preserve"> and then SCS</t>
  </si>
  <si>
    <t>RESEND of 4/9 - Join Us Again at AHRMM24</t>
  </si>
  <si>
    <t>4/30/24 at 11:15 am CT</t>
  </si>
  <si>
    <t>RESEND of 4/9 - AHRMM24 Sponsorships (Opps Pending)</t>
  </si>
  <si>
    <t>Nick F at NPE 5/5 - 5/14</t>
  </si>
  <si>
    <t>SCS&amp;S Q3 Preview</t>
  </si>
  <si>
    <t>Highlight Q3 features</t>
  </si>
  <si>
    <t>http://45453527.hs-sites.com/scs&amp;s-q3-advertising?hs_preview=lqaFqlmv-165836090785</t>
  </si>
  <si>
    <t>5/7/24 at 10 am CT</t>
  </si>
  <si>
    <t>RESESD 5/7 SCS&amp;S Q3 
Send to Mary Kravenas prior to scheduling (did not need to send 5/7 email -&gt; 5/2 discussion on AHRMM call)</t>
  </si>
  <si>
    <t>5.21.24 at 10 am CT</t>
  </si>
  <si>
    <t>2024 Non Exhibtors (Renewals + New)</t>
  </si>
  <si>
    <t>Kris King
krking@smithbucklin.com</t>
  </si>
  <si>
    <t>Exhibit at AHRMM24</t>
  </si>
  <si>
    <t>"Don't Miss Your Chance"</t>
  </si>
  <si>
    <t>5.30.24 at 1:30 pm CT</t>
  </si>
  <si>
    <t>Nick Schuette
nschuette@smithbucklin.com</t>
  </si>
  <si>
    <t>2024 Exhibtors</t>
  </si>
  <si>
    <t>AHRMM24 Sponsorships (Keynote + Food &amp; Beverage Options -&gt; Coffee/Bar Carts...etc)</t>
  </si>
  <si>
    <t>Keynote may be along side the OSU band</t>
  </si>
  <si>
    <t>Supply Chain Week + Secure Your Q3 SCS&amp;S (small call out)</t>
  </si>
  <si>
    <t>Small call out for SCS&amp;S last call at bottom
Patrick mentioned we can hold Supply Chain promo "a week or 2"</t>
  </si>
  <si>
    <t>6.5.24 at 9:30 am CT</t>
  </si>
  <si>
    <t>SCS&amp;S Q3 Deadline</t>
  </si>
  <si>
    <t>2023 Renewals</t>
  </si>
  <si>
    <t>Clone 5/30 Booth Promo (Renewals)</t>
  </si>
  <si>
    <t>6.13.24 at 9 am CT</t>
  </si>
  <si>
    <t>AHRMM@smithbucklin.com</t>
  </si>
  <si>
    <t>Exhibit Bulletin #2</t>
  </si>
  <si>
    <t>6.19.24 at 2 pm CT</t>
  </si>
  <si>
    <t>Unopens from 6/4 email</t>
  </si>
  <si>
    <t>RESEND of 6/4 Supply Chain Week (REMOVE SCS&amp;S)</t>
  </si>
  <si>
    <t>Remove SCS&amp;S call out (deadline passed)</t>
  </si>
  <si>
    <t>6.25.24 at 9 am CT</t>
  </si>
  <si>
    <t>UDI Promo w/ AHRMM Website Adversting Call Out</t>
  </si>
  <si>
    <t>Small call out for year-round Wesbite Advertising at bottom -&gt; Remove Tiers (Kris provide edits)</t>
  </si>
  <si>
    <t>7.12.24 at 9:30 am CT</t>
  </si>
  <si>
    <t>2024 Non-Contracted</t>
  </si>
  <si>
    <t>AHRMM24 Booth Promo (New + Renewals) - NICK</t>
  </si>
  <si>
    <t>"From" should be Nick/Kris' names</t>
  </si>
  <si>
    <t>7.16.24 at 2 pm CT</t>
  </si>
  <si>
    <t>AHRMM24 Booth Promo (New + Renewals) - KRIS</t>
  </si>
  <si>
    <t>Unopens from 7/12 email</t>
  </si>
  <si>
    <t>RESEND of 6/11 UDI Promo</t>
  </si>
  <si>
    <t>7.18.24 at 9 am CT</t>
  </si>
  <si>
    <t>NO SENDS - HFIC Weeek</t>
  </si>
  <si>
    <t>2024 Contracted</t>
  </si>
  <si>
    <t>AHRMM24 Sponsorships - Kris</t>
  </si>
  <si>
    <t>Ways to Make an Impact at AHRMM24 (Tote Bags/Keynote/Welcome Reception/Wi-Fi.) 
NO SPEAKING</t>
  </si>
  <si>
    <t>7.30.24 at 9:15 am CT</t>
  </si>
  <si>
    <t>AHRMM24 Sponsorships - Nick</t>
  </si>
  <si>
    <t>SCS&amp;S Q4 Preview</t>
  </si>
  <si>
    <t>Highlight Q4 features</t>
  </si>
  <si>
    <t>8.6.24 at 2:15 pm CT</t>
  </si>
  <si>
    <t>AHRMM24 Booth Promo - Nick</t>
  </si>
  <si>
    <t>8.13.24 at 2:15 pm CT</t>
  </si>
  <si>
    <t>AHRMM24 Booth Promo - Kris</t>
  </si>
  <si>
    <t>AHRMM24 Sponsorships - 1 Month Until the Show! - Nick</t>
  </si>
  <si>
    <t>Search for Solutions/Branding Options</t>
  </si>
  <si>
    <t>AHRMM24 Sponsorships - 1 Month Until the Show! - Kris</t>
  </si>
  <si>
    <t>8.16.24 at 2:00 pm CT</t>
  </si>
  <si>
    <t>AHRMM25 Call for Contracts</t>
  </si>
  <si>
    <t>Need final links for contract/floor plan if able.</t>
  </si>
  <si>
    <t>Contract only (NO FLOOR LINK)</t>
  </si>
  <si>
    <t>8.26.24 at 2:30 pm CT</t>
  </si>
  <si>
    <t>Unopens from 8/27</t>
  </si>
  <si>
    <t>RESEND of 8/27 AHRMM25 Call for Contracts</t>
  </si>
  <si>
    <t>9.10.24 at 1:30 pm CT</t>
  </si>
  <si>
    <t>Full 2024 Exhibitor List</t>
  </si>
  <si>
    <t>See You in Columbus/Space Selection (FIRST CALL)</t>
  </si>
  <si>
    <t>9.18.24 at 1:30 pm CT</t>
  </si>
  <si>
    <t>Full 2024 Exhibitor List + All Other Company Contacts</t>
  </si>
  <si>
    <t>See You in Columbus/Space Selection (REMINDER)</t>
  </si>
  <si>
    <t>9.20.24 at 11 am CT</t>
  </si>
  <si>
    <t>AHRMM24 (September 22 - 25), Columbus, OH</t>
  </si>
  <si>
    <t>See You in Columbus/Space Selection FINAL REMINDER</t>
  </si>
  <si>
    <t>Space Selection times -&gt; SCHEDULE FOR 6 am CT / 8 ET
Reminder to forward to on-site contact</t>
  </si>
  <si>
    <t>9.23.24 at 7 am CT</t>
  </si>
  <si>
    <t>AHRMM24 Exhibitors</t>
  </si>
  <si>
    <t>Thank you/Post Show Survey</t>
  </si>
  <si>
    <t>Due 10/3 -&gt; List sent 10/4</t>
  </si>
  <si>
    <t>9.26.24 at 2:15 pm CT</t>
  </si>
  <si>
    <t>RESEND Thank you/Post Show Survey</t>
  </si>
  <si>
    <t>10.1.24 at 3 pm CT</t>
  </si>
  <si>
    <t>2024 Exhibitors (Non Renewals for 2025)</t>
  </si>
  <si>
    <t>We Missed You/Sign Up for 2025 (Not at Space Selection)</t>
  </si>
  <si>
    <t>10.2.24 at 2:15 pm CT</t>
  </si>
  <si>
    <t>Supply Chain Week (TBD)</t>
  </si>
  <si>
    <t>FInish the Year Strong with AHRMM Digital Assets</t>
  </si>
  <si>
    <t>All Digital Opps</t>
  </si>
  <si>
    <t>http://45453527.hs-sites.com/end-of-the-year-digital-advertising-opportunities</t>
  </si>
  <si>
    <t>Sent 10.16.24</t>
  </si>
  <si>
    <t>Renewals from 2024 (Non 2025 Contracted)</t>
  </si>
  <si>
    <t>AHRMM25 Exhibit (Halloween?)</t>
  </si>
  <si>
    <t>General promo for AHRMM25
Include stats if able</t>
  </si>
  <si>
    <t>http://45453527.hs-sites.com/ahrmm25-exhibit-opportunities-now-available-1</t>
  </si>
  <si>
    <t>Finish the Year Strong - Digital Focus</t>
  </si>
  <si>
    <t>Eblasts, AHRMM eNews and AHRMM Now Communications.</t>
  </si>
  <si>
    <t>http://45453527.hs-sites.com/finish-the-year-strong-with-ahrmm-digital-advertising</t>
  </si>
  <si>
    <t>AHRMM25 Booth Promo</t>
  </si>
  <si>
    <t>General booth promo</t>
  </si>
  <si>
    <t>http://45453527.hs-sites.com/secure-a-booth-for-contact.company-at-ahrmm25</t>
  </si>
  <si>
    <t>11.19.24</t>
  </si>
  <si>
    <t>November 19 - December 2</t>
  </si>
  <si>
    <t>Krishna OOO</t>
  </si>
  <si>
    <t>2025 Advertising Launch</t>
  </si>
  <si>
    <t>Nick off advertising</t>
  </si>
  <si>
    <t>http://45453527.hs-sites.com/2025-ahrmm-advertising</t>
  </si>
  <si>
    <t>12.3.24</t>
  </si>
  <si>
    <t>AHRMM25 Prospects</t>
  </si>
  <si>
    <t>https://www.ahrmmmediakit.org/events/ahrmm25/become-an-exhibitor/</t>
  </si>
  <si>
    <t>http://45453527.hs-sites.com/reserve-your-booth-at-ahrmm25</t>
  </si>
  <si>
    <t>12.11.24</t>
  </si>
  <si>
    <t>Happy Holidays from AHRMM</t>
  </si>
  <si>
    <t>http://45453527.hs-sites.com/happy-holidays-from-ahrmm</t>
  </si>
  <si>
    <t>12.19.24</t>
  </si>
  <si>
    <t>What to Expect from AHRMM in 2025</t>
  </si>
  <si>
    <t>http://45453527.hs-sites.com/ahrmm-2025-what-to-expect</t>
  </si>
  <si>
    <t>1.8.25</t>
  </si>
  <si>
    <t>Prepare Your 2025 Advertising Strategy</t>
  </si>
  <si>
    <t>Highlight advertising packages</t>
  </si>
  <si>
    <t>http://45453527.hs-sites.com/prepare-your-2025-advertising-strategy-with-ahrmm</t>
  </si>
  <si>
    <t>1.14.25</t>
  </si>
  <si>
    <t>AHRMM25 Prospects (22, 23, 24)</t>
  </si>
  <si>
    <t>Become an Exhibitor, pricing &amp; opportunities</t>
  </si>
  <si>
    <t>http://45453527.hs-sites.com/secure-your-spot-at-ahrmm25</t>
  </si>
  <si>
    <t>1.23.25</t>
  </si>
  <si>
    <t>AHRMM25 Sponsorship Launch</t>
  </si>
  <si>
    <t>Highlight all categories</t>
  </si>
  <si>
    <t>https://www.ahrmmmediakit.org/events/ahrmm25/sponsorship-opportunities/</t>
  </si>
  <si>
    <t>http://45453527.hs-sites.com/secure-your-ahrmm25-sponsorship</t>
  </si>
  <si>
    <t>1.28.25</t>
  </si>
  <si>
    <t>1/28 Opens</t>
  </si>
  <si>
    <t>AHRMM25 Sponsorship Launch Follow-Up</t>
  </si>
  <si>
    <t>Hannah to replicate</t>
  </si>
  <si>
    <t>2.4.25</t>
  </si>
  <si>
    <t>AHRMM24 Non-Renewals</t>
  </si>
  <si>
    <t>See You in Denver?</t>
  </si>
  <si>
    <t>Include 2024 demographics</t>
  </si>
  <si>
    <t>http://45453527.hs-sites.com/will-we-see-you-at-ahrmm25</t>
  </si>
  <si>
    <t>2.17.25</t>
  </si>
  <si>
    <t>SCS&amp;S Q2 Advertising: AI and Machine Learning (Group A)</t>
  </si>
  <si>
    <t>Reach 3,400+ audience members - https://www.ahrmmmediakit.org/print/scs-and-s-magazine/</t>
  </si>
  <si>
    <t>Deadline March 17</t>
  </si>
  <si>
    <t>http://45453527.hs-sites.com/secure-your-ad-in-scss-q2-magazine-today</t>
  </si>
  <si>
    <t>2.18.25</t>
  </si>
  <si>
    <t>SCS&amp;S Q2 Advertising: AI and Machine Learning (Group B)</t>
  </si>
  <si>
    <t>http://45453527.hs-sites.com/personalization_tokencontact.firstname-valued-partner-secure-your-ad-in-scss-q2-magazine-today</t>
  </si>
  <si>
    <t>2.19.25</t>
  </si>
  <si>
    <t>AHRMM25 Exhibitors</t>
  </si>
  <si>
    <t>Make the Most of Your AHRMM25 Experience</t>
  </si>
  <si>
    <t>Key sponsorships as directed by Kris</t>
  </si>
  <si>
    <t>Include tiered sponsorship program information</t>
  </si>
  <si>
    <t>http://45453527.hs-sites.com/explore-ahrmm25-sponsorships-today</t>
  </si>
  <si>
    <t>2.25.25</t>
  </si>
  <si>
    <t>SCS&amp;S Q2 Advertising: AI and Machine Learning (Opens follow - up)</t>
  </si>
  <si>
    <t>http://45453527.hs-sites.com/showcase-your-brand-to-healthcare-leaders-today</t>
  </si>
  <si>
    <t>3.4.25</t>
  </si>
  <si>
    <t>March 5, 2025</t>
  </si>
  <si>
    <t>Exhibitor Bulletin #1 - Info from MiAnna</t>
  </si>
  <si>
    <t>http://45453527.hs-sites.com/ahrmm25-exhibitor-bulletin-1</t>
  </si>
  <si>
    <t>3.5.25</t>
  </si>
  <si>
    <t>All (Opens from 3/4)</t>
  </si>
  <si>
    <t>Spring Your Goals Forward with Advertising</t>
  </si>
  <si>
    <t>SCS&amp;S Q2 Deadline - Don't forget to reserve your placement</t>
  </si>
  <si>
    <t>http://45453527.hs-sites.com/explore-new-horizons-in-healthcare-supply-chain-marketing</t>
  </si>
  <si>
    <t>3.11.25</t>
  </si>
  <si>
    <t>March 17th</t>
  </si>
  <si>
    <t xml:space="preserve">SCS&amp;S Q2 Deadline - AI and Machine Learning </t>
  </si>
  <si>
    <t>Low Cost, High Reward</t>
  </si>
  <si>
    <t>Low ticket sponsorship opportunities, Attendee e-Blast, Search for Solutions, Daily Email Banner</t>
  </si>
  <si>
    <t>March Madness Related</t>
  </si>
  <si>
    <t>http://45453527.hs-sites.com/secure-sponsorships-to-shine-at-ahrmm25</t>
  </si>
  <si>
    <t>3.18.25</t>
  </si>
  <si>
    <t>3 Other Events to Connect with AHRMM Spring Summit - April 22-24 (use past UDI email), Supply Chain Week, UDI</t>
  </si>
  <si>
    <t>https://www.ahrmmmediakit.org/events/udi-forum/#:~:text=Logo%20%26%20Branding%20Recognition</t>
  </si>
  <si>
    <t>Don't need on microsite</t>
  </si>
  <si>
    <t>http://45453527.hs-sites.com/sponsor-the-spring-summit-and-connect-with-key-health-care-leaders</t>
  </si>
  <si>
    <t>3.20.25</t>
  </si>
  <si>
    <t>Content Marketing Push</t>
  </si>
  <si>
    <t>Feature Webinars (pre, during, post benefits)</t>
  </si>
  <si>
    <t>http://45453527.hs-sites.com/engage-healthcare-leaders-with-ahrmms-exclusive-content-opportunities</t>
  </si>
  <si>
    <t>3.24.25</t>
  </si>
  <si>
    <t>Go Beyond Your AHRMM25 Booth (Target Higher Budget Companies)</t>
  </si>
  <si>
    <t>Push Tiered Sponsorship Program, Executive Focus Group</t>
  </si>
  <si>
    <t>http://45453527.hs-sites.com/boost-personalization_tokencontact.company-s-impact-at-ahrmm25</t>
  </si>
  <si>
    <t>4.1.25</t>
  </si>
  <si>
    <t>Corporate Sponsor Program Launch</t>
  </si>
  <si>
    <t>Need more information, add in New Sponsorship information</t>
  </si>
  <si>
    <t>Taken Internally with AHRMM</t>
  </si>
  <si>
    <t>Corporate Sponsor Launch</t>
  </si>
  <si>
    <t>Join 1,000 Supply Chain Leaders in Denver</t>
  </si>
  <si>
    <t>http://45453527.hs-sites.com/exhibit-at-ahrmm25-secure-your-booth-today</t>
  </si>
  <si>
    <t>4.8.25</t>
  </si>
  <si>
    <t>AHRMM25 Non Renewals</t>
  </si>
  <si>
    <t>We Didn't See You in 2024 - Join Us in Denver</t>
  </si>
  <si>
    <t>Include graphics re: audience</t>
  </si>
  <si>
    <t>http://45453527.hs-sites.com/personalization_tokencontact.firstname-valued-partner-will-we-see-you-at-ahrmm25</t>
  </si>
  <si>
    <t>4.16.25</t>
  </si>
  <si>
    <t>Go Digital with AHRMM</t>
  </si>
  <si>
    <t>Ad Retargeting &amp; Newsletters</t>
  </si>
  <si>
    <t>https://www.ahrmmmediakit.org/digital/</t>
  </si>
  <si>
    <t>http://45453527.hs-sites.com/lead-the-conversation-in-healthcare-supply-chain</t>
  </si>
  <si>
    <t>4.22.25</t>
  </si>
  <si>
    <t>Exhibitor Bulletin #2 - Need Mary Approval Prior to Send</t>
  </si>
  <si>
    <t>https://45453527.hs-sites.com/ahrmm25-exhibitor-bulletin-2</t>
  </si>
  <si>
    <t>4.24.25</t>
  </si>
  <si>
    <t>Invest in AHRMM25 at a Higher Level</t>
  </si>
  <si>
    <t>https://www.ahrmmmediakit.org/events/ahrmm25/sponsorship-opportunities/#:~:text=Sponsorship%20Terms%20%26%20Conditions-,Tiered%20Sponsorship%20Program,-Exclusive%20to%20AHRMM25</t>
  </si>
  <si>
    <t>Secure a sponsorship and go up a level!</t>
  </si>
  <si>
    <t>http://45453527.hs-sites.com/invest-in-impact-elevate-your-brand-at-ahrmm25</t>
  </si>
  <si>
    <t>4.29.25</t>
  </si>
  <si>
    <t>Week of May 5th</t>
  </si>
  <si>
    <t>Upcoming SCS&amp;S Issue: Q3</t>
  </si>
  <si>
    <t>Include digital library</t>
  </si>
  <si>
    <t>http://45453527.hs-sites.com/reach-healthcare-leaders-by-advertising-in-scss-magazine</t>
  </si>
  <si>
    <t>5.6.25</t>
  </si>
  <si>
    <t>Week of May 12th</t>
  </si>
  <si>
    <t>ICYMI: Deadline for Issue Q3</t>
  </si>
  <si>
    <t>Change language</t>
  </si>
  <si>
    <t>https://45453527.hs-sites.com/secure-your-ad-in-scss-q3-magazine-today</t>
  </si>
  <si>
    <t>5.13.25</t>
  </si>
  <si>
    <t>Week of May 19th</t>
  </si>
  <si>
    <t>New Sponsorships!</t>
  </si>
  <si>
    <t>Padfolio &amp; Pen Sponsorship, Educational Track, General Session Slide</t>
  </si>
  <si>
    <t>http://45453527.hs-sites.com/see-the-sponsorships-everyones-talking-about</t>
  </si>
  <si>
    <t>5.20.25</t>
  </si>
  <si>
    <t>Week of May 26th</t>
  </si>
  <si>
    <t>AHRMM25 Exhibitors (Opens from 5/20)</t>
  </si>
  <si>
    <t>New Sponsorship Follow-Up</t>
  </si>
  <si>
    <t>https://45453527.hs-sites.com/still-considering-an-ahrmm25-sponsorship</t>
  </si>
  <si>
    <t>5.28.25</t>
  </si>
  <si>
    <t>https://45453527.hs-sites.com/dont-get-left-behind-ahrmm25-space-is-going-fast</t>
  </si>
  <si>
    <t>May 29th</t>
  </si>
  <si>
    <t>SCS&amp;S Q3 Deadline - The Strategic Supply Chain Leader</t>
  </si>
  <si>
    <t>Get Ahead of Your Audience Pre-Show</t>
  </si>
  <si>
    <t>Attendee Emails</t>
  </si>
  <si>
    <t>Also Push Lanyards &amp; Padfolio</t>
  </si>
  <si>
    <t>https://45453527.hs-sites.com/elevate-personalization_tokencontact.company-s-impact-at-ahrmm25</t>
  </si>
  <si>
    <t>6.3.25</t>
  </si>
  <si>
    <t>Convention Signage &amp; Advertising</t>
  </si>
  <si>
    <t>Highlight opportunities in category</t>
  </si>
  <si>
    <t>Push Fill It Forward Water Bottles</t>
  </si>
  <si>
    <t>https://45453527.hs-sites.com/stand-out-on-the-show-floor-with-aisle-signs-floor-decals-and-more</t>
  </si>
  <si>
    <t>6.10.25</t>
  </si>
  <si>
    <t>Dedicated Advertising Send</t>
  </si>
  <si>
    <t>Highlight specific opportunities</t>
  </si>
  <si>
    <t>eNews 1x Banners &amp; eNews Top Rectangle</t>
  </si>
  <si>
    <t>6.17.25</t>
  </si>
  <si>
    <t>June 23, 2025</t>
  </si>
  <si>
    <t>Exhibitor Bulletin #3 - Need Mary Approval Prior to Send</t>
  </si>
  <si>
    <t>6.23.25</t>
  </si>
  <si>
    <t>Last Chance for Promo Sponsorships!</t>
  </si>
  <si>
    <t>Emphasize urgency</t>
  </si>
  <si>
    <t>Track Sponsorship, Push Notifications</t>
  </si>
  <si>
    <t>https://45453527.hs-sites.com/last-chance-for-sponsorships</t>
  </si>
  <si>
    <t>6.24.25</t>
  </si>
  <si>
    <t>AHRMM25 Promotional Sponsorship Deadline - Lanyards, Water Bottles, Padfolio, etc.</t>
  </si>
  <si>
    <t>Make a Splash This Summer</t>
  </si>
  <si>
    <t>Push Webinars &amp; Ad Retargeting</t>
  </si>
  <si>
    <t>https://45453527.hs-sites.com/looking-to-crush-your-summer-goals-market-smarter-with-ahrmm-now</t>
  </si>
  <si>
    <t>7.1.25</t>
  </si>
  <si>
    <t>Need AHRMM26 Contract / Floor Plan / Rules &amp; Regulations</t>
  </si>
  <si>
    <t>https://45453527.hs-sites.com/ahrmm25-space-selection-save-the-date</t>
  </si>
  <si>
    <t>7.7.25</t>
  </si>
  <si>
    <t>Put Your Company on the Floor Plan</t>
  </si>
  <si>
    <t>https://45453527.hs-sites.com/secure-prime-ahrmm25-floor-plan-placement-today</t>
  </si>
  <si>
    <t>7.8.25</t>
  </si>
  <si>
    <t>Sent from MiAnna, not SM</t>
  </si>
  <si>
    <t>Connect with the AHRMM25 Audience Pre-Show</t>
  </si>
  <si>
    <t>Push AHRMM Daily Email Banner and Attendee E-Blast</t>
  </si>
  <si>
    <t>Intro to Maura &amp; Jill</t>
  </si>
  <si>
    <t>https://45453527.hs-sites.com/get-in-front-of-ahrmm25-attendees-early</t>
  </si>
  <si>
    <t>7.15.25</t>
  </si>
  <si>
    <t>Clone Save the Date Email and Input Information</t>
  </si>
  <si>
    <t>http://45453527.hs-sites.com/ahrmm26-space-selection-appointment</t>
  </si>
  <si>
    <t>7.23.25</t>
  </si>
  <si>
    <t>July 28, 2025</t>
  </si>
  <si>
    <r>
      <rPr>
        <b/>
        <sz val="16"/>
        <color rgb="FF000000"/>
        <rFont val="Aptos"/>
      </rPr>
      <t xml:space="preserve">Hannah to Edit </t>
    </r>
    <r>
      <rPr>
        <sz val="16"/>
        <color rgb="FF000000"/>
        <rFont val="Aptos"/>
      </rPr>
      <t>- Exhibitor Bulletin #4 - Pack Your Bags! -</t>
    </r>
    <r>
      <rPr>
        <b/>
        <sz val="16"/>
        <color rgb="FFFF0000"/>
        <rFont val="Aptos"/>
      </rPr>
      <t xml:space="preserve"> Need Mary Approval Prior to Send</t>
    </r>
  </si>
  <si>
    <t>http://45453527.hs-sites.com/ahrmm25-exhibitor-bulletin-4</t>
  </si>
  <si>
    <t>8.1.25</t>
  </si>
  <si>
    <t>Space Selection Reminder</t>
  </si>
  <si>
    <t>http://45453527.hs-sites.com/your-ahrmm26-space-selection-detail-reminder</t>
  </si>
  <si>
    <t>7.31.25</t>
  </si>
  <si>
    <t>August 3-6, 2025</t>
  </si>
  <si>
    <t>AHRMM25 | Denver, CO</t>
  </si>
  <si>
    <t>AHRMM25 Thank You &amp; Survey</t>
  </si>
  <si>
    <t>Survey Link</t>
  </si>
  <si>
    <t>https://45453527.hs-sites.com/save-the-date-ahrmm26-space-selection-in-denver</t>
  </si>
  <si>
    <t>8.7.25</t>
  </si>
  <si>
    <t>Flip Microsite to AHRMM26 - Exhibitor Pages - Turn off Sponsorships</t>
  </si>
  <si>
    <t>Exhibitor Survey Reminder</t>
  </si>
  <si>
    <t>https://45453527.hs-sites.com/ahrmm25-exhibitor-survey</t>
  </si>
  <si>
    <t>8.12.25</t>
  </si>
  <si>
    <t>Reach the AHRMM25 Audience Post-Show</t>
  </si>
  <si>
    <t>Highlight Dedicated Emails and Email Newsletters</t>
  </si>
  <si>
    <t>Anything from Salesforce?</t>
  </si>
  <si>
    <t>https://45453527.hs-sites.com/share-your-expertise-your-way</t>
  </si>
  <si>
    <t>8.19.25</t>
  </si>
  <si>
    <t>Still Looking to Connect with the AHRMM25 Audience?</t>
  </si>
  <si>
    <t>Year-Round Advertising</t>
  </si>
  <si>
    <t>https://45453527.hs-sites.com/extend-your-ahrmm25-impact-beyond-the-event</t>
  </si>
  <si>
    <t>8.26.25</t>
  </si>
  <si>
    <t>SCS&amp;S Q4 Upcoming Deadline</t>
  </si>
  <si>
    <t>Upcoming SCS&amp;S Deadline - Highlight Issue Themes</t>
  </si>
  <si>
    <t xml:space="preserve">Only sending 1 SCS&amp;S email on direction from Jill </t>
  </si>
  <si>
    <t>https://45453527.hs-sites.com/do-not-miss-the-final-issue-of-2025</t>
  </si>
  <si>
    <t>9.2.25</t>
  </si>
  <si>
    <t>AHRMM Academy List</t>
  </si>
  <si>
    <t xml:space="preserve">Tentative: New Academy Sponsorship </t>
  </si>
  <si>
    <t>Review doc from Kris and add to microsite</t>
  </si>
  <si>
    <t>https://45453527.hs-sites.com/new-academy-sponsorship</t>
  </si>
  <si>
    <t>9.12.25</t>
  </si>
  <si>
    <t>September 13th</t>
  </si>
  <si>
    <t>SCS&amp;S Q4 Deadline - The Road Ahead</t>
  </si>
  <si>
    <t>Use Your Marketing Dollars</t>
  </si>
  <si>
    <t>Utilize These Opportunities for Additional Reach</t>
  </si>
  <si>
    <t>https://45453527.hs-sites.com/ahrmm-year-round-advertising</t>
  </si>
  <si>
    <t>9.18.25</t>
  </si>
  <si>
    <t>Prepare for Fall</t>
  </si>
  <si>
    <t>Popular Advertising Options</t>
  </si>
  <si>
    <t>https://45453527.hs-sites.com/prepare-for-fall-with-ahrmm-year-round-ads</t>
  </si>
  <si>
    <t>9.25.25</t>
  </si>
  <si>
    <t>UDI List?</t>
  </si>
  <si>
    <t>UDI Forum</t>
  </si>
  <si>
    <t>UDI Forum coming soon! (Nov5-6th)</t>
  </si>
  <si>
    <t>Target the sponsorship opportunity (https://www.ahrmmmediakit.org/udi-forum/)</t>
  </si>
  <si>
    <t>https://45453527.hs-sites.com/ahrmm-udi-forum</t>
  </si>
  <si>
    <t>10.9.25</t>
  </si>
  <si>
    <t>AHRMM Academy Reminder</t>
  </si>
  <si>
    <t>Make the title more interesting &amp; do not include unengaged</t>
  </si>
  <si>
    <t xml:space="preserve">Spoooky Advertsing - canva </t>
  </si>
  <si>
    <t>Halloween Themed Send</t>
  </si>
  <si>
    <t>Get creative - Trey, note that 2026 media kit is coming soon</t>
  </si>
  <si>
    <t>https://45453527.hs-sites.com/ahrmm-advertising-thatll-raise-the-dead</t>
  </si>
  <si>
    <t>10.28.25</t>
  </si>
  <si>
    <t>AHRMM26 Sponsorship Launch</t>
  </si>
  <si>
    <t>Sponsorship Early Access</t>
  </si>
  <si>
    <t>Include note for booth space available</t>
  </si>
  <si>
    <t>Canva design - reference hannahs and haydens</t>
  </si>
  <si>
    <t>https://45453527.hs-sites.com/your-early-access-to-ahrmm-26-sponsorships-awaits</t>
  </si>
  <si>
    <t>11.5.25</t>
  </si>
  <si>
    <t>https://45453527.hs-sites.com/ahrmm-media-kit-launch</t>
  </si>
  <si>
    <t>11.20.25</t>
  </si>
  <si>
    <t>AHRMM 26 Prospects</t>
  </si>
  <si>
    <t>We missed you in 2025! We will see you in 2026?</t>
  </si>
  <si>
    <t>non 2025 exhibitors &amp; potential 2026 exhibitors</t>
  </si>
  <si>
    <t>12.2.25</t>
  </si>
  <si>
    <t>AHRMM26  Early Access Sponsorship Launch Promo</t>
  </si>
  <si>
    <t>Short and direct email - Jill to send</t>
  </si>
  <si>
    <t>Jill Sent</t>
  </si>
  <si>
    <t>12.9.25</t>
  </si>
  <si>
    <t>December 16, 2025</t>
  </si>
  <si>
    <t>Happy Holiday - 2026 Media kit opportunities</t>
  </si>
  <si>
    <t>Talk to Jill about what she wants to try &amp; sell before year-end</t>
  </si>
  <si>
    <t>12.16.25</t>
  </si>
  <si>
    <t>Smithbucklin Handling AHRMM 2026 Corporate Sponsorships</t>
  </si>
  <si>
    <t>January 15th, 2026</t>
  </si>
  <si>
    <t>New Year, New Buyers: Keep Your Brand in Front of Supply Chain Leaders</t>
  </si>
  <si>
    <t>Plug 2026 advertising opportunities, 2026 event opportunities</t>
  </si>
  <si>
    <t xml:space="preserve">https://45453527.hs-sites.com/be-seen-in-2026-by-health-care-supply-chain-leaders </t>
  </si>
  <si>
    <t>1.15.26</t>
  </si>
  <si>
    <t>January 22st, 2026</t>
  </si>
  <si>
    <t>AHRMM26 Exhibitors</t>
  </si>
  <si>
    <t>AHRMM26 Sponsorship Prospectus Launch</t>
  </si>
  <si>
    <t>Sales Team Intro - Jill</t>
  </si>
  <si>
    <t>https://45453527.hs-sites.com/ahrmm25-sponsorships-are-live-claim-yours-today</t>
  </si>
  <si>
    <t>1.22.26</t>
  </si>
  <si>
    <t>2026 Corporate Sponsor Program Launch</t>
  </si>
  <si>
    <t>https://45453527.hs-sites.com/now-available-secure-contact.company-s-ahrmm25-sponsorship-today</t>
  </si>
  <si>
    <t>1.27.26</t>
  </si>
  <si>
    <t>Feburary 4th, 2026</t>
  </si>
  <si>
    <t>AHRMM Demand Gen Digest #1: Quick Plays to Reach Supply Chain Buyers</t>
  </si>
  <si>
    <t>Targeted Opportunities</t>
  </si>
  <si>
    <t>https://45453527.hs-sites.com/your-february-demand-generation-playbook-with-ahrmm</t>
  </si>
  <si>
    <t>2.5.26</t>
  </si>
  <si>
    <t>Feburary 11th, 2026</t>
  </si>
  <si>
    <t>Include Maribell in Sends Moving Forward</t>
  </si>
  <si>
    <t>https://45453527.hs-sites.com/lock-in-a-thought-leadership-slot</t>
  </si>
  <si>
    <t>2.11.26</t>
  </si>
  <si>
    <t>Feburary 26th, 2026</t>
  </si>
  <si>
    <t>Own Always-On Visibility with AHRMM</t>
  </si>
  <si>
    <t>Newsletter • Emails: Dedicated Emails</t>
  </si>
  <si>
    <t>https://45453527.hs-sites.com/ahrmm-visibility-in-two-clicks</t>
  </si>
  <si>
    <t>2.26.26</t>
  </si>
  <si>
    <t>Determined Based on Their Send Date</t>
  </si>
  <si>
    <t>Kris-Provided List</t>
  </si>
  <si>
    <t>ahrmm@smithbucklin.com</t>
  </si>
  <si>
    <t>A Letter from the AHRMM Chair</t>
  </si>
  <si>
    <t>In Case You Missed It, Chief Supply Chain Officer at Cleveland Clinic</t>
  </si>
  <si>
    <t>Post on Microsite as News Banner</t>
  </si>
  <si>
    <t>https://45453527.hs-sites.com/ahrmm-steve-downey-letter</t>
  </si>
  <si>
    <t>March 4th, 2026</t>
  </si>
  <si>
    <t>Spring Summit Launch</t>
  </si>
  <si>
    <t>https://www.ahrmmmediakit.org/year-round-events/spring-summit/</t>
  </si>
  <si>
    <t>https://45453527.hs-sites.com/own-the-ahrmm-spring-summit-spotlight</t>
  </si>
  <si>
    <t>AHRMM Demand Gen Digest #2: AHRMM.org + Retargeting</t>
  </si>
  <si>
    <t>Reference AHRMM Stat PDF &amp; Create canva graphic for this send</t>
  </si>
  <si>
    <t>https://45453527.hs-sites.com/your-demand-generation-playbook-ahrmm-digest-2</t>
  </si>
  <si>
    <t>3.11.26</t>
  </si>
  <si>
    <t>Digital Meter Board, Mobile App Banner Ad, and Podcast</t>
  </si>
  <si>
    <t>New Branding &amp; Advertising Opportunities</t>
  </si>
  <si>
    <t>https://45453527.hs-sites.com/step-into-2026-with-new-branding-advertising-opportunities</t>
  </si>
  <si>
    <t>3.19.26</t>
  </si>
  <si>
    <t>March 23rd</t>
  </si>
  <si>
    <r>
      <rPr>
        <sz val="16"/>
        <color rgb="FF000000"/>
        <rFont val="Aptos"/>
      </rPr>
      <t xml:space="preserve">Exhibitor Bulletin #1- </t>
    </r>
    <r>
      <rPr>
        <i/>
        <sz val="16"/>
        <color rgb="FFFF0000"/>
        <rFont val="Aptos"/>
      </rPr>
      <t>Hannah to help, TBD</t>
    </r>
  </si>
  <si>
    <t>https://45453527.hs-sites.com/ahrmm26-exhibitor-bulletin-1</t>
  </si>
  <si>
    <t>3.23.26</t>
  </si>
  <si>
    <t>AHRMM Demand Gen Digest #3: Spring Visibility That Converts + Close Q1 Strong</t>
  </si>
  <si>
    <t>https://45453527.hs-sites.com/ahrmm-demand-gen-digest-3-spring-visibility-that-converts</t>
  </si>
  <si>
    <t>3.31.26</t>
  </si>
  <si>
    <t>April 9th, 2026</t>
  </si>
  <si>
    <t>Chapter Leaders Lunch Sponsorships</t>
  </si>
  <si>
    <t>https://www.ahrmmmediakit.org/ahrmm26/sponsorship-opportunities/thought-leadership/#:~:text=NEW!%20Chapters%20Leader%20Luncheon</t>
  </si>
  <si>
    <t>Target this sponsorship opportunity</t>
  </si>
  <si>
    <t>AEN Sponsorship</t>
  </si>
  <si>
    <t>https://www.ahrmmmediakit.org/ahrmm26/ahrmm-executives-network-aen/</t>
  </si>
  <si>
    <t>https://45453527.hs-sites.com/build-executive-level-connections-at-ahrmm26</t>
  </si>
  <si>
    <t>4.17.26</t>
  </si>
  <si>
    <t>Entire Database (No Exhibitors)</t>
  </si>
  <si>
    <t xml:space="preserve">AEN Sponsorship (FOMO) </t>
  </si>
  <si>
    <t>April 13th</t>
  </si>
  <si>
    <t>https://45453527.hs-sites.com/ahrmm26-exhibitor-bulletin-2</t>
  </si>
  <si>
    <t>4.15.26</t>
  </si>
  <si>
    <t>April 22nd, 2026</t>
  </si>
  <si>
    <t>AHRMM Demand Gen Digest #4</t>
  </si>
  <si>
    <t>https://45453527.hs-sites.com/ahrmm-demand-gen-digest-3-spring-visibility-that-converts-1</t>
  </si>
  <si>
    <t>4.22.26</t>
  </si>
  <si>
    <t>April 30th, 2026</t>
  </si>
  <si>
    <t xml:space="preserve">Spring is in full bloom is your brand-ing &amp; advertising? </t>
  </si>
  <si>
    <t>https://www.ahrmmmediakit.org/ahrmm26/sponsorship-opportunities/branding-and-advertising/</t>
  </si>
  <si>
    <t xml:space="preserve">Branding &amp; Advertising </t>
  </si>
  <si>
    <t>https://45453527.hs-sites.com/spring-is-in-full-bloom.-is-your-brand-ing-advertising</t>
  </si>
  <si>
    <t>4.30.26</t>
  </si>
  <si>
    <t>AHRMM 26 Prospects &amp; Non-renewals</t>
  </si>
  <si>
    <t>https://45453527.hs-sites.com/ahrmm26-is-getting-closer.-are-you-in</t>
  </si>
  <si>
    <t>5.11.26</t>
  </si>
  <si>
    <t xml:space="preserve">AEN Sponsorship </t>
  </si>
  <si>
    <t>https://45453527.hs-sites.com/executive-access-at-ahrmm26-is-limited</t>
  </si>
  <si>
    <t>5.13.26</t>
  </si>
  <si>
    <t>AHRMM Welcome Reception Push</t>
  </si>
  <si>
    <t>https://www.ahrmmmediakit.org/ahrmm26/sponsorship-opportunities/branding-and-advertising/#:~:text=for%20more%20details!-,Welcome%20Reception,-%2420%2C000%20Exclusive%20or</t>
  </si>
  <si>
    <t>https://45453527.hs-sites.com/be-seen-at-the-ahrmm26-welcome-reception</t>
  </si>
  <si>
    <t>5.19.26</t>
  </si>
  <si>
    <t>May 20th</t>
  </si>
  <si>
    <t>ADD AHRMM AEN LOGOS TO MICROSITE</t>
  </si>
  <si>
    <t>May 26th</t>
  </si>
  <si>
    <t>https://45453527.hs-sites.com/ahrmm26-exhibitor-bulletin-3</t>
  </si>
  <si>
    <t>5.27.26</t>
  </si>
  <si>
    <t>June 2nd, 2026</t>
  </si>
  <si>
    <t>Lanyards &amp; Water Bottles</t>
  </si>
  <si>
    <t>https://45453527.hs-sites.com/deadline-approaching-exclusive-branding-opportunities-at-ahrmm26</t>
  </si>
  <si>
    <t>6.4.26</t>
  </si>
  <si>
    <t>AHRMM Demand Gen Digest #5</t>
  </si>
  <si>
    <t>https://www.ahrmmmediakit.org/content-marketing/</t>
  </si>
  <si>
    <t>https://45453527.hs-sites.com/ahrmm-demand-gen-digest-5-become-the-expert-they-trust</t>
  </si>
  <si>
    <t>6.10.26</t>
  </si>
  <si>
    <t>June 16th, 2026</t>
  </si>
  <si>
    <t>Non-Renewals &amp; Prospects</t>
  </si>
  <si>
    <t>AHRMM is waiting for your brand in San Antonio</t>
  </si>
  <si>
    <t>https://smithbucklin.expocad.com/Events/26ahrmm/index.html</t>
  </si>
  <si>
    <t>https://45453527.hs-sites.com/claim-your-ahrmm26-booth</t>
  </si>
  <si>
    <t>6.16.26</t>
  </si>
  <si>
    <t>June 22nd</t>
  </si>
  <si>
    <t>June 23rd</t>
  </si>
  <si>
    <t>Space Selection Save the Date ( Rebranding to NO ONSITE SPACE SELECTION &amp; pricing etc)</t>
  </si>
  <si>
    <t>July 6th</t>
  </si>
  <si>
    <t>July 13th</t>
  </si>
  <si>
    <t>Space Selection Appointment Times Reminder for 6/23 email</t>
  </si>
  <si>
    <t>July 16th</t>
  </si>
  <si>
    <t xml:space="preserve">2027 Exhibit Sales Launch - Sign the contract </t>
  </si>
  <si>
    <t>July 23rd</t>
  </si>
  <si>
    <t>July 26-28, 2026</t>
  </si>
  <si>
    <t>AHRMM26 - San Antonio, TX</t>
  </si>
  <si>
    <t>San Antonio Was Just the Start</t>
  </si>
  <si>
    <t>Post-show momentum; different audience than the attendee Thank You/Survey same week</t>
  </si>
  <si>
    <t xml:space="preserve">July 28th </t>
  </si>
  <si>
    <t xml:space="preserve">New AHRMM Exhibit Page Launch </t>
  </si>
  <si>
    <t>July 30th</t>
  </si>
  <si>
    <t>August 5th</t>
  </si>
  <si>
    <t>August 17th</t>
  </si>
  <si>
    <t>AHRMM Demand Gen Digest #5: Year-Round Lead Plays, Partner Insights Webinars $7,500, Knowledge Center hosting</t>
  </si>
  <si>
    <t>White Papers $7,500, Partner Insights Webinars $7,500, Knowledge Center hosting</t>
  </si>
  <si>
    <t>Confirm installment number against your Q2 sequence</t>
  </si>
  <si>
    <t>August 24th</t>
  </si>
  <si>
    <t>Lock Year-Round Visibility for 2026-27</t>
  </si>
  <si>
    <t>Corporate Sponsorship Program tiers, Year-Round Sponsorships</t>
  </si>
  <si>
    <t>Post-show is when annual budgets get set; sell the always-on package</t>
  </si>
  <si>
    <t>September 7th</t>
  </si>
  <si>
    <t>Celebrate the Supply Chain, Sponsor SC Week</t>
  </si>
  <si>
    <t>Timely: SC Week is early October, so this is the sell window. Confirm exact dates</t>
  </si>
  <si>
    <t>September 14th</t>
  </si>
  <si>
    <t>Be the Voice Buyers Trust</t>
  </si>
  <si>
    <t>Partner Insights Webinar $7,500, four-part Webcast/Podcast suite, White Paper</t>
  </si>
  <si>
    <t>September 21st</t>
  </si>
  <si>
    <t>AHRMM26 Exhibitors + prospects</t>
  </si>
  <si>
    <t>Get First Position for AHRMM27 (Tentative)</t>
  </si>
  <si>
    <t>AHRMM27 early sponsorship interest, priority space selection</t>
  </si>
  <si>
    <t>Warm next-year pipeline while San Antonio is fresh</t>
  </si>
  <si>
    <t>September 28th</t>
  </si>
  <si>
    <t>Finish the Year in Front of Buyers</t>
  </si>
  <si>
    <t>Subect</t>
  </si>
  <si>
    <t>Preview Text</t>
  </si>
  <si>
    <t>Unsub Rate %</t>
  </si>
  <si>
    <t>ASHRM 2023 Renewals</t>
  </si>
  <si>
    <t>ASHRM Annual Reminder</t>
  </si>
  <si>
    <t>https://app.markup.io/invite/accept/YGbyP5lx</t>
  </si>
  <si>
    <t>1.9.24 at 11 am CST</t>
  </si>
  <si>
    <t>New Exhibitors</t>
  </si>
  <si>
    <t>ASHRM Annual Sign Up</t>
  </si>
  <si>
    <t>https://app.markup.io/invite/accept/MVSVxUVt</t>
  </si>
  <si>
    <t>Academy Sign Up</t>
  </si>
  <si>
    <t>CC Nick, Send to Jordan for main review.</t>
  </si>
  <si>
    <t>https://app.markup.io/invite/accept/P0g1Oipl</t>
  </si>
  <si>
    <t>1.16.24 at 3:35 pm CST</t>
  </si>
  <si>
    <t>Non-Opens from 1/16 email</t>
  </si>
  <si>
    <t>Academy Sign Up (Duplicate 1/16 email)</t>
  </si>
  <si>
    <t>1.30.24 at 1 pm CST</t>
  </si>
  <si>
    <t>Add Opps - Digital</t>
  </si>
  <si>
    <t xml:space="preserve">Discuss digital opps. </t>
  </si>
  <si>
    <t>https://app.markup.io/invite/accept/Z5wFTJ5M</t>
  </si>
  <si>
    <t>Unopens from 1/9 email to ASHRM 2023 Renewals</t>
  </si>
  <si>
    <t>ASHRM Annual Reminder (RESEND of 1/9 email)</t>
  </si>
  <si>
    <t>Resend to unopens from 1/9/2024 email</t>
  </si>
  <si>
    <t>2.20.24 at 11 am CST</t>
  </si>
  <si>
    <t>Unopens from 1/9 email to 2024 New Exhibitors</t>
  </si>
  <si>
    <t>ASHRM Annual Sign Up - New Exhibitors (RESEND of 1/9 email)</t>
  </si>
  <si>
    <t>ASHRM Academy 2024 Current</t>
  </si>
  <si>
    <t>Academy Sponsorships (New)</t>
  </si>
  <si>
    <t>Symposia and tabletops -&gt; focus.
Include call out for all available at end.</t>
  </si>
  <si>
    <t>2.27.24 at 10 am CST</t>
  </si>
  <si>
    <t>Unopens from 2/27</t>
  </si>
  <si>
    <t>RESEND - Academy Sponsorships (New)</t>
  </si>
  <si>
    <t>3.12.24 at 12 pm CDT</t>
  </si>
  <si>
    <t>March 10-16</t>
  </si>
  <si>
    <t>National Patient Safety Awareness Week (March 10-16)</t>
  </si>
  <si>
    <t>Journal of Health Care Risk Management - Q2 Deadline</t>
  </si>
  <si>
    <t>Contracted 2024 Academy</t>
  </si>
  <si>
    <t>ASHRM@smithbucklin.com</t>
  </si>
  <si>
    <t>ASHRM Academy Sponsorships -  Less than 1 Month Out/Last Call for Sponsorships</t>
  </si>
  <si>
    <t>Reminder/Sponsorships -&gt; highlight all non-travel opps (banners ads, table top, chair drop)</t>
  </si>
  <si>
    <t>HOLD</t>
  </si>
  <si>
    <t>Sponsorship to current exhibitors</t>
  </si>
  <si>
    <t>ASHRM24 Booth Traffic Drivers</t>
  </si>
  <si>
    <t>Promote/highlight all booth traffic driver opps</t>
  </si>
  <si>
    <t>4.2.24 at 9:30 am CDT</t>
  </si>
  <si>
    <t>ASHRM 2024 Renewals</t>
  </si>
  <si>
    <t>ASHRM Annual 2024 Reminder (Renewals)</t>
  </si>
  <si>
    <t>Promote San Diego/Booth assets (what comes with booths)...etc.-&gt; Perks of Exhibiting.</t>
  </si>
  <si>
    <t>ASHRM 2024 New Exhihibtors</t>
  </si>
  <si>
    <t>ASHRM Annual 2024 Reminder (New Exhibitors)</t>
  </si>
  <si>
    <t xml:space="preserve">UNOPENS from 4/2 </t>
  </si>
  <si>
    <t>RESEND of 4/2 ASHRM24 Booth Traffic Drivers</t>
  </si>
  <si>
    <t>4.9.24 at 10:15 am CT</t>
  </si>
  <si>
    <t>RESEND of 4/2 ASHRM Annual 2024 Reminder (Renewals)</t>
  </si>
  <si>
    <t>RESEND of 4/2 ASHRM Annual 2024 Reminder (New Exhibitors)</t>
  </si>
  <si>
    <t>4.9.24 at 10:50 am CT</t>
  </si>
  <si>
    <t>ASHRM Academy - Phoenix, AZ (April 15-20)</t>
  </si>
  <si>
    <t>ASHRM Year-Round Advertising (Webinars + eBlasts w/ HRM)</t>
  </si>
  <si>
    <t>Webinars + eBlasts</t>
  </si>
  <si>
    <t>(mimic AHE emails)
Jordan to do indivdual outreach following week from open report</t>
  </si>
  <si>
    <t>4/16/24 at 10 am cT</t>
  </si>
  <si>
    <t>ASHRM24 Sponsorships (Thought Leadership)</t>
  </si>
  <si>
    <t>Bite-size theater = Main Highlight
Opening Keynote + Chapter Leader's Lunch (Call Outs)</t>
  </si>
  <si>
    <t>http://45453675.hs-sites.com/ashrm24-though-leadership-sponsorships?hs_preview=mhrwnCBp-165189287084</t>
  </si>
  <si>
    <t>4.30.24 at 2 pm CT</t>
  </si>
  <si>
    <t>2023 Non-Contracted</t>
  </si>
  <si>
    <t>ASHRM24 Booth Promo (2023 Renewals)</t>
  </si>
  <si>
    <t>http://45453675.hs-sites.com/reconnect-ashrm24-exhibit?hs_preview=MyzHurbr-165213033988</t>
  </si>
  <si>
    <t>5.7.24 at 9:15 am CT</t>
  </si>
  <si>
    <t>ASHRM24 Booth Promo (New Exhibitors)</t>
  </si>
  <si>
    <t>http://45453675.hs-sites.com/ashrm-2024-exhibit?hs_preview=TWNoPLCc-165201928850</t>
  </si>
  <si>
    <t>RESEND of 4/29 - ASHRM24 Sponsorships</t>
  </si>
  <si>
    <t>RESEND of 4/29 -  ASHRM24 Booth Promo (2023 Renewals)</t>
  </si>
  <si>
    <t>RESEND of 4/29 -  ASHRM24 Booth Promo (New Exhibitors)</t>
  </si>
  <si>
    <t>HRM Week</t>
  </si>
  <si>
    <t>TBD as of 4/2</t>
  </si>
  <si>
    <t>5.15.24 at 10:30 am CT</t>
  </si>
  <si>
    <t>ASHRM24 Sponsorships (TBD)</t>
  </si>
  <si>
    <t>5.21.24 at 9:30 am CT</t>
  </si>
  <si>
    <t>ASHRM24 - Exhibitor Bulletin #1</t>
  </si>
  <si>
    <t>5.30.24 at 2:30 pm CT</t>
  </si>
  <si>
    <t>ASHRM24 Booth Promo (Renewals + New Exhibitors)</t>
  </si>
  <si>
    <t>Contracted 2024 Exhibitors</t>
  </si>
  <si>
    <t>ASHRM24 Sponsorships (Booth Traffic Drivers)</t>
  </si>
  <si>
    <t>Unopens from 6/5</t>
  </si>
  <si>
    <t>RESEND of 6/5 ASHRM24 Booth Promo (Renewals + New Exhibitors)</t>
  </si>
  <si>
    <t>6.12.24 at 9:15 am CT</t>
  </si>
  <si>
    <t>RESEND of 6/5 ASHRM24 Sponsorships (Booth Traffic Drivers)</t>
  </si>
  <si>
    <t>JHCRM Q3 Deadline</t>
  </si>
  <si>
    <t>HRM Week (June 17-21)</t>
  </si>
  <si>
    <t>ASHRM Express Sponsorships</t>
  </si>
  <si>
    <t>General Sponsorship Push (Highlight All)</t>
  </si>
  <si>
    <t>ASHRM Express Sponsorships (Not Resend but Use Same)</t>
  </si>
  <si>
    <t>Attendees come to learn for ____ -&gt; Do you have something to offer? How about an Industry Symposia!</t>
  </si>
  <si>
    <t>ASHRM Year-Round Advertising (Targeted Emails +eNews)</t>
  </si>
  <si>
    <t>ASHRM24 Exhibitor Bulletin #2</t>
  </si>
  <si>
    <t>2024 Non Contracted</t>
  </si>
  <si>
    <t>AHSMR24 Booth Promotion</t>
  </si>
  <si>
    <t>ASHRM24 Sponsorships - Low Budget</t>
  </si>
  <si>
    <t>Biggest Bang for Your Buck (Search for Solutions + Daily Newsletters + Lobby Elevator + Solutions Center Happy Hour Bar)</t>
  </si>
  <si>
    <t>RESEND of 7/30 - AHSMR24 Booth Promotion</t>
  </si>
  <si>
    <t>8.6.24 at 2:30 pm CT</t>
  </si>
  <si>
    <t>RESEND of 7/30 - ASHRM24 Sponsorships - Low Budget</t>
  </si>
  <si>
    <t>ASHRM Express (August 5-10), Washington, DC</t>
  </si>
  <si>
    <t>ASHRM24 Booth Promo</t>
  </si>
  <si>
    <t>8.20.24 at 2:15 pm CT</t>
  </si>
  <si>
    <t xml:space="preserve">2024 Current Exhibitors </t>
  </si>
  <si>
    <t>ASHRM24 Sponsorship Push -&gt; Bite Size Theater + Search for Solutions + Pre-Conference eBlasts</t>
  </si>
  <si>
    <t>Unopens from 8/20</t>
  </si>
  <si>
    <t>RESEND of 8/20 ASHRM24 Booth Promo</t>
  </si>
  <si>
    <t>8.27.24 at 2 pm CT</t>
  </si>
  <si>
    <t>RESEND of 8/20 ASHRM24 Sponsorship Push -&gt; Bite Size Theater + Search for Solutions + Pre-Conference eBlasts</t>
  </si>
  <si>
    <t>8.29.24 at 11 am CT</t>
  </si>
  <si>
    <t>LAST CALL - ASHRM24 Booth Selection</t>
  </si>
  <si>
    <t>9.10.24 at 2 pm CT</t>
  </si>
  <si>
    <t>Current Exhibitors</t>
  </si>
  <si>
    <t>LAST CALL - ASHRM24 Sponsorship Push (All Available)</t>
  </si>
  <si>
    <t>Focus on Search for Solutions (mimic AHRMM Email from 8/13) + Mobile App Push Notifications + Banner Ad (Daily e-Blasts) + Pre/Post-Event Emails</t>
  </si>
  <si>
    <t>Utlize 2 column format for the four (4) opps to focus on.</t>
  </si>
  <si>
    <t>RESEND of 9/10 LAST CALL - ASHRM24 Booth Selection</t>
  </si>
  <si>
    <t>RESEND to OPENS with messaging of "Still Interested?"</t>
  </si>
  <si>
    <t>Don't Forget to Secure [Company Name/Your Organization] a Booth at ASHRM24 Before It's Too Late!</t>
  </si>
  <si>
    <t>Get ready to connect with 1,200+ health care risk management professionals at ASHRM24 | October 6-9, San Diego, CA</t>
  </si>
  <si>
    <t>9.17.24 at 2:00 pm CT</t>
  </si>
  <si>
    <t>RESEND of 9/10 LAST CALL - ASHRM24 Sponsorship Push (All Available)</t>
  </si>
  <si>
    <t>⏰ Don't Run Out of Time ⏰ Secure [Company Name/Your Organization]'s Ideal Sponsorship to Stand Out from the Crowd at ASHRM24</t>
  </si>
  <si>
    <t>Don't miss your chance to showcase your latest and greatest directly to 1,200+ health care risk management professionals at ASHRM24!</t>
  </si>
  <si>
    <t>See You in San Diego/2025 Contracts Available</t>
  </si>
  <si>
    <t>NO TIMES -&gt; just promote 2025 space available</t>
  </si>
  <si>
    <t>Thursday send</t>
  </si>
  <si>
    <t>9.26.24 at 1:30 pm CT</t>
  </si>
  <si>
    <t>KBYG</t>
  </si>
  <si>
    <t>9.27.24 at 2:30 pm CT</t>
  </si>
  <si>
    <t>JHCRM Q4 Deadline</t>
  </si>
  <si>
    <t>See You in San Diego/Space Selection</t>
  </si>
  <si>
    <t xml:space="preserve">Nick to remove those who have already submitted. </t>
  </si>
  <si>
    <t>RESEND to Unopens</t>
  </si>
  <si>
    <t>See You in San Diego/Space Selection (RESEND from 10/1)</t>
  </si>
  <si>
    <t>10.3.24 at 2 pm CT</t>
  </si>
  <si>
    <t>ASHRM 2024 - San Diego, CA</t>
  </si>
  <si>
    <t>10/7/2024 at 9 am CT (or earlier)</t>
  </si>
  <si>
    <t>See You in San Diego/Space Selection (FINAL REMINDER) -&gt; sent at 9 am CT / 7 am PT</t>
  </si>
  <si>
    <t>SEND AT 9 AM CT / 7 AM PT -&gt; HALL OPENS at 8 PM</t>
  </si>
  <si>
    <t>10.7.24 at 7 am CT</t>
  </si>
  <si>
    <t>10.9.24 at 3 pm CT</t>
  </si>
  <si>
    <t>We Missed You in San Diego/ASHRM25 Promo</t>
  </si>
  <si>
    <t>Sign up for ASHRM 2025.</t>
  </si>
  <si>
    <t>Sent 10.16,24</t>
  </si>
  <si>
    <t>Finish Your Year Strong - ASHRM Advertising</t>
  </si>
  <si>
    <t>Primary focus - behind budget (Digital opps) and highlight how you can spend 2024 budget/make impact in 2025</t>
  </si>
  <si>
    <t>http://45453675.hs-sites.com/maximize-2024-budget-ashrm-digital-opportunities</t>
  </si>
  <si>
    <t>RESEND of Finish Your Year Strong - ASHRM Advertising</t>
  </si>
  <si>
    <t>http://45453675.hs-sites.com/theres-still-time-to-maximize-your-remaining-2024-budget</t>
  </si>
  <si>
    <t>Off Week - Nick in Austin</t>
  </si>
  <si>
    <t>Non-Contracted for 2025</t>
  </si>
  <si>
    <t>Exhibit</t>
  </si>
  <si>
    <t>http://45453675.hs-sites.com/secure-a-booth-at-ashrm-2025</t>
  </si>
  <si>
    <t>Sent 11.18.24</t>
  </si>
  <si>
    <t>http://45453675.hs-sites.com/jumpstart-your-2025-marketing-with-ashrm-digital-ads</t>
  </si>
  <si>
    <t>2025 Annual Exhibitors</t>
  </si>
  <si>
    <t>Sponsorship</t>
  </si>
  <si>
    <t>https://www.ashrmmediakit.org/conference-and-events/ashrm-annual-conference/sponsorship-opportunities/</t>
  </si>
  <si>
    <t>http://45453675.hs-sites.com/ashrm-2025-sponsorship-opportunities</t>
  </si>
  <si>
    <t>12.10.24</t>
  </si>
  <si>
    <t>5.62%%</t>
  </si>
  <si>
    <t>Happy Holidays from ASHRM</t>
  </si>
  <si>
    <t>http://45453675.hs-sites.com/happy-holidays-from-ashrm</t>
  </si>
  <si>
    <t>12.17.24</t>
  </si>
  <si>
    <t>AHSRM Academy</t>
  </si>
  <si>
    <t>What to Expect from ASHRM in 2025</t>
  </si>
  <si>
    <t>Highlight all opportunities - calendar of events, advertising</t>
  </si>
  <si>
    <t>http://45453675.hs-sites.com/what-to-expect-from-ashrm-2025</t>
  </si>
  <si>
    <t>1.9.25</t>
  </si>
  <si>
    <t xml:space="preserve">Go Digital </t>
  </si>
  <si>
    <t>https://www.ashrmmediakit.org/digital/</t>
  </si>
  <si>
    <t>Drive results with ad solutions</t>
  </si>
  <si>
    <t>http://45453675.hs-sites.com/drive-results-with-ad-solutions</t>
  </si>
  <si>
    <t>Your 2025 Event Lineup</t>
  </si>
  <si>
    <t>Annual, Academy, HRM Week, ASHRM Express, National Patient Safety Awareness Week</t>
  </si>
  <si>
    <t>https://www.ashrmmediakit.org/conference-and-events/</t>
  </si>
  <si>
    <t>http://45453675.hs-sites.com/ashrmm-2025-event-lineup</t>
  </si>
  <si>
    <t>1.22.25</t>
  </si>
  <si>
    <t>Academy Partners</t>
  </si>
  <si>
    <t>pbrayley@smithbucklin.com</t>
  </si>
  <si>
    <t>Connect with Potential Clients as ASHRM Academy</t>
  </si>
  <si>
    <t>Push sponsorship opportunities</t>
  </si>
  <si>
    <t>https://www.ashrmmediakit.org/conference-and-events/ashrm-academy/</t>
  </si>
  <si>
    <t>http://45453675.hs-sites.com/connect-at-ashrm-academy</t>
  </si>
  <si>
    <t>Sponsor National Patient Safety Week</t>
  </si>
  <si>
    <t>Exclusive sponsorship available!</t>
  </si>
  <si>
    <t>https://www.ashrmmediakit.org/conference-and-events/national-patient-safety-awareness-week/</t>
  </si>
  <si>
    <t>http://45453675.hs-sites.com/sponsor-national-patient-safety-awareness-week-2025</t>
  </si>
  <si>
    <t>Opportunities You'll Love</t>
  </si>
  <si>
    <t>Push key advertising opportunities</t>
  </si>
  <si>
    <t>http://45453675.hs-sites.com/boost-your-brand-with-ashrm-digital-ads-events</t>
  </si>
  <si>
    <t>Annual Exhibitors</t>
  </si>
  <si>
    <t>Take Your ASHRM 2025 Involvement a Step Further</t>
  </si>
  <si>
    <t>http://45453675.hs-sites.com/exhibit-at-the-2025-ashrm-annual-conference</t>
  </si>
  <si>
    <t>2.13.25</t>
  </si>
  <si>
    <t>Annual Prospects</t>
  </si>
  <si>
    <t>Exhibit at ASHRM Annual</t>
  </si>
  <si>
    <t>Who, What, When, Where, Why</t>
  </si>
  <si>
    <t>https://www.ashrmmediakit.org/conference-and-events/ashrm-annual-conference/become-an-exhibitor/</t>
  </si>
  <si>
    <t>http://45453675.hs-sites.com/%F0%9F%8E%A2-take-your-ashrm-2025-involvement-a-step-further</t>
  </si>
  <si>
    <t>2.11.25</t>
  </si>
  <si>
    <t>Promote Your Content to ASHRM Members</t>
  </si>
  <si>
    <t>Targeted Emails, Podcast, Webinars</t>
  </si>
  <si>
    <t>https://www.ashrmmediakit.org/content-marketing/</t>
  </si>
  <si>
    <t>http://45453675.hs-sites.com/promote-your-brand-on-ashrms-platform</t>
  </si>
  <si>
    <t>Ways to Connect with the Academy Audience</t>
  </si>
  <si>
    <t>Event Coming Up Soon! Highlight sponsorship categories. Call out sponsorship and highlight both categories</t>
  </si>
  <si>
    <t>http://45453675.hs-sites.com/last-call-to-engage-with-top-health-care-risk-managers-at-ashrm-academy</t>
  </si>
  <si>
    <t>Show Your Commitment to the Health Care Risk Management Industry</t>
  </si>
  <si>
    <t>Sponsor ASHRM Annual in Charlotte!</t>
  </si>
  <si>
    <t>http://45453675.hs-sites.com/explore-prime-sponsorships-at-ashrms-key-event</t>
  </si>
  <si>
    <t>Spring Into Action: Create an Advertising Plan</t>
  </si>
  <si>
    <t>Digital, Content Marketing, Targeted Emails, eNewsletters</t>
  </si>
  <si>
    <t>DIA Example</t>
  </si>
  <si>
    <t>http://45453675.hs-sites.com/http/45453675.hs-sites.com/take-advantage-of-ashrms-digital-platforms</t>
  </si>
  <si>
    <t>Highlight all opportunities, include photos of branding</t>
  </si>
  <si>
    <t>https://www.ashrmmediakit.org/conference-and-events/ashrm-annual-conference/sponsorship-opportunities/#:~:text=Click%20Here-,Venue%20Branding,-Partner%20with%20ASHRM</t>
  </si>
  <si>
    <t>http://45453675.hs-sites.com/maximize-visibility-with-ashrm-venue-branding-opportunities</t>
  </si>
  <si>
    <t>March 9-15, 2025</t>
  </si>
  <si>
    <t>National Patient Safety Awareness Week</t>
  </si>
  <si>
    <t>March 17-22, 2025</t>
  </si>
  <si>
    <t>ASHRM Academy | Orlando, FL</t>
  </si>
  <si>
    <t>Annual 25 Prospects</t>
  </si>
  <si>
    <t>Be Part of the Largest ASHRM Event</t>
  </si>
  <si>
    <t>Connect with 1,400+ health care risk management professionals</t>
  </si>
  <si>
    <t>http://45453675.hs-sites.com/network-and-showcase-at-ashrms-premier-event</t>
  </si>
  <si>
    <t>3.25.25</t>
  </si>
  <si>
    <t>Reach 13,500+ Risk Management Leaders</t>
  </si>
  <si>
    <t>ASHRM Website, ASHRM Newsletters</t>
  </si>
  <si>
    <t>http://45453675.hs-sites.com/take-advantage-of-ashrms-digital-platforms</t>
  </si>
  <si>
    <t>Annual Non-Renewals</t>
  </si>
  <si>
    <t>See You in Charlotte?</t>
  </si>
  <si>
    <t>Become an Exhibitor</t>
  </si>
  <si>
    <t>https://45453675.hs-sites.com/dont-miss-out-join-us-again-in-charlotte</t>
  </si>
  <si>
    <t>Why Attend ASHRM Annual</t>
  </si>
  <si>
    <t>Include audience information</t>
  </si>
  <si>
    <t>https://45453675.hs-sites.com/network-showcase-at-ashrm-2025-conference</t>
  </si>
  <si>
    <t>4.15.25</t>
  </si>
  <si>
    <t>April 22, 2025</t>
  </si>
  <si>
    <t>ASHRM Express</t>
  </si>
  <si>
    <t>Sponsor ASHRM Express in Chicago!</t>
  </si>
  <si>
    <t>Highlight all sponsorship categories</t>
  </si>
  <si>
    <t>https://www.ashrmmediakit.org/conference-and-events/ashrm-express/</t>
  </si>
  <si>
    <t>http://45453675.hs-sites.com/boost-your-visibility-at-ashrm-express-sponsorships-available</t>
  </si>
  <si>
    <t>April 30, 2025</t>
  </si>
  <si>
    <t>Deliver Your Content Directly to ASHRM Members</t>
  </si>
  <si>
    <t>Webinars &amp; Podcasts</t>
  </si>
  <si>
    <t>http://45453675.hs-sites.com/deliver-your-message-to-ashrm-members-via-webinars-podcasts</t>
  </si>
  <si>
    <t>Early May</t>
  </si>
  <si>
    <t>ASHRM Annual Exhibitor Bulletin #1</t>
  </si>
  <si>
    <t>Sponsorship Tiers: Invest in the conference at a higher level</t>
  </si>
  <si>
    <t>Push year-round digital opportunities - connect pre-event</t>
  </si>
  <si>
    <t>https://www.ashrmmediakit.org/conference-and-events/ashrm-annual-conference/sponsorship-opportunities/#:~:text=Sponsorship%20Program%20%26%20Levels</t>
  </si>
  <si>
    <t>http://45453675.hs-sites.com/strategic-advertisements-that-deliver-real-roi</t>
  </si>
  <si>
    <t>5.8.25</t>
  </si>
  <si>
    <t>ashrm@smithbucklin.com</t>
  </si>
  <si>
    <t>https://45453675.hs-sites.com/-temporary-slug-7c7e8d39-7605-4bb3-b4d6-57eef5ce861a</t>
  </si>
  <si>
    <t>5.7.25</t>
  </si>
  <si>
    <t>Join Us in Chicago</t>
  </si>
  <si>
    <t>https://45453675.hs-sites.com/connect-with-risk-managers-at-ashrm-express</t>
  </si>
  <si>
    <t>Express &amp; Annual Combined Messaging</t>
  </si>
  <si>
    <t>Upcoming ASHRM Events to Take Part In</t>
  </si>
  <si>
    <t>http://45453675.hs-sites.com/reconnect-with-the-risk-management-community-at-ashrms-premier-2025-events</t>
  </si>
  <si>
    <t>Reserve a Digital Opportunity and Drive Results</t>
  </si>
  <si>
    <t>Website &amp; Newsletters</t>
  </si>
  <si>
    <t>http://45453675.hs-sites.com/promote-your-brand-to-key-decision-makers-on-ashrm-platforms</t>
  </si>
  <si>
    <t>Take Your Conference Presence a Step Further</t>
  </si>
  <si>
    <t>https://www.ashrmmediakit.org/conference-and-events/ashrm-annual-conference/sponsorship-opportunities/#:~:text=Booth%20Traffic%20Drivers</t>
  </si>
  <si>
    <t>https://45453675.hs-sites.com/explore-sponsorships-to-promote-your-booth</t>
  </si>
  <si>
    <t>5.27.25</t>
  </si>
  <si>
    <t>Showcase Your Brand in the Windy City!</t>
  </si>
  <si>
    <t>Sponsor the Annual Summer Education and Networking Event</t>
  </si>
  <si>
    <t>https://45453675.hs-sites.com/dont-miss-out-connect-with-risk-managers-at-ashrm-express</t>
  </si>
  <si>
    <t>Stay Prepared with ASHRM Content Marketing</t>
  </si>
  <si>
    <t>Cool HTML for Targeted Emails. Podcasts, and Webinars</t>
  </si>
  <si>
    <t>https://45453675.hs-sites.com/boost-personalization_tokencontact.company-your-brand-with-ashrms-trusted-ads</t>
  </si>
  <si>
    <t>Annual Messaging to Non-renewals</t>
  </si>
  <si>
    <t>Did you forget to register?</t>
  </si>
  <si>
    <t>https://45453675.hs-sites.com/dont-forget-to-register-for-ashrm25-in-charlotte</t>
  </si>
  <si>
    <t>July 14-19, 2025</t>
  </si>
  <si>
    <r>
      <t xml:space="preserve">ASHRM Express | Chicago, IL - </t>
    </r>
    <r>
      <rPr>
        <i/>
        <sz val="14"/>
        <color rgb="FFFF0000"/>
        <rFont val="Aptos"/>
      </rPr>
      <t>Turn Off Express '25 Page?</t>
    </r>
  </si>
  <si>
    <t>Thought leadership Opportunities &amp; Sponsorship Tiers</t>
  </si>
  <si>
    <t>https://45453675.hs-sites.com/invest-in-visibility.-connect-with-13500-health-care-risk-leaders</t>
  </si>
  <si>
    <t>Dedicated Sponsorship Send</t>
  </si>
  <si>
    <t>Pre-Conference Attendee Webinar</t>
  </si>
  <si>
    <t>https://45453675.hs-sites.com/ready-to-stand-out-at-ahrmm25-boost-your-brand-with-big-visibility</t>
  </si>
  <si>
    <t>Dedicated Advertising Send - Website</t>
  </si>
  <si>
    <t>Reach health care risk management professionals 24/7 on ASHRM.org!</t>
  </si>
  <si>
    <t>https://45453675.hs-sites.com/boost-your-visibility-year-round-on-ashrm.org</t>
  </si>
  <si>
    <t xml:space="preserve">Annual Exclusive Messaging </t>
  </si>
  <si>
    <t>Potentially try something new to increase open rates ex: Did You Miss Us?</t>
  </si>
  <si>
    <t>https://45453675.hs-sites.com/have-you-checked-every-box-for-ashrm25</t>
  </si>
  <si>
    <t>Mid July</t>
  </si>
  <si>
    <t>ASHRM Annual Exhibitor Bulletin #2 - Check Web URL, Include Introduction to Kevin</t>
  </si>
  <si>
    <t>http://45453675.hs-sites.com/ashrm-2025-annual-conference-exhibitor-bulletin-2</t>
  </si>
  <si>
    <t>7.21.25</t>
  </si>
  <si>
    <t>Pre-Conference Attendee Webinar Deadline</t>
  </si>
  <si>
    <t>Sponsor ASHRM Annual in Charlotte! Summers at its peak???</t>
  </si>
  <si>
    <t>http://45453675.hs-sites.com/lead-a-powerful-ashrm-webinar</t>
  </si>
  <si>
    <t>7.29.25</t>
  </si>
  <si>
    <t>What Should You Invest In?</t>
  </si>
  <si>
    <t>Emails and Podcast Sponsorship</t>
  </si>
  <si>
    <t>8.5.25</t>
  </si>
  <si>
    <t>Why Is ASHRM Annual the Most Important Event For Your Company</t>
  </si>
  <si>
    <t>Include Stats - html stat format???</t>
  </si>
  <si>
    <t>https://45453675.hs-sites.com/network-showcase-at-ashrm-2025-conference-1</t>
  </si>
  <si>
    <t>Target Specific Opportunites that NEED to sell</t>
  </si>
  <si>
    <t>Basic Advertising Send - cross-promote event involvement</t>
  </si>
  <si>
    <t>Ask Kevin if he has good recs for what we should advertisie here</t>
  </si>
  <si>
    <t>https://45453675.hs-sites.com/ashrm-sponsorships-for-maximum-exposure</t>
  </si>
  <si>
    <t>352</t>
  </si>
  <si>
    <t>Ensure Your Message Reaches Your Audience</t>
  </si>
  <si>
    <t>Website &amp; Newsletters - Use Statistics and Cool imagery - lots of buttons</t>
  </si>
  <si>
    <t xml:space="preserve">https://www.ashrmmediakit.org/digital/ </t>
  </si>
  <si>
    <t>https://45453675.hs-sites.com/ensure-your-message-reaches-your-audience</t>
  </si>
  <si>
    <t>Early September</t>
  </si>
  <si>
    <t>ASHRM Annual Exhibitor Bulletin #3</t>
  </si>
  <si>
    <t>https://45453675.hs-sites.com/ashrm-2025-annual-conference-exhibitor-bulletin-3</t>
  </si>
  <si>
    <t>ASHRM25 Exhibitors</t>
  </si>
  <si>
    <t>Connect with the ASHRM25 Audience Pre-Show</t>
  </si>
  <si>
    <t>Banner Ads, Pre- and Post-Event Email, Mobile App Push Notifcations</t>
  </si>
  <si>
    <t>https://45453675.hs-sites.com/be-the-buzz-without-breaking-the-bank</t>
  </si>
  <si>
    <r>
      <t xml:space="preserve">Save the Date for Booth Selection - </t>
    </r>
    <r>
      <rPr>
        <i/>
        <sz val="14"/>
        <color rgb="FFFF0000"/>
        <rFont val="Aptos"/>
      </rPr>
      <t>Need 2026 Floor Plan</t>
    </r>
  </si>
  <si>
    <t>https://45453675.hs-sites.com/save-the-date-for-booth-selection</t>
  </si>
  <si>
    <t>9.10.25</t>
  </si>
  <si>
    <t>Last Call for Sponsorship Opportunities</t>
  </si>
  <si>
    <t>Replicate Haydens email with the single clickable image idea</t>
  </si>
  <si>
    <t>https://45547643.hs-sites.com/final-chance-for-early-access-to-sponsorships</t>
  </si>
  <si>
    <t>https://45453675.hs-sites.com/last-call-for-sponsorship-opportunities</t>
  </si>
  <si>
    <t>9.9.25</t>
  </si>
  <si>
    <t>Don't Miss Out on Networking in Charlotte</t>
  </si>
  <si>
    <t>There's Still Time to Reserve a Booth!</t>
  </si>
  <si>
    <t>https://45453675.hs-sites.com/dont-miss-out-on-networking-in-charlotte</t>
  </si>
  <si>
    <t>September 8, 2025</t>
  </si>
  <si>
    <t>Events Send</t>
  </si>
  <si>
    <t>September 15, 2025</t>
  </si>
  <si>
    <r>
      <t xml:space="preserve">ASHRM Annual 2025 Assigned Space Selection TIme - </t>
    </r>
    <r>
      <rPr>
        <i/>
        <sz val="14"/>
        <color rgb="FFFF0000"/>
        <rFont val="Aptos"/>
      </rPr>
      <t>Need 2026 Floor Plan, Contract, Rules/Regs</t>
    </r>
  </si>
  <si>
    <t>https://45453675.hs-sites.com/-temporary-slug-c3b1a5c4-3b1c-4397-b6bb-30e43313db21?hs_preview=zndIKVGu-196071185179&amp;</t>
  </si>
  <si>
    <t>9.16.25</t>
  </si>
  <si>
    <t>September 23, 2025</t>
  </si>
  <si>
    <t>ASHRM Annual Exhibitor Bulletin #4 - Pack Your Bags!</t>
  </si>
  <si>
    <t>https://45453675.hs-sites.com/ashrm-2025-annual-conference-exhibitor-bulletin-4</t>
  </si>
  <si>
    <t>9.23.25</t>
  </si>
  <si>
    <t>September 25, 2025</t>
  </si>
  <si>
    <t>https://45453675.hs-sites.com/final-reminder-ashrm-2025-space-selection-date-time-assignments</t>
  </si>
  <si>
    <t>September 28-30, 2025</t>
  </si>
  <si>
    <t>2025 ASHRM Annual Conference | Charlotte, NC</t>
  </si>
  <si>
    <r>
      <t xml:space="preserve">Flip Microsite to ASHRM 2026 Exhibits - </t>
    </r>
    <r>
      <rPr>
        <i/>
        <sz val="14"/>
        <color rgb="FFFF0000"/>
        <rFont val="Aptos"/>
      </rPr>
      <t>Need 2026 Floor Plan, Contract, Rules/Regs</t>
    </r>
  </si>
  <si>
    <r>
      <t xml:space="preserve">Hide Exhibitor Resources / Sponsorships Page - </t>
    </r>
    <r>
      <rPr>
        <i/>
        <sz val="14"/>
        <color rgb="FFFF0000"/>
        <rFont val="Aptos"/>
      </rPr>
      <t>Send Hidden Link to Events for 2026 Edits</t>
    </r>
  </si>
  <si>
    <t>September 30, 2025</t>
  </si>
  <si>
    <t>Thank You Email - Continue post conference with year-round advertising! 2026 media kit coming soon</t>
  </si>
  <si>
    <t>https://45453675.hs-sites.com/pack-your-bags-ashrm25-annual-conference-exhibition</t>
  </si>
  <si>
    <t>9.30.25</t>
  </si>
  <si>
    <t>October 6, 2025</t>
  </si>
  <si>
    <t xml:space="preserve">Reminder to Complete Survey - Push Year round advertising </t>
  </si>
  <si>
    <t>https://45453675.hs-sites.com/ashrm25-exhibitor-survey-thank-you</t>
  </si>
  <si>
    <t>10.6.25</t>
  </si>
  <si>
    <t>October 13, 2025</t>
  </si>
  <si>
    <t>ASHRM 2026 Media Kit Launch</t>
  </si>
  <si>
    <t>Year Round Ads - Webinars &amp; Post Show Advertising Opportunities</t>
  </si>
  <si>
    <t>A/B testing</t>
  </si>
  <si>
    <t>Links</t>
  </si>
  <si>
    <t>https://45453675.hs-sites.com/turn-insights-into-impact-host-your-ashrm-webinar-today-1</t>
  </si>
  <si>
    <t>Buttons</t>
  </si>
  <si>
    <t>https://45453675.hs-sites.com/turn-insights-into-impact-host-your-ashrm-webinar-today</t>
  </si>
  <si>
    <t>ASHRM Annual 2026 Sponsorship Launch</t>
  </si>
  <si>
    <r>
      <t xml:space="preserve">Launch ASHRM 2026 Exhibitor Resources - </t>
    </r>
    <r>
      <rPr>
        <i/>
        <sz val="14"/>
        <color rgb="FFFF0000"/>
        <rFont val="Aptos"/>
      </rPr>
      <t>Need Info from Events</t>
    </r>
  </si>
  <si>
    <t>Keep the Conversations Going</t>
  </si>
  <si>
    <t>Push year-round advertising, coming soon 2026 media kit plug</t>
  </si>
  <si>
    <t>Exhibiting in 2026? Exhibitor Resources are LIVE!</t>
  </si>
  <si>
    <t>https://45453675.hs-sites.com/they-saw-you-at-ashrm25-now-hit-their-inbox</t>
  </si>
  <si>
    <t>11.6.25</t>
  </si>
  <si>
    <t>November 18th, 2025</t>
  </si>
  <si>
    <t>ASHRM26 Prospects/Non-renewals</t>
  </si>
  <si>
    <t>Will we see you at ASHRM Annual in 2026?</t>
  </si>
  <si>
    <t>https://45453675.hs-sites.com/be-part-of-ashrm26-in-phoenix</t>
  </si>
  <si>
    <t>11.18.25</t>
  </si>
  <si>
    <t>December 2nd, 2025</t>
  </si>
  <si>
    <t>2026 Media Kit is Now Live</t>
  </si>
  <si>
    <t>https://45453675.hs-sites.com/your-2026-ashrm-advertising</t>
  </si>
  <si>
    <t>December 16th, 2025</t>
  </si>
  <si>
    <t>Connect in the new year</t>
  </si>
  <si>
    <t>https://45453675.hs-sites.com/wishing-you-a-healthy-and-successful-year-ahead-from-ashrm</t>
  </si>
  <si>
    <t>January 7th, 2026</t>
  </si>
  <si>
    <t>New Year, New Opportunities</t>
  </si>
  <si>
    <t>https://45453675.hs-sites.com/happy-new-year-from-ashrm</t>
  </si>
  <si>
    <t>1.9.26</t>
  </si>
  <si>
    <t>January 20th, 2026</t>
  </si>
  <si>
    <t>ASHRM26 Exhibitors</t>
  </si>
  <si>
    <t>New Year, New Pipeline: Keep Your Brand in Front of Risk Pros Leading Up to Conference</t>
  </si>
  <si>
    <t>Connect with attendees prior to meeting in Phoenix</t>
  </si>
  <si>
    <t>E-blast</t>
  </si>
  <si>
    <t>https://45453675.hs-sites.com/new-year-new-pipeline</t>
  </si>
  <si>
    <t>1.20.26</t>
  </si>
  <si>
    <t>ASHRM26 Sponsorship Prospectus Launch</t>
  </si>
  <si>
    <t>https://45453675.hs-sites.com/ashrm-2026-sponsorships-are-live-secure-yours-now</t>
  </si>
  <si>
    <t>2.4.26</t>
  </si>
  <si>
    <t>ASHRM Visibility Digest #1: Quick Wins to Reach Risk Leaders</t>
  </si>
  <si>
    <t>https://45453675.hs-sites.com/ashrm-visibility-digest-1-quick-wins-to-reach-risk-leaders</t>
  </si>
  <si>
    <t>February 17th, 2026</t>
  </si>
  <si>
    <t>Participate in NextGen Sponsorship</t>
  </si>
  <si>
    <t>Reference new microsite page post-approval</t>
  </si>
  <si>
    <t>https://www.ashrmmediakit.org/nextgen-risk-leadership-sponsorship/</t>
  </si>
  <si>
    <t>https://45453675.hs-sites.com/new-exclusive-bundle-nextgen-risk-leadership-sponsorship</t>
  </si>
  <si>
    <t>2.17.26</t>
  </si>
  <si>
    <t>Feburary 24th, 2026</t>
  </si>
  <si>
    <t>Turn Expertise Into Leads: Host a Webinar with ASHRM</t>
  </si>
  <si>
    <t>Webinars: Live-hosted or on-demand webinar options</t>
  </si>
  <si>
    <t>https://45453675.hs-sites.com/put-your-expertise-on-the-virtual-stage-with-an-ashrm-webinar</t>
  </si>
  <si>
    <t>2.24.26</t>
  </si>
  <si>
    <t>ASHRM26 Partners</t>
  </si>
  <si>
    <t>Turn ASHRM26 Momentum into More Meetings</t>
  </si>
  <si>
    <t>Branding &amp; Advertising Sponsorship</t>
  </si>
  <si>
    <t>https://45453675.hs-sites.com/turn-ashrm26-momentum-into-more-meetings</t>
  </si>
  <si>
    <t>3.4.26</t>
  </si>
  <si>
    <t>Working on Dashboard</t>
  </si>
  <si>
    <t>ASHRM Pipeline Digest #2: Spring Visibility Plays That Perform</t>
  </si>
  <si>
    <t>https://www.ashrmmediakit.org/ashrm-visibility-digest-2-high-impact-visibility-for-risk-leaders</t>
  </si>
  <si>
    <t>March 24th, 2026</t>
  </si>
  <si>
    <t>ASHRM NextGen Promo</t>
  </si>
  <si>
    <t>Push Networking Event</t>
  </si>
  <si>
    <t>https://www.ashrmmediakit.org/a-bundled-way-to-reach-rising-risk-leaders</t>
  </si>
  <si>
    <t>3.26.26</t>
  </si>
  <si>
    <t>Evan Williams Letter</t>
  </si>
  <si>
    <t>Why you should be at the conference</t>
  </si>
  <si>
    <t>https://www.ashrmmediakit.org/a-message-from-evan-williams-on-ashrm-annual-2026</t>
  </si>
  <si>
    <t>ASHRM NextGen Reminder</t>
  </si>
  <si>
    <t>https://www.ashrmmediakit.org/reminder-reach-rising-risk-leaders-with-one-sponsorship</t>
  </si>
  <si>
    <t>ASHRM Golf Simulator Promotion</t>
  </si>
  <si>
    <t>https://www.ashrmmediakit.org/booth-traffic-drivers#:~:text=Solution%20Center%20Golf%20Hub</t>
  </si>
  <si>
    <t>https://www.ashrmmediakit.org/put-your-brand-in-play-at-ashrm26</t>
  </si>
  <si>
    <t xml:space="preserve">ASHRM E-Blasts </t>
  </si>
  <si>
    <t>https://www.ashrmmediakit.org/digital</t>
  </si>
  <si>
    <t xml:space="preserve">Lead Gen, 100% ownership of messaging, strong open &amp; click rates, great opportunity to engage w attendees leading up to the event </t>
  </si>
  <si>
    <t>https://www.ashrmmediakit.org/own-the-message.-reach-ashrm-members-directly</t>
  </si>
  <si>
    <t>May 7th, 2026</t>
  </si>
  <si>
    <t>Prospects &amp; Non-renewals</t>
  </si>
  <si>
    <t>ASHRM Booth Push</t>
  </si>
  <si>
    <t>https://www.ashrmmediakit.org/ashrm26-is-coming-sooner-than-you-think</t>
  </si>
  <si>
    <t>5.7.26</t>
  </si>
  <si>
    <t>May 12th, 2026</t>
  </si>
  <si>
    <t>ASHRM Webinars</t>
  </si>
  <si>
    <t>https://www.ashrmmediakit.org/webinars</t>
  </si>
  <si>
    <t>https://www.ashrmmediakit.org/your-webinar-ashrms-audience</t>
  </si>
  <si>
    <t>5.12.26</t>
  </si>
  <si>
    <t>May 18th</t>
  </si>
  <si>
    <t>https://www.ashrmmediakit.org/ashrm26-annual-conference-exhibitor-bulletin-1</t>
  </si>
  <si>
    <t>5.18.26</t>
  </si>
  <si>
    <t>Chapter Luncheon Sponsorship &amp; Chapter Leaders Section in Exhibit Hall</t>
  </si>
  <si>
    <t>Bundled Opportunities Package</t>
  </si>
  <si>
    <t>https://www.ashrmmediakit.org/get-5-minutes-with-every-ashrm-chapter-leader</t>
  </si>
  <si>
    <t>6.2.26</t>
  </si>
  <si>
    <t>June 8th, 2026</t>
  </si>
  <si>
    <t xml:space="preserve">Year Round Ads - Digital </t>
  </si>
  <si>
    <t>https://www.ashrmmediakit.org/your-brand.-ashrms-audience</t>
  </si>
  <si>
    <t>6.8.26</t>
  </si>
  <si>
    <t>June 17th, 2026</t>
  </si>
  <si>
    <t>https://www.ashrmmediakit.org/your-buyers-are-all-in-one-room-this-october</t>
  </si>
  <si>
    <t>6.17.26</t>
  </si>
  <si>
    <t xml:space="preserve">Week of June 22nd </t>
  </si>
  <si>
    <t>June 25th</t>
  </si>
  <si>
    <t>Exhibitors w/o a promo buy</t>
  </si>
  <si>
    <t>Get Your Logo in Every Attendee's Hands</t>
  </si>
  <si>
    <t>Conference Bags $25K</t>
  </si>
  <si>
    <t>Promo non-buyers</t>
  </si>
  <si>
    <t>Final Days: Branded Notepad for Phoenix</t>
  </si>
  <si>
    <t>Conference Notepad $15K</t>
  </si>
  <si>
    <t>Last call, 3 days to the July 24 cutoff</t>
  </si>
  <si>
    <t>July 24th</t>
  </si>
  <si>
    <t>Promo Items deadline - Landyards/Bags/Notebooks</t>
  </si>
  <si>
    <t>Exhibitors wanting lead gen</t>
  </si>
  <si>
    <t>Put Your Experts in Front of the Room</t>
  </si>
  <si>
    <t>Monday Sunrise Session $12,500</t>
  </si>
  <si>
    <t>Premium / brand-focused exhibitors</t>
  </si>
  <si>
    <t>Align Your Brand With the Innovation Award</t>
  </si>
  <si>
    <t>Innovation Award $15K (exclusive)</t>
  </si>
  <si>
    <t>Homepage banner + nomination emails; high-visibility</t>
  </si>
  <si>
    <t>Exhibitors w/o a speaking slot</t>
  </si>
  <si>
    <t>Demo Your Solution On the Floor</t>
  </si>
  <si>
    <t>Bite-Size Learning $5,000</t>
  </si>
  <si>
    <t>Solution Center Theater, exhibitors only, first-come</t>
  </si>
  <si>
    <t>Exhibitors still without a session</t>
  </si>
  <si>
    <t>Last Call to Lock Your Session</t>
  </si>
  <si>
    <t>Industry Symposia $12,500</t>
  </si>
  <si>
    <t>Reach Risk Leaders Year-Round</t>
  </si>
  <si>
    <t>Podcast Sponsorship</t>
  </si>
  <si>
    <t xml:space="preserve"> August 31st</t>
  </si>
  <si>
    <t>September 1st</t>
  </si>
  <si>
    <r>
      <t xml:space="preserve">Pre-Show Attendee List - </t>
    </r>
    <r>
      <rPr>
        <i/>
        <sz val="14"/>
        <color rgb="FFFF0000"/>
        <rFont val="Aptos"/>
      </rPr>
      <t>Events to Send</t>
    </r>
  </si>
  <si>
    <t>October 1st</t>
  </si>
  <si>
    <t>October 8th</t>
  </si>
  <si>
    <t>October 14th</t>
  </si>
  <si>
    <t>October 19th</t>
  </si>
  <si>
    <r>
      <t xml:space="preserve">Post-Show Attendee List - </t>
    </r>
    <r>
      <rPr>
        <i/>
        <sz val="14"/>
        <color rgb="FFFF0000"/>
        <rFont val="Aptos"/>
      </rPr>
      <t>Events to Send</t>
    </r>
  </si>
  <si>
    <t>ATC 2026</t>
  </si>
  <si>
    <t>Average Opens:</t>
  </si>
  <si>
    <t>Average Clicks:</t>
  </si>
  <si>
    <t>Week Of</t>
  </si>
  <si>
    <t>Audience</t>
  </si>
  <si>
    <t>Subject/Message</t>
  </si>
  <si>
    <t>Opportunities</t>
  </si>
  <si>
    <t>Notes</t>
  </si>
  <si>
    <t>Report Sent</t>
  </si>
  <si>
    <t>Microsite Visits</t>
  </si>
  <si>
    <t>Everett Sending Individual Communications</t>
  </si>
  <si>
    <t>Prospect</t>
  </si>
  <si>
    <t>Just Launched! Exhibit Booths</t>
  </si>
  <si>
    <t>Booth Pricing</t>
  </si>
  <si>
    <t>Include Contract, Rules/Regs</t>
  </si>
  <si>
    <t>8.30.23</t>
  </si>
  <si>
    <t>Sent 8.30.23</t>
  </si>
  <si>
    <t>Entire Database (Non-Opens)</t>
  </si>
  <si>
    <t>ICYMI: Booth Launch</t>
  </si>
  <si>
    <t>Sent 9.7.23</t>
  </si>
  <si>
    <t>9.18.23</t>
  </si>
  <si>
    <r>
      <rPr>
        <b/>
        <i/>
        <sz val="16"/>
        <color theme="1"/>
        <rFont val="Aptos"/>
      </rPr>
      <t>MAKE PRESENTATION PAGE LIVE ON MICROSITE</t>
    </r>
    <r>
      <rPr>
        <i/>
        <sz val="16"/>
        <color theme="1"/>
        <rFont val="Aptos"/>
      </rPr>
      <t xml:space="preserve"> - Satellite Symposia Launch - Everett Sending Individual Communications</t>
    </r>
  </si>
  <si>
    <t>Just Launched! Satellite Symposium</t>
  </si>
  <si>
    <t>Sent 10.16.23</t>
  </si>
  <si>
    <t>10.18.23</t>
  </si>
  <si>
    <t>Reserve Your Booth!</t>
  </si>
  <si>
    <t>Deadline 10/27, Space Selection 11/28</t>
  </si>
  <si>
    <t>Sent 10.25.23</t>
  </si>
  <si>
    <t>10.26.23</t>
  </si>
  <si>
    <t>ATC 2024 Space Selection Deadline</t>
  </si>
  <si>
    <t>ATC 2024: You Want to Be Here</t>
  </si>
  <si>
    <t>Include Demographics - Who provides this?</t>
  </si>
  <si>
    <t>Sent 10.31.23</t>
  </si>
  <si>
    <t>11.2.23</t>
  </si>
  <si>
    <t>Sponsorship Prospectus Launch</t>
  </si>
  <si>
    <t>Opportunity Categories</t>
  </si>
  <si>
    <t>Sent 11.29.23</t>
  </si>
  <si>
    <t>11.30.23</t>
  </si>
  <si>
    <t>ATC 2024 Space Selection</t>
  </si>
  <si>
    <t>ICYMI: Sponsorship Prospectus Launch</t>
  </si>
  <si>
    <t>Sent 12.5.23</t>
  </si>
  <si>
    <t>12.6.23</t>
  </si>
  <si>
    <t>Happy Holidays from ATC!</t>
  </si>
  <si>
    <t>See You Next Year</t>
  </si>
  <si>
    <t>Sent 12.19.23</t>
  </si>
  <si>
    <t>Symposium Contracts Due</t>
  </si>
  <si>
    <t>Going Fast - Satellite Symposia!</t>
  </si>
  <si>
    <t>Submit Your Contract</t>
  </si>
  <si>
    <t>Sent 1.10.24</t>
  </si>
  <si>
    <t>1.11.24</t>
  </si>
  <si>
    <t>Booth Space Available</t>
  </si>
  <si>
    <t>Reserve Your Space!</t>
  </si>
  <si>
    <t>From Mark</t>
  </si>
  <si>
    <t>Sent 1.17.24</t>
  </si>
  <si>
    <t>1.18.24</t>
  </si>
  <si>
    <r>
      <rPr>
        <i/>
        <sz val="16"/>
        <color rgb="FF000000"/>
        <rFont val="Aptos"/>
      </rPr>
      <t xml:space="preserve">Artwork, Symposium Information, Logos Due - </t>
    </r>
    <r>
      <rPr>
        <i/>
        <sz val="16"/>
        <color rgb="FFFF0000"/>
        <rFont val="Aptos"/>
      </rPr>
      <t>EVENTS</t>
    </r>
  </si>
  <si>
    <t>Exhibit at ATC</t>
  </si>
  <si>
    <t>Who You'll Meet</t>
  </si>
  <si>
    <t>Sent 1.24.24</t>
  </si>
  <si>
    <t>1.24.24</t>
  </si>
  <si>
    <t>Exhibitor</t>
  </si>
  <si>
    <t>Introduction to Sponsorships</t>
  </si>
  <si>
    <t>Full Prospectus</t>
  </si>
  <si>
    <t>Sent 2.1.24</t>
  </si>
  <si>
    <t>2.2.24</t>
  </si>
  <si>
    <t>Branding</t>
  </si>
  <si>
    <t>Sent 2.8.24</t>
  </si>
  <si>
    <t>2.9.24</t>
  </si>
  <si>
    <t>Technology</t>
  </si>
  <si>
    <t>Sent 2.14.24</t>
  </si>
  <si>
    <t>2.15.24</t>
  </si>
  <si>
    <t>Overall Sponsorships</t>
  </si>
  <si>
    <t>Symposia, Product Theater, Going Fast, Branding</t>
  </si>
  <si>
    <t>Sent 2.20.24</t>
  </si>
  <si>
    <t>2.20.24</t>
  </si>
  <si>
    <t>Presentations</t>
  </si>
  <si>
    <t>Symposia - Going Fast!</t>
  </si>
  <si>
    <t>Selling experience, access, hundreds of transplant professionals, lead retrieval</t>
  </si>
  <si>
    <t>Sent 2.27.24</t>
  </si>
  <si>
    <t>3.1.24</t>
  </si>
  <si>
    <t>Prospect/Exhibitor</t>
  </si>
  <si>
    <t>Booth &amp; Sponsorship Push</t>
  </si>
  <si>
    <t>Symposia, Presentations</t>
  </si>
  <si>
    <t>Going fast!</t>
  </si>
  <si>
    <t>Sent 3.6.24</t>
  </si>
  <si>
    <t>3.8.24</t>
  </si>
  <si>
    <t>Symposia, Product Theater</t>
  </si>
  <si>
    <t>Daily News Brief, Housing Confirmation Email</t>
  </si>
  <si>
    <t>Sent 3.13.24</t>
  </si>
  <si>
    <t>3.15.24</t>
  </si>
  <si>
    <t>Symposia</t>
  </si>
  <si>
    <t>Sent 3.21.24</t>
  </si>
  <si>
    <t>3.22.24</t>
  </si>
  <si>
    <t>Exhibitor Newsletter - Template Created, Ingrid to Send</t>
  </si>
  <si>
    <t>Exhibitor Newsletter - March</t>
  </si>
  <si>
    <t>Info from Benjamin</t>
  </si>
  <si>
    <t>Sent 3.22.24</t>
  </si>
  <si>
    <t>3.27.24</t>
  </si>
  <si>
    <t>Sent 3.26.24</t>
  </si>
  <si>
    <t>3.28.24</t>
  </si>
  <si>
    <t>14.54%%</t>
  </si>
  <si>
    <t>0%%</t>
  </si>
  <si>
    <t>Branding, Presentations, Registration Bag</t>
  </si>
  <si>
    <t>Sent 4.4.24</t>
  </si>
  <si>
    <t>4.9.24</t>
  </si>
  <si>
    <t>Urgency - Symposiums, Presentations</t>
  </si>
  <si>
    <t>Sent 4.11.24</t>
  </si>
  <si>
    <t>4.16.24</t>
  </si>
  <si>
    <t>ICYMI: Sponsorship Push</t>
  </si>
  <si>
    <t>Sent 4.15.24</t>
  </si>
  <si>
    <t>ICYMI: Sponsorship Urgency</t>
  </si>
  <si>
    <t>Resend from Last Week</t>
  </si>
  <si>
    <t>Sent 4.17.24</t>
  </si>
  <si>
    <t>4.26.24</t>
  </si>
  <si>
    <t>Sent 4.19.24</t>
  </si>
  <si>
    <t>Prospects</t>
  </si>
  <si>
    <t>90% Full Floor Plan!</t>
  </si>
  <si>
    <t>Sent 4.25.24</t>
  </si>
  <si>
    <t>ICYMI: Sponsorship Urgency 2</t>
  </si>
  <si>
    <t>List from Everett</t>
  </si>
  <si>
    <t>Sent 4.24.24</t>
  </si>
  <si>
    <t>Presentation Push</t>
  </si>
  <si>
    <t>Few spots remain!</t>
  </si>
  <si>
    <t>Sent 4.30.24</t>
  </si>
  <si>
    <t>5.6.24</t>
  </si>
  <si>
    <t>ICYMI</t>
  </si>
  <si>
    <t>Sent 5.7.24</t>
  </si>
  <si>
    <t>5.10.24</t>
  </si>
  <si>
    <t>See you in Philly?</t>
  </si>
  <si>
    <t>Spots by Product Theater - increased traffic!</t>
  </si>
  <si>
    <t>Sent 5.9.10</t>
  </si>
  <si>
    <t>Last Minute Sponsorships</t>
  </si>
  <si>
    <t>Pricing tiers, presentations</t>
  </si>
  <si>
    <t>Sent 5.22.24</t>
  </si>
  <si>
    <t>5.28.24</t>
  </si>
  <si>
    <t>Focus Groups</t>
  </si>
  <si>
    <t>Change Sanofi name and deadline</t>
  </si>
  <si>
    <t>Info from Makenzi</t>
  </si>
  <si>
    <t>Sent 5.20.24</t>
  </si>
  <si>
    <t>Exhibitor Newsetter - Pack Your Bags</t>
  </si>
  <si>
    <t>Sent 5.23.24</t>
  </si>
  <si>
    <t>Off Week - Show Prep</t>
  </si>
  <si>
    <t>June 1-5, 2024</t>
  </si>
  <si>
    <t>ATC 2024 - Philadelphia, PA</t>
  </si>
  <si>
    <t xml:space="preserve">Off Week </t>
  </si>
  <si>
    <t xml:space="preserve">                                                                                                             </t>
  </si>
  <si>
    <t>ATC 2024 Thank You</t>
  </si>
  <si>
    <t>Include recap and demographics</t>
  </si>
  <si>
    <t>Sent 6.25.24</t>
  </si>
  <si>
    <t>7.1.24</t>
  </si>
  <si>
    <t>June / July 2025</t>
  </si>
  <si>
    <t>2026 Exhibit Sales / Exhibitor Resources Launch</t>
  </si>
  <si>
    <t>First Right of Refusal</t>
  </si>
  <si>
    <t>ATC 2024 Database</t>
  </si>
  <si>
    <t>Reserve Your ATC 2026 Booth in Boston!</t>
  </si>
  <si>
    <t>Submit Your Exhibit Contract</t>
  </si>
  <si>
    <t>Include terms &amp; conditions link, exhibit contract</t>
  </si>
  <si>
    <t>http://45320799.hs-sites.com/atc-2026-exhibit-sales-launch-1</t>
  </si>
  <si>
    <t>WTC 2025 Exhibitors</t>
  </si>
  <si>
    <t>http://45320799.hs-sites.com/atc-2026-exhibit-sales-launch-3</t>
  </si>
  <si>
    <t>Primary / WTC 2025 Contacts</t>
  </si>
  <si>
    <t>ICYMI: Exhibitor Contact Resend</t>
  </si>
  <si>
    <t>http://45320799.hs-sites.com/icymi-reserve-your-booth-for-atc-2026-in-boston</t>
  </si>
  <si>
    <t>Webinar Registrants</t>
  </si>
  <si>
    <t>Thank You for Attending</t>
  </si>
  <si>
    <t>http://45320799.hs-sites.com/atc-2026-space-selection-webinar-thank-you</t>
  </si>
  <si>
    <t>7.24.25</t>
  </si>
  <si>
    <t>7.30.25</t>
  </si>
  <si>
    <t>Exhibitor Webinar - LIVE @ 12PM CST</t>
  </si>
  <si>
    <t>Exhibitor Contract Deadline</t>
  </si>
  <si>
    <t>Send Space Selection Appointments</t>
  </si>
  <si>
    <t>WTC Exhibitors</t>
  </si>
  <si>
    <t>Space Selection Times for ATC 2026</t>
  </si>
  <si>
    <t>Replicate SHSMD Appointments Email</t>
  </si>
  <si>
    <t>http://45320799.hs-sites.com/atc-2026-space-selection-appointment</t>
  </si>
  <si>
    <t>7.28.25</t>
  </si>
  <si>
    <t>8.20.25</t>
  </si>
  <si>
    <t>Space Selection Times Reminder</t>
  </si>
  <si>
    <t>Resend to Database</t>
  </si>
  <si>
    <t>http://45320799.hs-sites.com/icymi-atc-2026-booth-appointment</t>
  </si>
  <si>
    <t>First Time WTC Exhibitors</t>
  </si>
  <si>
    <t>Intro to ATC 2026</t>
  </si>
  <si>
    <t>Reference Notes from BR</t>
  </si>
  <si>
    <t>http://45320799.hs-sites.com/atc-2026-intro?hs_preview=aWVyYusU-193673003448</t>
  </si>
  <si>
    <t>August 2-6</t>
  </si>
  <si>
    <t>World Transplant Congress | San Francisco, CA</t>
  </si>
  <si>
    <t>Those Not Contracted at WTC</t>
  </si>
  <si>
    <t>We Missed You in San Fran!</t>
  </si>
  <si>
    <t>What is ATC?</t>
  </si>
  <si>
    <r>
      <rPr>
        <sz val="16"/>
        <color rgb="FF000000"/>
        <rFont val="Aptos"/>
      </rPr>
      <t xml:space="preserve">Why Participate? </t>
    </r>
    <r>
      <rPr>
        <i/>
        <sz val="16"/>
        <color rgb="FFFF0000"/>
        <rFont val="Aptos"/>
      </rPr>
      <t>HTML Format, Personal Send from Sales Team</t>
    </r>
  </si>
  <si>
    <t>Sent to Team</t>
  </si>
  <si>
    <t>First Right of Refusal Deadline</t>
  </si>
  <si>
    <t>Reserve Your Booth This Week</t>
  </si>
  <si>
    <t>Take Advantage of Sponsorships</t>
  </si>
  <si>
    <r>
      <rPr>
        <sz val="16"/>
        <color rgb="FF000000"/>
        <rFont val="Aptos"/>
      </rPr>
      <t>Coming Soon!</t>
    </r>
    <r>
      <rPr>
        <i/>
        <sz val="16"/>
        <color rgb="FFFF0000"/>
        <rFont val="Aptos"/>
      </rPr>
      <t xml:space="preserve"> From HubSpot</t>
    </r>
  </si>
  <si>
    <t>http://45320799.hs-sites.com/exhibit-at-american-transplant-congress-atc-2026</t>
  </si>
  <si>
    <t>Coming Soon: ATC 2026 Sponsorships</t>
  </si>
  <si>
    <t>Gain Early Access - Fill Out Form</t>
  </si>
  <si>
    <t>https://share.hsforms.com/135wHI3SaQPGk4PCYrTZWlwqzdr3</t>
  </si>
  <si>
    <t>http://45320799.hs-sites.com/act-2026-sponsorship-first-look</t>
  </si>
  <si>
    <t>Your First Look at ATC 2026 Sponsorships</t>
  </si>
  <si>
    <t>Reserve Before They're Public!</t>
  </si>
  <si>
    <t>Send Monday</t>
  </si>
  <si>
    <t>http://45320799.hs-sites.com/atc-2026-sponsorship-early-access</t>
  </si>
  <si>
    <t>9.26.25</t>
  </si>
  <si>
    <t>Early Access Opens</t>
  </si>
  <si>
    <t>Personal Outreach from Sales</t>
  </si>
  <si>
    <t>Sent 9.9.25</t>
  </si>
  <si>
    <r>
      <rPr>
        <i/>
        <sz val="16"/>
        <color rgb="FF000000"/>
        <rFont val="Aptos"/>
      </rPr>
      <t xml:space="preserve">2026 Sponsorships Launch - Phase 1- </t>
    </r>
    <r>
      <rPr>
        <i/>
        <sz val="16"/>
        <color rgb="FFFF0000"/>
        <rFont val="Aptos"/>
      </rPr>
      <t>Send Thursday</t>
    </r>
  </si>
  <si>
    <t>http://45320799.hs-sites.com/atc-2026-sponsorship-launch</t>
  </si>
  <si>
    <t>Sent 9.11.25</t>
  </si>
  <si>
    <t>ATC 2026 Exhibitors</t>
  </si>
  <si>
    <t>Sponsorships Are Here!</t>
  </si>
  <si>
    <t>http://45320799.hs-sites.com/atc-2026-sponsorships-icymi</t>
  </si>
  <si>
    <t>ATC Prospects &amp; Non-Renewals</t>
  </si>
  <si>
    <t>Come to the Premier Life Sciences Event</t>
  </si>
  <si>
    <t>See You at ATC 2026 in Boston</t>
  </si>
  <si>
    <t>Attendee List Reminder</t>
  </si>
  <si>
    <t>http://45320799.hs-sites.com/dont-miss-atc-2026-in-boston-see-whos-coming</t>
  </si>
  <si>
    <t>WTC Prospects &amp; Non-Renewals</t>
  </si>
  <si>
    <t>https://45320799.hs-sites.com/see-whos-coming-wtc</t>
  </si>
  <si>
    <t>10.14.25</t>
  </si>
  <si>
    <t>2026 Sponsorships Launch - Phase 2</t>
  </si>
  <si>
    <t>http://45320799.hs-sites.com/atc-2026-phase-2-sponsorships</t>
  </si>
  <si>
    <t>Sent 10.16.25</t>
  </si>
  <si>
    <t>10.21.25</t>
  </si>
  <si>
    <t>Phase 2 Sponsorships Are Here!</t>
  </si>
  <si>
    <t>http://45320799.hs-sites.com/atc-2026-phase-2-sponsorship-launch</t>
  </si>
  <si>
    <t>Sent 10.23.25</t>
  </si>
  <si>
    <t>10.27.25</t>
  </si>
  <si>
    <t>2024 Non-Renewals</t>
  </si>
  <si>
    <t>We Saw You in 2024 - Join Us!</t>
  </si>
  <si>
    <t>We Want You to Exhibit in Boston</t>
  </si>
  <si>
    <t>Sponsorships Recently Launched</t>
  </si>
  <si>
    <t>https://45320799.hs-sites.com/join-the-transplant-community-in-boston</t>
  </si>
  <si>
    <t>Sent 11.4.25</t>
  </si>
  <si>
    <t>11.10.25</t>
  </si>
  <si>
    <t>Take Your Involvement a Step Further</t>
  </si>
  <si>
    <t>Go Beyond Your Exhibit Booth</t>
  </si>
  <si>
    <t>New Sponsorships Added!</t>
  </si>
  <si>
    <t>https://45320799.hs-sites.com/get-seen-at-atc-2026</t>
  </si>
  <si>
    <t>11.17.25</t>
  </si>
  <si>
    <t>A Testing Segmented List</t>
  </si>
  <si>
    <t>Present at ATC the Premier Life Sciences Event</t>
  </si>
  <si>
    <t>https://www.atcsponsorships.org/present/</t>
  </si>
  <si>
    <t xml:space="preserve">Target Big Ticket Presentation Opportunities </t>
  </si>
  <si>
    <t>https://45320799.hs-sites.com/present-at-atc-the-premier-life-sciences-event</t>
  </si>
  <si>
    <t>Sent 11.20.35</t>
  </si>
  <si>
    <t>11.24.25</t>
  </si>
  <si>
    <t>Exhibitor Newsletter #1</t>
  </si>
  <si>
    <t>http://45320799.hs-sites.com/atc-2026-exhibitor-newsletter-1</t>
  </si>
  <si>
    <t>Sent 12.3.25</t>
  </si>
  <si>
    <t>12.8.2025</t>
  </si>
  <si>
    <t>Your Brand Deserves to Be Remembered - Here's How</t>
  </si>
  <si>
    <t>Promotional Items</t>
  </si>
  <si>
    <t>Water Bottles, Reg Bags &amp; Reg Pens - use chatgpt to segment this list to advertise specific opportunities to different companies</t>
  </si>
  <si>
    <t>http://45320799.hs-sites.com/two-high-impact-placements</t>
  </si>
  <si>
    <t>12.18.2025</t>
  </si>
  <si>
    <t>ATC Prospects</t>
  </si>
  <si>
    <t>We Want to See You at ATC in Boston</t>
  </si>
  <si>
    <t xml:space="preserve">Ensure Your Company Maximizes its reach </t>
  </si>
  <si>
    <t>What is ATC? Why exhibit? Sponsorship plug</t>
  </si>
  <si>
    <t>http://45320799.hs-sites.com/be-part-of-whats-next-in-transplantation-at-atc-2026</t>
  </si>
  <si>
    <t>Sent 12.11.25</t>
  </si>
  <si>
    <t>Happy Holidays from ATC</t>
  </si>
  <si>
    <t>Looking Forward to Partnership in 2026</t>
  </si>
  <si>
    <t>http://45320799.hs-sites.com/warm-holiday-wishes-from-atc</t>
  </si>
  <si>
    <t>1.5.2026</t>
  </si>
  <si>
    <t>January 8th</t>
  </si>
  <si>
    <t>Happy New Year from ATC</t>
  </si>
  <si>
    <t>http://45320799.hs-sites.com/happy-new-year-from-atc</t>
  </si>
  <si>
    <t>Sent 1.9.26</t>
  </si>
  <si>
    <t>Exhibitor Newsletter #2</t>
  </si>
  <si>
    <t>http://45320799.hs-sites.com/atc-2026-exhibitor-newsletter-2</t>
  </si>
  <si>
    <t>Sent 1.14.26</t>
  </si>
  <si>
    <t xml:space="preserve">January 20th </t>
  </si>
  <si>
    <t xml:space="preserve">Level Up Your Advertising </t>
  </si>
  <si>
    <t xml:space="preserve">Tech &amp; Advertising </t>
  </si>
  <si>
    <t>Maybe video game themed creative send?</t>
  </si>
  <si>
    <t>https://45320799.hs-sites.com/two-fast-ways-to-win-attention-at-atc-2026</t>
  </si>
  <si>
    <t>January 21st</t>
  </si>
  <si>
    <t>ATC Non-Renewals</t>
  </si>
  <si>
    <t xml:space="preserve">New Year? New You? New ATC perspective. Booth Push </t>
  </si>
  <si>
    <t>https://45320799.hs-sites.com/boston-is-calling-are-you-exhibiting-at-atc-2026</t>
  </si>
  <si>
    <t>Place Your Branding Where Attendees WILL See it</t>
  </si>
  <si>
    <t xml:space="preserve">Conference Branding </t>
  </si>
  <si>
    <t xml:space="preserve">Branding Mural In Canva like the one that was done for ASHRM </t>
  </si>
  <si>
    <t>https://45320799.hs-sites.com/place-your-branding-where-attendees-will-see-it</t>
  </si>
  <si>
    <t>Sent 2.3.26</t>
  </si>
  <si>
    <t>Ancillary Meeting Rooms</t>
  </si>
  <si>
    <t>https://www.atcsponsorships.org/sponsor/events/#:~:text=Limited%20availability-,ANCILLARY%20MEETING%20%26%20EVENT%20SPACE,-Starting%20at%20%241%2C500</t>
  </si>
  <si>
    <t>Include Alayna Updates Add Emma to Review</t>
  </si>
  <si>
    <t>https://45320799.hs-sites.com/limited-availability-ancillary-meeting-space-at-atc-2026</t>
  </si>
  <si>
    <t>Dedicated Exhibitor Services Manual Launch - Link from Emma on Microsite</t>
  </si>
  <si>
    <t>WTC Prospects</t>
  </si>
  <si>
    <t>What is ATC, Why You Should Be There</t>
  </si>
  <si>
    <t>Plug for Sponsorships</t>
  </si>
  <si>
    <t>Event E-Blasts, Registration Confirmation Email, Daily News Brief</t>
  </si>
  <si>
    <t>https://45320799.hs-sites.com/atc-2026-is-around-the-corner-join-us-in-boston-%EF%B8%8F</t>
  </si>
  <si>
    <t>ATC Exhibitors</t>
  </si>
  <si>
    <t>Sponsorship deadline - ONE MONTH AWAY!!</t>
  </si>
  <si>
    <t>Promo Products</t>
  </si>
  <si>
    <t>https://45320799.hs-sites.com/atc-2026-promotional-items-lock-in-your-item-before-its-gone</t>
  </si>
  <si>
    <t>Sent 3.4.26</t>
  </si>
  <si>
    <t>First Time ATC Exhibitors</t>
  </si>
  <si>
    <t>Let's make the most of your time in Boston</t>
  </si>
  <si>
    <t>Were excited to see you!</t>
  </si>
  <si>
    <t>https://45320799.hs-sites.com/see-you-in-boston-add-visibility-that-brings-buyers-to-your-booth</t>
  </si>
  <si>
    <t>Exhibitor Newsletter #3</t>
  </si>
  <si>
    <t>https://45320799.hs-sites.com/atc-2026-exhibitor-newsletter-3</t>
  </si>
  <si>
    <t>The conference is coming soon than you think make sure to reserve your booth</t>
  </si>
  <si>
    <t>https://45320799.hs-sites.com/boston-atc-2026-your-brand-a-smart-move</t>
  </si>
  <si>
    <t>Sent 3.26.26</t>
  </si>
  <si>
    <t>March 31st</t>
  </si>
  <si>
    <t xml:space="preserve">Big Ticket Sponsors </t>
  </si>
  <si>
    <t>Over $20,000?</t>
  </si>
  <si>
    <t>High End Conference Branding Opportunities</t>
  </si>
  <si>
    <t xml:space="preserve">Maybe write something for Sky/Sara to do personal outreach or a send that feels more personal </t>
  </si>
  <si>
    <t>https://45320799.hs-sites.com/put-your-brand-in-the-middle-of-the-atc-experience</t>
  </si>
  <si>
    <t>Promo Product Sponsorship Deadline</t>
  </si>
  <si>
    <t>Dedicated Sponsorship Fulfillment Reminder for Sales Deadline - Check This Date</t>
  </si>
  <si>
    <t>April 16th</t>
  </si>
  <si>
    <t>Smaller Sponsors</t>
  </si>
  <si>
    <t>Under $10,000</t>
  </si>
  <si>
    <t>More Affordable Opportunities</t>
  </si>
  <si>
    <t>Spring Sale</t>
  </si>
  <si>
    <t>https://45320799.hs-sites.com/spring-into-smarter-atc-visibility</t>
  </si>
  <si>
    <t>April 21st</t>
  </si>
  <si>
    <t>April 29th</t>
  </si>
  <si>
    <t>May 7th</t>
  </si>
  <si>
    <t>Only A Few Spots Left!</t>
  </si>
  <si>
    <t>Claim Your Space at ATC 2026</t>
  </si>
  <si>
    <t>Booth Push Urgency</t>
  </si>
  <si>
    <t>https://45320799.hs-sites.com/only-a-few-spots-left-claim-your-space-at-atc-2026</t>
  </si>
  <si>
    <t>May 14th</t>
  </si>
  <si>
    <t>Make Your Mark in Boston</t>
  </si>
  <si>
    <t>https://45320799.hs-sites.com/final-call-to-stand-out-at-atc-2026</t>
  </si>
  <si>
    <t>Freeman Venue Branding Deadline</t>
  </si>
  <si>
    <t>May 19th</t>
  </si>
  <si>
    <t>Connect with the ATC Audience Pre-Event</t>
  </si>
  <si>
    <t>Eblast, News Briefs</t>
  </si>
  <si>
    <t>https://45320799.hs-sites.com/reach-atc-attendees-before-during-the-conference</t>
  </si>
  <si>
    <t>Know Before You Go Webinar – Events to Handle</t>
  </si>
  <si>
    <t>May 28th</t>
  </si>
  <si>
    <t>More Space Added</t>
  </si>
  <si>
    <t>Booth push</t>
  </si>
  <si>
    <t>Over 100+ exhibitors already be there</t>
  </si>
  <si>
    <t>Exhibitor Newsletter #4 - Exhibitor FAQs</t>
  </si>
  <si>
    <t>https://45320799.hs-sites.com/atc-2026-exhibitor-newsletter-4</t>
  </si>
  <si>
    <t>June 5th</t>
  </si>
  <si>
    <t>List from Alayna</t>
  </si>
  <si>
    <t>Focus Group Email #1</t>
  </si>
  <si>
    <t>Copy from Alayna</t>
  </si>
  <si>
    <t>Cloned from 2024 Email</t>
  </si>
  <si>
    <t>No Link</t>
  </si>
  <si>
    <t>Not applicable</t>
  </si>
  <si>
    <t>June 10th</t>
  </si>
  <si>
    <t>https://45320799.hs-sites.com/save-the-date-atc-2027-booth-space-selection</t>
  </si>
  <si>
    <t>Sent 6.11.26</t>
  </si>
  <si>
    <t>June 15th</t>
  </si>
  <si>
    <t>Follow-up: Focus Group Email #1</t>
  </si>
  <si>
    <t>https://45320799.hs-sites.com/reminder-focus-group-at-atc-2026</t>
  </si>
  <si>
    <t>Sent 6.15.26</t>
  </si>
  <si>
    <t>Space Selection Official Details</t>
  </si>
  <si>
    <t>https://45320799.hs-sites.com/atc-2027-booth-space-selection-appointment</t>
  </si>
  <si>
    <t>Exhibitor Newsletter #5 - Know Before You Go</t>
  </si>
  <si>
    <t>Reminder Email</t>
  </si>
  <si>
    <t>https://45320799.hs-sites.com/final-reminder-atc-2027-space-selection-appointment-time</t>
  </si>
  <si>
    <t>Sent 6.19.26</t>
  </si>
  <si>
    <t>June 20-June 24, 2026</t>
  </si>
  <si>
    <t>ATC 2026 | Boston, MA</t>
  </si>
  <si>
    <r>
      <rPr>
        <sz val="16"/>
        <color rgb="FF000000"/>
        <rFont val="Aptos"/>
      </rPr>
      <t xml:space="preserve">Thank You &amp; Post-Show Survey – </t>
    </r>
    <r>
      <rPr>
        <b/>
        <i/>
        <sz val="16"/>
        <color rgb="FF000000"/>
        <rFont val="Aptos"/>
      </rPr>
      <t>Flag to have before onsite</t>
    </r>
  </si>
  <si>
    <t>Hannah to Write</t>
  </si>
  <si>
    <t>2026 Exhibitor SS No-Shows</t>
  </si>
  <si>
    <t>Missed Onsite Space Selection?</t>
  </si>
  <si>
    <t>Choose Your Booth in Seattle</t>
  </si>
  <si>
    <t>ATC 2027 Exhibitors</t>
  </si>
  <si>
    <t>Coming Soon</t>
  </si>
  <si>
    <t>2027 Sponsorships</t>
  </si>
  <si>
    <t>ATC 2027 Sponsorship First Right of Refusal Deadline</t>
  </si>
  <si>
    <t>ATC 2027 Sponsorship Launch</t>
  </si>
  <si>
    <t>2027 Sponsorships Are LIVE</t>
  </si>
  <si>
    <t>June 5-June 9, 2027</t>
  </si>
  <si>
    <t>ATC 2027 | Seattle, WA</t>
  </si>
  <si>
    <t>Average Opens</t>
  </si>
  <si>
    <t>Average Clicks</t>
  </si>
  <si>
    <t>Send Date</t>
  </si>
  <si>
    <t>From Email</t>
  </si>
  <si>
    <t>Target Audience</t>
  </si>
  <si>
    <t>Email Subject</t>
  </si>
  <si>
    <t>Key Opportunities / Notes</t>
  </si>
  <si>
    <t>Final Email Link</t>
  </si>
  <si>
    <t>Unsubscribes</t>
  </si>
  <si>
    <t>Hello from HCMC Sales</t>
  </si>
  <si>
    <t>Introduction to Kris</t>
  </si>
  <si>
    <t>https://www.hcmcmarketingsolutions.org/hello-from-hcmc-sales-lets-connect</t>
  </si>
  <si>
    <t>6.18.25</t>
  </si>
  <si>
    <t>Fall Symposium Launch</t>
  </si>
  <si>
    <t>Include Landing Page Link</t>
  </si>
  <si>
    <t>Opens from 6/24 Send</t>
  </si>
  <si>
    <t>Follow-Up to Launch</t>
  </si>
  <si>
    <t>What is HCMC</t>
  </si>
  <si>
    <t>Include About Info</t>
  </si>
  <si>
    <t>2026 Opportunities Launch &amp; Kris Intro</t>
  </si>
  <si>
    <t>Ways to Get Partner This Year - Highlight Newsletters, Banners</t>
  </si>
  <si>
    <t>https://www.hcmcmarketingsolutions.org/hcmc-february-opportunities</t>
  </si>
  <si>
    <t>Spring Symposium Launch</t>
  </si>
  <si>
    <t>https://www.hcmcmarketingsolutions.org/hcmc-spring-symposium</t>
  </si>
  <si>
    <t>Prospects &amp; New Business</t>
  </si>
  <si>
    <t>Opportunities to Partner, Advertising, Sponsorship</t>
  </si>
  <si>
    <t>https://www.hcmcmarketingsolutions.org/partner-with-hcmc-to-reach-health-care-leaders</t>
  </si>
  <si>
    <t>3.24.26</t>
  </si>
  <si>
    <t>HCMC Leadership Forum Sponsorship</t>
  </si>
  <si>
    <t>April 22nd - Spring Symposium 2026</t>
  </si>
  <si>
    <t xml:space="preserve">HCMC Digest </t>
  </si>
  <si>
    <t xml:space="preserve">Lead w Fall Symposia then do all year round </t>
  </si>
  <si>
    <t>https://www.hcmcmarketingsolutions.org/hcmc-partner-briefing-keep-your-brand-in-the-capacity-conversation</t>
  </si>
  <si>
    <t>5.21.26</t>
  </si>
  <si>
    <t>No Send</t>
  </si>
  <si>
    <t>July 11-12 - HCMC Leadership Forum - 100-150 Expected Attendance</t>
  </si>
  <si>
    <t>October 22nd - Fall Symposium 2026</t>
  </si>
  <si>
    <t>Internal promo approval: Nick Schuette (All).  Client promo approval: N/A</t>
  </si>
  <si>
    <t>Target Date</t>
  </si>
  <si>
    <t>MarkUp/Review Link</t>
  </si>
  <si>
    <t>Sends</t>
  </si>
  <si>
    <t>ASHRM Academy 2023 Launch</t>
  </si>
  <si>
    <t>Now available, Include Nick PDF, Highlight speaking opportunities, send Thursday morning</t>
  </si>
  <si>
    <t>Sent 1.12.23</t>
  </si>
  <si>
    <t>Just Launched: ASHRM 2023 Media Kit</t>
  </si>
  <si>
    <t>Download the Media Kit; Save the Dates for ASHRM Events; Reserve your Booth; Secure 2023 Ad Placements</t>
  </si>
  <si>
    <t>Pending final Media Kit</t>
  </si>
  <si>
    <t>Non-Renewals/Renewals</t>
  </si>
  <si>
    <t>Don't Forget to Reserve Your ASHRM 2023 Booth</t>
  </si>
  <si>
    <t>Include booth information</t>
  </si>
  <si>
    <t>Reminder: ASHRM Academy Opportunities</t>
  </si>
  <si>
    <t>Sponsorships/table tops</t>
  </si>
  <si>
    <t>ASHRM Site Visit - February 8th</t>
  </si>
  <si>
    <t>Preview the JHRM Q2 Issue</t>
  </si>
  <si>
    <t>Cross-promote with e-newsletters, deadline March 8</t>
  </si>
  <si>
    <t>Booth Reminder</t>
  </si>
  <si>
    <t>Sent 2.27</t>
  </si>
  <si>
    <t>Just Launched: ASHRM 2023 Prospectus</t>
  </si>
  <si>
    <t>Booths &amp; Sponsorships</t>
  </si>
  <si>
    <t>Sent 3.9</t>
  </si>
  <si>
    <t xml:space="preserve"> Journal of Healthcare Risk Management - Q2 Issue - Space Deadline</t>
  </si>
  <si>
    <t>ASHRM Academy</t>
  </si>
  <si>
    <t>Sent 3.25</t>
  </si>
  <si>
    <t>One Month Out: ASHRM Academy</t>
  </si>
  <si>
    <t>Sent 3.21.23</t>
  </si>
  <si>
    <t>ASHRM 2023 Prospectus</t>
  </si>
  <si>
    <t>How to get involved at ASHRM's biggest conference, include link? www.ashrmmediakit.org</t>
  </si>
  <si>
    <t>[COMPANY NAME] Increase Your Exposure at ASHRM 2023</t>
  </si>
  <si>
    <t>Highlight key sponsorships - headshot lounge, massage lounge, search for solutions</t>
  </si>
  <si>
    <t>sent 4.5.23</t>
  </si>
  <si>
    <t>2023 Non-Renewals</t>
  </si>
  <si>
    <t>Renew Your Booth for ASHRM 2022</t>
  </si>
  <si>
    <t>Booths/Sponsorships</t>
  </si>
  <si>
    <t>sent 4.4.23</t>
  </si>
  <si>
    <t>All Other Non-Exhibitors</t>
  </si>
  <si>
    <t>Your Invitation to Connect with Health Care Risk Managers</t>
  </si>
  <si>
    <t>Connect with Members Year-Round</t>
  </si>
  <si>
    <t>focus on reaching members through YR opportunities</t>
  </si>
  <si>
    <t>ASHRM Academy Exhibitors</t>
  </si>
  <si>
    <t>Pack Your Bags Promo</t>
  </si>
  <si>
    <t>Sent from Events</t>
  </si>
  <si>
    <t>ASHRM Annual Exhibitors</t>
  </si>
  <si>
    <t>ASHRM Annual Sponsorships</t>
  </si>
  <si>
    <t>Thought leadership opportunities - bite-size learning presentation, hosted virtual speaking session, opening and closing keynotes</t>
  </si>
  <si>
    <t>2023 Media Kit Push</t>
  </si>
  <si>
    <t>April 24-29, 2023</t>
  </si>
  <si>
    <t>ASHRM Academy 2023, Fort Lauderdale</t>
  </si>
  <si>
    <t>Booth Promo</t>
  </si>
  <si>
    <t>Highlight floorplan, what comes with booths, costs...etc.</t>
  </si>
  <si>
    <t>sent 5.9.23</t>
  </si>
  <si>
    <t>Current Exhibitors/Booth Traffic Drivers</t>
  </si>
  <si>
    <t>Sponsorship Promo</t>
  </si>
  <si>
    <t>sent 5.17.23</t>
  </si>
  <si>
    <t>AHSRM Year-Round Opportunities</t>
  </si>
  <si>
    <t>Highlight Journal, June 1 deadline
Add in call-out for HRM week in June at bottom</t>
  </si>
  <si>
    <t>sent 5.23.23</t>
  </si>
  <si>
    <t xml:space="preserve">ASHRM Express </t>
  </si>
  <si>
    <t>Highlight upcoming event and important info</t>
  </si>
  <si>
    <t>sent 5.31.23</t>
  </si>
  <si>
    <t xml:space="preserve"> Journal of Healthcare Risk Management - Q3 Issue - Space Deadline</t>
  </si>
  <si>
    <t>Space Deadline</t>
  </si>
  <si>
    <t>Highlight remaining booths/opps</t>
  </si>
  <si>
    <t>Sent 6.7.23</t>
  </si>
  <si>
    <t>ASHRM Express (determined on 5/30 internal call)</t>
  </si>
  <si>
    <t>Sent 6.8.23</t>
  </si>
  <si>
    <t xml:space="preserve">
Venue branding, Risk Manager of the Year, Mobile App &amp; Insurance lounge</t>
  </si>
  <si>
    <t>June 19-23, 2023</t>
  </si>
  <si>
    <t>ASHRM HRM Week</t>
  </si>
  <si>
    <t xml:space="preserve">Sponsorships available (highlight what's left -&gt; speaking/table top are top 2 left) </t>
  </si>
  <si>
    <t>sent 6.27.23</t>
  </si>
  <si>
    <t>Highlight floor plan (trying to fill it up) -&gt; booth benefits (on site) -&gt; mention attendance is looking strong 
Have some CTAs to get more booth sign ups</t>
  </si>
  <si>
    <t>sent 7.11.23</t>
  </si>
  <si>
    <t>Low-Level Sponsorships</t>
  </si>
  <si>
    <t>Search for solutions, mobile push apps, low cost options to push traffic...etc.</t>
  </si>
  <si>
    <t>sent 7.19.23</t>
  </si>
  <si>
    <t>Podcasts/Webinars</t>
  </si>
  <si>
    <t>Thought leadership -&gt; take from microsite or promo speaking opps.</t>
  </si>
  <si>
    <t>sent 7.25.23</t>
  </si>
  <si>
    <t>August 2023</t>
  </si>
  <si>
    <t>ASHRM Express 2023, St. Louis</t>
  </si>
  <si>
    <t>sent 8.16.23</t>
  </si>
  <si>
    <t>Last call for search for solutions</t>
  </si>
  <si>
    <t>eBlasts/eNews</t>
  </si>
  <si>
    <t>Sent 8.22.23</t>
  </si>
  <si>
    <t>only 14 booth sleft, over 1,300 currently registered</t>
  </si>
  <si>
    <t>sent 8.30.23</t>
  </si>
  <si>
    <t>Sponsorship Last Chance</t>
  </si>
  <si>
    <t>Booth Traffic Drivers (SoS, Bar Carts...etc.)</t>
  </si>
  <si>
    <t>only 1 month away and over X currently registered, dont miss out</t>
  </si>
  <si>
    <t>Week of September 11</t>
  </si>
  <si>
    <t>2023 Exhibitors</t>
  </si>
  <si>
    <t>ASHRM 2024 Call for Contracts - NF</t>
  </si>
  <si>
    <t>Sent 9.12.23</t>
  </si>
  <si>
    <t>Last Call - Booth Promo</t>
  </si>
  <si>
    <t>Reminder ASHRM 2024 - Call for Contracts - NF</t>
  </si>
  <si>
    <t>9.19.23 at 11 AM EST</t>
  </si>
  <si>
    <t>LAST CALL ASHRM 2024 - Call for Contracts - NF</t>
  </si>
  <si>
    <t>Sent 9/26/23 at 12 PM EST</t>
  </si>
  <si>
    <t>Space Appointment - NF</t>
  </si>
  <si>
    <t>Sent 9/28/23 at 11 AM EST</t>
  </si>
  <si>
    <t>Week of October 1st</t>
  </si>
  <si>
    <t>ASHRM 2023 Annual Conference, Minneapolis</t>
  </si>
  <si>
    <t>"Thank You" for Annual Conference/Post-Show Sruvey -&gt; NF</t>
  </si>
  <si>
    <t>Thank you to supporters, include virtual sponsorship call outs</t>
  </si>
  <si>
    <t>0/10/2023 at 12:15 PM</t>
  </si>
  <si>
    <t>Week of October 16</t>
  </si>
  <si>
    <t>"Thank You" for Annual Conference/Post-Show Survey REMIDNER</t>
  </si>
  <si>
    <t>Thank you to supporters/remeber to finish the survey by Friday!</t>
  </si>
  <si>
    <t>Change subject line to give countdown. Use same list.</t>
  </si>
  <si>
    <t>2024 Patient Safety Week</t>
  </si>
  <si>
    <t>Click here to learn more -&gt; link to their site
Show your support and become a sponsor. Opps available include co-branded sales items with ASHRM (early Nov. deadline) 
Highlight opportunitiy to host webinar during week and opp to become exclusive sponsor -&gt; LINK TO SITE.</t>
  </si>
  <si>
    <t>https://www.ashrm.org/resources/patient-safety-week</t>
  </si>
  <si>
    <t>https://app.markup.io/invite/accept/7moQGQEh</t>
  </si>
  <si>
    <t>Sent Tuesday, 10/31 around 10 am CST</t>
  </si>
  <si>
    <t>Tuesday, 11/7</t>
  </si>
  <si>
    <t>Mimic the above with "LAST CALL"</t>
  </si>
  <si>
    <t>https://app.markup.io/invite/accept/1jdYnN7U</t>
  </si>
  <si>
    <t>11/7/2023 at 11 am CST</t>
  </si>
  <si>
    <t>All Advertising Opportunities -&gt; e-blasts, sponsored content, e-news, webinars</t>
  </si>
  <si>
    <t>Keep your message going</t>
  </si>
  <si>
    <t>https://app.markup.io/invite/accept/n0G-kxF-</t>
  </si>
  <si>
    <t>11.15.23 at 10 am CST</t>
  </si>
  <si>
    <t>Thanksgiving</t>
  </si>
  <si>
    <t>Mimic ASHE 2022 email -&gt; template for header in Canva.</t>
  </si>
  <si>
    <t>https://app.markup.io/invite/accept/EgVscLhO</t>
  </si>
  <si>
    <t>11.16.23 at 10:30 am CST</t>
  </si>
  <si>
    <t>Keep your message going -&gt; mimic email of 11/15</t>
  </si>
  <si>
    <t>Send 11.29. Email has been duplicated and edited. Ready for first review via link to right -&gt;&gt;</t>
  </si>
  <si>
    <t>https://app.markup.io/invite/accept/Z234fNZc</t>
  </si>
  <si>
    <t>11.29.23 at 11:30 am CST</t>
  </si>
  <si>
    <t>Renewals for ASHRM 2024</t>
  </si>
  <si>
    <t>Didn't sign up onsite? There's still time!</t>
  </si>
  <si>
    <t>https://app.markup.io/invite/accept/18WxXj1C</t>
  </si>
  <si>
    <t>12.4.23 at 2:15 pm CST</t>
  </si>
  <si>
    <t>2024 Opps Launch</t>
  </si>
  <si>
    <t>Start 2024 Off Right with ASHRM Sponsorships!</t>
  </si>
  <si>
    <t>Add Jordan</t>
  </si>
  <si>
    <t>12.12.23 at 2:15 pm CST</t>
  </si>
  <si>
    <t>Safe Holidays from ASHRM</t>
  </si>
  <si>
    <t>Highlight opportunitiy to host webinar during week and be co-branded on items sold (will need to pull examples of website)</t>
  </si>
  <si>
    <t>What Opps?</t>
  </si>
  <si>
    <t>https://app.markup.io/invite/accept/MECec_jG</t>
  </si>
  <si>
    <t>Send promos drafts to Don Cooksey for approval.
AHE does not need to approve promotions. Bi-weekly.</t>
  </si>
  <si>
    <t>MarkUp Link</t>
  </si>
  <si>
    <t>Media kit launch, highlight AHE Exchange 2023, new EVS News layout and ad sizes</t>
  </si>
  <si>
    <t>Exhibit at the EVS Event of the Year</t>
  </si>
  <si>
    <t>AHE Exchange Sponsorship Roundup</t>
  </si>
  <si>
    <t>Focus on marketing goals and 1-2 options in each category</t>
  </si>
  <si>
    <t>Media Kit Launch</t>
  </si>
  <si>
    <t>Highlight official launch and include key opportunities</t>
  </si>
  <si>
    <t>https://us1.campaign-archive.com/?u=497a0d5835783eef306666ab0&amp;id=9b43c567f4</t>
  </si>
  <si>
    <t>See You in Dallas?</t>
  </si>
  <si>
    <t>Booths and sponsorships</t>
  </si>
  <si>
    <t xml:space="preserve">waiting to receive information and contract for 23 sponsorship </t>
  </si>
  <si>
    <t>Maximize Your Presence at AHE Exchange</t>
  </si>
  <si>
    <t>Sponsorships: Sessions, Bag &amp; Giveaway (sgriff 2.21.23)</t>
  </si>
  <si>
    <t>Sent 2.24.23</t>
  </si>
  <si>
    <t>https://us1.campaign-archive.com/?u=497a0d5835783eef306666ab0&amp;id=80911038a4</t>
  </si>
  <si>
    <t>All / Opens of 2.9.23</t>
  </si>
  <si>
    <t>3 Ways to Connect with EVS Leaders</t>
  </si>
  <si>
    <t>EVS News, Dedicated Emails, Webinars</t>
  </si>
  <si>
    <t>https://us1.campaign-archive.com/?u=497a0d5835783eef306666ab0&amp;id=a9327efe72</t>
  </si>
  <si>
    <t>Sponsorships: Networking/Receptions, Bag, &amp; TBD (sgriff 2.21.23)</t>
  </si>
  <si>
    <t>https://us1.campaign-archive.com/?u=497a0d5835783eef306666ab0&amp;id=d25c0ca194</t>
  </si>
  <si>
    <t>no Send/Sales OOO</t>
  </si>
  <si>
    <t>PDC Meeting</t>
  </si>
  <si>
    <t>Reach 30,000+ EVS Professionals</t>
  </si>
  <si>
    <t>EVS News &amp; Webinars</t>
  </si>
  <si>
    <t xml:space="preserve"> https://us1.campaign-archive.com/?u=497a0d5835783eef306666ab0&amp;id=81d77f1e0b</t>
  </si>
  <si>
    <t>Utilize key sponsorships onsite</t>
  </si>
  <si>
    <t>Sponsorships: Sessions (Sunrise &amp; General), Bar Cart (sgriff 3.17.23)</t>
  </si>
  <si>
    <t>sent 3.28.23</t>
  </si>
  <si>
    <t>https://us1.campaign-archive.com/?u=497a0d5835783eef306666ab0&amp;id=9a5dcc04ec</t>
  </si>
  <si>
    <t>TBD - based on qty. booths avail. (sgriff 2,21,23)</t>
  </si>
  <si>
    <t>Include booth link, sponsorships link &amp; floor plan</t>
  </si>
  <si>
    <t xml:space="preserve">https://us1.campaign-archive.com/?u=497a0d5835783eef306666ab0&amp;id=94b8efadb4 </t>
  </si>
  <si>
    <t>Exclusive AHE Event</t>
  </si>
  <si>
    <t>EVS Week.- www.ahe.org/EVSWeek  (sgriff 4.6.23)</t>
  </si>
  <si>
    <t>Sent 4.11.23</t>
  </si>
  <si>
    <t xml:space="preserve">https://mailchi.mp/smithbucklin/ahe-2023evsweek </t>
  </si>
  <si>
    <t>AHE Exchange Sponsorship Opps</t>
  </si>
  <si>
    <t>Sponsorships: Sessions, Keynote, Giveaway (sgriff 4.18.23)</t>
  </si>
  <si>
    <t>sent 4.18.23</t>
  </si>
  <si>
    <t>https://us1.campaign-archive.com/?u=497a0d5835783eef306666ab0&amp;id=d80bd0c0b3</t>
  </si>
  <si>
    <t>Exhibit Space Available</t>
  </si>
  <si>
    <t>sent 4.25.23</t>
  </si>
  <si>
    <t>https://us1.campaign-archive.com/?u=497a0d5835783eef306666ab0&amp;id=03a4a3281f</t>
  </si>
  <si>
    <t>EVS News</t>
  </si>
  <si>
    <t>EVS News: ads &amp; sponsored content (inc. link to Subscribe: https://sponsors.aha.org/EV-GC-2022-08-XXXX-EVSNewsForm_02-LandingPage.html), &amp; eblasts</t>
  </si>
  <si>
    <t>sent 5.2.23</t>
  </si>
  <si>
    <t>https://mailchi.mp/smithbucklin/ahe-yr-evsnews_emails</t>
  </si>
  <si>
    <t>Week of May 8 (15 Weeks out)</t>
  </si>
  <si>
    <t>Pre-Con Training Sessions, Bag &amp; new Coffee Sponsorship (website content needs updating first - Don to provide Hanna, sgriff 4.17.23)</t>
  </si>
  <si>
    <t>https://mailchi.mp/smithbucklin/ahe-exchange-23-exh-spons-new-coffee?e=[UNIQID]</t>
  </si>
  <si>
    <t>Week of May 15 (14 Weeks out)</t>
  </si>
  <si>
    <t>Don't Miss Out! Space is Almost Gone!</t>
  </si>
  <si>
    <t>Limited space left. Link to sponsorships (landing page, not the form itself - link to pages w/ details, $...etc.)</t>
  </si>
  <si>
    <t>https://mailchi.mp/smithbucklin/ahe-exchange-23-nonexh4</t>
  </si>
  <si>
    <t>ALL + (New) Assoc. Memb. List (sg to provide both)</t>
  </si>
  <si>
    <t>eblasts, webinars inc. EVS Week (sgriff 4.17.23)
Call out the opps not listed on website -&gt; go to full kit and not the website page.</t>
  </si>
  <si>
    <t>https://mailchi.mp/smithbucklin/ahe-yr-evsweek-eblast-webinar</t>
  </si>
  <si>
    <t>Week of May 29 (12 Weeks out)</t>
  </si>
  <si>
    <t>New Assoc. Member List who are not exhibiting (sg to provide)</t>
  </si>
  <si>
    <t>Booths Are Available</t>
  </si>
  <si>
    <t>Booths available -&gt; "reach your audience." Link attendee profile page + incorporate some sponsorships at the bottom (with some variety) and discuss opps to fit budget ranges. Also link to the agenda for the conference.</t>
  </si>
  <si>
    <t>scheduled 6.6.23 - resent 6.9.23 first send had an error</t>
  </si>
  <si>
    <t>https://mailchi.mp/smithbucklin/ahe-exchange-23-nonexh5-redo</t>
  </si>
  <si>
    <t>Sponships Still Available!</t>
  </si>
  <si>
    <t>Highlight remaining sponsorship opps.</t>
  </si>
  <si>
    <t>Sent 6.6.23</t>
  </si>
  <si>
    <t>https://mailchi.mp/smithbucklin/ahe-exchange-23-spons-available</t>
  </si>
  <si>
    <t>Webinar promos (year-round and EVS week). Start promo w/ EVS. Link to page/take logo.</t>
  </si>
  <si>
    <t xml:space="preserve">https://mailchi.mp/smithbucklin/ahe-yr_evsweek </t>
  </si>
  <si>
    <t>NonExhbitors &amp; New Assoc. Member List who are not exhibiting (sg to provide)</t>
  </si>
  <si>
    <t>Booths Still Available</t>
  </si>
  <si>
    <t>Copy the ASHE "Don't Miss" email -&gt; also include the conference agenda. Don't mention attendence -&gt; focus on the content. 
Spell out full AHE name + include the AHA logo (AHA not AHE).</t>
  </si>
  <si>
    <t>sent 6.21.23</t>
  </si>
  <si>
    <t>https://mailchi.mp/smithbucklin/ahe-exchange-23-few_booths</t>
  </si>
  <si>
    <t>Week of June 26 - check Event Services Exhib. Bulletin Dist. date</t>
  </si>
  <si>
    <t>Retarget Opens (qty. 125) from 6/12 ALL send? sg</t>
  </si>
  <si>
    <r>
      <rPr>
        <i/>
        <sz val="10"/>
        <color rgb="FF000000"/>
        <rFont val="Arial"/>
      </rPr>
      <t>EVS News</t>
    </r>
    <r>
      <rPr>
        <sz val="10"/>
        <color rgb="FF000000"/>
        <rFont val="Arial"/>
      </rPr>
      <t xml:space="preserve"> ads &amp; email blasts &amp; EVS Week. Put in the EVS news and then remind them of the EVS week option that was in 6/12 email.</t>
    </r>
  </si>
  <si>
    <t>https://mailchi.mp/smithbucklin/ahe-yr-evsweek</t>
  </si>
  <si>
    <t>Week of July 4</t>
  </si>
  <si>
    <t xml:space="preserve">  </t>
  </si>
  <si>
    <t>Week of July 10 (check Event Services Exhib. Bulletin Dist. date)</t>
  </si>
  <si>
    <t>On-site Exhibit Space Selection for '24</t>
  </si>
  <si>
    <t>Renewal '24 - Deadline 26</t>
  </si>
  <si>
    <t xml:space="preserve">On-site Exhibit Space Selection for 2024, Contract &amp; floorplan links from Pat Wharton/ES -&gt; Deadline Soon (7/21) - NF </t>
  </si>
  <si>
    <t>https://mailchi.mp/smithbucklin/ahe-save-the-date-10383283?e=[UNIQID]</t>
  </si>
  <si>
    <t>Week of July 17 - check Event Services Exhib. Bulletin Dist. date</t>
  </si>
  <si>
    <t>Renewal '24 - deadline next week, Wed. 26</t>
  </si>
  <si>
    <t>Deadline Soon (7/21) - 2024 Space Selection Email - NF</t>
  </si>
  <si>
    <t>Sent 7.17.23</t>
  </si>
  <si>
    <t>https://mailchi.mp/smithbucklin/ahe-save-the-date-10384907?e=[UNIQID]</t>
  </si>
  <si>
    <t xml:space="preserve">Week of July 24 </t>
  </si>
  <si>
    <t>Space Appointments (NF)</t>
  </si>
  <si>
    <t>Sent 7.28.23</t>
  </si>
  <si>
    <t>https://us1.admin.mailchimp.com/campaigns/show?id=10386087</t>
  </si>
  <si>
    <t>Space Appointments (NF) - RESEND</t>
  </si>
  <si>
    <t>Sent 7.31.23</t>
  </si>
  <si>
    <t>https://us1.admin.mailchimp.com/campaigns/show?id=10387035</t>
  </si>
  <si>
    <t>EVS Week Sponsorship. Discuss webinars.</t>
  </si>
  <si>
    <t>sent 7.26.23</t>
  </si>
  <si>
    <t>https://mailchi.mp/smithbucklin/ahe-yr_evsweek-news?e=[UNIQID]</t>
  </si>
  <si>
    <t>July 31-August 2, 2023</t>
  </si>
  <si>
    <t>AHE Exchange Conference &amp; Solution Center, Dallas</t>
  </si>
  <si>
    <t>Week of August 6</t>
  </si>
  <si>
    <t xml:space="preserve">Recap / Thanks You / Exhibitor Survey Deadline Reminder </t>
  </si>
  <si>
    <t>NO SALES MSG. - SGRIFF AT ASHE</t>
  </si>
  <si>
    <t>EVS Week Sponsorship. Discuss webinars (again) and other available opps. -&gt; ask Sue if needed.</t>
  </si>
  <si>
    <t>sent 8.9.23</t>
  </si>
  <si>
    <t>https://mailchi.mp/smithbucklin/ahe-evsweek-webinars</t>
  </si>
  <si>
    <t>Thank You!</t>
  </si>
  <si>
    <t>Post Show Survey - NF</t>
  </si>
  <si>
    <t>2023 Exhibitors (same list)</t>
  </si>
  <si>
    <t>Post Show Survey RESEND - NF</t>
  </si>
  <si>
    <t>Sent 8.16.23</t>
  </si>
  <si>
    <t>https://mailchi.mp/smithbucklin/ahe-exchange-appointments-10388439</t>
  </si>
  <si>
    <t>Sent 8.23.23</t>
  </si>
  <si>
    <t>https://mailchi.mp/smithbucklin/ahe-evsweek-webinars-10390555</t>
  </si>
  <si>
    <t>Space Is Available</t>
  </si>
  <si>
    <t>Remember to sign up for AHE Exchange 2024 (Renewal for Exhibits)</t>
  </si>
  <si>
    <t>https://mailchi.mp/smithbucklin/2024_exchange_renewals</t>
  </si>
  <si>
    <t>LABOR DAY WEEK</t>
  </si>
  <si>
    <t>September 10-16, 2023</t>
  </si>
  <si>
    <t>Remember to sign up for AHE Exchange 2024!</t>
  </si>
  <si>
    <t>EVS News, Webinar promo (year-round ONLY). Q4 openings for online ads. Sue will provide some links.</t>
  </si>
  <si>
    <t>Sent 9.26.23 at 10:30 AM EST</t>
  </si>
  <si>
    <t xml:space="preserve">Use this as a template to start - https://mailchi.mp/smithbucklin/ahe-yr_evsweek </t>
  </si>
  <si>
    <t>Don Out</t>
  </si>
  <si>
    <t>Mimic EVS news from 9/25</t>
  </si>
  <si>
    <t>10.26.23 at 10:20 am CST</t>
  </si>
  <si>
    <t>https://app.markup.io/invite/accept/qQC0QNyO</t>
  </si>
  <si>
    <t>2024 Advertising Opps/Planning -&gt; Start Planning Your Year!</t>
  </si>
  <si>
    <t>11.1.23 at 9:30 am CST</t>
  </si>
  <si>
    <t>https://app.markup.io/invite/accept/XPX83R0I</t>
  </si>
  <si>
    <t>Exchange 2024 Renewals/Still Time!</t>
  </si>
  <si>
    <t>11.14.23 at 10 am CST</t>
  </si>
  <si>
    <t>https://app.markup.io/invite/accept/HTOxHZps</t>
  </si>
  <si>
    <t>Thank you for being part of the AHE Family</t>
  </si>
  <si>
    <t>11/21 at 11:30 AM EST</t>
  </si>
  <si>
    <t>https://app.markup.io/invite/accept/vKtNZcF6</t>
  </si>
  <si>
    <t>THANKSGIVING</t>
  </si>
  <si>
    <t>2024 Advertising Opps -&gt; EVS News</t>
  </si>
  <si>
    <t>11/28/23 at 1 pm CST</t>
  </si>
  <si>
    <t>Use 11/1 email and change header images.</t>
  </si>
  <si>
    <t>Exchange 2024 - ALL</t>
  </si>
  <si>
    <t>2024 Advertising Opps -&gt; Webinars/Thought Leader</t>
  </si>
  <si>
    <t>Happy Holidays</t>
  </si>
  <si>
    <t>AHE Holiday Email</t>
  </si>
  <si>
    <t>12.20.23 at 2:15 pm CST</t>
  </si>
  <si>
    <t>Trey to write - connect with Nick</t>
  </si>
  <si>
    <t>Annual</t>
  </si>
  <si>
    <t>Sponsor</t>
  </si>
  <si>
    <t>Trey to write</t>
  </si>
  <si>
    <t>Al</t>
  </si>
  <si>
    <t>Sponsor ASHRM Academy in Orlando!</t>
  </si>
  <si>
    <t>Digital, Content Marketing</t>
  </si>
  <si>
    <t>ASHRM Express | Orlando, FL</t>
  </si>
  <si>
    <t>Connect with 1,4000+ health care risk management professionals</t>
  </si>
  <si>
    <t>Non-Renewals</t>
  </si>
  <si>
    <t>Mid June</t>
  </si>
  <si>
    <t>Late July</t>
  </si>
  <si>
    <t>August 28, 2025</t>
  </si>
  <si>
    <t>Save the Date for Booth Selection</t>
  </si>
  <si>
    <t>September 22, 2025</t>
  </si>
  <si>
    <t>Exhibitor Bulletin #4 - Pack Your Bags!</t>
  </si>
  <si>
    <t>October 2, 2025</t>
  </si>
  <si>
    <t>Thank You Email</t>
  </si>
  <si>
    <t>Post-SHow Attendee List</t>
  </si>
  <si>
    <t>Sales Lead: Sky Wang</t>
  </si>
  <si>
    <t>From Address</t>
  </si>
  <si>
    <t>Subject</t>
  </si>
  <si>
    <t>SmileCon Partners</t>
  </si>
  <si>
    <t>swang@360livemedia.com</t>
  </si>
  <si>
    <t>ADA 2026 Scientific Session Kick-Off</t>
  </si>
  <si>
    <t>Courtesy Email, Booths First-Come First-Served</t>
  </si>
  <si>
    <t>ADA 2026 Scientific Session Exhibits Launch March 4!</t>
  </si>
  <si>
    <t>Gain Priority Access</t>
  </si>
  <si>
    <t>Audience Profile - Expected # From ADA</t>
  </si>
  <si>
    <t>Why Exhibit at ADA 2026 Scientific Session</t>
  </si>
  <si>
    <t>Program Updates</t>
  </si>
  <si>
    <t>Booth Update - Secure Your Place!</t>
  </si>
  <si>
    <t>Spots Already Filling Up</t>
  </si>
  <si>
    <t>October 8-10, 2026</t>
  </si>
  <si>
    <t>ADA 2026 Scientific Session | Indianapolis,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</si>
</sst>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409]mmmm\ d\,\ yyyy;@"/>
    <numFmt numFmtId="165" formatCode="&quot;$&quot;#,##0.00"/>
    <numFmt numFmtId="166" formatCode="0.0%"/>
    <numFmt numFmtId="167" formatCode="mmmm\ d"/>
    <numFmt numFmtId="168" formatCode="[$-F800]dddd\,\ mmmm\ dd\,\ yyyy"/>
  </numFmts>
  <fonts count="164" x14ac:knownFonts="1">
    <font>
      <sz val="11"/>
      <color theme="1"/>
      <name val="Calibri"/>
      <family val="2"/>
      <scheme val="minor"/>
    </font>
    <font>
      <b/>
      <sz val="15"/>
      <color theme="3"/>
      <name val="Calibri"/>
      <family val="2"/>
      <scheme val="minor"/>
    </font>
    <font>
      <sz val="12"/>
      <color theme="1"/>
      <name val="Calibri"/>
      <family val="2"/>
      <scheme val="minor"/>
    </font>
    <font>
      <sz val="10"/>
      <name val="Arial"/>
      <family val="2"/>
    </font>
    <font>
      <b/>
      <sz val="11"/>
      <color theme="0"/>
      <name val="Arial"/>
      <family val="2"/>
    </font>
    <font>
      <b/>
      <sz val="10"/>
      <name val="Arial"/>
      <family val="2"/>
    </font>
    <font>
      <sz val="11"/>
      <name val="Arial"/>
      <family val="2"/>
    </font>
    <font>
      <sz val="10"/>
      <color theme="1"/>
      <name val="Arial"/>
      <family val="2"/>
    </font>
    <font>
      <b/>
      <sz val="10"/>
      <color theme="1"/>
      <name val="Arial"/>
      <family val="2"/>
    </font>
    <font>
      <sz val="11"/>
      <color theme="1"/>
      <name val="Arial"/>
      <family val="2"/>
    </font>
    <font>
      <sz val="10"/>
      <color rgb="FFFF0000"/>
      <name val="Arial"/>
      <family val="2"/>
    </font>
    <font>
      <b/>
      <sz val="10"/>
      <color theme="8"/>
      <name val="Arial"/>
      <family val="2"/>
    </font>
    <font>
      <i/>
      <sz val="10"/>
      <color theme="1"/>
      <name val="Arial"/>
      <family val="2"/>
    </font>
    <font>
      <sz val="11"/>
      <color theme="0"/>
      <name val="Calibri"/>
      <family val="2"/>
      <scheme val="minor"/>
    </font>
    <font>
      <sz val="10"/>
      <color theme="0"/>
      <name val="Arial"/>
      <family val="2"/>
    </font>
    <font>
      <b/>
      <sz val="10"/>
      <color theme="0"/>
      <name val="Arial"/>
      <family val="2"/>
    </font>
    <font>
      <i/>
      <sz val="10"/>
      <name val="Arial"/>
      <family val="2"/>
    </font>
    <font>
      <i/>
      <sz val="11"/>
      <color theme="1"/>
      <name val="Calibri"/>
      <family val="2"/>
      <scheme val="minor"/>
    </font>
    <font>
      <i/>
      <sz val="11"/>
      <color theme="1"/>
      <name val="Arial"/>
      <family val="2"/>
    </font>
    <font>
      <i/>
      <sz val="10"/>
      <color rgb="FFFF0000"/>
      <name val="Arial"/>
      <family val="2"/>
    </font>
    <font>
      <i/>
      <strike/>
      <sz val="10"/>
      <name val="Arial"/>
      <family val="2"/>
    </font>
    <font>
      <i/>
      <sz val="11"/>
      <color rgb="FFFF0000"/>
      <name val="Arial"/>
      <family val="2"/>
    </font>
    <font>
      <strike/>
      <sz val="11"/>
      <color theme="1"/>
      <name val="Arial"/>
      <family val="2"/>
    </font>
    <font>
      <i/>
      <strike/>
      <sz val="11"/>
      <color theme="1"/>
      <name val="Arial"/>
      <family val="2"/>
    </font>
    <font>
      <i/>
      <strike/>
      <sz val="10"/>
      <color theme="1"/>
      <name val="Arial"/>
      <family val="2"/>
    </font>
    <font>
      <i/>
      <strike/>
      <sz val="10"/>
      <color rgb="FFFF0000"/>
      <name val="Arial"/>
      <family val="2"/>
    </font>
    <font>
      <i/>
      <strike/>
      <sz val="11"/>
      <color rgb="FFFF0000"/>
      <name val="Arial"/>
      <family val="2"/>
    </font>
    <font>
      <sz val="10"/>
      <color rgb="FF000000"/>
      <name val="Arial"/>
    </font>
    <font>
      <sz val="11"/>
      <color rgb="FF000000"/>
      <name val="Arial"/>
    </font>
    <font>
      <i/>
      <sz val="10"/>
      <color rgb="FFFF0000"/>
      <name val="Arial"/>
    </font>
    <font>
      <sz val="10"/>
      <color rgb="FF000000"/>
      <name val="Arial"/>
      <family val="2"/>
    </font>
    <font>
      <i/>
      <sz val="11"/>
      <color rgb="FFFF0000"/>
      <name val="Arial"/>
    </font>
    <font>
      <strike/>
      <sz val="10"/>
      <name val="Arial"/>
      <family val="2"/>
    </font>
    <font>
      <i/>
      <strike/>
      <sz val="10"/>
      <color rgb="FFFF0000"/>
      <name val="Arial"/>
    </font>
    <font>
      <u/>
      <sz val="11"/>
      <color theme="10"/>
      <name val="Calibri"/>
      <family val="2"/>
      <scheme val="minor"/>
    </font>
    <font>
      <u/>
      <sz val="10"/>
      <color theme="10"/>
      <name val="Arial"/>
    </font>
    <font>
      <sz val="10"/>
      <color theme="1"/>
      <name val="Arial"/>
    </font>
    <font>
      <sz val="11"/>
      <color rgb="FFFF0000"/>
      <name val="Arial"/>
      <family val="2"/>
    </font>
    <font>
      <sz val="10"/>
      <color rgb="FF000000"/>
      <name val="Arial"/>
      <charset val="1"/>
    </font>
    <font>
      <i/>
      <sz val="11"/>
      <color rgb="FF000000"/>
      <name val="Arial"/>
    </font>
    <font>
      <i/>
      <sz val="11"/>
      <color rgb="FFFF0000"/>
      <name val="Calibri"/>
      <family val="2"/>
      <charset val="1"/>
    </font>
    <font>
      <b/>
      <strike/>
      <sz val="10"/>
      <color theme="1"/>
      <name val="Arial"/>
      <family val="2"/>
    </font>
    <font>
      <strike/>
      <sz val="10"/>
      <color rgb="FFFF0000"/>
      <name val="Arial"/>
      <family val="2"/>
    </font>
    <font>
      <b/>
      <strike/>
      <sz val="10"/>
      <color rgb="FFFF0000"/>
      <name val="Arial"/>
      <family val="2"/>
    </font>
    <font>
      <sz val="11"/>
      <color rgb="FF000000"/>
      <name val="Arial"/>
      <family val="2"/>
    </font>
    <font>
      <sz val="11"/>
      <color theme="1"/>
      <name val="Calibri"/>
      <family val="2"/>
      <charset val="1"/>
    </font>
    <font>
      <b/>
      <u/>
      <sz val="11"/>
      <color theme="10"/>
      <name val="Calibri"/>
      <family val="2"/>
      <scheme val="minor"/>
    </font>
    <font>
      <b/>
      <u/>
      <sz val="10"/>
      <color theme="10"/>
      <name val="Arial"/>
    </font>
    <font>
      <b/>
      <i/>
      <sz val="10"/>
      <name val="Arial"/>
      <family val="2"/>
    </font>
    <font>
      <sz val="11"/>
      <color rgb="FF000000"/>
      <name val="Calibri"/>
      <family val="2"/>
      <charset val="1"/>
    </font>
    <font>
      <i/>
      <sz val="10"/>
      <color rgb="FF000000"/>
      <name val="Arial"/>
    </font>
    <font>
      <b/>
      <sz val="10"/>
      <color theme="1"/>
      <name val="Arial"/>
    </font>
    <font>
      <i/>
      <sz val="10"/>
      <color rgb="FF000000"/>
      <name val="Arial"/>
      <family val="2"/>
    </font>
    <font>
      <strike/>
      <sz val="11"/>
      <color theme="0"/>
      <name val="Arial"/>
      <family val="2"/>
    </font>
    <font>
      <strike/>
      <sz val="10"/>
      <color theme="0"/>
      <name val="Arial"/>
      <family val="2"/>
    </font>
    <font>
      <b/>
      <strike/>
      <sz val="12"/>
      <color theme="0"/>
      <name val="Arial"/>
      <family val="2"/>
    </font>
    <font>
      <b/>
      <sz val="11"/>
      <color theme="1"/>
      <name val="Arial"/>
      <family val="2"/>
    </font>
    <font>
      <b/>
      <sz val="10"/>
      <color rgb="FF000000"/>
      <name val="Arial"/>
    </font>
    <font>
      <b/>
      <sz val="10"/>
      <name val="Arial"/>
    </font>
    <font>
      <b/>
      <strike/>
      <sz val="10"/>
      <name val="Arial"/>
      <family val="2"/>
    </font>
    <font>
      <b/>
      <strike/>
      <sz val="10"/>
      <color theme="0"/>
      <name val="Arial"/>
      <family val="2"/>
    </font>
    <font>
      <sz val="11"/>
      <color theme="1"/>
      <name val="Arial"/>
    </font>
    <font>
      <b/>
      <sz val="10"/>
      <color rgb="FF1F4E78"/>
      <name val="Arial"/>
      <family val="2"/>
    </font>
    <font>
      <b/>
      <sz val="10"/>
      <color rgb="FF000000"/>
      <name val="Arial"/>
      <family val="2"/>
    </font>
    <font>
      <strike/>
      <sz val="10"/>
      <color rgb="FF000000"/>
      <name val="Arial"/>
    </font>
    <font>
      <u/>
      <sz val="10"/>
      <color rgb="FF000000"/>
      <name val="Arial"/>
    </font>
    <font>
      <u/>
      <sz val="11"/>
      <color rgb="FF000000"/>
      <name val="Calibri"/>
      <family val="2"/>
      <scheme val="minor"/>
    </font>
    <font>
      <b/>
      <strike/>
      <sz val="10"/>
      <color rgb="FF000000"/>
      <name val="Arial"/>
    </font>
    <font>
      <b/>
      <sz val="11"/>
      <color theme="1"/>
      <name val="Calibri"/>
      <family val="2"/>
      <scheme val="minor"/>
    </font>
    <font>
      <strike/>
      <u/>
      <sz val="11"/>
      <color theme="10"/>
      <name val="Calibri"/>
      <family val="2"/>
      <scheme val="minor"/>
    </font>
    <font>
      <sz val="11"/>
      <color rgb="FFFFFFFF"/>
      <name val="Calibri"/>
    </font>
    <font>
      <b/>
      <sz val="11"/>
      <color rgb="FFFFFFFF"/>
      <name val="Calibri"/>
    </font>
    <font>
      <b/>
      <sz val="12"/>
      <color rgb="FF000000"/>
      <name val="Arial"/>
    </font>
    <font>
      <sz val="12"/>
      <color rgb="FF000000"/>
      <name val="Arial"/>
    </font>
    <font>
      <u/>
      <sz val="12"/>
      <color theme="10"/>
      <name val="Calibri"/>
      <family val="2"/>
      <scheme val="minor"/>
    </font>
    <font>
      <strike/>
      <sz val="12"/>
      <color rgb="FF000000"/>
      <name val="Arial"/>
    </font>
    <font>
      <b/>
      <strike/>
      <sz val="12"/>
      <color rgb="FF000000"/>
      <name val="Arial"/>
    </font>
    <font>
      <i/>
      <sz val="12"/>
      <color rgb="FF000000"/>
      <name val="Arial"/>
    </font>
    <font>
      <u/>
      <sz val="12"/>
      <color rgb="FF000000"/>
      <name val="Arial"/>
    </font>
    <font>
      <strike/>
      <u/>
      <sz val="12"/>
      <color theme="10"/>
      <name val="Calibri"/>
      <family val="2"/>
      <scheme val="minor"/>
    </font>
    <font>
      <sz val="12"/>
      <color rgb="FF000000"/>
      <name val="Arial"/>
      <charset val="1"/>
    </font>
    <font>
      <b/>
      <i/>
      <u/>
      <sz val="12"/>
      <color rgb="FF000000"/>
      <name val="Arial"/>
    </font>
    <font>
      <b/>
      <sz val="12"/>
      <color theme="1"/>
      <name val="Calibri"/>
      <family val="2"/>
      <scheme val="minor"/>
    </font>
    <font>
      <i/>
      <sz val="12"/>
      <color rgb="FFFF0000"/>
      <name val="Arial"/>
    </font>
    <font>
      <sz val="12"/>
      <color theme="1"/>
      <name val="Arial"/>
    </font>
    <font>
      <sz val="11"/>
      <color rgb="FF9C5700"/>
      <name val="Calibri"/>
      <scheme val="minor"/>
    </font>
    <font>
      <sz val="11"/>
      <color rgb="FF9C5700"/>
      <name val="Calibri"/>
      <family val="2"/>
      <scheme val="minor"/>
    </font>
    <font>
      <sz val="11"/>
      <color theme="1"/>
      <name val="Calibri"/>
      <family val="2"/>
      <scheme val="minor"/>
    </font>
    <font>
      <sz val="12"/>
      <name val="Arial"/>
    </font>
    <font>
      <b/>
      <sz val="12"/>
      <color theme="0"/>
      <name val="Arial"/>
    </font>
    <font>
      <b/>
      <sz val="12"/>
      <color theme="1"/>
      <name val="Arial"/>
    </font>
    <font>
      <b/>
      <strike/>
      <sz val="12"/>
      <color theme="1"/>
      <name val="Arial"/>
    </font>
    <font>
      <strike/>
      <sz val="12"/>
      <name val="Arial"/>
    </font>
    <font>
      <sz val="8"/>
      <name val="Calibri"/>
      <family val="2"/>
      <scheme val="minor"/>
    </font>
    <font>
      <sz val="11"/>
      <color theme="1"/>
      <name val="Aptos"/>
    </font>
    <font>
      <b/>
      <sz val="14"/>
      <color rgb="FF000000"/>
      <name val="Aptos"/>
    </font>
    <font>
      <i/>
      <sz val="14"/>
      <color rgb="FFFF0000"/>
      <name val="Aptos"/>
    </font>
    <font>
      <sz val="14"/>
      <color rgb="FF000000"/>
      <name val="Aptos"/>
    </font>
    <font>
      <sz val="14"/>
      <color theme="1"/>
      <name val="Aptos"/>
    </font>
    <font>
      <b/>
      <sz val="18"/>
      <color rgb="FF000000"/>
      <name val="Aptos"/>
    </font>
    <font>
      <b/>
      <sz val="14"/>
      <color theme="1"/>
      <name val="Aptos"/>
    </font>
    <font>
      <sz val="14"/>
      <color theme="0"/>
      <name val="Aptos"/>
    </font>
    <font>
      <sz val="14"/>
      <name val="Aptos"/>
    </font>
    <font>
      <u/>
      <sz val="14"/>
      <color theme="10"/>
      <name val="Aptos"/>
    </font>
    <font>
      <i/>
      <sz val="14"/>
      <color rgb="FF000000"/>
      <name val="Aptos"/>
    </font>
    <font>
      <u/>
      <sz val="14"/>
      <color rgb="FF000000"/>
      <name val="Aptos"/>
    </font>
    <font>
      <b/>
      <strike/>
      <sz val="14"/>
      <color rgb="FF000000"/>
      <name val="Aptos"/>
    </font>
    <font>
      <strike/>
      <sz val="14"/>
      <color rgb="FF000000"/>
      <name val="Aptos"/>
    </font>
    <font>
      <b/>
      <strike/>
      <sz val="14"/>
      <color theme="1"/>
      <name val="Aptos"/>
    </font>
    <font>
      <strike/>
      <u/>
      <sz val="14"/>
      <color theme="10"/>
      <name val="Aptos"/>
    </font>
    <font>
      <sz val="14"/>
      <color theme="10"/>
      <name val="Aptos"/>
    </font>
    <font>
      <u/>
      <sz val="11"/>
      <color theme="10"/>
      <name val="Aptos"/>
    </font>
    <font>
      <i/>
      <sz val="14"/>
      <color theme="1"/>
      <name val="Aptos"/>
    </font>
    <font>
      <i/>
      <sz val="14"/>
      <color theme="0"/>
      <name val="Aptos"/>
    </font>
    <font>
      <strike/>
      <sz val="14"/>
      <name val="Aptos"/>
    </font>
    <font>
      <b/>
      <i/>
      <u/>
      <sz val="14"/>
      <color rgb="FF000000"/>
      <name val="Aptos"/>
    </font>
    <font>
      <sz val="12"/>
      <color theme="1"/>
      <name val="Aptos"/>
    </font>
    <font>
      <sz val="14"/>
      <color rgb="FF9C5700"/>
      <name val="Aptos"/>
    </font>
    <font>
      <i/>
      <sz val="12"/>
      <color theme="1"/>
      <name val="Aptos"/>
    </font>
    <font>
      <sz val="12"/>
      <color theme="10"/>
      <name val="Aptos"/>
    </font>
    <font>
      <u/>
      <sz val="12"/>
      <color theme="10"/>
      <name val="Aptos"/>
    </font>
    <font>
      <sz val="16"/>
      <color theme="1"/>
      <name val="Aptos"/>
    </font>
    <font>
      <sz val="16"/>
      <color rgb="FF000000"/>
      <name val="Aptos"/>
    </font>
    <font>
      <b/>
      <sz val="16"/>
      <color rgb="FF000000"/>
      <name val="Aptos"/>
    </font>
    <font>
      <b/>
      <sz val="16"/>
      <color theme="1"/>
      <name val="Aptos"/>
    </font>
    <font>
      <sz val="16"/>
      <color theme="0"/>
      <name val="Aptos"/>
    </font>
    <font>
      <sz val="16"/>
      <color rgb="FFFFFFFF"/>
      <name val="Aptos"/>
    </font>
    <font>
      <sz val="16"/>
      <name val="Aptos"/>
    </font>
    <font>
      <i/>
      <sz val="16"/>
      <name val="Aptos"/>
    </font>
    <font>
      <u/>
      <sz val="16"/>
      <color theme="10"/>
      <name val="Aptos"/>
    </font>
    <font>
      <i/>
      <sz val="16"/>
      <color rgb="FF000000"/>
      <name val="Aptos"/>
    </font>
    <font>
      <u/>
      <sz val="16"/>
      <color rgb="FF000000"/>
      <name val="Aptos"/>
    </font>
    <font>
      <b/>
      <strike/>
      <sz val="16"/>
      <color rgb="FF000000"/>
      <name val="Aptos"/>
    </font>
    <font>
      <strike/>
      <sz val="16"/>
      <color rgb="FF000000"/>
      <name val="Aptos"/>
    </font>
    <font>
      <b/>
      <strike/>
      <sz val="16"/>
      <color theme="1"/>
      <name val="Aptos"/>
    </font>
    <font>
      <i/>
      <sz val="16"/>
      <color rgb="FFFF0000"/>
      <name val="Aptos"/>
    </font>
    <font>
      <strike/>
      <u/>
      <sz val="16"/>
      <color theme="10"/>
      <name val="Aptos"/>
    </font>
    <font>
      <sz val="16"/>
      <color theme="10"/>
      <name val="Aptos"/>
    </font>
    <font>
      <sz val="16"/>
      <color rgb="FFFF0000"/>
      <name val="Aptos"/>
    </font>
    <font>
      <i/>
      <sz val="16"/>
      <color theme="1"/>
      <name val="Aptos"/>
    </font>
    <font>
      <b/>
      <sz val="16"/>
      <color rgb="FFFF0000"/>
      <name val="Aptos"/>
    </font>
    <font>
      <u/>
      <sz val="16"/>
      <color theme="10"/>
      <name val="Calibri"/>
      <family val="2"/>
      <scheme val="minor"/>
    </font>
    <font>
      <b/>
      <i/>
      <sz val="16"/>
      <color rgb="FF000000"/>
      <name val="Aptos"/>
    </font>
    <font>
      <u/>
      <sz val="16"/>
      <color rgb="FF0563C1"/>
      <name val="Aptos"/>
    </font>
    <font>
      <b/>
      <sz val="16"/>
      <name val="Aptos"/>
    </font>
    <font>
      <b/>
      <sz val="16"/>
      <color theme="0"/>
      <name val="Aptos"/>
    </font>
    <font>
      <u/>
      <sz val="16"/>
      <color theme="1"/>
      <name val="Aptos"/>
    </font>
    <font>
      <i/>
      <strike/>
      <sz val="16"/>
      <color rgb="FF000000"/>
      <name val="Aptos"/>
    </font>
    <font>
      <sz val="16"/>
      <color rgb="FF9C5700"/>
      <name val="Aptos"/>
    </font>
    <font>
      <sz val="16"/>
      <color theme="1"/>
      <name val="Calibri"/>
      <family val="2"/>
      <scheme val="minor"/>
    </font>
    <font>
      <b/>
      <i/>
      <sz val="16"/>
      <color theme="1"/>
      <name val="Aptos"/>
    </font>
    <font>
      <i/>
      <sz val="16"/>
      <color rgb="FFFFFFFF"/>
      <name val="Aptos"/>
    </font>
    <font>
      <i/>
      <sz val="16"/>
      <color theme="0"/>
      <name val="Aptos"/>
    </font>
    <font>
      <b/>
      <sz val="11"/>
      <color theme="1"/>
      <name val="Aptos"/>
    </font>
    <font>
      <b/>
      <sz val="12"/>
      <color theme="1"/>
      <name val="Aptos"/>
    </font>
    <font>
      <sz val="11"/>
      <color rgb="FF000000"/>
      <name val="Aptos"/>
    </font>
    <font>
      <i/>
      <sz val="11"/>
      <color rgb="FFFF0000"/>
      <name val="Aptos"/>
    </font>
    <font>
      <b/>
      <sz val="16"/>
      <color rgb="FFFF0000"/>
      <name val="Aptos"/>
      <family val="2"/>
    </font>
    <font>
      <sz val="14"/>
      <color theme="1"/>
      <name val="Aptos"/>
      <family val="2"/>
    </font>
    <font>
      <sz val="16"/>
      <color theme="1"/>
      <name val="Aptos"/>
      <family val="2"/>
    </font>
    <font>
      <sz val="16"/>
      <color rgb="FF000000"/>
      <name val="Aptos"/>
      <family val="2"/>
    </font>
    <font>
      <u/>
      <sz val="14"/>
      <color theme="10"/>
      <name val="Calibri"/>
      <family val="2"/>
      <scheme val="minor"/>
    </font>
    <font>
      <i/>
      <sz val="12"/>
      <color rgb="FFFF0000"/>
      <name val="Aptos"/>
    </font>
    <font>
      <sz val="16"/>
      <name val="Aptos"/>
      <family val="2"/>
    </font>
  </fonts>
  <fills count="5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8" tint="-0.499984740745262"/>
        <bgColor indexed="64"/>
      </patternFill>
    </fill>
    <fill>
      <patternFill patternType="solid">
        <fgColor theme="8"/>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theme="4"/>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4" tint="0.59999389629810485"/>
        <bgColor indexed="64"/>
      </patternFill>
    </fill>
    <fill>
      <patternFill patternType="solid">
        <fgColor rgb="FF203764"/>
        <bgColor indexed="64"/>
      </patternFill>
    </fill>
    <fill>
      <patternFill patternType="solid">
        <fgColor rgb="FF1F4E78"/>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FF"/>
        <bgColor indexed="64"/>
      </patternFill>
    </fill>
    <fill>
      <patternFill patternType="solid">
        <fgColor rgb="FFDDEBF7"/>
        <bgColor indexed="64"/>
      </patternFill>
    </fill>
    <fill>
      <patternFill patternType="solid">
        <fgColor rgb="FFF2F2F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7E6E6"/>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70C0"/>
        <bgColor indexed="64"/>
      </patternFill>
    </fill>
    <fill>
      <patternFill patternType="solid">
        <fgColor theme="7" tint="0.79998168889431442"/>
        <bgColor indexed="64"/>
      </patternFill>
    </fill>
    <fill>
      <patternFill patternType="solid">
        <fgColor rgb="FFFFEB9C"/>
      </patternFill>
    </fill>
    <fill>
      <patternFill patternType="solid">
        <fgColor theme="3"/>
        <bgColor indexed="64"/>
      </patternFill>
    </fill>
    <fill>
      <patternFill patternType="solid">
        <fgColor rgb="FF307FE2"/>
        <bgColor indexed="64"/>
      </patternFill>
    </fill>
    <fill>
      <patternFill patternType="solid">
        <fgColor rgb="FFB9D9EB"/>
        <bgColor indexed="64"/>
      </patternFill>
    </fill>
    <fill>
      <patternFill patternType="solid">
        <fgColor rgb="FF78BE20"/>
        <bgColor indexed="64"/>
      </patternFill>
    </fill>
    <fill>
      <patternFill patternType="solid">
        <fgColor rgb="FF003087"/>
        <bgColor indexed="64"/>
      </patternFill>
    </fill>
    <fill>
      <patternFill patternType="solid">
        <fgColor rgb="FF69B3E7"/>
        <bgColor indexed="64"/>
      </patternFill>
    </fill>
    <fill>
      <patternFill patternType="solid">
        <fgColor rgb="FFA20D34"/>
        <bgColor indexed="64"/>
      </patternFill>
    </fill>
    <fill>
      <patternFill patternType="solid">
        <fgColor rgb="FF1E4E79"/>
        <bgColor rgb="FF1E4E79"/>
      </patternFill>
    </fill>
    <fill>
      <patternFill patternType="solid">
        <fgColor rgb="FFB7E1CD"/>
        <bgColor rgb="FFB7E1CD"/>
      </patternFill>
    </fill>
    <fill>
      <patternFill patternType="solid">
        <fgColor rgb="FF007C89"/>
        <bgColor rgb="FF007C89"/>
      </patternFill>
    </fill>
    <fill>
      <patternFill patternType="solid">
        <fgColor rgb="FFFFFF00"/>
        <bgColor rgb="FFFFFF00"/>
      </patternFill>
    </fill>
    <fill>
      <patternFill patternType="solid">
        <fgColor rgb="FFFF5457"/>
        <bgColor indexed="64"/>
      </patternFill>
    </fill>
    <fill>
      <patternFill patternType="solid">
        <fgColor theme="7" tint="0.59999389629810485"/>
        <bgColor indexed="64"/>
      </patternFill>
    </fill>
    <fill>
      <patternFill patternType="solid">
        <fgColor rgb="FFFFBDBD"/>
        <bgColor indexed="64"/>
      </patternFill>
    </fill>
  </fills>
  <borders count="33">
    <border>
      <left/>
      <right/>
      <top/>
      <bottom/>
      <diagonal/>
    </border>
    <border>
      <left/>
      <right/>
      <top/>
      <bottom style="thick">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auto="1"/>
      </right>
      <top/>
      <bottom/>
      <diagonal/>
    </border>
    <border>
      <left/>
      <right/>
      <top style="thin">
        <color rgb="FF000000"/>
      </top>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auto="1"/>
      </bottom>
      <diagonal/>
    </border>
    <border>
      <left style="thin">
        <color rgb="FF000000"/>
      </left>
      <right style="thin">
        <color rgb="FF000000"/>
      </right>
      <top/>
      <bottom/>
      <diagonal/>
    </border>
  </borders>
  <cellStyleXfs count="6">
    <xf numFmtId="0" fontId="0" fillId="0" borderId="0"/>
    <xf numFmtId="0" fontId="1" fillId="0" borderId="1" applyNumberFormat="0" applyFill="0" applyAlignment="0" applyProtection="0"/>
    <xf numFmtId="0" fontId="2" fillId="0" borderId="0"/>
    <xf numFmtId="0" fontId="34" fillId="0" borderId="0" applyNumberFormat="0" applyFill="0" applyBorder="0" applyAlignment="0" applyProtection="0"/>
    <xf numFmtId="0" fontId="85" fillId="35" borderId="0" applyNumberFormat="0" applyBorder="0" applyAlignment="0" applyProtection="0"/>
    <xf numFmtId="9" fontId="87" fillId="0" borderId="0" applyFont="0" applyFill="0" applyBorder="0" applyAlignment="0" applyProtection="0"/>
  </cellStyleXfs>
  <cellXfs count="2188">
    <xf numFmtId="0" fontId="0" fillId="0" borderId="0" xfId="0"/>
    <xf numFmtId="0" fontId="3" fillId="2" borderId="0" xfId="2" applyFont="1" applyFill="1" applyAlignment="1">
      <alignment horizontal="left" vertical="center" wrapText="1"/>
    </xf>
    <xf numFmtId="0" fontId="3" fillId="2" borderId="0" xfId="2" applyFont="1" applyFill="1" applyAlignment="1">
      <alignment vertical="center" wrapText="1"/>
    </xf>
    <xf numFmtId="0" fontId="5" fillId="2" borderId="0" xfId="2" applyFont="1" applyFill="1" applyAlignment="1">
      <alignment vertical="center" wrapText="1"/>
    </xf>
    <xf numFmtId="14" fontId="6" fillId="2" borderId="4" xfId="2" applyNumberFormat="1" applyFont="1" applyFill="1" applyBorder="1" applyAlignment="1">
      <alignment horizontal="center" vertical="center" wrapText="1"/>
    </xf>
    <xf numFmtId="164" fontId="3" fillId="0" borderId="0" xfId="2" applyNumberFormat="1" applyFont="1" applyAlignment="1">
      <alignment horizontal="left" vertical="center" wrapText="1"/>
    </xf>
    <xf numFmtId="0" fontId="3" fillId="0" borderId="0" xfId="2" applyFont="1" applyAlignment="1">
      <alignment horizontal="left" vertical="center" wrapText="1"/>
    </xf>
    <xf numFmtId="0" fontId="7" fillId="2" borderId="0" xfId="0" applyFont="1" applyFill="1"/>
    <xf numFmtId="0" fontId="7" fillId="0" borderId="0" xfId="0" applyFont="1"/>
    <xf numFmtId="0" fontId="8" fillId="2" borderId="0" xfId="0" applyFont="1" applyFill="1" applyAlignment="1">
      <alignment horizontal="left" vertical="center"/>
    </xf>
    <xf numFmtId="0" fontId="3" fillId="2" borderId="4" xfId="0" applyFont="1" applyFill="1" applyBorder="1" applyAlignment="1">
      <alignment horizontal="center" vertical="center" wrapText="1"/>
    </xf>
    <xf numFmtId="164" fontId="3" fillId="2" borderId="4" xfId="0" applyNumberFormat="1" applyFont="1" applyFill="1" applyBorder="1" applyAlignment="1">
      <alignment horizontal="center" vertical="center" wrapText="1"/>
    </xf>
    <xf numFmtId="0" fontId="7" fillId="2" borderId="0" xfId="0" applyFont="1" applyFill="1" applyAlignment="1">
      <alignment horizontal="left"/>
    </xf>
    <xf numFmtId="0" fontId="7" fillId="2" borderId="0" xfId="0" applyFont="1" applyFill="1" applyAlignment="1">
      <alignment horizontal="center" wrapText="1"/>
    </xf>
    <xf numFmtId="0" fontId="7" fillId="2" borderId="0" xfId="0" applyFont="1" applyFill="1" applyAlignment="1">
      <alignment horizontal="center" vertical="center" wrapText="1"/>
    </xf>
    <xf numFmtId="164" fontId="7" fillId="2" borderId="0" xfId="0" applyNumberFormat="1" applyFont="1" applyFill="1" applyAlignment="1">
      <alignment horizontal="center" wrapText="1"/>
    </xf>
    <xf numFmtId="164" fontId="9" fillId="2" borderId="3" xfId="1" quotePrefix="1" applyNumberFormat="1" applyFont="1" applyFill="1" applyBorder="1" applyAlignment="1">
      <alignment horizontal="center" vertical="center" wrapText="1"/>
    </xf>
    <xf numFmtId="14" fontId="9" fillId="2" borderId="4" xfId="2" applyNumberFormat="1" applyFont="1" applyFill="1" applyBorder="1" applyAlignment="1">
      <alignment horizontal="center" vertical="center" wrapText="1"/>
    </xf>
    <xf numFmtId="164" fontId="4" fillId="7" borderId="2" xfId="1" applyNumberFormat="1" applyFont="1" applyFill="1" applyBorder="1" applyAlignment="1">
      <alignment horizontal="center" vertical="center" wrapText="1"/>
    </xf>
    <xf numFmtId="0" fontId="4" fillId="7" borderId="2" xfId="1" applyFont="1" applyFill="1" applyBorder="1" applyAlignment="1">
      <alignment horizontal="center" vertical="center" wrapText="1"/>
    </xf>
    <xf numFmtId="164" fontId="6" fillId="9" borderId="3" xfId="1" quotePrefix="1" applyNumberFormat="1" applyFont="1" applyFill="1" applyBorder="1" applyAlignment="1">
      <alignment horizontal="center" vertical="center" wrapText="1"/>
    </xf>
    <xf numFmtId="14" fontId="6" fillId="9" borderId="4" xfId="2" applyNumberFormat="1" applyFont="1" applyFill="1" applyBorder="1" applyAlignment="1">
      <alignment horizontal="center" vertical="center" wrapText="1"/>
    </xf>
    <xf numFmtId="0" fontId="0" fillId="2" borderId="0" xfId="0" applyFill="1"/>
    <xf numFmtId="164" fontId="9" fillId="9" borderId="3" xfId="1" quotePrefix="1" applyNumberFormat="1" applyFont="1" applyFill="1" applyBorder="1" applyAlignment="1">
      <alignment horizontal="center" vertical="center" wrapText="1"/>
    </xf>
    <xf numFmtId="14" fontId="9" fillId="9" borderId="4" xfId="2" applyNumberFormat="1" applyFont="1" applyFill="1" applyBorder="1" applyAlignment="1">
      <alignment horizontal="center" vertical="center" wrapText="1"/>
    </xf>
    <xf numFmtId="164" fontId="4" fillId="11" borderId="4" xfId="1" applyNumberFormat="1" applyFont="1" applyFill="1" applyBorder="1" applyAlignment="1">
      <alignment horizontal="center" vertical="center" wrapText="1"/>
    </xf>
    <xf numFmtId="0" fontId="4" fillId="11" borderId="4" xfId="1" applyFont="1" applyFill="1" applyBorder="1" applyAlignment="1">
      <alignment horizontal="center" vertical="center" wrapText="1"/>
    </xf>
    <xf numFmtId="164" fontId="3" fillId="12" borderId="4" xfId="0"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164" fontId="14" fillId="13" borderId="4" xfId="0" applyNumberFormat="1" applyFont="1" applyFill="1" applyBorder="1" applyAlignment="1">
      <alignment horizontal="center" vertical="center" wrapText="1"/>
    </xf>
    <xf numFmtId="164" fontId="9" fillId="6" borderId="3" xfId="1" quotePrefix="1" applyNumberFormat="1" applyFont="1" applyFill="1" applyBorder="1" applyAlignment="1">
      <alignment horizontal="center" vertical="center" wrapText="1"/>
    </xf>
    <xf numFmtId="0" fontId="3" fillId="2" borderId="0" xfId="0" applyFont="1" applyFill="1" applyAlignment="1">
      <alignment horizontal="left"/>
    </xf>
    <xf numFmtId="164" fontId="9" fillId="4" borderId="3" xfId="1" quotePrefix="1" applyNumberFormat="1" applyFont="1" applyFill="1" applyBorder="1" applyAlignment="1">
      <alignment horizontal="center" vertical="center" wrapText="1"/>
    </xf>
    <xf numFmtId="164" fontId="10" fillId="12" borderId="4" xfId="0" applyNumberFormat="1" applyFont="1" applyFill="1" applyBorder="1" applyAlignment="1">
      <alignment horizontal="center" vertical="center" wrapText="1"/>
    </xf>
    <xf numFmtId="164" fontId="10" fillId="12" borderId="5" xfId="0" applyNumberFormat="1" applyFont="1" applyFill="1" applyBorder="1" applyAlignment="1">
      <alignment vertical="center" wrapText="1"/>
    </xf>
    <xf numFmtId="164" fontId="3" fillId="12" borderId="5" xfId="0" applyNumberFormat="1" applyFont="1" applyFill="1" applyBorder="1" applyAlignment="1">
      <alignment vertical="center" wrapText="1"/>
    </xf>
    <xf numFmtId="164" fontId="15" fillId="11" borderId="4" xfId="1" applyNumberFormat="1" applyFont="1" applyFill="1" applyBorder="1" applyAlignment="1">
      <alignment horizontal="center" vertical="center" wrapText="1"/>
    </xf>
    <xf numFmtId="0" fontId="15" fillId="11" borderId="4" xfId="1" applyFont="1" applyFill="1" applyBorder="1" applyAlignment="1">
      <alignment horizontal="center" vertical="center" wrapText="1"/>
    </xf>
    <xf numFmtId="164" fontId="9" fillId="5" borderId="3" xfId="1" quotePrefix="1" applyNumberFormat="1" applyFont="1" applyFill="1" applyBorder="1" applyAlignment="1">
      <alignment horizontal="center" vertical="center" wrapText="1"/>
    </xf>
    <xf numFmtId="164" fontId="14" fillId="8" borderId="4" xfId="0" applyNumberFormat="1" applyFont="1" applyFill="1" applyBorder="1" applyAlignment="1">
      <alignment horizontal="center" vertical="center" wrapText="1"/>
    </xf>
    <xf numFmtId="164" fontId="14" fillId="13" borderId="4" xfId="0" quotePrefix="1" applyNumberFormat="1" applyFont="1" applyFill="1" applyBorder="1" applyAlignment="1">
      <alignment horizontal="center" vertical="center" wrapText="1"/>
    </xf>
    <xf numFmtId="164" fontId="3" fillId="0" borderId="4" xfId="0" applyNumberFormat="1" applyFont="1" applyBorder="1" applyAlignment="1">
      <alignment horizontal="center" vertical="center" wrapText="1"/>
    </xf>
    <xf numFmtId="0" fontId="4" fillId="7" borderId="0" xfId="1" applyFont="1" applyFill="1" applyBorder="1" applyAlignment="1">
      <alignment horizontal="center" vertical="center" wrapText="1"/>
    </xf>
    <xf numFmtId="14" fontId="6" fillId="9" borderId="0" xfId="2" applyNumberFormat="1" applyFont="1" applyFill="1" applyAlignment="1">
      <alignment horizontal="center" vertical="center" wrapText="1"/>
    </xf>
    <xf numFmtId="14" fontId="9" fillId="9" borderId="0" xfId="2" applyNumberFormat="1" applyFont="1" applyFill="1" applyAlignment="1">
      <alignment horizontal="center" vertical="center" wrapText="1"/>
    </xf>
    <xf numFmtId="14" fontId="9" fillId="5" borderId="4" xfId="2" applyNumberFormat="1" applyFont="1" applyFill="1" applyBorder="1" applyAlignment="1">
      <alignment horizontal="center" vertical="center" wrapText="1"/>
    </xf>
    <xf numFmtId="14" fontId="21" fillId="2" borderId="4" xfId="2" applyNumberFormat="1" applyFont="1" applyFill="1" applyBorder="1" applyAlignment="1">
      <alignment horizontal="center" vertical="center" wrapText="1"/>
    </xf>
    <xf numFmtId="0" fontId="15" fillId="11" borderId="0" xfId="1" applyFont="1" applyFill="1" applyBorder="1" applyAlignment="1">
      <alignment horizontal="center" vertical="center" wrapText="1"/>
    </xf>
    <xf numFmtId="14" fontId="18" fillId="17" borderId="5" xfId="2" applyNumberFormat="1" applyFont="1" applyFill="1" applyBorder="1" applyAlignment="1">
      <alignment horizontal="center" vertical="center" wrapText="1"/>
    </xf>
    <xf numFmtId="14" fontId="9" fillId="17" borderId="7" xfId="2" applyNumberFormat="1" applyFont="1" applyFill="1" applyBorder="1" applyAlignment="1">
      <alignment horizontal="center" vertical="center" wrapText="1"/>
    </xf>
    <xf numFmtId="164" fontId="20" fillId="2" borderId="4" xfId="0" applyNumberFormat="1" applyFont="1" applyFill="1" applyBorder="1" applyAlignment="1">
      <alignment horizontal="center" vertical="center" wrapText="1"/>
    </xf>
    <xf numFmtId="0" fontId="20" fillId="2" borderId="4" xfId="0" applyFont="1" applyFill="1" applyBorder="1" applyAlignment="1">
      <alignment horizontal="center" vertical="center" wrapText="1"/>
    </xf>
    <xf numFmtId="14" fontId="23" fillId="2" borderId="4" xfId="2" applyNumberFormat="1" applyFont="1" applyFill="1" applyBorder="1" applyAlignment="1">
      <alignment horizontal="center" vertical="center" wrapText="1"/>
    </xf>
    <xf numFmtId="14" fontId="18" fillId="17" borderId="6" xfId="2" applyNumberFormat="1" applyFont="1" applyFill="1" applyBorder="1" applyAlignment="1">
      <alignment horizontal="center" vertical="center" wrapText="1"/>
    </xf>
    <xf numFmtId="0" fontId="24" fillId="2" borderId="4" xfId="0" applyFont="1" applyFill="1" applyBorder="1" applyAlignment="1">
      <alignment horizontal="center" vertical="center" wrapText="1"/>
    </xf>
    <xf numFmtId="14" fontId="26" fillId="2" borderId="4" xfId="2" applyNumberFormat="1" applyFont="1" applyFill="1" applyBorder="1" applyAlignment="1">
      <alignment horizontal="center" vertical="center" wrapText="1"/>
    </xf>
    <xf numFmtId="0" fontId="27" fillId="2" borderId="4" xfId="0" applyFont="1" applyFill="1" applyBorder="1" applyAlignment="1">
      <alignment horizontal="center" vertical="center" wrapText="1"/>
    </xf>
    <xf numFmtId="14" fontId="28" fillId="2" borderId="4" xfId="2" applyNumberFormat="1" applyFont="1" applyFill="1" applyBorder="1" applyAlignment="1">
      <alignment horizontal="center" vertical="center" wrapText="1"/>
    </xf>
    <xf numFmtId="164" fontId="9" fillId="0" borderId="3" xfId="1" quotePrefix="1" applyNumberFormat="1" applyFont="1" applyFill="1" applyBorder="1" applyAlignment="1">
      <alignment horizontal="center" vertical="center" wrapText="1"/>
    </xf>
    <xf numFmtId="164" fontId="22" fillId="0" borderId="3" xfId="1" quotePrefix="1" applyNumberFormat="1" applyFont="1" applyFill="1" applyBorder="1" applyAlignment="1">
      <alignment horizontal="center" vertical="center" wrapText="1"/>
    </xf>
    <xf numFmtId="164" fontId="23" fillId="0" borderId="3" xfId="1" quotePrefix="1" applyNumberFormat="1" applyFont="1" applyFill="1" applyBorder="1" applyAlignment="1">
      <alignment horizontal="center" vertical="center" wrapText="1"/>
    </xf>
    <xf numFmtId="164" fontId="20" fillId="0" borderId="4" xfId="0" applyNumberFormat="1" applyFont="1" applyBorder="1" applyAlignment="1">
      <alignment horizontal="center" vertical="center" wrapText="1"/>
    </xf>
    <xf numFmtId="14" fontId="9" fillId="2" borderId="7" xfId="2" applyNumberFormat="1" applyFont="1" applyFill="1" applyBorder="1" applyAlignment="1">
      <alignment horizontal="center" vertical="center" wrapText="1"/>
    </xf>
    <xf numFmtId="14" fontId="9" fillId="2" borderId="2" xfId="2" applyNumberFormat="1" applyFont="1" applyFill="1" applyBorder="1" applyAlignment="1">
      <alignment horizontal="center" vertical="center" wrapText="1"/>
    </xf>
    <xf numFmtId="14" fontId="9" fillId="2" borderId="9" xfId="2" applyNumberFormat="1" applyFont="1" applyFill="1" applyBorder="1" applyAlignment="1">
      <alignment horizontal="center" vertical="center" wrapText="1"/>
    </xf>
    <xf numFmtId="14" fontId="31" fillId="2" borderId="4" xfId="2" applyNumberFormat="1" applyFont="1" applyFill="1" applyBorder="1" applyAlignment="1">
      <alignment horizontal="center" vertical="center" wrapText="1"/>
    </xf>
    <xf numFmtId="164" fontId="30" fillId="0" borderId="4" xfId="0" applyNumberFormat="1" applyFont="1" applyBorder="1" applyAlignment="1">
      <alignment horizontal="center" vertical="center" wrapText="1"/>
    </xf>
    <xf numFmtId="164" fontId="32" fillId="2" borderId="4" xfId="0" applyNumberFormat="1" applyFont="1" applyFill="1" applyBorder="1" applyAlignment="1">
      <alignment horizontal="center" vertical="center" wrapText="1"/>
    </xf>
    <xf numFmtId="0" fontId="32" fillId="2" borderId="4" xfId="0" applyFont="1" applyFill="1" applyBorder="1" applyAlignment="1">
      <alignment horizontal="center" vertical="center" wrapText="1"/>
    </xf>
    <xf numFmtId="164" fontId="32" fillId="0" borderId="4" xfId="0" applyNumberFormat="1" applyFont="1" applyBorder="1" applyAlignment="1">
      <alignment horizontal="center" vertical="center" wrapText="1"/>
    </xf>
    <xf numFmtId="164" fontId="9" fillId="2" borderId="10" xfId="1" quotePrefix="1" applyNumberFormat="1" applyFont="1" applyFill="1" applyBorder="1" applyAlignment="1">
      <alignment horizontal="center" vertical="center" wrapText="1"/>
    </xf>
    <xf numFmtId="0" fontId="7" fillId="2" borderId="0" xfId="0" applyFont="1" applyFill="1" applyAlignment="1">
      <alignment wrapText="1"/>
    </xf>
    <xf numFmtId="0" fontId="19" fillId="2"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3" fillId="2" borderId="5"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0" borderId="0" xfId="0" applyFont="1" applyAlignment="1">
      <alignment horizontal="left" vertical="center"/>
    </xf>
    <xf numFmtId="0" fontId="34" fillId="0" borderId="0" xfId="3" applyAlignment="1">
      <alignment wrapText="1"/>
    </xf>
    <xf numFmtId="14" fontId="37" fillId="0" borderId="4" xfId="2" applyNumberFormat="1" applyFont="1" applyBorder="1" applyAlignment="1">
      <alignment horizontal="center" vertical="center" wrapText="1"/>
    </xf>
    <xf numFmtId="164" fontId="27" fillId="0" borderId="4"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38" fillId="0" borderId="0" xfId="0" applyFont="1" applyAlignment="1">
      <alignment horizontal="center" vertical="center"/>
    </xf>
    <xf numFmtId="14" fontId="9" fillId="4" borderId="5" xfId="2" applyNumberFormat="1" applyFont="1" applyFill="1" applyBorder="1" applyAlignment="1">
      <alignment horizontal="center" vertical="center" wrapText="1"/>
    </xf>
    <xf numFmtId="14" fontId="9" fillId="4" borderId="7" xfId="2" applyNumberFormat="1" applyFont="1" applyFill="1" applyBorder="1" applyAlignment="1">
      <alignment horizontal="center" vertical="center" wrapText="1"/>
    </xf>
    <xf numFmtId="14" fontId="39" fillId="4" borderId="6" xfId="2" applyNumberFormat="1" applyFont="1" applyFill="1" applyBorder="1" applyAlignment="1">
      <alignment horizontal="center" vertical="center" wrapText="1"/>
    </xf>
    <xf numFmtId="165" fontId="6" fillId="2" borderId="4" xfId="2" applyNumberFormat="1" applyFont="1" applyFill="1" applyBorder="1" applyAlignment="1">
      <alignment horizontal="center" vertical="center" wrapText="1"/>
    </xf>
    <xf numFmtId="164" fontId="3" fillId="2" borderId="5"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6" fillId="2" borderId="5"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64" fontId="3" fillId="2" borderId="9" xfId="0" applyNumberFormat="1" applyFont="1" applyFill="1" applyBorder="1" applyAlignment="1">
      <alignment horizontal="center" vertical="center" wrapText="1"/>
    </xf>
    <xf numFmtId="0" fontId="3" fillId="0" borderId="9" xfId="0" applyFont="1" applyBorder="1" applyAlignment="1">
      <alignment horizontal="center" vertical="center" wrapText="1"/>
    </xf>
    <xf numFmtId="0" fontId="11" fillId="0" borderId="9" xfId="0" applyFont="1" applyBorder="1" applyAlignment="1">
      <alignment horizontal="center" vertical="center"/>
    </xf>
    <xf numFmtId="0" fontId="11" fillId="0" borderId="0" xfId="0" applyFont="1" applyAlignment="1">
      <alignment horizontal="left" vertical="center"/>
    </xf>
    <xf numFmtId="0" fontId="4" fillId="8" borderId="2" xfId="1" applyFont="1" applyFill="1" applyBorder="1" applyAlignment="1">
      <alignment horizontal="center" vertical="center" wrapText="1"/>
    </xf>
    <xf numFmtId="164" fontId="14" fillId="8" borderId="2" xfId="0" applyNumberFormat="1" applyFont="1" applyFill="1" applyBorder="1" applyAlignment="1">
      <alignment horizontal="center" vertical="center" wrapText="1"/>
    </xf>
    <xf numFmtId="164" fontId="14" fillId="13" borderId="3" xfId="0" applyNumberFormat="1" applyFont="1" applyFill="1" applyBorder="1" applyAlignment="1">
      <alignment horizontal="center" vertical="center" wrapText="1"/>
    </xf>
    <xf numFmtId="14" fontId="9" fillId="2" borderId="5" xfId="2" applyNumberFormat="1" applyFont="1" applyFill="1" applyBorder="1" applyAlignment="1">
      <alignment horizontal="center" vertical="center" wrapText="1"/>
    </xf>
    <xf numFmtId="14" fontId="9" fillId="2" borderId="3" xfId="2" applyNumberFormat="1" applyFont="1" applyFill="1" applyBorder="1" applyAlignment="1">
      <alignment horizontal="center" vertical="center" wrapText="1"/>
    </xf>
    <xf numFmtId="0" fontId="32" fillId="2" borderId="0" xfId="2" applyFont="1" applyFill="1" applyAlignment="1">
      <alignment vertical="center" wrapText="1"/>
    </xf>
    <xf numFmtId="14" fontId="9" fillId="2" borderId="16" xfId="2" applyNumberFormat="1" applyFont="1" applyFill="1" applyBorder="1" applyAlignment="1">
      <alignment horizontal="center" vertical="center" wrapText="1"/>
    </xf>
    <xf numFmtId="14" fontId="9" fillId="2" borderId="12" xfId="2" applyNumberFormat="1" applyFont="1" applyFill="1" applyBorder="1" applyAlignment="1">
      <alignment horizontal="center" vertical="center" wrapText="1"/>
    </xf>
    <xf numFmtId="164" fontId="9" fillId="2" borderId="9" xfId="1" quotePrefix="1" applyNumberFormat="1" applyFont="1" applyFill="1" applyBorder="1" applyAlignment="1">
      <alignment horizontal="center" vertical="center" wrapText="1"/>
    </xf>
    <xf numFmtId="164" fontId="9" fillId="2" borderId="20" xfId="1" quotePrefix="1" applyNumberFormat="1" applyFont="1" applyFill="1" applyBorder="1" applyAlignment="1">
      <alignment horizontal="center" vertical="center" wrapText="1"/>
    </xf>
    <xf numFmtId="14" fontId="9" fillId="2" borderId="11" xfId="2" applyNumberFormat="1" applyFont="1" applyFill="1" applyBorder="1" applyAlignment="1">
      <alignment horizontal="center" vertical="center" wrapText="1"/>
    </xf>
    <xf numFmtId="14" fontId="9" fillId="5" borderId="5" xfId="2" applyNumberFormat="1" applyFont="1" applyFill="1" applyBorder="1" applyAlignment="1">
      <alignment horizontal="center" vertical="center" wrapText="1"/>
    </xf>
    <xf numFmtId="0" fontId="41" fillId="2" borderId="0" xfId="0" applyFont="1" applyFill="1" applyAlignment="1">
      <alignment horizontal="left" vertical="center"/>
    </xf>
    <xf numFmtId="0" fontId="4" fillId="20" borderId="0" xfId="1" applyFont="1" applyFill="1" applyBorder="1" applyAlignment="1">
      <alignment horizontal="center" vertical="center" wrapText="1"/>
    </xf>
    <xf numFmtId="0" fontId="4" fillId="20" borderId="2" xfId="1" applyFont="1" applyFill="1" applyBorder="1" applyAlignment="1">
      <alignment horizontal="center" vertical="center" wrapText="1"/>
    </xf>
    <xf numFmtId="14" fontId="9" fillId="2" borderId="14" xfId="2" applyNumberFormat="1" applyFont="1" applyFill="1" applyBorder="1" applyAlignment="1">
      <alignment horizontal="center" vertical="center" wrapText="1"/>
    </xf>
    <xf numFmtId="14" fontId="9" fillId="2" borderId="17" xfId="2" applyNumberFormat="1" applyFont="1" applyFill="1" applyBorder="1" applyAlignment="1">
      <alignment horizontal="center" vertical="center" wrapText="1"/>
    </xf>
    <xf numFmtId="14" fontId="21" fillId="2" borderId="5" xfId="2" applyNumberFormat="1" applyFont="1" applyFill="1" applyBorder="1" applyAlignment="1">
      <alignment horizontal="center" vertical="center" wrapText="1"/>
    </xf>
    <xf numFmtId="14" fontId="28" fillId="0" borderId="5" xfId="2" applyNumberFormat="1" applyFont="1" applyBorder="1" applyAlignment="1">
      <alignment horizontal="center" vertical="center" wrapText="1"/>
    </xf>
    <xf numFmtId="14" fontId="37" fillId="0" borderId="5" xfId="2" applyNumberFormat="1" applyFont="1" applyBorder="1" applyAlignment="1">
      <alignment horizontal="center" vertical="center" wrapText="1"/>
    </xf>
    <xf numFmtId="14" fontId="6" fillId="2" borderId="5" xfId="2" applyNumberFormat="1" applyFont="1" applyFill="1" applyBorder="1" applyAlignment="1">
      <alignment horizontal="center" vertical="center" wrapText="1"/>
    </xf>
    <xf numFmtId="0" fontId="3" fillId="2" borderId="13" xfId="2" applyFont="1" applyFill="1" applyBorder="1" applyAlignment="1">
      <alignment vertical="center" wrapText="1"/>
    </xf>
    <xf numFmtId="0" fontId="25" fillId="0" borderId="9" xfId="0" applyFont="1" applyBorder="1" applyAlignment="1">
      <alignment horizontal="center" vertical="center" wrapText="1"/>
    </xf>
    <xf numFmtId="164" fontId="42" fillId="0" borderId="9" xfId="0" quotePrefix="1" applyNumberFormat="1" applyFont="1" applyBorder="1" applyAlignment="1">
      <alignment horizontal="center" vertical="center" wrapText="1"/>
    </xf>
    <xf numFmtId="0" fontId="42" fillId="0" borderId="9" xfId="0" applyFont="1" applyBorder="1" applyAlignment="1">
      <alignment horizontal="center" vertical="center" wrapText="1"/>
    </xf>
    <xf numFmtId="0" fontId="43" fillId="2" borderId="0" xfId="0" applyFont="1" applyFill="1" applyAlignment="1">
      <alignment horizontal="left" vertical="center"/>
    </xf>
    <xf numFmtId="0" fontId="27" fillId="0" borderId="9" xfId="0" applyFont="1" applyBorder="1" applyAlignment="1">
      <alignment horizontal="center" vertical="center" wrapText="1"/>
    </xf>
    <xf numFmtId="14" fontId="39" fillId="0" borderId="4" xfId="2" applyNumberFormat="1" applyFont="1" applyBorder="1" applyAlignment="1">
      <alignment horizontal="center" vertical="center" wrapText="1"/>
    </xf>
    <xf numFmtId="0" fontId="45" fillId="0" borderId="0" xfId="0" applyFont="1" applyAlignment="1">
      <alignment horizontal="center" vertical="center" wrapText="1"/>
    </xf>
    <xf numFmtId="164" fontId="44" fillId="2" borderId="3" xfId="1" quotePrefix="1" applyNumberFormat="1" applyFont="1" applyFill="1" applyBorder="1" applyAlignment="1">
      <alignment horizontal="center" vertical="center" wrapText="1"/>
    </xf>
    <xf numFmtId="0" fontId="8" fillId="2" borderId="9" xfId="0" applyFont="1" applyFill="1" applyBorder="1" applyAlignment="1">
      <alignment horizontal="center" vertical="center" wrapText="1"/>
    </xf>
    <xf numFmtId="0" fontId="11" fillId="0" borderId="9" xfId="0" applyFont="1" applyBorder="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0" fontId="47" fillId="2" borderId="9" xfId="3" applyFont="1" applyFill="1" applyBorder="1" applyAlignment="1">
      <alignment horizontal="center" vertical="center" wrapText="1"/>
    </xf>
    <xf numFmtId="0" fontId="46" fillId="2" borderId="9" xfId="3" applyFont="1" applyFill="1" applyBorder="1" applyAlignment="1">
      <alignment horizontal="center" vertical="center" wrapText="1"/>
    </xf>
    <xf numFmtId="0" fontId="3" fillId="2" borderId="20"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16" borderId="9" xfId="0" applyFont="1" applyFill="1" applyBorder="1" applyAlignment="1">
      <alignment horizontal="center" vertical="center" wrapText="1"/>
    </xf>
    <xf numFmtId="14" fontId="9" fillId="4" borderId="10" xfId="2" applyNumberFormat="1" applyFont="1" applyFill="1" applyBorder="1" applyAlignment="1">
      <alignment horizontal="center" vertical="center" wrapText="1"/>
    </xf>
    <xf numFmtId="164" fontId="3" fillId="0" borderId="9" xfId="0" applyNumberFormat="1" applyFont="1" applyBorder="1" applyAlignment="1">
      <alignment horizontal="center" vertical="center" wrapText="1"/>
    </xf>
    <xf numFmtId="164" fontId="9" fillId="2" borderId="15" xfId="1" quotePrefix="1" applyNumberFormat="1" applyFont="1" applyFill="1" applyBorder="1" applyAlignment="1">
      <alignment horizontal="center" vertical="center" wrapText="1"/>
    </xf>
    <xf numFmtId="14" fontId="9" fillId="4" borderId="3" xfId="2" applyNumberFormat="1" applyFont="1" applyFill="1" applyBorder="1" applyAlignment="1">
      <alignment horizontal="center" vertical="center" wrapText="1"/>
    </xf>
    <xf numFmtId="14" fontId="9" fillId="2" borderId="21" xfId="2" applyNumberFormat="1" applyFont="1" applyFill="1" applyBorder="1" applyAlignment="1">
      <alignment horizontal="center" vertical="center" wrapText="1"/>
    </xf>
    <xf numFmtId="16" fontId="8" fillId="22" borderId="9" xfId="0" applyNumberFormat="1" applyFont="1" applyFill="1" applyBorder="1" applyAlignment="1">
      <alignment horizontal="left" vertical="center"/>
    </xf>
    <xf numFmtId="0" fontId="8" fillId="22" borderId="9" xfId="0" applyFont="1" applyFill="1" applyBorder="1" applyAlignment="1">
      <alignment horizontal="left" vertical="center"/>
    </xf>
    <xf numFmtId="164" fontId="14" fillId="23" borderId="4" xfId="0" applyNumberFormat="1" applyFont="1" applyFill="1" applyBorder="1" applyAlignment="1">
      <alignment horizontal="center" vertical="center" wrapText="1"/>
    </xf>
    <xf numFmtId="14" fontId="9" fillId="0" borderId="4" xfId="2" applyNumberFormat="1" applyFont="1" applyBorder="1" applyAlignment="1">
      <alignment horizontal="center" vertical="center" wrapText="1"/>
    </xf>
    <xf numFmtId="14" fontId="9" fillId="0" borderId="5" xfId="2" applyNumberFormat="1" applyFont="1" applyBorder="1" applyAlignment="1">
      <alignment horizontal="center" vertical="center" wrapText="1"/>
    </xf>
    <xf numFmtId="14" fontId="9" fillId="2" borderId="6" xfId="2" applyNumberFormat="1" applyFont="1" applyFill="1" applyBorder="1" applyAlignment="1">
      <alignment horizontal="center" vertical="center" wrapText="1"/>
    </xf>
    <xf numFmtId="164" fontId="3" fillId="25" borderId="4" xfId="0" applyNumberFormat="1" applyFont="1" applyFill="1" applyBorder="1" applyAlignment="1">
      <alignment horizontal="center" vertical="center" wrapText="1"/>
    </xf>
    <xf numFmtId="0" fontId="40" fillId="0" borderId="9" xfId="0" applyFont="1" applyBorder="1" applyAlignment="1">
      <alignment horizontal="center" vertical="center" wrapText="1"/>
    </xf>
    <xf numFmtId="14" fontId="9" fillId="26" borderId="4" xfId="2" applyNumberFormat="1" applyFont="1" applyFill="1" applyBorder="1" applyAlignment="1">
      <alignment horizontal="center" vertical="center" wrapText="1"/>
    </xf>
    <xf numFmtId="0" fontId="49" fillId="0" borderId="9" xfId="0" applyFont="1" applyBorder="1" applyAlignment="1">
      <alignment horizontal="center" vertical="center" wrapText="1"/>
    </xf>
    <xf numFmtId="14" fontId="22" fillId="27" borderId="5" xfId="2" applyNumberFormat="1" applyFont="1" applyFill="1" applyBorder="1" applyAlignment="1">
      <alignment horizontal="center" vertical="center" wrapText="1"/>
    </xf>
    <xf numFmtId="164" fontId="3" fillId="0" borderId="9" xfId="0" quotePrefix="1" applyNumberFormat="1" applyFont="1" applyBorder="1" applyAlignment="1">
      <alignment horizontal="center" vertical="center" wrapText="1"/>
    </xf>
    <xf numFmtId="0" fontId="34" fillId="2" borderId="17" xfId="3" applyFill="1" applyBorder="1" applyAlignment="1">
      <alignment horizontal="left" vertical="center" wrapText="1"/>
    </xf>
    <xf numFmtId="166" fontId="8" fillId="2" borderId="0" xfId="0" applyNumberFormat="1" applyFont="1" applyFill="1" applyAlignment="1">
      <alignment horizontal="center" vertical="center"/>
    </xf>
    <xf numFmtId="166" fontId="8" fillId="2" borderId="9" xfId="0" applyNumberFormat="1" applyFont="1" applyFill="1" applyBorder="1" applyAlignment="1">
      <alignment horizontal="center" vertical="center"/>
    </xf>
    <xf numFmtId="166" fontId="51" fillId="2" borderId="9" xfId="0" applyNumberFormat="1" applyFont="1" applyFill="1" applyBorder="1" applyAlignment="1">
      <alignment horizontal="center" vertical="center"/>
    </xf>
    <xf numFmtId="0" fontId="46" fillId="0" borderId="9" xfId="3" applyFont="1" applyBorder="1" applyAlignment="1">
      <alignment horizontal="center" vertical="center" wrapText="1"/>
    </xf>
    <xf numFmtId="0" fontId="48" fillId="18" borderId="9" xfId="0" applyFont="1" applyFill="1" applyBorder="1" applyAlignment="1">
      <alignment horizontal="center" vertical="center" wrapText="1"/>
    </xf>
    <xf numFmtId="166" fontId="11" fillId="0" borderId="9" xfId="0" applyNumberFormat="1" applyFont="1" applyBorder="1" applyAlignment="1">
      <alignment horizontal="center" vertical="center"/>
    </xf>
    <xf numFmtId="0" fontId="8" fillId="2" borderId="17"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35" fillId="2" borderId="17" xfId="3" applyFont="1" applyFill="1" applyBorder="1" applyAlignment="1">
      <alignment horizontal="left" vertical="center" wrapText="1"/>
    </xf>
    <xf numFmtId="0" fontId="34" fillId="2" borderId="17" xfId="3" applyFill="1" applyBorder="1" applyAlignment="1">
      <alignment horizontal="left" wrapText="1"/>
    </xf>
    <xf numFmtId="0" fontId="34" fillId="2" borderId="21" xfId="3" applyFill="1" applyBorder="1" applyAlignment="1">
      <alignment horizontal="left" wrapText="1"/>
    </xf>
    <xf numFmtId="0" fontId="34" fillId="0" borderId="21" xfId="3" applyBorder="1" applyAlignment="1">
      <alignment wrapText="1"/>
    </xf>
    <xf numFmtId="0" fontId="34" fillId="0" borderId="17" xfId="3" applyBorder="1" applyAlignment="1">
      <alignment wrapText="1"/>
    </xf>
    <xf numFmtId="0" fontId="34" fillId="2" borderId="22" xfId="3" applyFill="1" applyBorder="1" applyAlignment="1">
      <alignment horizontal="left" wrapText="1"/>
    </xf>
    <xf numFmtId="0" fontId="11" fillId="24" borderId="17" xfId="0" applyFont="1" applyFill="1" applyBorder="1" applyAlignment="1">
      <alignment horizontal="left" vertical="center" wrapText="1"/>
    </xf>
    <xf numFmtId="14" fontId="34" fillId="2" borderId="5" xfId="3" applyNumberFormat="1" applyFill="1" applyBorder="1" applyAlignment="1">
      <alignment horizontal="center" vertical="center" wrapText="1"/>
    </xf>
    <xf numFmtId="14" fontId="34" fillId="2" borderId="10" xfId="3" applyNumberFormat="1" applyFill="1" applyBorder="1" applyAlignment="1">
      <alignment horizontal="center" vertical="center" wrapText="1"/>
    </xf>
    <xf numFmtId="10" fontId="4" fillId="8" borderId="2" xfId="1" applyNumberFormat="1" applyFont="1" applyFill="1" applyBorder="1" applyAlignment="1">
      <alignment horizontal="center" vertical="center" wrapText="1"/>
    </xf>
    <xf numFmtId="14" fontId="9" fillId="6" borderId="10" xfId="2" applyNumberFormat="1" applyFont="1" applyFill="1" applyBorder="1" applyAlignment="1">
      <alignment horizontal="center" vertical="center" wrapText="1"/>
    </xf>
    <xf numFmtId="0" fontId="7" fillId="0" borderId="9" xfId="0" applyFont="1" applyBorder="1" applyAlignment="1">
      <alignment horizontal="center" vertical="center" wrapText="1"/>
    </xf>
    <xf numFmtId="0" fontId="4" fillId="21" borderId="14" xfId="1" applyFont="1" applyFill="1" applyBorder="1" applyAlignment="1">
      <alignment horizontal="center" vertical="center" wrapText="1"/>
    </xf>
    <xf numFmtId="164" fontId="14" fillId="13" borderId="9" xfId="0" quotePrefix="1" applyNumberFormat="1" applyFont="1" applyFill="1" applyBorder="1" applyAlignment="1">
      <alignment horizontal="center" vertical="center" wrapText="1"/>
    </xf>
    <xf numFmtId="164" fontId="14" fillId="13" borderId="9" xfId="0" applyNumberFormat="1" applyFont="1" applyFill="1" applyBorder="1" applyAlignment="1">
      <alignment horizontal="center" vertical="center" wrapText="1"/>
    </xf>
    <xf numFmtId="0" fontId="13" fillId="13" borderId="9" xfId="0" applyFont="1" applyFill="1" applyBorder="1" applyAlignment="1">
      <alignment horizontal="center" vertical="center" wrapText="1"/>
    </xf>
    <xf numFmtId="0" fontId="4" fillId="21" borderId="9" xfId="1" applyFont="1" applyFill="1" applyBorder="1" applyAlignment="1">
      <alignment horizontal="center" vertical="center" wrapText="1"/>
    </xf>
    <xf numFmtId="14" fontId="9" fillId="2" borderId="19" xfId="2" applyNumberFormat="1" applyFont="1" applyFill="1" applyBorder="1" applyAlignment="1">
      <alignment horizontal="center" vertical="center" wrapText="1"/>
    </xf>
    <xf numFmtId="164" fontId="3" fillId="2" borderId="9" xfId="0" quotePrefix="1" applyNumberFormat="1" applyFont="1" applyFill="1" applyBorder="1" applyAlignment="1">
      <alignment horizontal="center" vertical="center" wrapText="1"/>
    </xf>
    <xf numFmtId="0" fontId="3" fillId="2" borderId="17" xfId="0" applyFont="1" applyFill="1" applyBorder="1" applyAlignment="1">
      <alignment horizontal="center" vertical="center" wrapText="1"/>
    </xf>
    <xf numFmtId="14" fontId="9" fillId="6" borderId="3" xfId="2" applyNumberFormat="1" applyFont="1" applyFill="1" applyBorder="1" applyAlignment="1">
      <alignment horizontal="center" vertical="center" wrapText="1"/>
    </xf>
    <xf numFmtId="0" fontId="15" fillId="23" borderId="17" xfId="0" applyFont="1" applyFill="1" applyBorder="1" applyAlignment="1">
      <alignment horizontal="left" vertical="center" wrapText="1"/>
    </xf>
    <xf numFmtId="164" fontId="15" fillId="23" borderId="4" xfId="0" applyNumberFormat="1" applyFont="1" applyFill="1" applyBorder="1" applyAlignment="1">
      <alignment horizontal="center" vertical="center" wrapText="1"/>
    </xf>
    <xf numFmtId="0" fontId="15" fillId="23" borderId="4" xfId="0" applyFont="1" applyFill="1" applyBorder="1" applyAlignment="1">
      <alignment horizontal="center" vertical="center" wrapText="1"/>
    </xf>
    <xf numFmtId="0" fontId="15" fillId="23" borderId="5" xfId="0" applyFont="1" applyFill="1" applyBorder="1" applyAlignment="1">
      <alignment horizontal="center" vertical="center" wrapText="1"/>
    </xf>
    <xf numFmtId="164" fontId="5" fillId="24" borderId="4" xfId="0" applyNumberFormat="1" applyFont="1" applyFill="1" applyBorder="1" applyAlignment="1">
      <alignment horizontal="center" vertical="center" wrapText="1"/>
    </xf>
    <xf numFmtId="0" fontId="8" fillId="24" borderId="5" xfId="0" applyFont="1" applyFill="1" applyBorder="1" applyAlignment="1">
      <alignment horizontal="center" vertical="center" wrapText="1"/>
    </xf>
    <xf numFmtId="14" fontId="9" fillId="16" borderId="9" xfId="2" applyNumberFormat="1" applyFont="1" applyFill="1" applyBorder="1" applyAlignment="1">
      <alignment horizontal="center" vertical="center" wrapText="1"/>
    </xf>
    <xf numFmtId="14" fontId="9" fillId="16" borderId="24" xfId="2" applyNumberFormat="1" applyFont="1" applyFill="1" applyBorder="1" applyAlignment="1">
      <alignment horizontal="center" vertical="center" wrapText="1"/>
    </xf>
    <xf numFmtId="14" fontId="9" fillId="16" borderId="12" xfId="2" applyNumberFormat="1" applyFont="1" applyFill="1" applyBorder="1" applyAlignment="1">
      <alignment horizontal="center" vertical="center" wrapText="1"/>
    </xf>
    <xf numFmtId="14" fontId="9" fillId="16" borderId="17" xfId="2" applyNumberFormat="1" applyFont="1" applyFill="1" applyBorder="1" applyAlignment="1">
      <alignment horizontal="center" vertical="center" wrapText="1"/>
    </xf>
    <xf numFmtId="164" fontId="7" fillId="2" borderId="9" xfId="1" quotePrefix="1" applyNumberFormat="1" applyFont="1" applyFill="1" applyBorder="1" applyAlignment="1">
      <alignment horizontal="center" vertical="center" wrapText="1"/>
    </xf>
    <xf numFmtId="164" fontId="7" fillId="4" borderId="3" xfId="1" quotePrefix="1" applyNumberFormat="1" applyFont="1" applyFill="1" applyBorder="1" applyAlignment="1">
      <alignment horizontal="center" vertical="center" wrapText="1"/>
    </xf>
    <xf numFmtId="164" fontId="27" fillId="0" borderId="9" xfId="0" applyNumberFormat="1" applyFont="1" applyBorder="1" applyAlignment="1">
      <alignment horizontal="center" vertical="center" wrapText="1"/>
    </xf>
    <xf numFmtId="14" fontId="9" fillId="16" borderId="25" xfId="2" applyNumberFormat="1" applyFont="1" applyFill="1" applyBorder="1" applyAlignment="1">
      <alignment horizontal="center" vertical="center" wrapText="1"/>
    </xf>
    <xf numFmtId="164" fontId="9" fillId="2" borderId="17" xfId="1" quotePrefix="1" applyNumberFormat="1" applyFont="1" applyFill="1" applyBorder="1" applyAlignment="1">
      <alignment horizontal="center" vertical="center" wrapText="1"/>
    </xf>
    <xf numFmtId="164" fontId="14" fillId="13" borderId="20" xfId="0" applyNumberFormat="1" applyFont="1" applyFill="1" applyBorder="1" applyAlignment="1">
      <alignment horizontal="center" vertical="center" wrapText="1"/>
    </xf>
    <xf numFmtId="164" fontId="4" fillId="23" borderId="9" xfId="1" quotePrefix="1" applyNumberFormat="1" applyFont="1" applyFill="1" applyBorder="1" applyAlignment="1">
      <alignment horizontal="center" vertical="center" wrapText="1"/>
    </xf>
    <xf numFmtId="14" fontId="4" fillId="23" borderId="10" xfId="2" applyNumberFormat="1" applyFont="1" applyFill="1" applyBorder="1" applyAlignment="1">
      <alignment horizontal="center" vertical="center" wrapText="1"/>
    </xf>
    <xf numFmtId="164" fontId="53" fillId="13" borderId="20" xfId="1" quotePrefix="1" applyNumberFormat="1" applyFont="1" applyFill="1" applyBorder="1" applyAlignment="1">
      <alignment horizontal="center" vertical="center" wrapText="1"/>
    </xf>
    <xf numFmtId="14" fontId="53" fillId="13" borderId="2" xfId="2" applyNumberFormat="1" applyFont="1" applyFill="1" applyBorder="1" applyAlignment="1">
      <alignment horizontal="center" vertical="center" wrapText="1"/>
    </xf>
    <xf numFmtId="14" fontId="53" fillId="13" borderId="14" xfId="2" applyNumberFormat="1" applyFont="1" applyFill="1" applyBorder="1" applyAlignment="1">
      <alignment horizontal="center" vertical="center" wrapText="1"/>
    </xf>
    <xf numFmtId="0" fontId="54" fillId="13" borderId="0" xfId="2" applyFont="1" applyFill="1" applyAlignment="1">
      <alignment vertical="center" wrapText="1"/>
    </xf>
    <xf numFmtId="164" fontId="53" fillId="13" borderId="17" xfId="1" quotePrefix="1" applyNumberFormat="1" applyFont="1" applyFill="1" applyBorder="1" applyAlignment="1">
      <alignment horizontal="center" vertical="center" wrapText="1"/>
    </xf>
    <xf numFmtId="14" fontId="53" fillId="13" borderId="9" xfId="2" applyNumberFormat="1" applyFont="1" applyFill="1" applyBorder="1" applyAlignment="1">
      <alignment horizontal="center" vertical="center" wrapText="1"/>
    </xf>
    <xf numFmtId="14" fontId="4" fillId="23" borderId="20" xfId="2" applyNumberFormat="1" applyFont="1" applyFill="1" applyBorder="1" applyAlignment="1">
      <alignment horizontal="center" vertical="center" wrapText="1"/>
    </xf>
    <xf numFmtId="14" fontId="53" fillId="13" borderId="23" xfId="2" applyNumberFormat="1" applyFont="1" applyFill="1" applyBorder="1" applyAlignment="1">
      <alignment horizontal="center" vertical="center" wrapText="1"/>
    </xf>
    <xf numFmtId="14" fontId="9" fillId="4" borderId="16" xfId="2" applyNumberFormat="1" applyFont="1" applyFill="1" applyBorder="1" applyAlignment="1">
      <alignment horizontal="center" vertical="center" wrapText="1"/>
    </xf>
    <xf numFmtId="0" fontId="8" fillId="22" borderId="9" xfId="0" applyFont="1" applyFill="1" applyBorder="1" applyAlignment="1">
      <alignment horizontal="center" vertical="center"/>
    </xf>
    <xf numFmtId="14" fontId="4" fillId="23" borderId="16" xfId="2" applyNumberFormat="1" applyFont="1" applyFill="1" applyBorder="1" applyAlignment="1">
      <alignment horizontal="center" vertical="center" wrapText="1"/>
    </xf>
    <xf numFmtId="164" fontId="3" fillId="16" borderId="9" xfId="0" applyNumberFormat="1" applyFont="1" applyFill="1" applyBorder="1" applyAlignment="1">
      <alignment horizontal="center" vertical="center" wrapText="1"/>
    </xf>
    <xf numFmtId="164" fontId="14" fillId="8" borderId="18" xfId="0" applyNumberFormat="1" applyFont="1" applyFill="1" applyBorder="1" applyAlignment="1">
      <alignment horizontal="center" vertical="center" wrapText="1"/>
    </xf>
    <xf numFmtId="164" fontId="3" fillId="12" borderId="6" xfId="0" applyNumberFormat="1" applyFont="1" applyFill="1" applyBorder="1" applyAlignment="1">
      <alignment horizontal="center" vertical="center" wrapText="1"/>
    </xf>
    <xf numFmtId="164" fontId="10" fillId="12" borderId="6" xfId="0" applyNumberFormat="1" applyFont="1" applyFill="1" applyBorder="1" applyAlignment="1">
      <alignment horizontal="center" vertical="center" wrapText="1"/>
    </xf>
    <xf numFmtId="164" fontId="32" fillId="0" borderId="9" xfId="0" applyNumberFormat="1" applyFont="1" applyBorder="1" applyAlignment="1">
      <alignment horizontal="center" vertical="center" wrapText="1"/>
    </xf>
    <xf numFmtId="0" fontId="32" fillId="0" borderId="9" xfId="0" applyFont="1" applyBorder="1" applyAlignment="1">
      <alignment horizontal="center" vertical="center" wrapText="1"/>
    </xf>
    <xf numFmtId="0" fontId="24" fillId="2" borderId="5"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13" fillId="13" borderId="8" xfId="0" applyFont="1" applyFill="1" applyBorder="1" applyAlignment="1">
      <alignment horizontal="center" vertical="center" wrapText="1"/>
    </xf>
    <xf numFmtId="164" fontId="27" fillId="0" borderId="17" xfId="0" applyNumberFormat="1" applyFont="1" applyBorder="1" applyAlignment="1">
      <alignment horizontal="center" vertical="center" wrapText="1"/>
    </xf>
    <xf numFmtId="14" fontId="4" fillId="23" borderId="9" xfId="2" applyNumberFormat="1" applyFont="1" applyFill="1" applyBorder="1" applyAlignment="1">
      <alignment horizontal="center" vertical="center" wrapText="1"/>
    </xf>
    <xf numFmtId="0" fontId="4" fillId="21" borderId="2" xfId="1" applyNumberFormat="1" applyFont="1" applyFill="1" applyBorder="1" applyAlignment="1">
      <alignment horizontal="center" vertical="center" wrapText="1"/>
    </xf>
    <xf numFmtId="0" fontId="4" fillId="23" borderId="10" xfId="2" applyFont="1" applyFill="1" applyBorder="1" applyAlignment="1">
      <alignment horizontal="center" vertical="center" wrapText="1"/>
    </xf>
    <xf numFmtId="0" fontId="9" fillId="2" borderId="17" xfId="2" applyFont="1" applyFill="1" applyBorder="1" applyAlignment="1">
      <alignment horizontal="center" vertical="center" wrapText="1"/>
    </xf>
    <xf numFmtId="0" fontId="9" fillId="4" borderId="5" xfId="2" applyFont="1" applyFill="1" applyBorder="1" applyAlignment="1">
      <alignment horizontal="center" vertical="center" wrapText="1"/>
    </xf>
    <xf numFmtId="0" fontId="9" fillId="2" borderId="10" xfId="2" applyFont="1" applyFill="1" applyBorder="1" applyAlignment="1">
      <alignment horizontal="center" vertical="center" wrapText="1"/>
    </xf>
    <xf numFmtId="0" fontId="43" fillId="2" borderId="9" xfId="0" applyFont="1" applyFill="1" applyBorder="1" applyAlignment="1">
      <alignment horizontal="center" vertical="center" wrapText="1"/>
    </xf>
    <xf numFmtId="0" fontId="43" fillId="2" borderId="9" xfId="0" applyFont="1" applyFill="1" applyBorder="1" applyAlignment="1">
      <alignment horizontal="center" vertical="center"/>
    </xf>
    <xf numFmtId="166" fontId="43" fillId="2" borderId="9" xfId="0" applyNumberFormat="1" applyFont="1" applyFill="1" applyBorder="1" applyAlignment="1">
      <alignment horizontal="center" vertical="center"/>
    </xf>
    <xf numFmtId="0" fontId="42" fillId="2" borderId="0" xfId="0" applyFont="1" applyFill="1" applyAlignment="1">
      <alignment horizontal="left"/>
    </xf>
    <xf numFmtId="0" fontId="43" fillId="0" borderId="9" xfId="0" applyFont="1" applyBorder="1" applyAlignment="1">
      <alignment horizontal="center" vertical="center" wrapText="1"/>
    </xf>
    <xf numFmtId="0" fontId="43" fillId="0" borderId="9" xfId="0" applyFont="1" applyBorder="1" applyAlignment="1">
      <alignment horizontal="center" vertical="center"/>
    </xf>
    <xf numFmtId="166" fontId="43" fillId="0" borderId="9" xfId="0" applyNumberFormat="1" applyFont="1" applyBorder="1" applyAlignment="1">
      <alignment horizontal="center" vertical="center"/>
    </xf>
    <xf numFmtId="0" fontId="43" fillId="0" borderId="0" xfId="0" applyFont="1" applyAlignment="1">
      <alignment horizontal="left" vertical="center"/>
    </xf>
    <xf numFmtId="164" fontId="54" fillId="23" borderId="4" xfId="0" applyNumberFormat="1" applyFont="1" applyFill="1" applyBorder="1" applyAlignment="1">
      <alignment horizontal="center" vertical="center" wrapText="1"/>
    </xf>
    <xf numFmtId="0" fontId="12" fillId="2" borderId="0" xfId="0" applyFont="1" applyFill="1" applyAlignment="1">
      <alignment horizontal="left" wrapText="1"/>
    </xf>
    <xf numFmtId="0" fontId="0" fillId="2" borderId="0" xfId="0" applyFill="1" applyAlignment="1">
      <alignment horizontal="center"/>
    </xf>
    <xf numFmtId="0" fontId="8" fillId="2" borderId="17"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2" xfId="0" applyFont="1" applyFill="1" applyBorder="1" applyAlignment="1">
      <alignment horizontal="center" vertical="center"/>
    </xf>
    <xf numFmtId="0" fontId="8" fillId="2" borderId="21" xfId="0" applyFont="1" applyFill="1" applyBorder="1" applyAlignment="1">
      <alignment horizontal="center" vertical="center"/>
    </xf>
    <xf numFmtId="0" fontId="3" fillId="2" borderId="9" xfId="2" applyFont="1" applyFill="1" applyBorder="1" applyAlignment="1">
      <alignment horizontal="center" vertical="center" wrapText="1"/>
    </xf>
    <xf numFmtId="0" fontId="7" fillId="2" borderId="17" xfId="2" applyFont="1" applyFill="1" applyBorder="1" applyAlignment="1">
      <alignment horizontal="center" vertical="center" wrapText="1"/>
    </xf>
    <xf numFmtId="0" fontId="7" fillId="2" borderId="13" xfId="2" applyFont="1" applyFill="1" applyBorder="1" applyAlignment="1">
      <alignment horizontal="center" vertical="center" wrapText="1"/>
    </xf>
    <xf numFmtId="0" fontId="3" fillId="2" borderId="13" xfId="2" applyFont="1" applyFill="1" applyBorder="1" applyAlignment="1">
      <alignment horizontal="center" vertical="center" wrapText="1"/>
    </xf>
    <xf numFmtId="0" fontId="5" fillId="2" borderId="9" xfId="2" applyFont="1" applyFill="1" applyBorder="1" applyAlignment="1">
      <alignment horizontal="center" vertical="center" wrapText="1"/>
    </xf>
    <xf numFmtId="0" fontId="0" fillId="0" borderId="0" xfId="0" applyAlignment="1">
      <alignment horizontal="center"/>
    </xf>
    <xf numFmtId="0" fontId="8" fillId="2" borderId="23" xfId="2" applyFont="1" applyFill="1" applyBorder="1" applyAlignment="1">
      <alignment horizontal="center" vertical="center" wrapText="1"/>
    </xf>
    <xf numFmtId="0" fontId="5" fillId="2" borderId="13" xfId="2" applyFont="1" applyFill="1" applyBorder="1" applyAlignment="1">
      <alignment horizontal="center" vertical="center" wrapText="1"/>
    </xf>
    <xf numFmtId="14" fontId="56" fillId="6" borderId="10" xfId="2" applyNumberFormat="1" applyFont="1" applyFill="1" applyBorder="1" applyAlignment="1">
      <alignment horizontal="center" vertical="center" wrapText="1"/>
    </xf>
    <xf numFmtId="0" fontId="5" fillId="2" borderId="0" xfId="2" applyFont="1" applyFill="1" applyAlignment="1">
      <alignment horizontal="center" vertical="center" wrapText="1"/>
    </xf>
    <xf numFmtId="0" fontId="8" fillId="2" borderId="0" xfId="2" applyFont="1" applyFill="1" applyAlignment="1">
      <alignment horizontal="center" vertical="center" wrapText="1"/>
    </xf>
    <xf numFmtId="0" fontId="8" fillId="2" borderId="9" xfId="2" applyFont="1" applyFill="1" applyBorder="1" applyAlignment="1">
      <alignment horizontal="center" vertical="center" wrapText="1"/>
    </xf>
    <xf numFmtId="0" fontId="8" fillId="2" borderId="11" xfId="2" applyFont="1" applyFill="1" applyBorder="1" applyAlignment="1">
      <alignment horizontal="center" vertical="center" wrapText="1"/>
    </xf>
    <xf numFmtId="0" fontId="51" fillId="2" borderId="9" xfId="2" applyFont="1" applyFill="1" applyBorder="1" applyAlignment="1">
      <alignment horizontal="center" vertical="center" wrapText="1"/>
    </xf>
    <xf numFmtId="0" fontId="58" fillId="2" borderId="9" xfId="2" applyFont="1" applyFill="1" applyBorder="1" applyAlignment="1">
      <alignment horizontal="center" vertical="center" wrapText="1"/>
    </xf>
    <xf numFmtId="0" fontId="41" fillId="2" borderId="9" xfId="2" applyFont="1" applyFill="1" applyBorder="1" applyAlignment="1">
      <alignment horizontal="center" vertical="center" wrapText="1"/>
    </xf>
    <xf numFmtId="0" fontId="59" fillId="2" borderId="9" xfId="2" applyFont="1" applyFill="1" applyBorder="1" applyAlignment="1">
      <alignment horizontal="center" vertical="center" wrapText="1"/>
    </xf>
    <xf numFmtId="0" fontId="8" fillId="2" borderId="12"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8" fillId="2" borderId="13" xfId="2" applyFont="1" applyFill="1" applyBorder="1" applyAlignment="1">
      <alignment horizontal="center" vertical="center" wrapText="1"/>
    </xf>
    <xf numFmtId="0" fontId="60" fillId="13" borderId="11" xfId="2" applyFont="1" applyFill="1" applyBorder="1" applyAlignment="1">
      <alignment horizontal="center" vertical="center" wrapText="1"/>
    </xf>
    <xf numFmtId="0" fontId="60" fillId="13" borderId="9" xfId="2" applyFont="1" applyFill="1" applyBorder="1" applyAlignment="1">
      <alignment horizontal="center" vertical="center" wrapText="1"/>
    </xf>
    <xf numFmtId="0" fontId="5" fillId="0" borderId="9" xfId="0" applyFont="1" applyBorder="1" applyAlignment="1">
      <alignment horizontal="center" vertical="center" wrapText="1"/>
    </xf>
    <xf numFmtId="0" fontId="7" fillId="2"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3" fillId="15" borderId="9" xfId="0" applyFont="1" applyFill="1" applyBorder="1" applyAlignment="1">
      <alignment horizontal="center" vertical="center" wrapText="1"/>
    </xf>
    <xf numFmtId="0" fontId="3" fillId="10"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6" fillId="0" borderId="9" xfId="0" applyFont="1" applyBorder="1" applyAlignment="1">
      <alignment horizontal="center" vertical="center" wrapText="1"/>
    </xf>
    <xf numFmtId="0" fontId="10" fillId="3" borderId="9" xfId="0" applyFont="1" applyFill="1" applyBorder="1" applyAlignment="1">
      <alignment horizontal="center" vertical="center" wrapText="1"/>
    </xf>
    <xf numFmtId="0" fontId="10" fillId="0" borderId="9" xfId="0" applyFont="1" applyBorder="1" applyAlignment="1">
      <alignment horizontal="center" vertical="center" wrapText="1"/>
    </xf>
    <xf numFmtId="0" fontId="29" fillId="0" borderId="9" xfId="0" applyFont="1" applyBorder="1" applyAlignment="1">
      <alignment horizontal="center" vertical="center" wrapText="1"/>
    </xf>
    <xf numFmtId="0" fontId="3" fillId="14" borderId="9" xfId="0" applyFont="1" applyFill="1" applyBorder="1" applyAlignment="1">
      <alignment horizontal="center" vertical="center" wrapText="1"/>
    </xf>
    <xf numFmtId="0" fontId="29" fillId="16" borderId="9"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52" fillId="2" borderId="9" xfId="0" applyFont="1" applyFill="1" applyBorder="1" applyAlignment="1">
      <alignment horizontal="center" vertical="center" wrapText="1"/>
    </xf>
    <xf numFmtId="14" fontId="34" fillId="2" borderId="9" xfId="3" applyNumberFormat="1" applyFill="1" applyBorder="1" applyAlignment="1">
      <alignment horizontal="center" vertical="center" wrapText="1"/>
    </xf>
    <xf numFmtId="14" fontId="9" fillId="4" borderId="9" xfId="2" applyNumberFormat="1" applyFont="1" applyFill="1" applyBorder="1" applyAlignment="1">
      <alignment horizontal="center" vertical="center" wrapText="1"/>
    </xf>
    <xf numFmtId="14" fontId="9" fillId="4" borderId="13" xfId="2" applyNumberFormat="1" applyFont="1" applyFill="1" applyBorder="1" applyAlignment="1">
      <alignment horizontal="center" vertical="center" wrapText="1"/>
    </xf>
    <xf numFmtId="164" fontId="20" fillId="0" borderId="9" xfId="0" quotePrefix="1" applyNumberFormat="1" applyFont="1" applyBorder="1" applyAlignment="1">
      <alignment horizontal="center" vertical="center" wrapText="1"/>
    </xf>
    <xf numFmtId="0" fontId="20" fillId="0" borderId="9" xfId="0" applyFont="1" applyBorder="1" applyAlignment="1">
      <alignment horizontal="center" vertical="center" wrapText="1"/>
    </xf>
    <xf numFmtId="164" fontId="3" fillId="15" borderId="9" xfId="0" quotePrefix="1" applyNumberFormat="1" applyFont="1" applyFill="1" applyBorder="1" applyAlignment="1">
      <alignment horizontal="center" vertical="center" wrapText="1"/>
    </xf>
    <xf numFmtId="164" fontId="3" fillId="10" borderId="9" xfId="0" applyNumberFormat="1" applyFont="1" applyFill="1" applyBorder="1" applyAlignment="1">
      <alignment horizontal="center" vertical="center" wrapText="1"/>
    </xf>
    <xf numFmtId="164" fontId="3" fillId="4" borderId="9" xfId="0" applyNumberFormat="1" applyFont="1" applyFill="1" applyBorder="1" applyAlignment="1">
      <alignment horizontal="center" vertical="center" wrapText="1"/>
    </xf>
    <xf numFmtId="164" fontId="10" fillId="3" borderId="9" xfId="0" quotePrefix="1" applyNumberFormat="1" applyFont="1" applyFill="1" applyBorder="1" applyAlignment="1">
      <alignment horizontal="center" vertical="center" wrapText="1"/>
    </xf>
    <xf numFmtId="164" fontId="10" fillId="0" borderId="9" xfId="0" quotePrefix="1" applyNumberFormat="1" applyFont="1" applyBorder="1" applyAlignment="1">
      <alignment horizontal="center" vertical="center" wrapText="1"/>
    </xf>
    <xf numFmtId="164" fontId="3" fillId="14" borderId="9" xfId="0" applyNumberFormat="1" applyFont="1" applyFill="1" applyBorder="1" applyAlignment="1">
      <alignment horizontal="center" vertical="center" wrapText="1"/>
    </xf>
    <xf numFmtId="10" fontId="3" fillId="14" borderId="9" xfId="0" applyNumberFormat="1" applyFont="1" applyFill="1" applyBorder="1" applyAlignment="1">
      <alignment horizontal="center" vertical="center" wrapText="1"/>
    </xf>
    <xf numFmtId="164" fontId="3" fillId="16" borderId="9" xfId="0" quotePrefix="1" applyNumberFormat="1" applyFont="1" applyFill="1" applyBorder="1" applyAlignment="1">
      <alignment horizontal="center" vertical="center" wrapText="1"/>
    </xf>
    <xf numFmtId="164" fontId="32" fillId="2" borderId="9" xfId="0" quotePrefix="1" applyNumberFormat="1" applyFont="1" applyFill="1" applyBorder="1" applyAlignment="1">
      <alignment horizontal="center" vertical="center" wrapText="1"/>
    </xf>
    <xf numFmtId="164" fontId="42" fillId="16" borderId="9" xfId="0" quotePrefix="1" applyNumberFormat="1" applyFont="1" applyFill="1" applyBorder="1" applyAlignment="1">
      <alignment horizontal="center" vertical="center" wrapText="1"/>
    </xf>
    <xf numFmtId="164" fontId="7" fillId="2" borderId="9" xfId="0" quotePrefix="1" applyNumberFormat="1" applyFont="1" applyFill="1" applyBorder="1" applyAlignment="1">
      <alignment horizontal="center" vertical="center" wrapText="1"/>
    </xf>
    <xf numFmtId="164" fontId="9" fillId="4" borderId="9" xfId="1" quotePrefix="1" applyNumberFormat="1" applyFont="1" applyFill="1" applyBorder="1" applyAlignment="1">
      <alignment horizontal="center" vertical="center" wrapText="1"/>
    </xf>
    <xf numFmtId="164" fontId="4" fillId="8" borderId="2" xfId="1" applyNumberFormat="1" applyFont="1" applyFill="1" applyBorder="1" applyAlignment="1">
      <alignment horizontal="center" vertical="center" wrapText="1"/>
    </xf>
    <xf numFmtId="0" fontId="16" fillId="18" borderId="0" xfId="0" applyFont="1" applyFill="1" applyAlignment="1">
      <alignment horizontal="center" vertical="center" wrapText="1"/>
    </xf>
    <xf numFmtId="164" fontId="14" fillId="23" borderId="0" xfId="0" applyNumberFormat="1" applyFont="1" applyFill="1" applyAlignment="1">
      <alignment horizontal="center" vertical="center" wrapText="1"/>
    </xf>
    <xf numFmtId="14" fontId="9" fillId="4" borderId="8" xfId="2" applyNumberFormat="1" applyFont="1" applyFill="1" applyBorder="1" applyAlignment="1">
      <alignment horizontal="center" vertical="center" wrapText="1"/>
    </xf>
    <xf numFmtId="164" fontId="16" fillId="2" borderId="8" xfId="2" applyNumberFormat="1" applyFont="1" applyFill="1" applyBorder="1" applyAlignment="1">
      <alignment horizontal="left" vertical="center" wrapText="1"/>
    </xf>
    <xf numFmtId="14" fontId="9" fillId="5" borderId="6" xfId="2" applyNumberFormat="1" applyFont="1" applyFill="1" applyBorder="1" applyAlignment="1">
      <alignment horizontal="center" vertical="center" wrapText="1"/>
    </xf>
    <xf numFmtId="14" fontId="9" fillId="5" borderId="7" xfId="2" applyNumberFormat="1" applyFont="1" applyFill="1" applyBorder="1" applyAlignment="1">
      <alignment horizontal="center" vertical="center" wrapText="1"/>
    </xf>
    <xf numFmtId="14" fontId="9" fillId="6" borderId="8" xfId="2" applyNumberFormat="1" applyFont="1" applyFill="1" applyBorder="1" applyAlignment="1">
      <alignment horizontal="center" vertical="center" wrapText="1"/>
    </xf>
    <xf numFmtId="14" fontId="9" fillId="6" borderId="16" xfId="2" applyNumberFormat="1" applyFont="1" applyFill="1" applyBorder="1" applyAlignment="1">
      <alignment horizontal="center" vertical="center" wrapText="1"/>
    </xf>
    <xf numFmtId="14" fontId="9" fillId="17" borderId="8" xfId="2" applyNumberFormat="1" applyFont="1" applyFill="1" applyBorder="1" applyAlignment="1">
      <alignment horizontal="center" vertical="center" wrapText="1"/>
    </xf>
    <xf numFmtId="14" fontId="9" fillId="4" borderId="6" xfId="2" applyNumberFormat="1" applyFont="1" applyFill="1" applyBorder="1" applyAlignment="1">
      <alignment horizontal="center" vertical="center" wrapText="1"/>
    </xf>
    <xf numFmtId="164" fontId="22" fillId="27" borderId="5" xfId="1" quotePrefix="1" applyNumberFormat="1" applyFont="1" applyFill="1" applyBorder="1" applyAlignment="1">
      <alignment horizontal="center" vertical="center" wrapText="1"/>
    </xf>
    <xf numFmtId="164" fontId="22" fillId="27" borderId="6" xfId="1" quotePrefix="1" applyNumberFormat="1" applyFont="1" applyFill="1" applyBorder="1" applyAlignment="1">
      <alignment horizontal="center" vertical="center" wrapText="1"/>
    </xf>
    <xf numFmtId="164" fontId="22" fillId="27" borderId="7" xfId="1" quotePrefix="1" applyNumberFormat="1" applyFont="1" applyFill="1" applyBorder="1" applyAlignment="1">
      <alignment horizontal="center" vertical="center" wrapText="1"/>
    </xf>
    <xf numFmtId="14" fontId="4" fillId="23" borderId="15" xfId="2" applyNumberFormat="1" applyFont="1" applyFill="1" applyBorder="1" applyAlignment="1">
      <alignment horizontal="center" vertical="center" wrapText="1"/>
    </xf>
    <xf numFmtId="14" fontId="4" fillId="23" borderId="0" xfId="2" applyNumberFormat="1" applyFont="1" applyFill="1" applyAlignment="1">
      <alignment horizontal="center" vertical="center" wrapText="1"/>
    </xf>
    <xf numFmtId="14" fontId="4" fillId="23" borderId="27" xfId="2" applyNumberFormat="1" applyFont="1" applyFill="1" applyBorder="1" applyAlignment="1">
      <alignment horizontal="center" vertical="center" wrapText="1"/>
    </xf>
    <xf numFmtId="0" fontId="55" fillId="13" borderId="0" xfId="2" applyFont="1" applyFill="1" applyAlignment="1">
      <alignment horizontal="center" vertical="center" wrapText="1"/>
    </xf>
    <xf numFmtId="0" fontId="55" fillId="13" borderId="28" xfId="2" applyFont="1" applyFill="1" applyBorder="1" applyAlignment="1">
      <alignment horizontal="center" vertical="center" wrapText="1"/>
    </xf>
    <xf numFmtId="0" fontId="5" fillId="0" borderId="9" xfId="2" applyFont="1" applyBorder="1" applyAlignment="1">
      <alignment horizontal="center" vertical="center" wrapText="1"/>
    </xf>
    <xf numFmtId="0" fontId="8" fillId="0" borderId="11" xfId="2" applyFont="1" applyBorder="1" applyAlignment="1">
      <alignment horizontal="center" vertical="center" wrapText="1"/>
    </xf>
    <xf numFmtId="0" fontId="0" fillId="2" borderId="9" xfId="0" applyFill="1" applyBorder="1"/>
    <xf numFmtId="0" fontId="4" fillId="11" borderId="9" xfId="1" applyFont="1" applyFill="1" applyBorder="1" applyAlignment="1">
      <alignment horizontal="center" vertical="center" wrapText="1"/>
    </xf>
    <xf numFmtId="0" fontId="24" fillId="2" borderId="9" xfId="0" applyFont="1" applyFill="1" applyBorder="1" applyAlignment="1">
      <alignment horizontal="center" vertical="center" wrapText="1"/>
    </xf>
    <xf numFmtId="164" fontId="3" fillId="12" borderId="9" xfId="0" applyNumberFormat="1" applyFont="1" applyFill="1" applyBorder="1" applyAlignment="1">
      <alignment horizontal="center" vertical="center" wrapText="1"/>
    </xf>
    <xf numFmtId="164" fontId="10" fillId="12" borderId="9" xfId="0" applyNumberFormat="1" applyFont="1" applyFill="1" applyBorder="1" applyAlignment="1">
      <alignment horizontal="center" vertical="center" wrapText="1"/>
    </xf>
    <xf numFmtId="164" fontId="14" fillId="8" borderId="9" xfId="0" applyNumberFormat="1" applyFont="1" applyFill="1" applyBorder="1" applyAlignment="1">
      <alignment horizontal="center" vertical="center" wrapText="1"/>
    </xf>
    <xf numFmtId="0" fontId="0" fillId="0" borderId="9" xfId="0" applyBorder="1"/>
    <xf numFmtId="0" fontId="4" fillId="11" borderId="5" xfId="1" applyFont="1" applyFill="1" applyBorder="1" applyAlignment="1">
      <alignment horizontal="center" vertical="center" wrapText="1"/>
    </xf>
    <xf numFmtId="0" fontId="13" fillId="13" borderId="17" xfId="0" applyFont="1" applyFill="1" applyBorder="1" applyAlignment="1">
      <alignment horizontal="center" vertical="center" wrapText="1"/>
    </xf>
    <xf numFmtId="14" fontId="4" fillId="23" borderId="17" xfId="2" applyNumberFormat="1" applyFont="1" applyFill="1" applyBorder="1" applyAlignment="1">
      <alignment horizontal="center" vertical="center" wrapText="1"/>
    </xf>
    <xf numFmtId="0" fontId="4" fillId="21" borderId="7" xfId="1" applyFont="1" applyFill="1" applyBorder="1" applyAlignment="1">
      <alignment horizontal="center" vertical="center" wrapText="1"/>
    </xf>
    <xf numFmtId="0" fontId="7" fillId="2" borderId="6"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13" fillId="13" borderId="11" xfId="0" applyFont="1" applyFill="1" applyBorder="1" applyAlignment="1">
      <alignment horizontal="center" vertical="center" wrapText="1"/>
    </xf>
    <xf numFmtId="0" fontId="7" fillId="2" borderId="9" xfId="0" applyFont="1" applyFill="1" applyBorder="1"/>
    <xf numFmtId="0" fontId="7" fillId="2" borderId="9" xfId="0" applyFont="1" applyFill="1" applyBorder="1" applyAlignment="1">
      <alignment wrapText="1"/>
    </xf>
    <xf numFmtId="14" fontId="61" fillId="2" borderId="9" xfId="2" applyNumberFormat="1" applyFont="1" applyFill="1" applyBorder="1" applyAlignment="1">
      <alignment horizontal="center" vertical="center" wrapText="1"/>
    </xf>
    <xf numFmtId="14" fontId="61" fillId="2" borderId="17" xfId="2" applyNumberFormat="1" applyFont="1" applyFill="1" applyBorder="1" applyAlignment="1">
      <alignment horizontal="center" vertical="center" wrapText="1"/>
    </xf>
    <xf numFmtId="14" fontId="9" fillId="4" borderId="0" xfId="2" applyNumberFormat="1" applyFont="1" applyFill="1" applyAlignment="1">
      <alignment horizontal="center" vertical="center" wrapText="1"/>
    </xf>
    <xf numFmtId="0" fontId="15" fillId="21" borderId="0" xfId="0" applyFont="1" applyFill="1" applyAlignment="1">
      <alignment horizontal="center" vertical="center" wrapText="1"/>
    </xf>
    <xf numFmtId="0" fontId="15" fillId="21" borderId="0" xfId="0" applyFont="1" applyFill="1" applyAlignment="1">
      <alignment horizontal="center" vertical="center"/>
    </xf>
    <xf numFmtId="166" fontId="15" fillId="21" borderId="0" xfId="0" applyNumberFormat="1" applyFont="1" applyFill="1" applyAlignment="1">
      <alignment horizontal="center" vertical="center"/>
    </xf>
    <xf numFmtId="164" fontId="7" fillId="29" borderId="9" xfId="1" quotePrefix="1" applyNumberFormat="1" applyFont="1" applyFill="1" applyBorder="1" applyAlignment="1">
      <alignment horizontal="center" vertical="center" wrapText="1"/>
    </xf>
    <xf numFmtId="14" fontId="9" fillId="29" borderId="23" xfId="2" applyNumberFormat="1" applyFont="1" applyFill="1" applyBorder="1" applyAlignment="1">
      <alignment horizontal="center" vertical="center" wrapText="1"/>
    </xf>
    <xf numFmtId="14" fontId="9" fillId="29" borderId="13" xfId="2" applyNumberFormat="1" applyFont="1" applyFill="1" applyBorder="1" applyAlignment="1">
      <alignment horizontal="center" vertical="center" wrapText="1"/>
    </xf>
    <xf numFmtId="14" fontId="9" fillId="29" borderId="25" xfId="2" applyNumberFormat="1" applyFont="1" applyFill="1" applyBorder="1" applyAlignment="1">
      <alignment horizontal="center" vertical="center" wrapText="1"/>
    </xf>
    <xf numFmtId="14" fontId="9" fillId="29" borderId="9" xfId="2" applyNumberFormat="1" applyFont="1" applyFill="1" applyBorder="1" applyAlignment="1">
      <alignment horizontal="center" vertical="center" wrapText="1"/>
    </xf>
    <xf numFmtId="14" fontId="9" fillId="29" borderId="22" xfId="2" applyNumberFormat="1" applyFont="1" applyFill="1" applyBorder="1" applyAlignment="1">
      <alignment horizontal="center" vertical="center" wrapText="1"/>
    </xf>
    <xf numFmtId="14" fontId="9" fillId="29" borderId="17" xfId="2" applyNumberFormat="1" applyFont="1" applyFill="1" applyBorder="1" applyAlignment="1">
      <alignment horizontal="center" vertical="center" wrapText="1"/>
    </xf>
    <xf numFmtId="14" fontId="9" fillId="29" borderId="12" xfId="2" applyNumberFormat="1" applyFont="1" applyFill="1" applyBorder="1" applyAlignment="1">
      <alignment horizontal="center" vertical="center" wrapText="1"/>
    </xf>
    <xf numFmtId="14" fontId="9" fillId="29" borderId="30" xfId="2" applyNumberFormat="1" applyFont="1" applyFill="1" applyBorder="1" applyAlignment="1">
      <alignment horizontal="center" vertical="center" wrapText="1"/>
    </xf>
    <xf numFmtId="164" fontId="7" fillId="29" borderId="10" xfId="1" quotePrefix="1" applyNumberFormat="1" applyFont="1" applyFill="1" applyBorder="1" applyAlignment="1">
      <alignment horizontal="center" vertical="center" wrapText="1"/>
    </xf>
    <xf numFmtId="164" fontId="27" fillId="29" borderId="9" xfId="0" applyNumberFormat="1" applyFont="1" applyFill="1" applyBorder="1" applyAlignment="1">
      <alignment horizontal="center" vertical="center" wrapText="1"/>
    </xf>
    <xf numFmtId="14" fontId="61" fillId="29" borderId="9" xfId="2" applyNumberFormat="1" applyFont="1" applyFill="1" applyBorder="1" applyAlignment="1">
      <alignment horizontal="center" vertical="center" wrapText="1"/>
    </xf>
    <xf numFmtId="14" fontId="34" fillId="29" borderId="15" xfId="3" applyNumberFormat="1" applyFill="1" applyBorder="1" applyAlignment="1">
      <alignment horizontal="center" vertical="center" wrapText="1"/>
    </xf>
    <xf numFmtId="14" fontId="34" fillId="29" borderId="17" xfId="3" applyNumberFormat="1" applyFill="1" applyBorder="1" applyAlignment="1">
      <alignment horizontal="center" vertical="center" wrapText="1"/>
    </xf>
    <xf numFmtId="164" fontId="30" fillId="29" borderId="9" xfId="0" applyNumberFormat="1" applyFont="1" applyFill="1" applyBorder="1" applyAlignment="1">
      <alignment horizontal="center" vertical="center" wrapText="1"/>
    </xf>
    <xf numFmtId="164" fontId="30" fillId="29" borderId="22" xfId="0" applyNumberFormat="1" applyFont="1" applyFill="1" applyBorder="1" applyAlignment="1">
      <alignment horizontal="center" vertical="center" wrapText="1"/>
    </xf>
    <xf numFmtId="164" fontId="30" fillId="29" borderId="17" xfId="0" applyNumberFormat="1" applyFont="1" applyFill="1" applyBorder="1" applyAlignment="1">
      <alignment horizontal="center" vertical="center" wrapText="1"/>
    </xf>
    <xf numFmtId="14" fontId="9" fillId="29" borderId="6" xfId="2" applyNumberFormat="1" applyFont="1" applyFill="1" applyBorder="1" applyAlignment="1">
      <alignment horizontal="center" vertical="center" wrapText="1"/>
    </xf>
    <xf numFmtId="14" fontId="9" fillId="29" borderId="11" xfId="2" applyNumberFormat="1" applyFont="1" applyFill="1" applyBorder="1" applyAlignment="1">
      <alignment horizontal="center" vertical="center" wrapText="1"/>
    </xf>
    <xf numFmtId="164" fontId="30" fillId="29" borderId="13" xfId="0" applyNumberFormat="1" applyFont="1" applyFill="1" applyBorder="1" applyAlignment="1">
      <alignment horizontal="center" vertical="center" wrapText="1"/>
    </xf>
    <xf numFmtId="164" fontId="30" fillId="29" borderId="25" xfId="0" applyNumberFormat="1" applyFont="1" applyFill="1" applyBorder="1" applyAlignment="1">
      <alignment horizontal="center" vertical="center" wrapText="1"/>
    </xf>
    <xf numFmtId="164" fontId="30" fillId="29" borderId="21" xfId="0" applyNumberFormat="1" applyFont="1" applyFill="1" applyBorder="1" applyAlignment="1">
      <alignment horizontal="center" vertical="center" wrapText="1"/>
    </xf>
    <xf numFmtId="164" fontId="7" fillId="29" borderId="13" xfId="1" quotePrefix="1" applyNumberFormat="1" applyFont="1" applyFill="1" applyBorder="1" applyAlignment="1">
      <alignment horizontal="center" vertical="center" wrapText="1"/>
    </xf>
    <xf numFmtId="164" fontId="27" fillId="29" borderId="5" xfId="0" applyNumberFormat="1" applyFont="1" applyFill="1" applyBorder="1" applyAlignment="1">
      <alignment horizontal="center" vertical="center" wrapText="1"/>
    </xf>
    <xf numFmtId="0" fontId="7" fillId="29" borderId="9" xfId="0" applyFont="1" applyFill="1" applyBorder="1" applyAlignment="1">
      <alignment horizontal="center" vertical="center"/>
    </xf>
    <xf numFmtId="164" fontId="3" fillId="29" borderId="4" xfId="0" applyNumberFormat="1" applyFont="1" applyFill="1" applyBorder="1" applyAlignment="1">
      <alignment horizontal="center" vertical="center" wrapText="1"/>
    </xf>
    <xf numFmtId="0" fontId="7" fillId="29" borderId="5" xfId="0" applyFont="1" applyFill="1" applyBorder="1" applyAlignment="1">
      <alignment horizontal="center" vertical="center"/>
    </xf>
    <xf numFmtId="0" fontId="7" fillId="29" borderId="4" xfId="0" applyFont="1" applyFill="1" applyBorder="1" applyAlignment="1">
      <alignment horizontal="center" vertical="center" wrapText="1"/>
    </xf>
    <xf numFmtId="0" fontId="7" fillId="29" borderId="5" xfId="0" applyFont="1" applyFill="1" applyBorder="1" applyAlignment="1">
      <alignment horizontal="center" vertical="center" wrapText="1"/>
    </xf>
    <xf numFmtId="0" fontId="7" fillId="29" borderId="9" xfId="0" applyFont="1" applyFill="1" applyBorder="1" applyAlignment="1">
      <alignment horizontal="center" vertical="center" wrapText="1"/>
    </xf>
    <xf numFmtId="0" fontId="56" fillId="29" borderId="9" xfId="2" applyFont="1" applyFill="1" applyBorder="1" applyAlignment="1">
      <alignment horizontal="center" vertical="center" wrapText="1"/>
    </xf>
    <xf numFmtId="0" fontId="8" fillId="29" borderId="26" xfId="2" applyFont="1" applyFill="1" applyBorder="1" applyAlignment="1">
      <alignment horizontal="center" vertical="center" wrapText="1"/>
    </xf>
    <xf numFmtId="0" fontId="5" fillId="29" borderId="9" xfId="2" applyFont="1" applyFill="1" applyBorder="1" applyAlignment="1">
      <alignment horizontal="center" vertical="center" wrapText="1"/>
    </xf>
    <xf numFmtId="3" fontId="56" fillId="29" borderId="15" xfId="2" applyNumberFormat="1" applyFont="1" applyFill="1" applyBorder="1" applyAlignment="1">
      <alignment horizontal="center" vertical="center" wrapText="1"/>
    </xf>
    <xf numFmtId="0" fontId="8" fillId="29" borderId="17" xfId="2" applyFont="1" applyFill="1" applyBorder="1" applyAlignment="1">
      <alignment horizontal="center" vertical="center" wrapText="1"/>
    </xf>
    <xf numFmtId="0" fontId="56" fillId="29" borderId="14" xfId="2" applyFont="1" applyFill="1" applyBorder="1" applyAlignment="1">
      <alignment horizontal="center" vertical="center" wrapText="1"/>
    </xf>
    <xf numFmtId="0" fontId="9" fillId="29" borderId="12" xfId="2" applyFont="1" applyFill="1" applyBorder="1" applyAlignment="1">
      <alignment horizontal="center" vertical="center" wrapText="1"/>
    </xf>
    <xf numFmtId="0" fontId="3" fillId="29" borderId="9" xfId="2" applyFont="1" applyFill="1" applyBorder="1" applyAlignment="1">
      <alignment horizontal="center" vertical="center" wrapText="1"/>
    </xf>
    <xf numFmtId="0" fontId="9" fillId="29" borderId="9" xfId="2" applyFont="1" applyFill="1" applyBorder="1" applyAlignment="1">
      <alignment horizontal="center" vertical="center" wrapText="1"/>
    </xf>
    <xf numFmtId="0" fontId="7" fillId="29" borderId="9" xfId="2" applyFont="1" applyFill="1" applyBorder="1" applyAlignment="1">
      <alignment horizontal="center" vertical="center" wrapText="1"/>
    </xf>
    <xf numFmtId="0" fontId="9" fillId="29" borderId="22" xfId="2" applyFont="1" applyFill="1" applyBorder="1" applyAlignment="1">
      <alignment horizontal="center" vertical="center" wrapText="1"/>
    </xf>
    <xf numFmtId="0" fontId="7" fillId="29" borderId="22" xfId="2" applyFont="1" applyFill="1" applyBorder="1" applyAlignment="1">
      <alignment horizontal="center" vertical="center" wrapText="1"/>
    </xf>
    <xf numFmtId="0" fontId="9" fillId="29" borderId="6" xfId="2" applyFont="1" applyFill="1" applyBorder="1" applyAlignment="1">
      <alignment horizontal="center" vertical="center" wrapText="1"/>
    </xf>
    <xf numFmtId="0" fontId="7" fillId="29" borderId="17" xfId="2" applyFont="1" applyFill="1" applyBorder="1" applyAlignment="1">
      <alignment horizontal="center" vertical="center" wrapText="1"/>
    </xf>
    <xf numFmtId="164" fontId="14" fillId="13" borderId="0" xfId="1" quotePrefix="1" applyNumberFormat="1" applyFont="1" applyFill="1" applyBorder="1" applyAlignment="1">
      <alignment horizontal="center" vertical="center" wrapText="1"/>
    </xf>
    <xf numFmtId="164" fontId="30" fillId="29" borderId="29" xfId="0" applyNumberFormat="1" applyFont="1" applyFill="1" applyBorder="1" applyAlignment="1">
      <alignment horizontal="center" vertical="center" wrapText="1"/>
    </xf>
    <xf numFmtId="0" fontId="8" fillId="29" borderId="9" xfId="0" applyFont="1" applyFill="1" applyBorder="1" applyAlignment="1">
      <alignment horizontal="center" vertical="center"/>
    </xf>
    <xf numFmtId="0" fontId="8" fillId="29" borderId="17" xfId="0" applyFont="1" applyFill="1" applyBorder="1" applyAlignment="1">
      <alignment horizontal="center" vertical="center"/>
    </xf>
    <xf numFmtId="14" fontId="9" fillId="29" borderId="24" xfId="2" applyNumberFormat="1" applyFont="1" applyFill="1" applyBorder="1" applyAlignment="1">
      <alignment horizontal="center" vertical="center" wrapText="1"/>
    </xf>
    <xf numFmtId="3" fontId="9" fillId="29" borderId="9" xfId="2" applyNumberFormat="1" applyFont="1" applyFill="1" applyBorder="1" applyAlignment="1">
      <alignment horizontal="center" vertical="center" wrapText="1"/>
    </xf>
    <xf numFmtId="0" fontId="7" fillId="29" borderId="26" xfId="2" applyFont="1" applyFill="1" applyBorder="1" applyAlignment="1">
      <alignment horizontal="center" vertical="center" wrapText="1"/>
    </xf>
    <xf numFmtId="0" fontId="7" fillId="29" borderId="6" xfId="0" applyFont="1" applyFill="1" applyBorder="1" applyAlignment="1">
      <alignment horizontal="center" vertical="center" wrapText="1"/>
    </xf>
    <xf numFmtId="0" fontId="8" fillId="29" borderId="13" xfId="0" applyFont="1" applyFill="1" applyBorder="1" applyAlignment="1">
      <alignment horizontal="center" vertical="center"/>
    </xf>
    <xf numFmtId="0" fontId="8" fillId="29" borderId="22" xfId="0" applyFont="1" applyFill="1" applyBorder="1" applyAlignment="1">
      <alignment horizontal="center" vertical="center"/>
    </xf>
    <xf numFmtId="164" fontId="30" fillId="29" borderId="4" xfId="0" applyNumberFormat="1" applyFont="1" applyFill="1" applyBorder="1" applyAlignment="1">
      <alignment horizontal="center" vertical="center" wrapText="1"/>
    </xf>
    <xf numFmtId="0" fontId="3" fillId="29" borderId="4" xfId="0" applyFont="1" applyFill="1" applyBorder="1" applyAlignment="1">
      <alignment horizontal="center" vertical="center" wrapText="1"/>
    </xf>
    <xf numFmtId="164" fontId="3" fillId="29" borderId="6" xfId="0" applyNumberFormat="1" applyFont="1" applyFill="1" applyBorder="1" applyAlignment="1">
      <alignment horizontal="center" vertical="center" wrapText="1"/>
    </xf>
    <xf numFmtId="0" fontId="7" fillId="29" borderId="4" xfId="0" applyFont="1" applyFill="1" applyBorder="1" applyAlignment="1">
      <alignment horizontal="center" vertical="center"/>
    </xf>
    <xf numFmtId="164" fontId="3" fillId="29" borderId="2" xfId="0" applyNumberFormat="1" applyFont="1" applyFill="1" applyBorder="1" applyAlignment="1">
      <alignment horizontal="center" vertical="center" wrapText="1"/>
    </xf>
    <xf numFmtId="164" fontId="3" fillId="29" borderId="5" xfId="0" applyNumberFormat="1" applyFont="1" applyFill="1" applyBorder="1" applyAlignment="1">
      <alignment horizontal="center" vertical="center" wrapText="1"/>
    </xf>
    <xf numFmtId="164" fontId="3" fillId="29" borderId="9" xfId="0" applyNumberFormat="1" applyFont="1" applyFill="1" applyBorder="1" applyAlignment="1">
      <alignment horizontal="center" vertical="center" wrapText="1"/>
    </xf>
    <xf numFmtId="0" fontId="7" fillId="29" borderId="6" xfId="0" applyFont="1" applyFill="1" applyBorder="1" applyAlignment="1">
      <alignment horizontal="center" vertical="center"/>
    </xf>
    <xf numFmtId="0" fontId="29" fillId="29" borderId="4" xfId="0" applyFont="1" applyFill="1" applyBorder="1" applyAlignment="1">
      <alignment horizontal="center" vertical="center" wrapText="1"/>
    </xf>
    <xf numFmtId="0" fontId="29" fillId="29" borderId="5" xfId="0" applyFont="1" applyFill="1" applyBorder="1" applyAlignment="1">
      <alignment horizontal="center" vertical="center" wrapText="1"/>
    </xf>
    <xf numFmtId="0" fontId="29" fillId="29" borderId="9" xfId="0" applyFont="1" applyFill="1" applyBorder="1" applyAlignment="1">
      <alignment horizontal="center" vertical="center" wrapText="1"/>
    </xf>
    <xf numFmtId="0" fontId="27" fillId="29" borderId="4" xfId="0" applyFont="1" applyFill="1" applyBorder="1" applyAlignment="1">
      <alignment horizontal="center" vertical="center" wrapText="1"/>
    </xf>
    <xf numFmtId="0" fontId="27" fillId="29" borderId="5" xfId="0" applyFont="1" applyFill="1" applyBorder="1" applyAlignment="1">
      <alignment horizontal="center" vertical="center" wrapText="1"/>
    </xf>
    <xf numFmtId="0" fontId="27" fillId="29" borderId="9" xfId="0" applyFont="1" applyFill="1" applyBorder="1" applyAlignment="1">
      <alignment horizontal="center" vertical="center" wrapText="1"/>
    </xf>
    <xf numFmtId="0" fontId="36" fillId="29" borderId="6" xfId="0" applyFont="1" applyFill="1" applyBorder="1" applyAlignment="1">
      <alignment horizontal="center" vertical="center" wrapText="1"/>
    </xf>
    <xf numFmtId="164" fontId="3" fillId="29" borderId="3" xfId="0" applyNumberFormat="1" applyFont="1" applyFill="1" applyBorder="1" applyAlignment="1">
      <alignment horizontal="center" vertical="center" wrapText="1"/>
    </xf>
    <xf numFmtId="0" fontId="3" fillId="29" borderId="5" xfId="0" applyFont="1" applyFill="1" applyBorder="1" applyAlignment="1">
      <alignment horizontal="center" vertical="center" wrapText="1"/>
    </xf>
    <xf numFmtId="0" fontId="3" fillId="29" borderId="9" xfId="0" applyFont="1" applyFill="1" applyBorder="1" applyAlignment="1">
      <alignment horizontal="center" vertical="center" wrapText="1"/>
    </xf>
    <xf numFmtId="0" fontId="8" fillId="29" borderId="9" xfId="0" applyFont="1" applyFill="1" applyBorder="1" applyAlignment="1">
      <alignment horizontal="center" vertical="center" wrapText="1"/>
    </xf>
    <xf numFmtId="0" fontId="34" fillId="29" borderId="28" xfId="3" applyFill="1" applyBorder="1" applyAlignment="1">
      <alignment horizontal="left" wrapText="1"/>
    </xf>
    <xf numFmtId="0" fontId="62" fillId="29" borderId="9" xfId="0" applyFont="1" applyFill="1" applyBorder="1" applyAlignment="1">
      <alignment horizontal="center" vertical="center" wrapText="1"/>
    </xf>
    <xf numFmtId="0" fontId="62" fillId="29" borderId="9" xfId="0" applyFont="1" applyFill="1" applyBorder="1" applyAlignment="1">
      <alignment horizontal="center" vertical="center"/>
    </xf>
    <xf numFmtId="166" fontId="62" fillId="29" borderId="9" xfId="0" applyNumberFormat="1" applyFont="1" applyFill="1" applyBorder="1" applyAlignment="1">
      <alignment horizontal="center" vertical="center"/>
    </xf>
    <xf numFmtId="0" fontId="11" fillId="29" borderId="17" xfId="0" applyFont="1" applyFill="1" applyBorder="1" applyAlignment="1">
      <alignment horizontal="left" vertical="center" wrapText="1"/>
    </xf>
    <xf numFmtId="0" fontId="11" fillId="29" borderId="9" xfId="0" applyFont="1" applyFill="1" applyBorder="1" applyAlignment="1">
      <alignment horizontal="center" vertical="center" wrapText="1"/>
    </xf>
    <xf numFmtId="0" fontId="11" fillId="29" borderId="9" xfId="0" applyFont="1" applyFill="1" applyBorder="1" applyAlignment="1">
      <alignment horizontal="center" vertical="center"/>
    </xf>
    <xf numFmtId="166" fontId="11" fillId="29" borderId="9" xfId="0" applyNumberFormat="1" applyFont="1" applyFill="1" applyBorder="1" applyAlignment="1">
      <alignment horizontal="center" vertical="center"/>
    </xf>
    <xf numFmtId="0" fontId="34" fillId="29" borderId="17" xfId="3" applyFill="1" applyBorder="1" applyAlignment="1">
      <alignment horizontal="left" wrapText="1"/>
    </xf>
    <xf numFmtId="166" fontId="8" fillId="29" borderId="9" xfId="0" applyNumberFormat="1" applyFont="1" applyFill="1" applyBorder="1" applyAlignment="1">
      <alignment horizontal="center" vertical="center"/>
    </xf>
    <xf numFmtId="0" fontId="7" fillId="29" borderId="17" xfId="0" applyFont="1" applyFill="1" applyBorder="1" applyAlignment="1">
      <alignment horizontal="left" wrapText="1"/>
    </xf>
    <xf numFmtId="0" fontId="34" fillId="29" borderId="17" xfId="3" applyFill="1" applyBorder="1" applyAlignment="1">
      <alignment horizontal="left" vertical="center" wrapText="1"/>
    </xf>
    <xf numFmtId="0" fontId="38" fillId="29" borderId="0" xfId="0" applyFont="1" applyFill="1"/>
    <xf numFmtId="164" fontId="27" fillId="29" borderId="17" xfId="0" applyNumberFormat="1" applyFont="1" applyFill="1" applyBorder="1" applyAlignment="1">
      <alignment horizontal="center" vertical="center" wrapText="1"/>
    </xf>
    <xf numFmtId="164" fontId="34" fillId="29" borderId="26" xfId="3" applyNumberFormat="1" applyFill="1" applyBorder="1" applyAlignment="1">
      <alignment horizontal="center" vertical="center" wrapText="1"/>
    </xf>
    <xf numFmtId="164" fontId="57" fillId="29" borderId="13" xfId="0" applyNumberFormat="1" applyFont="1" applyFill="1" applyBorder="1" applyAlignment="1">
      <alignment horizontal="center" vertical="center" wrapText="1"/>
    </xf>
    <xf numFmtId="14" fontId="34" fillId="2" borderId="11" xfId="3" applyNumberFormat="1" applyFill="1" applyBorder="1" applyAlignment="1">
      <alignment horizontal="center" vertical="center" wrapText="1"/>
    </xf>
    <xf numFmtId="164" fontId="9" fillId="29" borderId="9" xfId="1" quotePrefix="1" applyNumberFormat="1" applyFont="1" applyFill="1" applyBorder="1" applyAlignment="1">
      <alignment horizontal="center" vertical="center" wrapText="1"/>
    </xf>
    <xf numFmtId="14" fontId="34" fillId="29" borderId="9" xfId="3" applyNumberFormat="1" applyFill="1" applyBorder="1" applyAlignment="1">
      <alignment horizontal="center" vertical="center" wrapText="1"/>
    </xf>
    <xf numFmtId="0" fontId="9" fillId="2" borderId="9" xfId="2" applyFont="1" applyFill="1" applyBorder="1" applyAlignment="1">
      <alignment horizontal="center" vertical="center" wrapText="1"/>
    </xf>
    <xf numFmtId="0" fontId="8" fillId="29" borderId="9" xfId="2" applyFont="1" applyFill="1" applyBorder="1" applyAlignment="1">
      <alignment horizontal="center" vertical="center" wrapText="1"/>
    </xf>
    <xf numFmtId="10" fontId="8" fillId="29" borderId="9" xfId="2" applyNumberFormat="1" applyFont="1" applyFill="1" applyBorder="1" applyAlignment="1">
      <alignment horizontal="center" vertical="center" wrapText="1"/>
    </xf>
    <xf numFmtId="3" fontId="5" fillId="29" borderId="9" xfId="2" applyNumberFormat="1" applyFont="1" applyFill="1" applyBorder="1" applyAlignment="1">
      <alignment horizontal="center" vertical="center" wrapText="1"/>
    </xf>
    <xf numFmtId="3" fontId="8" fillId="29" borderId="9" xfId="2" applyNumberFormat="1" applyFont="1" applyFill="1" applyBorder="1" applyAlignment="1">
      <alignment horizontal="center" vertical="center" wrapText="1"/>
    </xf>
    <xf numFmtId="164" fontId="9" fillId="29" borderId="17" xfId="1" quotePrefix="1" applyNumberFormat="1" applyFont="1" applyFill="1" applyBorder="1" applyAlignment="1">
      <alignment horizontal="center" vertical="center" wrapText="1"/>
    </xf>
    <xf numFmtId="14" fontId="34" fillId="29" borderId="24" xfId="3" applyNumberFormat="1" applyFill="1" applyBorder="1" applyAlignment="1">
      <alignment horizontal="center" vertical="center" wrapText="1"/>
    </xf>
    <xf numFmtId="164" fontId="9" fillId="29" borderId="10" xfId="1" quotePrefix="1" applyNumberFormat="1" applyFont="1" applyFill="1" applyBorder="1" applyAlignment="1">
      <alignment horizontal="center" vertical="center" wrapText="1"/>
    </xf>
    <xf numFmtId="0" fontId="7" fillId="2" borderId="9" xfId="0" applyFont="1" applyFill="1" applyBorder="1" applyAlignment="1">
      <alignment horizontal="center" vertical="center"/>
    </xf>
    <xf numFmtId="164" fontId="14" fillId="23" borderId="15" xfId="0" applyNumberFormat="1" applyFont="1" applyFill="1" applyBorder="1" applyAlignment="1">
      <alignment horizontal="center" vertical="center" wrapText="1"/>
    </xf>
    <xf numFmtId="0" fontId="7" fillId="29" borderId="10" xfId="0" applyFont="1" applyFill="1" applyBorder="1" applyAlignment="1">
      <alignment horizontal="center" vertical="center" wrapText="1"/>
    </xf>
    <xf numFmtId="0" fontId="34" fillId="29" borderId="9" xfId="3" applyFill="1" applyBorder="1"/>
    <xf numFmtId="0" fontId="11" fillId="29" borderId="0" xfId="0" applyFont="1" applyFill="1" applyAlignment="1">
      <alignment horizontal="left" vertical="center"/>
    </xf>
    <xf numFmtId="0" fontId="63" fillId="29" borderId="22" xfId="0" applyFont="1" applyFill="1" applyBorder="1" applyAlignment="1">
      <alignment horizontal="center" vertical="center" wrapText="1"/>
    </xf>
    <xf numFmtId="164" fontId="9" fillId="2" borderId="0" xfId="1" quotePrefix="1" applyNumberFormat="1" applyFont="1" applyFill="1" applyBorder="1" applyAlignment="1">
      <alignment horizontal="center" vertical="center" wrapText="1"/>
    </xf>
    <xf numFmtId="164" fontId="9" fillId="4" borderId="10" xfId="1" quotePrefix="1" applyNumberFormat="1" applyFont="1" applyFill="1" applyBorder="1" applyAlignment="1">
      <alignment horizontal="center" vertical="center" wrapText="1"/>
    </xf>
    <xf numFmtId="164" fontId="9" fillId="0" borderId="10" xfId="1" quotePrefix="1" applyNumberFormat="1" applyFont="1" applyFill="1" applyBorder="1" applyAlignment="1">
      <alignment horizontal="center" vertical="center" wrapText="1"/>
    </xf>
    <xf numFmtId="164" fontId="9" fillId="5" borderId="10" xfId="1" quotePrefix="1" applyNumberFormat="1" applyFont="1" applyFill="1" applyBorder="1" applyAlignment="1">
      <alignment horizontal="center" vertical="center" wrapText="1"/>
    </xf>
    <xf numFmtId="164" fontId="9" fillId="6" borderId="10" xfId="1" quotePrefix="1" applyNumberFormat="1" applyFont="1" applyFill="1" applyBorder="1" applyAlignment="1">
      <alignment horizontal="center" vertical="center" wrapText="1"/>
    </xf>
    <xf numFmtId="164" fontId="9" fillId="2" borderId="11" xfId="1" quotePrefix="1" applyNumberFormat="1" applyFont="1" applyFill="1" applyBorder="1" applyAlignment="1">
      <alignment horizontal="center" vertical="center" wrapText="1"/>
    </xf>
    <xf numFmtId="164" fontId="4" fillId="23" borderId="0" xfId="1" quotePrefix="1" applyNumberFormat="1" applyFont="1" applyFill="1" applyBorder="1" applyAlignment="1">
      <alignment horizontal="center" vertical="center" wrapText="1"/>
    </xf>
    <xf numFmtId="164" fontId="53" fillId="13" borderId="0" xfId="1" quotePrefix="1" applyNumberFormat="1" applyFont="1" applyFill="1" applyBorder="1" applyAlignment="1">
      <alignment horizontal="center" vertical="center" wrapText="1"/>
    </xf>
    <xf numFmtId="164" fontId="9" fillId="29" borderId="0" xfId="1" quotePrefix="1" applyNumberFormat="1" applyFont="1" applyFill="1" applyBorder="1" applyAlignment="1">
      <alignment horizontal="center" vertical="center" wrapText="1"/>
    </xf>
    <xf numFmtId="14" fontId="9" fillId="4" borderId="8" xfId="2" applyNumberFormat="1" applyFont="1" applyFill="1" applyBorder="1" applyAlignment="1">
      <alignment vertical="center"/>
    </xf>
    <xf numFmtId="14" fontId="9" fillId="4" borderId="31" xfId="2" applyNumberFormat="1" applyFont="1" applyFill="1" applyBorder="1" applyAlignment="1">
      <alignment vertical="center"/>
    </xf>
    <xf numFmtId="14" fontId="18" fillId="17" borderId="8" xfId="2" applyNumberFormat="1" applyFont="1" applyFill="1" applyBorder="1" applyAlignment="1">
      <alignment horizontal="center" vertical="center" wrapText="1"/>
    </xf>
    <xf numFmtId="164" fontId="9" fillId="0" borderId="20" xfId="1" quotePrefix="1" applyNumberFormat="1" applyFont="1" applyFill="1" applyBorder="1" applyAlignment="1">
      <alignment horizontal="center" vertical="center" wrapText="1"/>
    </xf>
    <xf numFmtId="164" fontId="3" fillId="12" borderId="5" xfId="0" applyNumberFormat="1" applyFont="1" applyFill="1" applyBorder="1" applyAlignment="1">
      <alignment horizontal="center" vertical="center" wrapText="1"/>
    </xf>
    <xf numFmtId="164" fontId="3" fillId="29" borderId="0" xfId="0" applyNumberFormat="1" applyFont="1" applyFill="1" applyAlignment="1">
      <alignment horizontal="center" vertical="center" wrapText="1"/>
    </xf>
    <xf numFmtId="164" fontId="10" fillId="12" borderId="5" xfId="0" applyNumberFormat="1" applyFont="1" applyFill="1" applyBorder="1" applyAlignment="1">
      <alignment horizontal="center" vertical="center" wrapText="1"/>
    </xf>
    <xf numFmtId="164" fontId="27" fillId="29" borderId="0" xfId="0" applyNumberFormat="1" applyFont="1" applyFill="1" applyAlignment="1">
      <alignment horizontal="center" vertical="center" wrapText="1"/>
    </xf>
    <xf numFmtId="164" fontId="14" fillId="13" borderId="3" xfId="0" quotePrefix="1" applyNumberFormat="1" applyFont="1" applyFill="1" applyBorder="1" applyAlignment="1">
      <alignment horizontal="center" vertical="center" wrapText="1"/>
    </xf>
    <xf numFmtId="164" fontId="7" fillId="29" borderId="23" xfId="1" quotePrefix="1" applyNumberFormat="1" applyFont="1" applyFill="1" applyBorder="1" applyAlignment="1">
      <alignment horizontal="center" vertical="center" wrapText="1"/>
    </xf>
    <xf numFmtId="164" fontId="7" fillId="4" borderId="10" xfId="1" quotePrefix="1" applyNumberFormat="1" applyFont="1" applyFill="1" applyBorder="1" applyAlignment="1">
      <alignment horizontal="center" vertical="center" wrapText="1"/>
    </xf>
    <xf numFmtId="164" fontId="7" fillId="4" borderId="9" xfId="1" quotePrefix="1" applyNumberFormat="1" applyFont="1" applyFill="1" applyBorder="1" applyAlignment="1">
      <alignment horizontal="center" vertical="center" wrapText="1"/>
    </xf>
    <xf numFmtId="164" fontId="7" fillId="29" borderId="17" xfId="1" quotePrefix="1" applyNumberFormat="1" applyFont="1" applyFill="1" applyBorder="1" applyAlignment="1">
      <alignment horizontal="center" vertical="center" wrapText="1"/>
    </xf>
    <xf numFmtId="164" fontId="7" fillId="2" borderId="17" xfId="1" quotePrefix="1" applyNumberFormat="1" applyFont="1" applyFill="1" applyBorder="1" applyAlignment="1">
      <alignment horizontal="center" vertical="center" wrapText="1"/>
    </xf>
    <xf numFmtId="164" fontId="27" fillId="29" borderId="11" xfId="0" applyNumberFormat="1" applyFont="1" applyFill="1" applyBorder="1" applyAlignment="1">
      <alignment horizontal="center" vertical="center" wrapText="1"/>
    </xf>
    <xf numFmtId="164" fontId="27" fillId="0" borderId="11" xfId="0" applyNumberFormat="1" applyFont="1" applyBorder="1" applyAlignment="1">
      <alignment horizontal="center" vertical="center" wrapText="1"/>
    </xf>
    <xf numFmtId="164" fontId="7" fillId="29" borderId="30" xfId="1" quotePrefix="1" applyNumberFormat="1" applyFont="1" applyFill="1" applyBorder="1" applyAlignment="1">
      <alignment horizontal="center" vertical="center" wrapText="1"/>
    </xf>
    <xf numFmtId="164" fontId="3" fillId="0" borderId="5" xfId="0" applyNumberFormat="1" applyFont="1" applyBorder="1" applyAlignment="1">
      <alignment horizontal="center" vertical="center" wrapText="1"/>
    </xf>
    <xf numFmtId="164" fontId="3" fillId="29" borderId="7" xfId="0" applyNumberFormat="1" applyFont="1" applyFill="1" applyBorder="1" applyAlignment="1">
      <alignment horizontal="center" vertical="center" wrapText="1"/>
    </xf>
    <xf numFmtId="14" fontId="56" fillId="29" borderId="9" xfId="2" applyNumberFormat="1" applyFont="1" applyFill="1" applyBorder="1" applyAlignment="1">
      <alignment horizontal="center" vertical="center" wrapText="1"/>
    </xf>
    <xf numFmtId="14" fontId="9" fillId="0" borderId="9" xfId="2" applyNumberFormat="1" applyFont="1" applyBorder="1" applyAlignment="1">
      <alignment horizontal="center" vertical="center" wrapText="1"/>
    </xf>
    <xf numFmtId="164" fontId="57" fillId="30" borderId="17" xfId="0" quotePrefix="1" applyNumberFormat="1" applyFont="1" applyFill="1" applyBorder="1" applyAlignment="1">
      <alignment horizontal="center" vertical="center" wrapText="1"/>
    </xf>
    <xf numFmtId="0" fontId="7" fillId="2" borderId="0" xfId="0" applyFont="1" applyFill="1" applyAlignment="1">
      <alignment horizontal="center"/>
    </xf>
    <xf numFmtId="0" fontId="3" fillId="2" borderId="0" xfId="2" applyFont="1" applyFill="1" applyAlignment="1">
      <alignment horizontal="center" vertical="center" wrapText="1"/>
    </xf>
    <xf numFmtId="0" fontId="8" fillId="0" borderId="0" xfId="0" applyFont="1" applyAlignment="1">
      <alignment horizontal="center" vertical="center"/>
    </xf>
    <xf numFmtId="164" fontId="27" fillId="0" borderId="17" xfId="0" quotePrefix="1" applyNumberFormat="1" applyFont="1" applyBorder="1" applyAlignment="1">
      <alignment horizontal="center" vertical="center" wrapText="1"/>
    </xf>
    <xf numFmtId="0" fontId="50" fillId="0" borderId="9" xfId="0" applyFont="1" applyBorder="1" applyAlignment="1">
      <alignment horizontal="center" vertical="center" wrapText="1"/>
    </xf>
    <xf numFmtId="0" fontId="57" fillId="0" borderId="9" xfId="0" applyFont="1" applyBorder="1" applyAlignment="1">
      <alignment horizontal="center" vertical="center"/>
    </xf>
    <xf numFmtId="164" fontId="27" fillId="0" borderId="9" xfId="0" quotePrefix="1" applyNumberFormat="1" applyFont="1" applyBorder="1" applyAlignment="1">
      <alignment horizontal="center" vertical="center" wrapText="1"/>
    </xf>
    <xf numFmtId="0" fontId="27" fillId="30" borderId="9" xfId="0" applyFont="1" applyFill="1" applyBorder="1" applyAlignment="1">
      <alignment horizontal="center" vertical="center" wrapText="1"/>
    </xf>
    <xf numFmtId="0" fontId="57" fillId="30" borderId="9" xfId="0" applyFont="1" applyFill="1" applyBorder="1" applyAlignment="1">
      <alignment horizontal="center" vertical="center"/>
    </xf>
    <xf numFmtId="0" fontId="57" fillId="0" borderId="9" xfId="2" applyFont="1" applyBorder="1" applyAlignment="1">
      <alignment horizontal="center" vertical="center" wrapText="1"/>
    </xf>
    <xf numFmtId="14" fontId="27" fillId="30" borderId="9" xfId="2" applyNumberFormat="1" applyFont="1" applyFill="1" applyBorder="1" applyAlignment="1">
      <alignment horizontal="center" vertical="center" wrapText="1"/>
    </xf>
    <xf numFmtId="164" fontId="27" fillId="0" borderId="21" xfId="0" applyNumberFormat="1" applyFont="1" applyBorder="1" applyAlignment="1">
      <alignment horizontal="center" vertical="center" wrapText="1"/>
    </xf>
    <xf numFmtId="164" fontId="57" fillId="30" borderId="9" xfId="0" applyNumberFormat="1" applyFont="1" applyFill="1" applyBorder="1" applyAlignment="1">
      <alignment horizontal="center" vertical="center" wrapText="1"/>
    </xf>
    <xf numFmtId="0" fontId="27" fillId="0" borderId="12" xfId="0" applyFont="1" applyBorder="1" applyAlignment="1">
      <alignment horizontal="center" vertical="center" wrapText="1"/>
    </xf>
    <xf numFmtId="3" fontId="57" fillId="0" borderId="9" xfId="0" applyNumberFormat="1" applyFont="1" applyBorder="1" applyAlignment="1">
      <alignment horizontal="center" vertical="center"/>
    </xf>
    <xf numFmtId="0" fontId="64" fillId="0" borderId="9" xfId="0" applyFont="1" applyBorder="1" applyAlignment="1">
      <alignment horizontal="center" vertical="center" wrapText="1"/>
    </xf>
    <xf numFmtId="0" fontId="57" fillId="0" borderId="9" xfId="0" applyFont="1" applyBorder="1" applyAlignment="1">
      <alignment horizontal="center" vertical="center" wrapText="1"/>
    </xf>
    <xf numFmtId="164" fontId="27" fillId="0" borderId="17" xfId="1" quotePrefix="1" applyNumberFormat="1" applyFont="1" applyFill="1" applyBorder="1" applyAlignment="1">
      <alignment horizontal="center" vertical="center" wrapText="1"/>
    </xf>
    <xf numFmtId="164" fontId="27" fillId="0" borderId="9" xfId="1" quotePrefix="1" applyNumberFormat="1" applyFont="1" applyFill="1" applyBorder="1" applyAlignment="1">
      <alignment horizontal="center" vertical="center" wrapText="1"/>
    </xf>
    <xf numFmtId="14" fontId="27" fillId="0" borderId="9" xfId="2" applyNumberFormat="1" applyFont="1" applyBorder="1" applyAlignment="1">
      <alignment horizontal="center" vertical="center" wrapText="1"/>
    </xf>
    <xf numFmtId="14" fontId="65" fillId="0" borderId="9" xfId="3" applyNumberFormat="1" applyFont="1" applyFill="1" applyBorder="1" applyAlignment="1">
      <alignment horizontal="center" vertical="center" wrapText="1"/>
    </xf>
    <xf numFmtId="3" fontId="57" fillId="0" borderId="9" xfId="2" applyNumberFormat="1" applyFont="1" applyBorder="1" applyAlignment="1">
      <alignment horizontal="center" vertical="center" wrapText="1"/>
    </xf>
    <xf numFmtId="164" fontId="57" fillId="30" borderId="17" xfId="1" quotePrefix="1" applyNumberFormat="1" applyFont="1" applyFill="1" applyBorder="1" applyAlignment="1">
      <alignment horizontal="center" vertical="center" wrapText="1"/>
    </xf>
    <xf numFmtId="14" fontId="65" fillId="30" borderId="9" xfId="3" applyNumberFormat="1" applyFont="1" applyFill="1" applyBorder="1" applyAlignment="1">
      <alignment horizontal="center" vertical="center" wrapText="1"/>
    </xf>
    <xf numFmtId="0" fontId="57" fillId="30" borderId="9" xfId="2" applyFont="1" applyFill="1" applyBorder="1" applyAlignment="1">
      <alignment horizontal="center" vertical="center" wrapText="1"/>
    </xf>
    <xf numFmtId="3" fontId="57" fillId="30" borderId="9" xfId="2" applyNumberFormat="1" applyFont="1" applyFill="1" applyBorder="1" applyAlignment="1">
      <alignment horizontal="center" vertical="center" wrapText="1"/>
    </xf>
    <xf numFmtId="14" fontId="27" fillId="0" borderId="17" xfId="2" applyNumberFormat="1" applyFont="1" applyBorder="1" applyAlignment="1">
      <alignment horizontal="center" vertical="center" wrapText="1"/>
    </xf>
    <xf numFmtId="164" fontId="27" fillId="4" borderId="10" xfId="1" quotePrefix="1" applyNumberFormat="1" applyFont="1" applyFill="1" applyBorder="1" applyAlignment="1">
      <alignment horizontal="center" vertical="center" wrapText="1"/>
    </xf>
    <xf numFmtId="14" fontId="27" fillId="4" borderId="9" xfId="2" applyNumberFormat="1" applyFont="1" applyFill="1" applyBorder="1" applyAlignment="1">
      <alignment horizontal="center" vertical="center" wrapText="1"/>
    </xf>
    <xf numFmtId="0" fontId="57" fillId="30" borderId="9" xfId="0" applyFont="1" applyFill="1" applyBorder="1" applyAlignment="1">
      <alignment horizontal="center" vertical="center" wrapText="1"/>
    </xf>
    <xf numFmtId="164" fontId="57" fillId="30" borderId="17" xfId="0" applyNumberFormat="1" applyFont="1" applyFill="1" applyBorder="1" applyAlignment="1">
      <alignment horizontal="center" vertical="center" wrapText="1"/>
    </xf>
    <xf numFmtId="3" fontId="57" fillId="30" borderId="9" xfId="0" applyNumberFormat="1" applyFont="1" applyFill="1" applyBorder="1" applyAlignment="1">
      <alignment horizontal="center" vertical="center"/>
    </xf>
    <xf numFmtId="164" fontId="27" fillId="0" borderId="13" xfId="0" applyNumberFormat="1" applyFont="1" applyBorder="1" applyAlignment="1">
      <alignment horizontal="center" vertical="center" wrapText="1"/>
    </xf>
    <xf numFmtId="14" fontId="34" fillId="0" borderId="9" xfId="3" applyNumberFormat="1" applyBorder="1" applyAlignment="1">
      <alignment horizontal="center" vertical="center" wrapText="1"/>
    </xf>
    <xf numFmtId="14" fontId="34" fillId="16" borderId="9" xfId="3" applyNumberFormat="1" applyFill="1" applyBorder="1" applyAlignment="1">
      <alignment horizontal="center" vertical="center" wrapText="1"/>
    </xf>
    <xf numFmtId="14" fontId="9" fillId="29" borderId="18" xfId="2" applyNumberFormat="1" applyFont="1" applyFill="1" applyBorder="1" applyAlignment="1">
      <alignment horizontal="center" vertical="center" wrapText="1"/>
    </xf>
    <xf numFmtId="0" fontId="8" fillId="29" borderId="21" xfId="2" applyFont="1" applyFill="1" applyBorder="1" applyAlignment="1">
      <alignment horizontal="center" vertical="center" wrapText="1"/>
    </xf>
    <xf numFmtId="0" fontId="5" fillId="29" borderId="12" xfId="2" applyFont="1" applyFill="1" applyBorder="1" applyAlignment="1">
      <alignment horizontal="center" vertical="center" wrapText="1"/>
    </xf>
    <xf numFmtId="0" fontId="9" fillId="13" borderId="9" xfId="2" applyFont="1" applyFill="1" applyBorder="1" applyAlignment="1">
      <alignment horizontal="center" vertical="center" wrapText="1"/>
    </xf>
    <xf numFmtId="0" fontId="7" fillId="13" borderId="9" xfId="2" applyFont="1" applyFill="1" applyBorder="1" applyAlignment="1">
      <alignment horizontal="center" vertical="center" wrapText="1"/>
    </xf>
    <xf numFmtId="0" fontId="3" fillId="13" borderId="9" xfId="2" applyFont="1" applyFill="1" applyBorder="1" applyAlignment="1">
      <alignment horizontal="center" vertical="center" wrapText="1"/>
    </xf>
    <xf numFmtId="0" fontId="56" fillId="29" borderId="22" xfId="2" applyFont="1" applyFill="1" applyBorder="1" applyAlignment="1">
      <alignment horizontal="center" vertical="center" wrapText="1"/>
    </xf>
    <xf numFmtId="0" fontId="8" fillId="29" borderId="22" xfId="2" applyFont="1" applyFill="1" applyBorder="1" applyAlignment="1">
      <alignment horizontal="center" vertical="center" wrapText="1"/>
    </xf>
    <xf numFmtId="0" fontId="5" fillId="29" borderId="13" xfId="2" applyFont="1" applyFill="1" applyBorder="1" applyAlignment="1">
      <alignment horizontal="center" vertical="center" wrapText="1"/>
    </xf>
    <xf numFmtId="164" fontId="30" fillId="29" borderId="15" xfId="1" quotePrefix="1" applyNumberFormat="1" applyFont="1" applyFill="1" applyBorder="1" applyAlignment="1">
      <alignment horizontal="center" vertical="center" wrapText="1"/>
    </xf>
    <xf numFmtId="164" fontId="30" fillId="29" borderId="9" xfId="1" quotePrefix="1" applyNumberFormat="1" applyFont="1" applyFill="1" applyBorder="1" applyAlignment="1">
      <alignment horizontal="center" vertical="center" wrapText="1"/>
    </xf>
    <xf numFmtId="14" fontId="28" fillId="29" borderId="9" xfId="2" applyNumberFormat="1" applyFont="1" applyFill="1" applyBorder="1" applyAlignment="1">
      <alignment horizontal="center" vertical="center" wrapText="1"/>
    </xf>
    <xf numFmtId="14" fontId="28" fillId="29" borderId="17" xfId="2" applyNumberFormat="1" applyFont="1" applyFill="1" applyBorder="1" applyAlignment="1">
      <alignment horizontal="center" vertical="center" wrapText="1"/>
    </xf>
    <xf numFmtId="14" fontId="30" fillId="29" borderId="12" xfId="2" applyNumberFormat="1" applyFont="1" applyFill="1" applyBorder="1" applyAlignment="1">
      <alignment horizontal="center" vertical="center" wrapText="1"/>
    </xf>
    <xf numFmtId="14" fontId="66" fillId="29" borderId="17" xfId="3" applyNumberFormat="1" applyFont="1" applyFill="1" applyBorder="1" applyAlignment="1">
      <alignment horizontal="center" vertical="center" wrapText="1"/>
    </xf>
    <xf numFmtId="0" fontId="44" fillId="29" borderId="18" xfId="2" applyFont="1" applyFill="1" applyBorder="1" applyAlignment="1">
      <alignment horizontal="center" vertical="center" wrapText="1"/>
    </xf>
    <xf numFmtId="0" fontId="30" fillId="29" borderId="17" xfId="2" applyFont="1" applyFill="1" applyBorder="1" applyAlignment="1">
      <alignment horizontal="center" vertical="center" wrapText="1"/>
    </xf>
    <xf numFmtId="0" fontId="30" fillId="29" borderId="9" xfId="2" applyFont="1" applyFill="1" applyBorder="1" applyAlignment="1">
      <alignment horizontal="center" vertical="center" wrapText="1"/>
    </xf>
    <xf numFmtId="0" fontId="9" fillId="29" borderId="29" xfId="2" applyFont="1" applyFill="1" applyBorder="1" applyAlignment="1">
      <alignment horizontal="center" vertical="center" wrapText="1"/>
    </xf>
    <xf numFmtId="164" fontId="57" fillId="29" borderId="9" xfId="0" applyNumberFormat="1" applyFont="1" applyFill="1" applyBorder="1" applyAlignment="1">
      <alignment horizontal="center" vertical="center" wrapText="1"/>
    </xf>
    <xf numFmtId="164" fontId="27" fillId="16" borderId="11" xfId="0" applyNumberFormat="1" applyFont="1" applyFill="1" applyBorder="1" applyAlignment="1">
      <alignment horizontal="center" vertical="center" wrapText="1"/>
    </xf>
    <xf numFmtId="14" fontId="44" fillId="29" borderId="9" xfId="2" applyNumberFormat="1" applyFont="1" applyFill="1" applyBorder="1" applyAlignment="1">
      <alignment horizontal="center" vertical="center" wrapText="1"/>
    </xf>
    <xf numFmtId="0" fontId="27" fillId="0" borderId="13" xfId="0" applyFont="1" applyBorder="1" applyAlignment="1">
      <alignment horizontal="center" vertical="center" wrapText="1"/>
    </xf>
    <xf numFmtId="0" fontId="34" fillId="29" borderId="22" xfId="3" applyFill="1" applyBorder="1" applyAlignment="1">
      <alignment horizontal="left" vertical="center" wrapText="1"/>
    </xf>
    <xf numFmtId="0" fontId="63" fillId="29" borderId="9" xfId="0" applyFont="1" applyFill="1" applyBorder="1" applyAlignment="1">
      <alignment horizontal="center" vertical="center" wrapText="1"/>
    </xf>
    <xf numFmtId="0" fontId="63" fillId="29" borderId="9" xfId="0" applyFont="1" applyFill="1" applyBorder="1" applyAlignment="1">
      <alignment horizontal="center" vertical="center"/>
    </xf>
    <xf numFmtId="166" fontId="63" fillId="29" borderId="9" xfId="0" applyNumberFormat="1" applyFont="1" applyFill="1" applyBorder="1" applyAlignment="1">
      <alignment horizontal="center" vertical="center"/>
    </xf>
    <xf numFmtId="164" fontId="9" fillId="29" borderId="15" xfId="1" quotePrefix="1" applyNumberFormat="1" applyFont="1" applyFill="1" applyBorder="1" applyAlignment="1">
      <alignment horizontal="center" vertical="center" wrapText="1"/>
    </xf>
    <xf numFmtId="0" fontId="7" fillId="29" borderId="2" xfId="0" applyFont="1" applyFill="1" applyBorder="1" applyAlignment="1">
      <alignment horizontal="center" vertical="center" wrapText="1"/>
    </xf>
    <xf numFmtId="0" fontId="7" fillId="29" borderId="14" xfId="0" applyFont="1" applyFill="1" applyBorder="1" applyAlignment="1">
      <alignment horizontal="center" vertical="center" wrapText="1"/>
    </xf>
    <xf numFmtId="0" fontId="30" fillId="29" borderId="22" xfId="0" applyFont="1" applyFill="1" applyBorder="1" applyAlignment="1">
      <alignment horizontal="left" vertical="center" wrapText="1"/>
    </xf>
    <xf numFmtId="0" fontId="11" fillId="29" borderId="21" xfId="0" applyFont="1" applyFill="1" applyBorder="1" applyAlignment="1">
      <alignment horizontal="left" vertical="center" wrapText="1"/>
    </xf>
    <xf numFmtId="0" fontId="63" fillId="29" borderId="12" xfId="0" applyFont="1" applyFill="1" applyBorder="1" applyAlignment="1">
      <alignment horizontal="center" vertical="center" wrapText="1"/>
    </xf>
    <xf numFmtId="0" fontId="63" fillId="29" borderId="12" xfId="0" applyFont="1" applyFill="1" applyBorder="1" applyAlignment="1">
      <alignment horizontal="center" vertical="center"/>
    </xf>
    <xf numFmtId="166" fontId="63" fillId="29" borderId="12" xfId="0" applyNumberFormat="1" applyFont="1" applyFill="1" applyBorder="1" applyAlignment="1">
      <alignment horizontal="center" vertical="center"/>
    </xf>
    <xf numFmtId="164" fontId="9" fillId="29" borderId="12" xfId="1" quotePrefix="1" applyNumberFormat="1" applyFont="1" applyFill="1" applyBorder="1" applyAlignment="1">
      <alignment horizontal="center" vertical="center" wrapText="1"/>
    </xf>
    <xf numFmtId="14" fontId="34" fillId="29" borderId="22" xfId="3" applyNumberFormat="1" applyFill="1" applyBorder="1" applyAlignment="1">
      <alignment horizontal="center" vertical="center" wrapText="1"/>
    </xf>
    <xf numFmtId="0" fontId="8" fillId="29" borderId="11" xfId="2" applyFont="1" applyFill="1" applyBorder="1" applyAlignment="1">
      <alignment horizontal="center" vertical="center" wrapText="1"/>
    </xf>
    <xf numFmtId="14" fontId="7" fillId="29" borderId="9" xfId="2" applyNumberFormat="1" applyFont="1" applyFill="1" applyBorder="1" applyAlignment="1">
      <alignment horizontal="center" vertical="center" wrapText="1"/>
    </xf>
    <xf numFmtId="14" fontId="34" fillId="29" borderId="11" xfId="3" applyNumberFormat="1" applyFill="1" applyBorder="1" applyAlignment="1">
      <alignment horizontal="center" vertical="center" wrapText="1"/>
    </xf>
    <xf numFmtId="14" fontId="9" fillId="29" borderId="7" xfId="2" applyNumberFormat="1" applyFont="1" applyFill="1" applyBorder="1" applyAlignment="1">
      <alignment horizontal="center" vertical="center" wrapText="1"/>
    </xf>
    <xf numFmtId="0" fontId="56" fillId="29" borderId="5" xfId="2" applyFont="1" applyFill="1" applyBorder="1" applyAlignment="1">
      <alignment horizontal="center" vertical="center" wrapText="1"/>
    </xf>
    <xf numFmtId="164" fontId="9" fillId="16" borderId="9" xfId="1" quotePrefix="1" applyNumberFormat="1" applyFont="1" applyFill="1" applyBorder="1" applyAlignment="1">
      <alignment horizontal="center" vertical="center" wrapText="1"/>
    </xf>
    <xf numFmtId="0" fontId="9" fillId="16" borderId="9" xfId="2" applyFont="1" applyFill="1" applyBorder="1" applyAlignment="1">
      <alignment horizontal="center" vertical="center" wrapText="1"/>
    </xf>
    <xf numFmtId="0" fontId="27" fillId="2" borderId="0" xfId="0" applyFont="1" applyFill="1" applyAlignment="1">
      <alignment horizontal="left" vertical="center" wrapText="1"/>
    </xf>
    <xf numFmtId="0" fontId="27" fillId="0" borderId="0" xfId="0" applyFont="1" applyAlignment="1">
      <alignment horizontal="left" vertical="center" wrapText="1"/>
    </xf>
    <xf numFmtId="164" fontId="27" fillId="0" borderId="13" xfId="0" quotePrefix="1" applyNumberFormat="1" applyFont="1" applyBorder="1" applyAlignment="1">
      <alignment horizontal="center" vertical="center" wrapText="1"/>
    </xf>
    <xf numFmtId="0" fontId="57" fillId="0" borderId="13" xfId="0" applyFont="1" applyBorder="1" applyAlignment="1">
      <alignment horizontal="center" vertical="center"/>
    </xf>
    <xf numFmtId="164" fontId="9" fillId="0" borderId="17" xfId="1" quotePrefix="1" applyNumberFormat="1" applyFont="1" applyFill="1" applyBorder="1" applyAlignment="1">
      <alignment horizontal="center" vertical="center" wrapText="1"/>
    </xf>
    <xf numFmtId="0" fontId="3" fillId="0" borderId="0" xfId="2" applyFont="1" applyAlignment="1">
      <alignment vertical="center" wrapText="1"/>
    </xf>
    <xf numFmtId="14" fontId="9" fillId="0" borderId="23" xfId="2" applyNumberFormat="1" applyFont="1" applyBorder="1" applyAlignment="1">
      <alignment horizontal="center" vertical="center" wrapText="1"/>
    </xf>
    <xf numFmtId="164" fontId="7" fillId="29" borderId="15" xfId="1" quotePrefix="1" applyNumberFormat="1" applyFont="1" applyFill="1" applyBorder="1" applyAlignment="1">
      <alignment horizontal="center" vertical="center" wrapText="1"/>
    </xf>
    <xf numFmtId="14" fontId="9" fillId="29" borderId="19" xfId="2" applyNumberFormat="1" applyFont="1" applyFill="1" applyBorder="1" applyAlignment="1">
      <alignment horizontal="center" vertical="center" wrapText="1"/>
    </xf>
    <xf numFmtId="14" fontId="9" fillId="29" borderId="2" xfId="2" applyNumberFormat="1" applyFont="1" applyFill="1" applyBorder="1" applyAlignment="1">
      <alignment horizontal="center" vertical="center" wrapText="1"/>
    </xf>
    <xf numFmtId="14" fontId="9" fillId="29" borderId="15" xfId="2" applyNumberFormat="1" applyFont="1" applyFill="1" applyBorder="1" applyAlignment="1">
      <alignment horizontal="center" vertical="center" wrapText="1"/>
    </xf>
    <xf numFmtId="14" fontId="56" fillId="29" borderId="19" xfId="2" applyNumberFormat="1" applyFont="1" applyFill="1" applyBorder="1" applyAlignment="1">
      <alignment horizontal="center" vertical="center" wrapText="1"/>
    </xf>
    <xf numFmtId="14" fontId="56" fillId="29" borderId="12" xfId="2" applyNumberFormat="1" applyFont="1" applyFill="1" applyBorder="1" applyAlignment="1">
      <alignment horizontal="center" vertical="center" wrapText="1"/>
    </xf>
    <xf numFmtId="14" fontId="9" fillId="29" borderId="21" xfId="2" applyNumberFormat="1" applyFont="1" applyFill="1" applyBorder="1" applyAlignment="1">
      <alignment horizontal="center" vertical="center" wrapText="1"/>
    </xf>
    <xf numFmtId="14" fontId="34" fillId="29" borderId="21" xfId="3" applyNumberFormat="1" applyFill="1" applyBorder="1" applyAlignment="1">
      <alignment horizontal="center" vertical="center" wrapText="1"/>
    </xf>
    <xf numFmtId="164" fontId="57" fillId="30" borderId="21" xfId="0" quotePrefix="1" applyNumberFormat="1" applyFont="1" applyFill="1" applyBorder="1" applyAlignment="1">
      <alignment horizontal="center" vertical="center" wrapText="1"/>
    </xf>
    <xf numFmtId="0" fontId="57" fillId="30" borderId="12" xfId="0" applyFont="1" applyFill="1" applyBorder="1" applyAlignment="1">
      <alignment horizontal="center" vertical="center"/>
    </xf>
    <xf numFmtId="10" fontId="8" fillId="2" borderId="9" xfId="0" applyNumberFormat="1" applyFont="1" applyFill="1" applyBorder="1" applyAlignment="1">
      <alignment horizontal="center" vertical="center"/>
    </xf>
    <xf numFmtId="0" fontId="8" fillId="0" borderId="9" xfId="0" applyFont="1" applyBorder="1" applyAlignment="1">
      <alignment horizontal="center" vertical="center"/>
    </xf>
    <xf numFmtId="10" fontId="8" fillId="0" borderId="9" xfId="0" applyNumberFormat="1" applyFont="1" applyBorder="1" applyAlignment="1">
      <alignment horizontal="center" vertical="center"/>
    </xf>
    <xf numFmtId="0" fontId="8" fillId="16" borderId="9" xfId="0" applyFont="1" applyFill="1" applyBorder="1" applyAlignment="1">
      <alignment horizontal="center" vertical="center"/>
    </xf>
    <xf numFmtId="16" fontId="8" fillId="2" borderId="9" xfId="0" applyNumberFormat="1" applyFont="1" applyFill="1" applyBorder="1" applyAlignment="1">
      <alignment horizontal="center" vertical="center"/>
    </xf>
    <xf numFmtId="10" fontId="43"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10" fontId="41" fillId="2" borderId="9" xfId="0" applyNumberFormat="1" applyFont="1" applyFill="1" applyBorder="1" applyAlignment="1">
      <alignment horizontal="center" vertical="center"/>
    </xf>
    <xf numFmtId="10" fontId="8" fillId="2" borderId="9" xfId="0" applyNumberFormat="1" applyFont="1" applyFill="1" applyBorder="1" applyAlignment="1">
      <alignment horizontal="center" vertical="center" wrapText="1"/>
    </xf>
    <xf numFmtId="0" fontId="7" fillId="2" borderId="9" xfId="2" applyFont="1" applyFill="1" applyBorder="1" applyAlignment="1">
      <alignment horizontal="center" vertical="center" wrapText="1"/>
    </xf>
    <xf numFmtId="3" fontId="8" fillId="2" borderId="9" xfId="0" applyNumberFormat="1" applyFont="1" applyFill="1" applyBorder="1" applyAlignment="1">
      <alignment horizontal="center" vertical="center"/>
    </xf>
    <xf numFmtId="10" fontId="8" fillId="29" borderId="9" xfId="0" applyNumberFormat="1" applyFont="1" applyFill="1" applyBorder="1" applyAlignment="1">
      <alignment horizontal="center" vertical="center" wrapText="1"/>
    </xf>
    <xf numFmtId="10" fontId="7" fillId="2" borderId="9" xfId="2" applyNumberFormat="1" applyFont="1" applyFill="1" applyBorder="1" applyAlignment="1">
      <alignment horizontal="center" vertical="center" wrapText="1"/>
    </xf>
    <xf numFmtId="0" fontId="7" fillId="16" borderId="9" xfId="2" applyFont="1" applyFill="1" applyBorder="1" applyAlignment="1">
      <alignment horizontal="center" vertical="center" wrapText="1"/>
    </xf>
    <xf numFmtId="10" fontId="7" fillId="16" borderId="9" xfId="2" applyNumberFormat="1" applyFont="1" applyFill="1" applyBorder="1" applyAlignment="1">
      <alignment horizontal="center" vertical="center" wrapText="1"/>
    </xf>
    <xf numFmtId="0" fontId="3" fillId="16" borderId="9" xfId="2" applyFont="1" applyFill="1" applyBorder="1" applyAlignment="1">
      <alignment horizontal="center" vertical="center" wrapText="1"/>
    </xf>
    <xf numFmtId="0" fontId="7" fillId="2" borderId="23" xfId="2" applyFont="1" applyFill="1" applyBorder="1" applyAlignment="1">
      <alignment horizontal="center" vertical="center" wrapText="1"/>
    </xf>
    <xf numFmtId="10" fontId="7" fillId="2" borderId="13" xfId="2" applyNumberFormat="1" applyFont="1" applyFill="1" applyBorder="1" applyAlignment="1">
      <alignment horizontal="center" vertical="center" wrapText="1"/>
    </xf>
    <xf numFmtId="0" fontId="7" fillId="2" borderId="0" xfId="0" applyFont="1" applyFill="1" applyAlignment="1">
      <alignment horizontal="center" vertical="center"/>
    </xf>
    <xf numFmtId="10" fontId="7" fillId="2" borderId="0" xfId="0" applyNumberFormat="1" applyFont="1" applyFill="1" applyAlignment="1">
      <alignment horizontal="center" vertical="center"/>
    </xf>
    <xf numFmtId="0" fontId="3" fillId="2" borderId="9" xfId="0" applyFont="1" applyFill="1" applyBorder="1" applyAlignment="1">
      <alignment horizontal="center" vertical="center"/>
    </xf>
    <xf numFmtId="10" fontId="3" fillId="2" borderId="9" xfId="0" applyNumberFormat="1" applyFont="1" applyFill="1" applyBorder="1" applyAlignment="1">
      <alignment horizontal="center" vertical="center"/>
    </xf>
    <xf numFmtId="0" fontId="34" fillId="29" borderId="9" xfId="3" applyFill="1" applyBorder="1" applyAlignment="1">
      <alignment horizontal="center" vertical="center" wrapText="1"/>
    </xf>
    <xf numFmtId="0" fontId="4" fillId="21" borderId="0" xfId="1" applyFont="1" applyFill="1" applyBorder="1" applyAlignment="1">
      <alignment horizontal="center" vertical="center" wrapText="1"/>
    </xf>
    <xf numFmtId="0" fontId="8" fillId="2" borderId="22" xfId="0" applyFont="1" applyFill="1" applyBorder="1" applyAlignment="1">
      <alignment horizontal="center" vertical="center"/>
    </xf>
    <xf numFmtId="14" fontId="56" fillId="29" borderId="11" xfId="2" applyNumberFormat="1" applyFont="1" applyFill="1" applyBorder="1" applyAlignment="1">
      <alignment horizontal="center" vertical="center" wrapText="1"/>
    </xf>
    <xf numFmtId="0" fontId="56" fillId="29" borderId="17" xfId="2" applyFont="1" applyFill="1" applyBorder="1" applyAlignment="1">
      <alignment horizontal="center" vertical="center" wrapText="1"/>
    </xf>
    <xf numFmtId="10" fontId="8" fillId="29" borderId="17" xfId="2" applyNumberFormat="1" applyFont="1" applyFill="1" applyBorder="1" applyAlignment="1">
      <alignment horizontal="center" vertical="center" wrapText="1"/>
    </xf>
    <xf numFmtId="10" fontId="5" fillId="29" borderId="9" xfId="2" applyNumberFormat="1" applyFont="1" applyFill="1" applyBorder="1" applyAlignment="1">
      <alignment horizontal="center" vertical="center" wrapText="1"/>
    </xf>
    <xf numFmtId="0" fontId="7" fillId="29" borderId="0" xfId="0" applyFont="1" applyFill="1"/>
    <xf numFmtId="164" fontId="9" fillId="29" borderId="13" xfId="1" quotePrefix="1" applyNumberFormat="1" applyFont="1" applyFill="1" applyBorder="1" applyAlignment="1">
      <alignment horizontal="center" vertical="center" wrapText="1"/>
    </xf>
    <xf numFmtId="164" fontId="9" fillId="29" borderId="32" xfId="1" quotePrefix="1" applyNumberFormat="1" applyFont="1" applyFill="1" applyBorder="1" applyAlignment="1">
      <alignment horizontal="center" vertical="center" wrapText="1"/>
    </xf>
    <xf numFmtId="0" fontId="8" fillId="2" borderId="0" xfId="0" applyFont="1" applyFill="1" applyAlignment="1">
      <alignment horizontal="center"/>
    </xf>
    <xf numFmtId="166" fontId="8" fillId="2" borderId="0" xfId="0" applyNumberFormat="1" applyFont="1" applyFill="1" applyAlignment="1">
      <alignment horizontal="center"/>
    </xf>
    <xf numFmtId="166" fontId="57" fillId="30" borderId="9" xfId="0" applyNumberFormat="1" applyFont="1" applyFill="1" applyBorder="1" applyAlignment="1">
      <alignment horizontal="center" vertical="center"/>
    </xf>
    <xf numFmtId="166" fontId="57" fillId="0" borderId="9" xfId="0" applyNumberFormat="1" applyFont="1" applyBorder="1" applyAlignment="1">
      <alignment horizontal="center" vertical="center"/>
    </xf>
    <xf numFmtId="166" fontId="57" fillId="0" borderId="9" xfId="2" applyNumberFormat="1" applyFont="1" applyBorder="1" applyAlignment="1">
      <alignment horizontal="center" vertical="center" wrapText="1"/>
    </xf>
    <xf numFmtId="166" fontId="57" fillId="0" borderId="9" xfId="0" applyNumberFormat="1" applyFont="1" applyBorder="1" applyAlignment="1">
      <alignment horizontal="center" vertical="center" wrapText="1"/>
    </xf>
    <xf numFmtId="166" fontId="57" fillId="30" borderId="9" xfId="0" applyNumberFormat="1" applyFont="1" applyFill="1" applyBorder="1" applyAlignment="1">
      <alignment horizontal="center" vertical="center" wrapText="1"/>
    </xf>
    <xf numFmtId="166" fontId="57" fillId="30" borderId="9" xfId="2" applyNumberFormat="1" applyFont="1" applyFill="1" applyBorder="1" applyAlignment="1">
      <alignment horizontal="center" vertical="center" wrapText="1"/>
    </xf>
    <xf numFmtId="0" fontId="7" fillId="0" borderId="0" xfId="0" applyFont="1" applyAlignment="1">
      <alignment horizontal="center" wrapText="1"/>
    </xf>
    <xf numFmtId="0" fontId="68" fillId="0" borderId="0" xfId="0" applyFont="1" applyAlignment="1">
      <alignment horizontal="center"/>
    </xf>
    <xf numFmtId="10" fontId="68" fillId="0" borderId="0" xfId="0" applyNumberFormat="1" applyFont="1" applyAlignment="1">
      <alignment horizontal="center"/>
    </xf>
    <xf numFmtId="1" fontId="57" fillId="0" borderId="9" xfId="2" applyNumberFormat="1" applyFont="1" applyBorder="1" applyAlignment="1">
      <alignment horizontal="center" vertical="center" wrapText="1"/>
    </xf>
    <xf numFmtId="1" fontId="68" fillId="0" borderId="0" xfId="0" applyNumberFormat="1" applyFont="1" applyAlignment="1">
      <alignment horizontal="center"/>
    </xf>
    <xf numFmtId="164" fontId="57" fillId="30" borderId="9" xfId="0" quotePrefix="1" applyNumberFormat="1" applyFont="1" applyFill="1" applyBorder="1" applyAlignment="1">
      <alignment horizontal="center" vertical="center" wrapText="1"/>
    </xf>
    <xf numFmtId="164" fontId="34" fillId="0" borderId="13" xfId="3" quotePrefix="1" applyNumberFormat="1" applyFill="1" applyBorder="1" applyAlignment="1">
      <alignment horizontal="center" vertical="center" wrapText="1"/>
    </xf>
    <xf numFmtId="0" fontId="34" fillId="0" borderId="13" xfId="3" applyFill="1" applyBorder="1" applyAlignment="1">
      <alignment horizontal="center" vertical="center" wrapText="1"/>
    </xf>
    <xf numFmtId="0" fontId="27" fillId="30" borderId="12" xfId="0" applyFont="1" applyFill="1" applyBorder="1" applyAlignment="1">
      <alignment horizontal="center" vertical="center" wrapText="1"/>
    </xf>
    <xf numFmtId="166" fontId="57" fillId="30" borderId="12" xfId="0" applyNumberFormat="1" applyFont="1" applyFill="1" applyBorder="1" applyAlignment="1">
      <alignment horizontal="center" vertical="center"/>
    </xf>
    <xf numFmtId="0" fontId="57" fillId="0" borderId="11" xfId="0" applyFont="1" applyBorder="1" applyAlignment="1">
      <alignment horizontal="center" vertical="center"/>
    </xf>
    <xf numFmtId="164" fontId="27" fillId="0" borderId="12" xfId="0" quotePrefix="1" applyNumberFormat="1" applyFont="1" applyBorder="1" applyAlignment="1">
      <alignment horizontal="center" vertical="center" wrapText="1"/>
    </xf>
    <xf numFmtId="0" fontId="27" fillId="30" borderId="13" xfId="0" applyFont="1" applyFill="1" applyBorder="1" applyAlignment="1">
      <alignment horizontal="center" vertical="center" wrapText="1"/>
    </xf>
    <xf numFmtId="0" fontId="57" fillId="2" borderId="0" xfId="0" applyFont="1" applyFill="1" applyAlignment="1">
      <alignment horizontal="left" vertical="center" wrapText="1"/>
    </xf>
    <xf numFmtId="0" fontId="34" fillId="0" borderId="9" xfId="3" applyFill="1" applyBorder="1" applyAlignment="1">
      <alignment horizontal="center" vertical="center" wrapText="1"/>
    </xf>
    <xf numFmtId="164" fontId="16" fillId="0" borderId="9" xfId="0" quotePrefix="1" applyNumberFormat="1" applyFont="1" applyBorder="1" applyAlignment="1">
      <alignment horizontal="center" vertical="center" wrapText="1"/>
    </xf>
    <xf numFmtId="164" fontId="34" fillId="0" borderId="9" xfId="3" quotePrefix="1" applyNumberFormat="1" applyFill="1" applyBorder="1" applyAlignment="1">
      <alignment horizontal="center" vertical="center" wrapText="1"/>
    </xf>
    <xf numFmtId="0" fontId="57" fillId="30" borderId="13" xfId="0" applyFont="1" applyFill="1" applyBorder="1" applyAlignment="1">
      <alignment horizontal="center" vertical="center"/>
    </xf>
    <xf numFmtId="164" fontId="64" fillId="0" borderId="9" xfId="0" quotePrefix="1" applyNumberFormat="1" applyFont="1" applyBorder="1" applyAlignment="1">
      <alignment horizontal="center" vertical="center" wrapText="1"/>
    </xf>
    <xf numFmtId="164" fontId="69" fillId="0" borderId="9" xfId="3" quotePrefix="1" applyNumberFormat="1" applyFont="1" applyFill="1" applyBorder="1" applyAlignment="1">
      <alignment horizontal="center" vertical="center" wrapText="1"/>
    </xf>
    <xf numFmtId="0" fontId="67" fillId="0" borderId="9" xfId="0" applyFont="1" applyBorder="1" applyAlignment="1">
      <alignment horizontal="center" vertical="center"/>
    </xf>
    <xf numFmtId="166" fontId="67" fillId="0" borderId="9" xfId="0" applyNumberFormat="1" applyFont="1" applyBorder="1" applyAlignment="1">
      <alignment horizontal="center" vertical="center"/>
    </xf>
    <xf numFmtId="0" fontId="41" fillId="0" borderId="26" xfId="0" applyFont="1" applyBorder="1" applyAlignment="1">
      <alignment horizontal="center" vertical="center"/>
    </xf>
    <xf numFmtId="164" fontId="50" fillId="0" borderId="9" xfId="0" applyNumberFormat="1" applyFont="1" applyBorder="1" applyAlignment="1">
      <alignment horizontal="center" vertical="center" wrapText="1"/>
    </xf>
    <xf numFmtId="166" fontId="57" fillId="0" borderId="13" xfId="0" applyNumberFormat="1" applyFont="1" applyBorder="1" applyAlignment="1">
      <alignment horizontal="center" vertical="center"/>
    </xf>
    <xf numFmtId="164" fontId="4" fillId="33" borderId="2" xfId="1" applyNumberFormat="1" applyFont="1" applyFill="1" applyBorder="1" applyAlignment="1">
      <alignment horizontal="center" vertical="center" wrapText="1"/>
    </xf>
    <xf numFmtId="164" fontId="70" fillId="33" borderId="2" xfId="3" applyNumberFormat="1" applyFont="1" applyFill="1" applyBorder="1" applyAlignment="1">
      <alignment horizontal="center" vertical="center" wrapText="1"/>
    </xf>
    <xf numFmtId="0" fontId="4" fillId="33" borderId="2" xfId="1" applyFont="1" applyFill="1" applyBorder="1" applyAlignment="1">
      <alignment horizontal="center" vertical="center" wrapText="1"/>
    </xf>
    <xf numFmtId="166" fontId="4" fillId="33" borderId="2" xfId="1" applyNumberFormat="1" applyFont="1" applyFill="1" applyBorder="1" applyAlignment="1">
      <alignment horizontal="center" vertical="center" wrapText="1"/>
    </xf>
    <xf numFmtId="164" fontId="27" fillId="0" borderId="22" xfId="0" quotePrefix="1" applyNumberFormat="1" applyFont="1" applyBorder="1" applyAlignment="1">
      <alignment horizontal="center" vertical="center" wrapText="1"/>
    </xf>
    <xf numFmtId="164" fontId="34" fillId="0" borderId="12" xfId="3" quotePrefix="1" applyNumberFormat="1" applyFill="1" applyBorder="1" applyAlignment="1">
      <alignment horizontal="center" vertical="center" wrapText="1"/>
    </xf>
    <xf numFmtId="0" fontId="57" fillId="0" borderId="12" xfId="0" applyFont="1" applyBorder="1" applyAlignment="1">
      <alignment horizontal="center" vertical="center"/>
    </xf>
    <xf numFmtId="164" fontId="57" fillId="30" borderId="9" xfId="0" quotePrefix="1" applyNumberFormat="1" applyFont="1" applyFill="1" applyBorder="1" applyAlignment="1">
      <alignment vertical="center" wrapText="1"/>
    </xf>
    <xf numFmtId="166" fontId="57" fillId="30" borderId="9" xfId="0" quotePrefix="1" applyNumberFormat="1" applyFont="1" applyFill="1" applyBorder="1" applyAlignment="1">
      <alignment vertical="center" wrapText="1"/>
    </xf>
    <xf numFmtId="1" fontId="4" fillId="33" borderId="2" xfId="1" applyNumberFormat="1" applyFont="1" applyFill="1" applyBorder="1" applyAlignment="1">
      <alignment horizontal="center" vertical="center" wrapText="1"/>
    </xf>
    <xf numFmtId="164" fontId="57" fillId="0" borderId="9" xfId="1" quotePrefix="1" applyNumberFormat="1" applyFont="1" applyFill="1" applyBorder="1" applyAlignment="1">
      <alignment horizontal="center" vertical="center" wrapText="1"/>
    </xf>
    <xf numFmtId="164" fontId="34" fillId="0" borderId="9" xfId="3" applyNumberFormat="1" applyFill="1" applyBorder="1" applyAlignment="1">
      <alignment horizontal="center" vertical="center" wrapText="1"/>
    </xf>
    <xf numFmtId="3" fontId="4" fillId="33" borderId="2" xfId="1" applyNumberFormat="1" applyFont="1" applyFill="1" applyBorder="1" applyAlignment="1">
      <alignment horizontal="center" vertical="center" wrapText="1"/>
    </xf>
    <xf numFmtId="164" fontId="27" fillId="0" borderId="11" xfId="1" quotePrefix="1" applyNumberFormat="1" applyFont="1" applyFill="1" applyBorder="1" applyAlignment="1">
      <alignment horizontal="center" vertical="center" wrapText="1"/>
    </xf>
    <xf numFmtId="0" fontId="34" fillId="0" borderId="9" xfId="3" applyFill="1" applyBorder="1" applyAlignment="1">
      <alignment wrapText="1"/>
    </xf>
    <xf numFmtId="0" fontId="27" fillId="0" borderId="17" xfId="0" applyFont="1" applyBorder="1" applyAlignment="1">
      <alignment horizontal="center" vertical="center" wrapText="1"/>
    </xf>
    <xf numFmtId="0" fontId="34" fillId="0" borderId="12" xfId="3" applyFill="1" applyBorder="1" applyAlignment="1">
      <alignment horizontal="center" vertical="center" wrapText="1"/>
    </xf>
    <xf numFmtId="0" fontId="41" fillId="0" borderId="9" xfId="0" applyFont="1" applyBorder="1" applyAlignment="1">
      <alignment horizontal="center" vertical="center"/>
    </xf>
    <xf numFmtId="166" fontId="57" fillId="30" borderId="17" xfId="0" applyNumberFormat="1" applyFont="1" applyFill="1" applyBorder="1" applyAlignment="1">
      <alignment horizontal="center" vertical="center"/>
    </xf>
    <xf numFmtId="166" fontId="57" fillId="0" borderId="17" xfId="0" applyNumberFormat="1" applyFont="1" applyBorder="1" applyAlignment="1">
      <alignment horizontal="center" vertical="center"/>
    </xf>
    <xf numFmtId="3" fontId="57" fillId="0" borderId="17" xfId="2" applyNumberFormat="1" applyFont="1" applyBorder="1" applyAlignment="1">
      <alignment horizontal="center" vertical="center" wrapText="1"/>
    </xf>
    <xf numFmtId="166" fontId="67" fillId="0" borderId="17" xfId="0" applyNumberFormat="1" applyFont="1" applyBorder="1" applyAlignment="1">
      <alignment horizontal="center" vertical="center"/>
    </xf>
    <xf numFmtId="166" fontId="57" fillId="30" borderId="21" xfId="0" applyNumberFormat="1" applyFont="1" applyFill="1" applyBorder="1" applyAlignment="1">
      <alignment horizontal="center" vertical="center"/>
    </xf>
    <xf numFmtId="164" fontId="57" fillId="30" borderId="17" xfId="0" quotePrefix="1" applyNumberFormat="1" applyFont="1" applyFill="1" applyBorder="1" applyAlignment="1">
      <alignment vertical="center" wrapText="1"/>
    </xf>
    <xf numFmtId="10" fontId="57" fillId="0" borderId="22" xfId="0" applyNumberFormat="1" applyFont="1" applyBorder="1" applyAlignment="1">
      <alignment horizontal="center" vertical="center"/>
    </xf>
    <xf numFmtId="10" fontId="57" fillId="0" borderId="17" xfId="0" applyNumberFormat="1" applyFont="1" applyBorder="1" applyAlignment="1">
      <alignment horizontal="center" vertical="center"/>
    </xf>
    <xf numFmtId="166" fontId="57" fillId="0" borderId="17" xfId="0" applyNumberFormat="1" applyFont="1" applyBorder="1" applyAlignment="1">
      <alignment horizontal="center" vertical="center" wrapText="1"/>
    </xf>
    <xf numFmtId="166" fontId="57" fillId="30" borderId="17" xfId="0" applyNumberFormat="1" applyFont="1" applyFill="1" applyBorder="1" applyAlignment="1">
      <alignment horizontal="center" vertical="center" wrapText="1"/>
    </xf>
    <xf numFmtId="166" fontId="57" fillId="0" borderId="17" xfId="2" applyNumberFormat="1" applyFont="1" applyBorder="1" applyAlignment="1">
      <alignment horizontal="center" vertical="center" wrapText="1"/>
    </xf>
    <xf numFmtId="166" fontId="57" fillId="30" borderId="17" xfId="2" applyNumberFormat="1" applyFont="1" applyFill="1" applyBorder="1" applyAlignment="1">
      <alignment horizontal="center" vertical="center" wrapText="1"/>
    </xf>
    <xf numFmtId="0" fontId="8" fillId="2" borderId="11" xfId="0" applyFont="1" applyFill="1" applyBorder="1" applyAlignment="1">
      <alignment horizontal="center" vertical="center"/>
    </xf>
    <xf numFmtId="164" fontId="27" fillId="30" borderId="17" xfId="0" quotePrefix="1" applyNumberFormat="1" applyFont="1" applyFill="1" applyBorder="1" applyAlignment="1">
      <alignment horizontal="center" vertical="center" wrapText="1"/>
    </xf>
    <xf numFmtId="0" fontId="8" fillId="30" borderId="9" xfId="0" applyFont="1" applyFill="1" applyBorder="1" applyAlignment="1">
      <alignment horizontal="center" vertical="center"/>
    </xf>
    <xf numFmtId="0" fontId="73" fillId="30" borderId="9" xfId="0" applyFont="1" applyFill="1" applyBorder="1" applyAlignment="1">
      <alignment horizontal="center" vertical="center" wrapText="1"/>
    </xf>
    <xf numFmtId="164" fontId="74" fillId="29" borderId="9" xfId="3" quotePrefix="1" applyNumberFormat="1" applyFont="1" applyFill="1" applyBorder="1" applyAlignment="1">
      <alignment horizontal="center" vertical="center" wrapText="1"/>
    </xf>
    <xf numFmtId="164" fontId="73" fillId="29" borderId="17" xfId="0" quotePrefix="1" applyNumberFormat="1" applyFont="1" applyFill="1" applyBorder="1" applyAlignment="1">
      <alignment horizontal="center" vertical="center" wrapText="1"/>
    </xf>
    <xf numFmtId="164" fontId="73" fillId="29" borderId="9" xfId="0" quotePrefix="1" applyNumberFormat="1" applyFont="1" applyFill="1" applyBorder="1" applyAlignment="1">
      <alignment horizontal="center" vertical="center" wrapText="1"/>
    </xf>
    <xf numFmtId="0" fontId="73" fillId="29" borderId="9" xfId="0" applyFont="1" applyFill="1" applyBorder="1" applyAlignment="1">
      <alignment horizontal="center" vertical="center" wrapText="1"/>
    </xf>
    <xf numFmtId="0" fontId="74" fillId="29" borderId="9" xfId="3" applyFont="1" applyFill="1" applyBorder="1" applyAlignment="1">
      <alignment horizontal="center" vertical="center" wrapText="1"/>
    </xf>
    <xf numFmtId="0" fontId="72" fillId="29" borderId="9" xfId="0" applyFont="1" applyFill="1" applyBorder="1" applyAlignment="1">
      <alignment horizontal="center" vertical="center" wrapText="1"/>
    </xf>
    <xf numFmtId="10" fontId="72" fillId="29" borderId="9" xfId="0" applyNumberFormat="1" applyFont="1" applyFill="1" applyBorder="1" applyAlignment="1">
      <alignment horizontal="center" vertical="center"/>
    </xf>
    <xf numFmtId="1" fontId="72" fillId="29" borderId="9" xfId="0" applyNumberFormat="1" applyFont="1" applyFill="1" applyBorder="1" applyAlignment="1">
      <alignment horizontal="center" vertical="center"/>
    </xf>
    <xf numFmtId="164" fontId="75" fillId="0" borderId="17" xfId="0" quotePrefix="1" applyNumberFormat="1" applyFont="1" applyBorder="1" applyAlignment="1">
      <alignment horizontal="center" vertical="center" wrapText="1"/>
    </xf>
    <xf numFmtId="0" fontId="73" fillId="0" borderId="9" xfId="0" applyFont="1" applyBorder="1" applyAlignment="1">
      <alignment horizontal="center" vertical="center" wrapText="1"/>
    </xf>
    <xf numFmtId="0" fontId="72" fillId="0" borderId="9" xfId="0" applyFont="1" applyBorder="1" applyAlignment="1">
      <alignment horizontal="center" vertical="center" wrapText="1"/>
    </xf>
    <xf numFmtId="10" fontId="72" fillId="0" borderId="9" xfId="0" applyNumberFormat="1" applyFont="1" applyBorder="1" applyAlignment="1">
      <alignment horizontal="center" vertical="center"/>
    </xf>
    <xf numFmtId="1" fontId="72" fillId="0" borderId="9" xfId="0" applyNumberFormat="1" applyFont="1" applyBorder="1" applyAlignment="1">
      <alignment horizontal="center" vertical="center"/>
    </xf>
    <xf numFmtId="0" fontId="73" fillId="29" borderId="13" xfId="0" applyFont="1" applyFill="1" applyBorder="1" applyAlignment="1">
      <alignment horizontal="center" vertical="center" wrapText="1"/>
    </xf>
    <xf numFmtId="0" fontId="72" fillId="29" borderId="13" xfId="0" applyFont="1" applyFill="1" applyBorder="1" applyAlignment="1">
      <alignment horizontal="center" vertical="center" wrapText="1"/>
    </xf>
    <xf numFmtId="10" fontId="72" fillId="29" borderId="13" xfId="0" applyNumberFormat="1" applyFont="1" applyFill="1" applyBorder="1" applyAlignment="1">
      <alignment horizontal="center" vertical="center"/>
    </xf>
    <xf numFmtId="1" fontId="72" fillId="29" borderId="13" xfId="0" applyNumberFormat="1" applyFont="1" applyFill="1" applyBorder="1" applyAlignment="1">
      <alignment horizontal="center" vertical="center"/>
    </xf>
    <xf numFmtId="164" fontId="73" fillId="29" borderId="17" xfId="0" applyNumberFormat="1" applyFont="1" applyFill="1" applyBorder="1" applyAlignment="1">
      <alignment horizontal="center" vertical="center" wrapText="1"/>
    </xf>
    <xf numFmtId="164" fontId="72" fillId="19" borderId="17" xfId="0" quotePrefix="1" applyNumberFormat="1" applyFont="1" applyFill="1" applyBorder="1" applyAlignment="1">
      <alignment horizontal="center" vertical="center" wrapText="1"/>
    </xf>
    <xf numFmtId="0" fontId="72" fillId="19" borderId="9" xfId="0" applyFont="1" applyFill="1" applyBorder="1" applyAlignment="1">
      <alignment horizontal="center" vertical="center" wrapText="1"/>
    </xf>
    <xf numFmtId="10" fontId="72" fillId="19" borderId="9" xfId="0" applyNumberFormat="1" applyFont="1" applyFill="1" applyBorder="1" applyAlignment="1">
      <alignment horizontal="center" vertical="center"/>
    </xf>
    <xf numFmtId="1" fontId="72" fillId="19" borderId="9" xfId="0" applyNumberFormat="1" applyFont="1" applyFill="1" applyBorder="1" applyAlignment="1">
      <alignment horizontal="center" vertical="center"/>
    </xf>
    <xf numFmtId="0" fontId="72" fillId="31" borderId="9" xfId="0" applyFont="1" applyFill="1" applyBorder="1" applyAlignment="1">
      <alignment horizontal="center" vertical="center" wrapText="1"/>
    </xf>
    <xf numFmtId="164" fontId="75" fillId="31" borderId="17" xfId="0" quotePrefix="1" applyNumberFormat="1" applyFont="1" applyFill="1" applyBorder="1" applyAlignment="1">
      <alignment horizontal="center" vertical="center" wrapText="1"/>
    </xf>
    <xf numFmtId="0" fontId="75" fillId="31" borderId="9" xfId="0" applyFont="1" applyFill="1" applyBorder="1" applyAlignment="1">
      <alignment horizontal="center" vertical="center" wrapText="1"/>
    </xf>
    <xf numFmtId="1" fontId="76" fillId="31" borderId="9" xfId="0" applyNumberFormat="1" applyFont="1" applyFill="1" applyBorder="1" applyAlignment="1">
      <alignment horizontal="center" vertical="center"/>
    </xf>
    <xf numFmtId="10" fontId="76" fillId="31" borderId="9" xfId="0" applyNumberFormat="1" applyFont="1" applyFill="1" applyBorder="1" applyAlignment="1">
      <alignment horizontal="center" vertical="center"/>
    </xf>
    <xf numFmtId="164" fontId="72" fillId="30" borderId="17" xfId="0" quotePrefix="1" applyNumberFormat="1" applyFont="1" applyFill="1" applyBorder="1" applyAlignment="1">
      <alignment horizontal="center" vertical="center" wrapText="1"/>
    </xf>
    <xf numFmtId="0" fontId="72" fillId="30" borderId="9" xfId="0" applyFont="1" applyFill="1" applyBorder="1" applyAlignment="1">
      <alignment horizontal="center" vertical="center" wrapText="1"/>
    </xf>
    <xf numFmtId="0" fontId="72" fillId="30" borderId="9" xfId="0" applyFont="1" applyFill="1" applyBorder="1" applyAlignment="1">
      <alignment horizontal="center" vertical="center"/>
    </xf>
    <xf numFmtId="10" fontId="72" fillId="30" borderId="9" xfId="0" applyNumberFormat="1" applyFont="1" applyFill="1" applyBorder="1" applyAlignment="1">
      <alignment horizontal="center" vertical="center"/>
    </xf>
    <xf numFmtId="1" fontId="72" fillId="30" borderId="9" xfId="0" applyNumberFormat="1" applyFont="1" applyFill="1" applyBorder="1" applyAlignment="1">
      <alignment horizontal="center" vertical="center"/>
    </xf>
    <xf numFmtId="10" fontId="72" fillId="29" borderId="9" xfId="2" applyNumberFormat="1" applyFont="1" applyFill="1" applyBorder="1" applyAlignment="1">
      <alignment horizontal="center" vertical="center" wrapText="1"/>
    </xf>
    <xf numFmtId="0" fontId="77" fillId="29" borderId="9" xfId="0" applyFont="1" applyFill="1" applyBorder="1" applyAlignment="1">
      <alignment horizontal="center" vertical="center" wrapText="1"/>
    </xf>
    <xf numFmtId="164" fontId="72" fillId="4" borderId="15" xfId="1" quotePrefix="1" applyNumberFormat="1" applyFont="1" applyFill="1" applyBorder="1" applyAlignment="1">
      <alignment horizontal="center" vertical="center" wrapText="1"/>
    </xf>
    <xf numFmtId="14" fontId="73" fillId="30" borderId="9" xfId="2" applyNumberFormat="1" applyFont="1" applyFill="1" applyBorder="1" applyAlignment="1">
      <alignment horizontal="center" vertical="center" wrapText="1"/>
    </xf>
    <xf numFmtId="14" fontId="72" fillId="30" borderId="9" xfId="2" applyNumberFormat="1" applyFont="1" applyFill="1" applyBorder="1" applyAlignment="1">
      <alignment horizontal="center" vertical="center" wrapText="1"/>
    </xf>
    <xf numFmtId="10" fontId="76" fillId="30" borderId="9" xfId="0" applyNumberFormat="1" applyFont="1" applyFill="1" applyBorder="1" applyAlignment="1">
      <alignment horizontal="center" vertical="center" wrapText="1"/>
    </xf>
    <xf numFmtId="1" fontId="76" fillId="30" borderId="9" xfId="0" applyNumberFormat="1" applyFont="1" applyFill="1" applyBorder="1" applyAlignment="1">
      <alignment horizontal="center" vertical="center" wrapText="1"/>
    </xf>
    <xf numFmtId="164" fontId="73" fillId="29" borderId="9" xfId="0" applyNumberFormat="1" applyFont="1" applyFill="1" applyBorder="1" applyAlignment="1">
      <alignment horizontal="center" vertical="center" wrapText="1"/>
    </xf>
    <xf numFmtId="164" fontId="73" fillId="29" borderId="11" xfId="0" applyNumberFormat="1" applyFont="1" applyFill="1" applyBorder="1" applyAlignment="1">
      <alignment horizontal="center" vertical="center" wrapText="1"/>
    </xf>
    <xf numFmtId="0" fontId="73" fillId="29" borderId="23" xfId="0" applyFont="1" applyFill="1" applyBorder="1" applyAlignment="1">
      <alignment horizontal="center" vertical="center" wrapText="1"/>
    </xf>
    <xf numFmtId="164" fontId="73" fillId="30" borderId="9" xfId="0" applyNumberFormat="1" applyFont="1" applyFill="1" applyBorder="1" applyAlignment="1">
      <alignment horizontal="center" vertical="center" wrapText="1"/>
    </xf>
    <xf numFmtId="166" fontId="72" fillId="29" borderId="9" xfId="0" applyNumberFormat="1" applyFont="1" applyFill="1" applyBorder="1" applyAlignment="1">
      <alignment horizontal="center" vertical="center"/>
    </xf>
    <xf numFmtId="164" fontId="72" fillId="30" borderId="17" xfId="0" applyNumberFormat="1" applyFont="1" applyFill="1" applyBorder="1" applyAlignment="1">
      <alignment horizontal="center" vertical="center" wrapText="1"/>
    </xf>
    <xf numFmtId="164" fontId="74" fillId="29" borderId="9" xfId="3" applyNumberFormat="1" applyFont="1" applyFill="1" applyBorder="1" applyAlignment="1">
      <alignment horizontal="center" vertical="center" wrapText="1"/>
    </xf>
    <xf numFmtId="164" fontId="72" fillId="29" borderId="9" xfId="0" applyNumberFormat="1" applyFont="1" applyFill="1" applyBorder="1" applyAlignment="1">
      <alignment horizontal="center" vertical="center" wrapText="1"/>
    </xf>
    <xf numFmtId="1" fontId="72" fillId="29" borderId="9" xfId="2" applyNumberFormat="1" applyFont="1" applyFill="1" applyBorder="1" applyAlignment="1">
      <alignment horizontal="center" vertical="center" wrapText="1"/>
    </xf>
    <xf numFmtId="14" fontId="74" fillId="29" borderId="9" xfId="3" applyNumberFormat="1" applyFont="1" applyFill="1" applyBorder="1" applyAlignment="1">
      <alignment horizontal="center" vertical="center" wrapText="1"/>
    </xf>
    <xf numFmtId="14" fontId="72" fillId="29" borderId="9" xfId="2" applyNumberFormat="1" applyFont="1" applyFill="1" applyBorder="1" applyAlignment="1">
      <alignment horizontal="center" vertical="center" wrapText="1"/>
    </xf>
    <xf numFmtId="164" fontId="72" fillId="19" borderId="17" xfId="0" applyNumberFormat="1" applyFont="1" applyFill="1" applyBorder="1" applyAlignment="1">
      <alignment horizontal="center" vertical="center" wrapText="1"/>
    </xf>
    <xf numFmtId="0" fontId="73" fillId="19" borderId="9" xfId="0" applyFont="1" applyFill="1" applyBorder="1" applyAlignment="1">
      <alignment horizontal="center" vertical="center" wrapText="1"/>
    </xf>
    <xf numFmtId="14" fontId="73" fillId="0" borderId="9" xfId="2" applyNumberFormat="1" applyFont="1" applyBorder="1" applyAlignment="1">
      <alignment horizontal="center" vertical="center" wrapText="1"/>
    </xf>
    <xf numFmtId="14" fontId="72" fillId="0" borderId="9" xfId="2" applyNumberFormat="1" applyFont="1" applyBorder="1" applyAlignment="1">
      <alignment horizontal="center" vertical="center" wrapText="1"/>
    </xf>
    <xf numFmtId="1" fontId="72" fillId="0" borderId="9" xfId="0" applyNumberFormat="1" applyFont="1" applyBorder="1" applyAlignment="1">
      <alignment horizontal="center" vertical="center" wrapText="1"/>
    </xf>
    <xf numFmtId="14" fontId="74" fillId="0" borderId="9" xfId="3" applyNumberFormat="1" applyFont="1" applyBorder="1" applyAlignment="1">
      <alignment horizontal="center" vertical="center" wrapText="1"/>
    </xf>
    <xf numFmtId="10" fontId="73" fillId="0" borderId="9" xfId="0" applyNumberFormat="1" applyFont="1" applyBorder="1" applyAlignment="1">
      <alignment horizontal="center" vertical="center" wrapText="1"/>
    </xf>
    <xf numFmtId="1" fontId="73" fillId="0" borderId="9" xfId="0" applyNumberFormat="1" applyFont="1" applyBorder="1" applyAlignment="1">
      <alignment horizontal="center" vertical="center" wrapText="1"/>
    </xf>
    <xf numFmtId="10" fontId="72" fillId="0" borderId="9" xfId="2" applyNumberFormat="1" applyFont="1" applyBorder="1" applyAlignment="1">
      <alignment horizontal="center" vertical="center" wrapText="1"/>
    </xf>
    <xf numFmtId="1" fontId="72" fillId="0" borderId="9" xfId="2" applyNumberFormat="1" applyFont="1" applyBorder="1" applyAlignment="1">
      <alignment horizontal="center" vertical="center" wrapText="1"/>
    </xf>
    <xf numFmtId="164" fontId="72" fillId="30" borderId="17" xfId="1" quotePrefix="1" applyNumberFormat="1" applyFont="1" applyFill="1" applyBorder="1" applyAlignment="1">
      <alignment horizontal="center" vertical="center" wrapText="1"/>
    </xf>
    <xf numFmtId="14" fontId="78" fillId="30" borderId="9" xfId="3" applyNumberFormat="1" applyFont="1" applyFill="1" applyBorder="1" applyAlignment="1">
      <alignment horizontal="center" vertical="center" wrapText="1"/>
    </xf>
    <xf numFmtId="10" fontId="72" fillId="30" borderId="9" xfId="2" applyNumberFormat="1" applyFont="1" applyFill="1" applyBorder="1" applyAlignment="1">
      <alignment horizontal="center" vertical="center" wrapText="1"/>
    </xf>
    <xf numFmtId="1" fontId="72" fillId="30" borderId="9" xfId="2" applyNumberFormat="1" applyFont="1" applyFill="1" applyBorder="1" applyAlignment="1">
      <alignment horizontal="center" vertical="center" wrapText="1"/>
    </xf>
    <xf numFmtId="10" fontId="72" fillId="30" borderId="12" xfId="2" applyNumberFormat="1" applyFont="1" applyFill="1" applyBorder="1" applyAlignment="1">
      <alignment horizontal="center" vertical="center" wrapText="1"/>
    </xf>
    <xf numFmtId="1" fontId="72" fillId="30" borderId="12" xfId="2" applyNumberFormat="1" applyFont="1" applyFill="1" applyBorder="1" applyAlignment="1">
      <alignment horizontal="center" vertical="center" wrapText="1"/>
    </xf>
    <xf numFmtId="164" fontId="73" fillId="4" borderId="10" xfId="1" quotePrefix="1" applyNumberFormat="1" applyFont="1" applyFill="1" applyBorder="1" applyAlignment="1">
      <alignment horizontal="center" vertical="center" wrapText="1"/>
    </xf>
    <xf numFmtId="14" fontId="73" fillId="4" borderId="9" xfId="2" applyNumberFormat="1" applyFont="1" applyFill="1" applyBorder="1" applyAlignment="1">
      <alignment horizontal="center" vertical="center" wrapText="1"/>
    </xf>
    <xf numFmtId="14" fontId="72" fillId="4" borderId="9" xfId="2" applyNumberFormat="1" applyFont="1" applyFill="1" applyBorder="1" applyAlignment="1">
      <alignment horizontal="center" vertical="center" wrapText="1"/>
    </xf>
    <xf numFmtId="1" fontId="72" fillId="29" borderId="9" xfId="0" applyNumberFormat="1" applyFont="1" applyFill="1" applyBorder="1" applyAlignment="1">
      <alignment horizontal="center" vertical="center" wrapText="1"/>
    </xf>
    <xf numFmtId="166" fontId="72" fillId="0" borderId="9" xfId="0" applyNumberFormat="1" applyFont="1" applyBorder="1" applyAlignment="1">
      <alignment horizontal="center" vertical="center"/>
    </xf>
    <xf numFmtId="10" fontId="72" fillId="29" borderId="9" xfId="0" applyNumberFormat="1" applyFont="1" applyFill="1" applyBorder="1" applyAlignment="1">
      <alignment horizontal="center" vertical="center" wrapText="1"/>
    </xf>
    <xf numFmtId="166" fontId="72" fillId="29" borderId="9" xfId="0" applyNumberFormat="1" applyFont="1" applyFill="1" applyBorder="1" applyAlignment="1">
      <alignment horizontal="center" vertical="center" wrapText="1"/>
    </xf>
    <xf numFmtId="1" fontId="72" fillId="19" borderId="9" xfId="0" applyNumberFormat="1" applyFont="1" applyFill="1" applyBorder="1" applyAlignment="1">
      <alignment horizontal="center" vertical="center" wrapText="1"/>
    </xf>
    <xf numFmtId="166" fontId="72" fillId="19" borderId="9" xfId="0" applyNumberFormat="1" applyFont="1" applyFill="1" applyBorder="1" applyAlignment="1">
      <alignment horizontal="center" vertical="center"/>
    </xf>
    <xf numFmtId="164" fontId="73" fillId="19" borderId="9" xfId="0" applyNumberFormat="1" applyFont="1" applyFill="1" applyBorder="1" applyAlignment="1">
      <alignment horizontal="center" vertical="center" wrapText="1"/>
    </xf>
    <xf numFmtId="164" fontId="72" fillId="19" borderId="9" xfId="0" applyNumberFormat="1" applyFont="1" applyFill="1" applyBorder="1" applyAlignment="1">
      <alignment horizontal="center" vertical="center" wrapText="1"/>
    </xf>
    <xf numFmtId="10" fontId="72" fillId="19" borderId="9" xfId="0" applyNumberFormat="1" applyFont="1" applyFill="1" applyBorder="1" applyAlignment="1">
      <alignment horizontal="center" vertical="center" wrapText="1"/>
    </xf>
    <xf numFmtId="166" fontId="72" fillId="19" borderId="9" xfId="0" applyNumberFormat="1" applyFont="1" applyFill="1" applyBorder="1" applyAlignment="1">
      <alignment horizontal="center" vertical="center" wrapText="1"/>
    </xf>
    <xf numFmtId="164" fontId="75" fillId="30" borderId="17" xfId="0" quotePrefix="1" applyNumberFormat="1" applyFont="1" applyFill="1" applyBorder="1" applyAlignment="1">
      <alignment horizontal="center" vertical="center" wrapText="1"/>
    </xf>
    <xf numFmtId="164" fontId="74" fillId="30" borderId="9" xfId="3" applyNumberFormat="1" applyFont="1" applyFill="1" applyBorder="1" applyAlignment="1">
      <alignment horizontal="center" vertical="center" wrapText="1"/>
    </xf>
    <xf numFmtId="164" fontId="72" fillId="30" borderId="9" xfId="0" applyNumberFormat="1" applyFont="1" applyFill="1" applyBorder="1" applyAlignment="1">
      <alignment horizontal="center" vertical="center" wrapText="1"/>
    </xf>
    <xf numFmtId="1" fontId="72" fillId="30" borderId="9" xfId="0" applyNumberFormat="1" applyFont="1" applyFill="1" applyBorder="1" applyAlignment="1">
      <alignment horizontal="center" vertical="center" wrapText="1"/>
    </xf>
    <xf numFmtId="10" fontId="72" fillId="30" borderId="9" xfId="0" applyNumberFormat="1" applyFont="1" applyFill="1" applyBorder="1" applyAlignment="1">
      <alignment horizontal="center" vertical="center" wrapText="1"/>
    </xf>
    <xf numFmtId="166" fontId="72" fillId="30" borderId="9" xfId="0" applyNumberFormat="1" applyFont="1" applyFill="1" applyBorder="1" applyAlignment="1">
      <alignment horizontal="center" vertical="center" wrapText="1"/>
    </xf>
    <xf numFmtId="164" fontId="75" fillId="16" borderId="17" xfId="0" quotePrefix="1" applyNumberFormat="1" applyFont="1" applyFill="1" applyBorder="1" applyAlignment="1">
      <alignment horizontal="center" vertical="center" wrapText="1"/>
    </xf>
    <xf numFmtId="164" fontId="75" fillId="16" borderId="9" xfId="0" applyNumberFormat="1" applyFont="1" applyFill="1" applyBorder="1" applyAlignment="1">
      <alignment horizontal="center" vertical="center" wrapText="1"/>
    </xf>
    <xf numFmtId="164" fontId="79" fillId="16" borderId="9" xfId="3" applyNumberFormat="1" applyFont="1" applyFill="1" applyBorder="1" applyAlignment="1">
      <alignment horizontal="center" vertical="center" wrapText="1"/>
    </xf>
    <xf numFmtId="164" fontId="72" fillId="16" borderId="9" xfId="0" applyNumberFormat="1" applyFont="1" applyFill="1" applyBorder="1" applyAlignment="1">
      <alignment horizontal="center" vertical="center" wrapText="1"/>
    </xf>
    <xf numFmtId="1" fontId="72" fillId="16" borderId="9" xfId="0" applyNumberFormat="1" applyFont="1" applyFill="1" applyBorder="1" applyAlignment="1">
      <alignment horizontal="center" vertical="center" wrapText="1"/>
    </xf>
    <xf numFmtId="1" fontId="76" fillId="16" borderId="9" xfId="0" applyNumberFormat="1" applyFont="1" applyFill="1" applyBorder="1" applyAlignment="1">
      <alignment horizontal="center" vertical="center" wrapText="1"/>
    </xf>
    <xf numFmtId="10" fontId="76" fillId="16" borderId="9" xfId="0" applyNumberFormat="1" applyFont="1" applyFill="1" applyBorder="1" applyAlignment="1">
      <alignment horizontal="center" vertical="center" wrapText="1"/>
    </xf>
    <xf numFmtId="166" fontId="76" fillId="16" borderId="9" xfId="0" applyNumberFormat="1" applyFont="1" applyFill="1" applyBorder="1" applyAlignment="1">
      <alignment horizontal="center" vertical="center" wrapText="1"/>
    </xf>
    <xf numFmtId="0" fontId="75" fillId="29" borderId="13" xfId="0" applyFont="1" applyFill="1" applyBorder="1" applyAlignment="1">
      <alignment horizontal="center" vertical="center" wrapText="1"/>
    </xf>
    <xf numFmtId="166" fontId="72" fillId="29" borderId="13" xfId="0" applyNumberFormat="1" applyFont="1" applyFill="1" applyBorder="1" applyAlignment="1">
      <alignment horizontal="center" vertical="center"/>
    </xf>
    <xf numFmtId="1" fontId="76" fillId="29" borderId="13" xfId="0" applyNumberFormat="1" applyFont="1" applyFill="1" applyBorder="1" applyAlignment="1">
      <alignment horizontal="center" vertical="center"/>
    </xf>
    <xf numFmtId="10" fontId="76" fillId="29" borderId="13" xfId="0" applyNumberFormat="1" applyFont="1" applyFill="1" applyBorder="1" applyAlignment="1">
      <alignment horizontal="center" vertical="center"/>
    </xf>
    <xf numFmtId="1" fontId="72" fillId="31" borderId="9" xfId="0" applyNumberFormat="1" applyFont="1" applyFill="1" applyBorder="1" applyAlignment="1">
      <alignment horizontal="center" vertical="center" wrapText="1"/>
    </xf>
    <xf numFmtId="166" fontId="76" fillId="31" borderId="9" xfId="0" applyNumberFormat="1" applyFont="1" applyFill="1" applyBorder="1" applyAlignment="1">
      <alignment horizontal="center" vertical="center"/>
    </xf>
    <xf numFmtId="166" fontId="72" fillId="30" borderId="9" xfId="0" applyNumberFormat="1" applyFont="1" applyFill="1" applyBorder="1" applyAlignment="1">
      <alignment horizontal="center" vertical="center"/>
    </xf>
    <xf numFmtId="0" fontId="73" fillId="29" borderId="11" xfId="0" applyFont="1" applyFill="1" applyBorder="1" applyAlignment="1">
      <alignment horizontal="center" vertical="center" wrapText="1"/>
    </xf>
    <xf numFmtId="166" fontId="72" fillId="29" borderId="9" xfId="2" applyNumberFormat="1" applyFont="1" applyFill="1" applyBorder="1" applyAlignment="1">
      <alignment horizontal="center" vertical="center" wrapText="1"/>
    </xf>
    <xf numFmtId="0" fontId="77" fillId="19" borderId="9" xfId="0" applyFont="1" applyFill="1" applyBorder="1" applyAlignment="1">
      <alignment horizontal="center" vertical="center" wrapText="1"/>
    </xf>
    <xf numFmtId="1" fontId="72" fillId="19" borderId="9" xfId="2" applyNumberFormat="1" applyFont="1" applyFill="1" applyBorder="1" applyAlignment="1">
      <alignment horizontal="center" vertical="center" wrapText="1"/>
    </xf>
    <xf numFmtId="166" fontId="76" fillId="30" borderId="9" xfId="0" applyNumberFormat="1" applyFont="1" applyFill="1" applyBorder="1" applyAlignment="1">
      <alignment horizontal="center" vertical="center" wrapText="1"/>
    </xf>
    <xf numFmtId="164" fontId="75" fillId="0" borderId="9" xfId="0" applyNumberFormat="1" applyFont="1" applyBorder="1" applyAlignment="1">
      <alignment horizontal="center" vertical="center" wrapText="1"/>
    </xf>
    <xf numFmtId="164" fontId="79" fillId="0" borderId="9" xfId="3" quotePrefix="1" applyNumberFormat="1" applyFont="1" applyBorder="1" applyAlignment="1">
      <alignment horizontal="center" vertical="center" wrapText="1"/>
    </xf>
    <xf numFmtId="0" fontId="75" fillId="0" borderId="9" xfId="0" applyFont="1" applyBorder="1" applyAlignment="1">
      <alignment horizontal="center" vertical="center" wrapText="1"/>
    </xf>
    <xf numFmtId="1" fontId="76" fillId="0" borderId="9" xfId="0" applyNumberFormat="1" applyFont="1" applyBorder="1" applyAlignment="1">
      <alignment horizontal="center" vertical="center"/>
    </xf>
    <xf numFmtId="10" fontId="76" fillId="0" borderId="9" xfId="0" applyNumberFormat="1" applyFont="1" applyBorder="1" applyAlignment="1">
      <alignment horizontal="center" vertical="center"/>
    </xf>
    <xf numFmtId="166" fontId="76" fillId="0" borderId="9" xfId="0" applyNumberFormat="1" applyFont="1" applyBorder="1" applyAlignment="1">
      <alignment horizontal="center" vertical="center"/>
    </xf>
    <xf numFmtId="0" fontId="75" fillId="29" borderId="9" xfId="0" applyFont="1" applyFill="1" applyBorder="1" applyAlignment="1">
      <alignment horizontal="center" vertical="center" wrapText="1"/>
    </xf>
    <xf numFmtId="164" fontId="79" fillId="0" borderId="9" xfId="3" applyNumberFormat="1" applyFont="1" applyBorder="1" applyAlignment="1">
      <alignment horizontal="center" vertical="center" wrapText="1"/>
    </xf>
    <xf numFmtId="164" fontId="75" fillId="0" borderId="22" xfId="0" applyNumberFormat="1" applyFont="1" applyBorder="1" applyAlignment="1">
      <alignment horizontal="center" vertical="center" wrapText="1"/>
    </xf>
    <xf numFmtId="164" fontId="73" fillId="0" borderId="9" xfId="0" applyNumberFormat="1" applyFont="1" applyBorder="1" applyAlignment="1">
      <alignment horizontal="center" vertical="center" wrapText="1"/>
    </xf>
    <xf numFmtId="14" fontId="72" fillId="29" borderId="11" xfId="2" applyNumberFormat="1" applyFont="1" applyFill="1" applyBorder="1" applyAlignment="1">
      <alignment horizontal="center" vertical="center" wrapText="1"/>
    </xf>
    <xf numFmtId="164" fontId="73" fillId="18" borderId="17" xfId="0" applyNumberFormat="1" applyFont="1" applyFill="1" applyBorder="1" applyAlignment="1">
      <alignment horizontal="center" vertical="center" wrapText="1"/>
    </xf>
    <xf numFmtId="164" fontId="73" fillId="18" borderId="9" xfId="0" applyNumberFormat="1" applyFont="1" applyFill="1" applyBorder="1" applyAlignment="1">
      <alignment horizontal="center" vertical="center" wrapText="1"/>
    </xf>
    <xf numFmtId="14" fontId="74" fillId="18" borderId="9" xfId="3" applyNumberFormat="1" applyFont="1" applyFill="1" applyBorder="1" applyAlignment="1">
      <alignment horizontal="center" vertical="center" wrapText="1"/>
    </xf>
    <xf numFmtId="0" fontId="73" fillId="18" borderId="9" xfId="0" applyFont="1" applyFill="1" applyBorder="1" applyAlignment="1">
      <alignment horizontal="center" vertical="center" wrapText="1"/>
    </xf>
    <xf numFmtId="0" fontId="72" fillId="18" borderId="9" xfId="0" applyFont="1" applyFill="1" applyBorder="1" applyAlignment="1">
      <alignment horizontal="center" vertical="center" wrapText="1"/>
    </xf>
    <xf numFmtId="1" fontId="72" fillId="18" borderId="9" xfId="2" applyNumberFormat="1" applyFont="1" applyFill="1" applyBorder="1" applyAlignment="1">
      <alignment horizontal="center" vertical="center" wrapText="1"/>
    </xf>
    <xf numFmtId="1" fontId="72" fillId="18" borderId="9" xfId="0" applyNumberFormat="1" applyFont="1" applyFill="1" applyBorder="1" applyAlignment="1">
      <alignment horizontal="center" vertical="center" wrapText="1"/>
    </xf>
    <xf numFmtId="10" fontId="72" fillId="18" borderId="9" xfId="0" applyNumberFormat="1" applyFont="1" applyFill="1" applyBorder="1" applyAlignment="1">
      <alignment horizontal="center" vertical="center" wrapText="1"/>
    </xf>
    <xf numFmtId="166" fontId="72" fillId="18" borderId="9" xfId="0" applyNumberFormat="1" applyFont="1" applyFill="1" applyBorder="1" applyAlignment="1">
      <alignment horizontal="center" vertical="center" wrapText="1"/>
    </xf>
    <xf numFmtId="0" fontId="75" fillId="18" borderId="9" xfId="0" applyFont="1" applyFill="1" applyBorder="1" applyAlignment="1">
      <alignment horizontal="center" vertical="center" wrapText="1"/>
    </xf>
    <xf numFmtId="0" fontId="81" fillId="29" borderId="9" xfId="0" applyFont="1" applyFill="1" applyBorder="1" applyAlignment="1">
      <alignment horizontal="center" vertical="center" wrapText="1"/>
    </xf>
    <xf numFmtId="14" fontId="73" fillId="29" borderId="9" xfId="2" applyNumberFormat="1" applyFont="1" applyFill="1" applyBorder="1" applyAlignment="1">
      <alignment horizontal="center" vertical="center" wrapText="1"/>
    </xf>
    <xf numFmtId="14" fontId="78" fillId="29" borderId="9" xfId="3" applyNumberFormat="1" applyFont="1" applyFill="1" applyBorder="1" applyAlignment="1">
      <alignment horizontal="center" vertical="center" wrapText="1"/>
    </xf>
    <xf numFmtId="166" fontId="72" fillId="0" borderId="9" xfId="0" applyNumberFormat="1" applyFont="1" applyBorder="1" applyAlignment="1">
      <alignment horizontal="center" vertical="center" wrapText="1"/>
    </xf>
    <xf numFmtId="166" fontId="72" fillId="0" borderId="9" xfId="2" applyNumberFormat="1" applyFont="1" applyBorder="1" applyAlignment="1">
      <alignment horizontal="center" vertical="center" wrapText="1"/>
    </xf>
    <xf numFmtId="166" fontId="72" fillId="30" borderId="9" xfId="2" applyNumberFormat="1" applyFont="1" applyFill="1" applyBorder="1" applyAlignment="1">
      <alignment horizontal="center" vertical="center" wrapText="1"/>
    </xf>
    <xf numFmtId="164" fontId="75" fillId="0" borderId="17" xfId="0" applyNumberFormat="1" applyFont="1" applyBorder="1" applyAlignment="1">
      <alignment horizontal="center" vertical="center" wrapText="1"/>
    </xf>
    <xf numFmtId="14" fontId="73" fillId="29" borderId="11" xfId="2" applyNumberFormat="1" applyFont="1" applyFill="1" applyBorder="1" applyAlignment="1">
      <alignment horizontal="center" vertical="center" wrapText="1"/>
    </xf>
    <xf numFmtId="10" fontId="73" fillId="0" borderId="9" xfId="2" applyNumberFormat="1" applyFont="1" applyBorder="1" applyAlignment="1">
      <alignment horizontal="center" vertical="center" wrapText="1"/>
    </xf>
    <xf numFmtId="1" fontId="73" fillId="0" borderId="9" xfId="2" applyNumberFormat="1" applyFont="1" applyBorder="1" applyAlignment="1">
      <alignment horizontal="center" vertical="center" wrapText="1"/>
    </xf>
    <xf numFmtId="164" fontId="73" fillId="4" borderId="0" xfId="1" quotePrefix="1" applyNumberFormat="1" applyFont="1" applyFill="1" applyBorder="1" applyAlignment="1">
      <alignment horizontal="center" vertical="center" wrapText="1"/>
    </xf>
    <xf numFmtId="166" fontId="72" fillId="30" borderId="0" xfId="2" applyNumberFormat="1" applyFont="1" applyFill="1" applyAlignment="1">
      <alignment horizontal="center" vertical="center" wrapText="1"/>
    </xf>
    <xf numFmtId="14" fontId="73" fillId="4" borderId="12" xfId="2" applyNumberFormat="1" applyFont="1" applyFill="1" applyBorder="1" applyAlignment="1">
      <alignment horizontal="center" vertical="center" wrapText="1"/>
    </xf>
    <xf numFmtId="14" fontId="72" fillId="4" borderId="12" xfId="2" applyNumberFormat="1" applyFont="1" applyFill="1" applyBorder="1" applyAlignment="1">
      <alignment horizontal="center" vertical="center" wrapText="1"/>
    </xf>
    <xf numFmtId="14" fontId="73" fillId="0" borderId="11" xfId="2" applyNumberFormat="1" applyFont="1" applyBorder="1" applyAlignment="1">
      <alignment horizontal="center" vertical="center" wrapText="1"/>
    </xf>
    <xf numFmtId="10" fontId="72" fillId="16" borderId="9" xfId="2" applyNumberFormat="1" applyFont="1" applyFill="1" applyBorder="1" applyAlignment="1">
      <alignment horizontal="center" vertical="center" wrapText="1"/>
    </xf>
    <xf numFmtId="164" fontId="73" fillId="16" borderId="17" xfId="1" quotePrefix="1" applyNumberFormat="1" applyFont="1" applyFill="1" applyBorder="1" applyAlignment="1">
      <alignment horizontal="center" vertical="center" wrapText="1"/>
    </xf>
    <xf numFmtId="14" fontId="73" fillId="0" borderId="17" xfId="2" applyNumberFormat="1" applyFont="1" applyBorder="1" applyAlignment="1">
      <alignment horizontal="center" vertical="center" wrapText="1"/>
    </xf>
    <xf numFmtId="164" fontId="73" fillId="19" borderId="11" xfId="0" applyNumberFormat="1" applyFont="1" applyFill="1" applyBorder="1" applyAlignment="1">
      <alignment horizontal="center" vertical="center" wrapText="1"/>
    </xf>
    <xf numFmtId="0" fontId="80" fillId="29" borderId="9" xfId="0" applyFont="1" applyFill="1" applyBorder="1" applyAlignment="1">
      <alignment horizontal="center" vertical="center" wrapText="1"/>
    </xf>
    <xf numFmtId="0" fontId="74" fillId="29" borderId="11" xfId="3" applyFont="1" applyFill="1" applyBorder="1" applyAlignment="1">
      <alignment horizontal="center" vertical="center" wrapText="1"/>
    </xf>
    <xf numFmtId="0" fontId="73" fillId="0" borderId="11" xfId="0" applyFont="1" applyBorder="1" applyAlignment="1">
      <alignment horizontal="center" vertical="center" wrapText="1"/>
    </xf>
    <xf numFmtId="0" fontId="73" fillId="19" borderId="11" xfId="0" applyFont="1" applyFill="1" applyBorder="1" applyAlignment="1">
      <alignment horizontal="center" vertical="center" wrapText="1"/>
    </xf>
    <xf numFmtId="164" fontId="73" fillId="30" borderId="11" xfId="0" applyNumberFormat="1" applyFont="1" applyFill="1" applyBorder="1" applyAlignment="1">
      <alignment horizontal="center" vertical="center" wrapText="1"/>
    </xf>
    <xf numFmtId="164" fontId="75" fillId="16" borderId="11" xfId="0" applyNumberFormat="1" applyFont="1" applyFill="1" applyBorder="1" applyAlignment="1">
      <alignment horizontal="center" vertical="center" wrapText="1"/>
    </xf>
    <xf numFmtId="0" fontId="75" fillId="29" borderId="23" xfId="0" applyFont="1" applyFill="1" applyBorder="1" applyAlignment="1">
      <alignment horizontal="center" vertical="center" wrapText="1"/>
    </xf>
    <xf numFmtId="0" fontId="75" fillId="31" borderId="11" xfId="0" applyFont="1" applyFill="1" applyBorder="1" applyAlignment="1">
      <alignment horizontal="center" vertical="center" wrapText="1"/>
    </xf>
    <xf numFmtId="0" fontId="72" fillId="30" borderId="11" xfId="0" applyFont="1" applyFill="1" applyBorder="1" applyAlignment="1">
      <alignment horizontal="center" vertical="center"/>
    </xf>
    <xf numFmtId="0" fontId="77" fillId="29" borderId="11" xfId="0" applyFont="1" applyFill="1" applyBorder="1" applyAlignment="1">
      <alignment horizontal="center" vertical="center" wrapText="1"/>
    </xf>
    <xf numFmtId="0" fontId="77" fillId="19" borderId="11" xfId="0" applyFont="1" applyFill="1" applyBorder="1" applyAlignment="1">
      <alignment horizontal="center" vertical="center" wrapText="1"/>
    </xf>
    <xf numFmtId="14" fontId="73" fillId="30" borderId="11" xfId="2" applyNumberFormat="1" applyFont="1" applyFill="1" applyBorder="1" applyAlignment="1">
      <alignment horizontal="center" vertical="center" wrapText="1"/>
    </xf>
    <xf numFmtId="0" fontId="75" fillId="0" borderId="11" xfId="0" applyFont="1" applyBorder="1" applyAlignment="1">
      <alignment horizontal="center" vertical="center" wrapText="1"/>
    </xf>
    <xf numFmtId="0" fontId="75" fillId="29" borderId="11" xfId="0" applyFont="1" applyFill="1" applyBorder="1" applyAlignment="1">
      <alignment horizontal="center" vertical="center" wrapText="1"/>
    </xf>
    <xf numFmtId="0" fontId="72" fillId="19" borderId="11" xfId="0" applyFont="1" applyFill="1" applyBorder="1" applyAlignment="1">
      <alignment horizontal="center" vertical="center" wrapText="1"/>
    </xf>
    <xf numFmtId="0" fontId="73" fillId="30" borderId="11" xfId="0" applyFont="1" applyFill="1" applyBorder="1" applyAlignment="1">
      <alignment horizontal="center" vertical="center" wrapText="1"/>
    </xf>
    <xf numFmtId="0" fontId="73" fillId="18" borderId="11" xfId="0" applyFont="1" applyFill="1" applyBorder="1" applyAlignment="1">
      <alignment horizontal="center" vertical="center" wrapText="1"/>
    </xf>
    <xf numFmtId="14" fontId="78" fillId="29" borderId="11" xfId="3" applyNumberFormat="1" applyFont="1" applyFill="1" applyBorder="1" applyAlignment="1">
      <alignment horizontal="center" vertical="center" wrapText="1"/>
    </xf>
    <xf numFmtId="14" fontId="78" fillId="30" borderId="11" xfId="3" applyNumberFormat="1" applyFont="1" applyFill="1" applyBorder="1" applyAlignment="1">
      <alignment horizontal="center" vertical="center" wrapText="1"/>
    </xf>
    <xf numFmtId="14" fontId="34" fillId="0" borderId="11" xfId="3" applyNumberFormat="1" applyBorder="1" applyAlignment="1">
      <alignment horizontal="center" vertical="center" wrapText="1"/>
    </xf>
    <xf numFmtId="14" fontId="73" fillId="4" borderId="11" xfId="2" applyNumberFormat="1" applyFont="1" applyFill="1" applyBorder="1" applyAlignment="1">
      <alignment horizontal="center" vertical="center" wrapText="1"/>
    </xf>
    <xf numFmtId="14" fontId="73" fillId="4" borderId="24" xfId="2" applyNumberFormat="1" applyFont="1" applyFill="1" applyBorder="1" applyAlignment="1">
      <alignment horizontal="center" vertical="center" wrapText="1"/>
    </xf>
    <xf numFmtId="164" fontId="73" fillId="4" borderId="17" xfId="1" quotePrefix="1" applyNumberFormat="1" applyFont="1" applyFill="1" applyBorder="1" applyAlignment="1">
      <alignment horizontal="center" vertical="center" wrapText="1"/>
    </xf>
    <xf numFmtId="164" fontId="73" fillId="4" borderId="21" xfId="1" quotePrefix="1" applyNumberFormat="1" applyFont="1" applyFill="1" applyBorder="1" applyAlignment="1">
      <alignment horizontal="center" vertical="center" wrapText="1"/>
    </xf>
    <xf numFmtId="10" fontId="72" fillId="30" borderId="17" xfId="2" applyNumberFormat="1" applyFont="1" applyFill="1" applyBorder="1" applyAlignment="1">
      <alignment horizontal="center" vertical="center" wrapText="1"/>
    </xf>
    <xf numFmtId="10" fontId="72" fillId="30" borderId="21" xfId="2" applyNumberFormat="1" applyFont="1" applyFill="1" applyBorder="1" applyAlignment="1">
      <alignment horizontal="center" vertical="center" wrapText="1"/>
    </xf>
    <xf numFmtId="14" fontId="73" fillId="4" borderId="21" xfId="2" applyNumberFormat="1" applyFont="1" applyFill="1" applyBorder="1" applyAlignment="1">
      <alignment horizontal="center" vertical="center" wrapText="1"/>
    </xf>
    <xf numFmtId="14" fontId="73" fillId="4" borderId="17" xfId="2" applyNumberFormat="1" applyFont="1" applyFill="1" applyBorder="1" applyAlignment="1">
      <alignment horizontal="center" vertical="center" wrapText="1"/>
    </xf>
    <xf numFmtId="166" fontId="72" fillId="0" borderId="11" xfId="2" applyNumberFormat="1" applyFont="1" applyBorder="1" applyAlignment="1">
      <alignment horizontal="center" vertical="center" wrapText="1"/>
    </xf>
    <xf numFmtId="166" fontId="72" fillId="30" borderId="11" xfId="2" applyNumberFormat="1" applyFont="1" applyFill="1" applyBorder="1" applyAlignment="1">
      <alignment horizontal="center" vertical="center" wrapText="1"/>
    </xf>
    <xf numFmtId="10" fontId="72" fillId="16" borderId="12" xfId="2" applyNumberFormat="1" applyFont="1" applyFill="1" applyBorder="1" applyAlignment="1">
      <alignment horizontal="center" vertical="center" wrapText="1"/>
    </xf>
    <xf numFmtId="1" fontId="72" fillId="30" borderId="11" xfId="2" applyNumberFormat="1" applyFont="1" applyFill="1" applyBorder="1" applyAlignment="1">
      <alignment horizontal="center" vertical="center" wrapText="1"/>
    </xf>
    <xf numFmtId="14" fontId="73" fillId="4" borderId="30" xfId="2" applyNumberFormat="1" applyFont="1" applyFill="1" applyBorder="1" applyAlignment="1">
      <alignment horizontal="center" vertical="center" wrapText="1"/>
    </xf>
    <xf numFmtId="14" fontId="73" fillId="4" borderId="32" xfId="2" applyNumberFormat="1" applyFont="1" applyFill="1" applyBorder="1" applyAlignment="1">
      <alignment horizontal="center" vertical="center" wrapText="1"/>
    </xf>
    <xf numFmtId="14" fontId="72" fillId="4" borderId="32" xfId="2" applyNumberFormat="1" applyFont="1" applyFill="1" applyBorder="1" applyAlignment="1">
      <alignment horizontal="center" vertical="center" wrapText="1"/>
    </xf>
    <xf numFmtId="1" fontId="72" fillId="30" borderId="32" xfId="2" applyNumberFormat="1" applyFont="1" applyFill="1" applyBorder="1" applyAlignment="1">
      <alignment horizontal="center" vertical="center" wrapText="1"/>
    </xf>
    <xf numFmtId="10" fontId="72" fillId="30" borderId="32" xfId="2" applyNumberFormat="1" applyFont="1" applyFill="1" applyBorder="1" applyAlignment="1">
      <alignment horizontal="center" vertical="center" wrapText="1"/>
    </xf>
    <xf numFmtId="10" fontId="72" fillId="30" borderId="25" xfId="2" applyNumberFormat="1" applyFont="1" applyFill="1" applyBorder="1" applyAlignment="1">
      <alignment horizontal="center" vertical="center" wrapText="1"/>
    </xf>
    <xf numFmtId="1" fontId="73" fillId="0" borderId="12" xfId="2" applyNumberFormat="1" applyFont="1" applyBorder="1" applyAlignment="1">
      <alignment horizontal="center" vertical="center" wrapText="1"/>
    </xf>
    <xf numFmtId="0" fontId="83" fillId="0" borderId="9" xfId="2" applyFont="1" applyBorder="1" applyAlignment="1">
      <alignment horizontal="center" vertical="center" wrapText="1"/>
    </xf>
    <xf numFmtId="164" fontId="77" fillId="5" borderId="9" xfId="1" quotePrefix="1" applyNumberFormat="1" applyFont="1" applyFill="1" applyBorder="1" applyAlignment="1">
      <alignment horizontal="center" vertical="center" wrapText="1"/>
    </xf>
    <xf numFmtId="164" fontId="72" fillId="19" borderId="9" xfId="0" quotePrefix="1" applyNumberFormat="1" applyFont="1" applyFill="1" applyBorder="1" applyAlignment="1">
      <alignment horizontal="center" vertical="center" wrapText="1"/>
    </xf>
    <xf numFmtId="16" fontId="72" fillId="30" borderId="9" xfId="0" applyNumberFormat="1" applyFont="1" applyFill="1" applyBorder="1" applyAlignment="1">
      <alignment horizontal="center" vertical="center"/>
    </xf>
    <xf numFmtId="164" fontId="72" fillId="30" borderId="9" xfId="1" quotePrefix="1" applyNumberFormat="1" applyFont="1" applyFill="1" applyBorder="1" applyAlignment="1">
      <alignment horizontal="center" vertical="center" wrapText="1"/>
    </xf>
    <xf numFmtId="164" fontId="86" fillId="35" borderId="29" xfId="4" applyNumberFormat="1" applyFont="1" applyBorder="1" applyAlignment="1">
      <alignment horizontal="center" vertical="center" wrapText="1"/>
    </xf>
    <xf numFmtId="164" fontId="73" fillId="0" borderId="9" xfId="1" quotePrefix="1" applyNumberFormat="1" applyFont="1" applyBorder="1" applyAlignment="1">
      <alignment horizontal="center" vertical="center" wrapText="1"/>
    </xf>
    <xf numFmtId="164" fontId="73" fillId="0" borderId="12" xfId="1" applyNumberFormat="1" applyFont="1" applyBorder="1" applyAlignment="1">
      <alignment horizontal="center" vertical="center" wrapText="1"/>
    </xf>
    <xf numFmtId="164" fontId="27" fillId="35" borderId="9" xfId="4" quotePrefix="1" applyNumberFormat="1" applyFont="1" applyBorder="1" applyAlignment="1">
      <alignment horizontal="center" vertical="center" wrapText="1"/>
    </xf>
    <xf numFmtId="164" fontId="27" fillId="35" borderId="32" xfId="4" quotePrefix="1" applyNumberFormat="1" applyFont="1" applyBorder="1" applyAlignment="1">
      <alignment horizontal="center" vertical="center" wrapText="1"/>
    </xf>
    <xf numFmtId="0" fontId="88" fillId="2" borderId="0" xfId="2" applyFont="1" applyFill="1" applyAlignment="1">
      <alignment horizontal="center" vertical="center" wrapText="1"/>
    </xf>
    <xf numFmtId="1" fontId="89" fillId="8" borderId="2" xfId="1" applyNumberFormat="1" applyFont="1" applyFill="1" applyBorder="1" applyAlignment="1">
      <alignment horizontal="center" vertical="center" wrapText="1"/>
    </xf>
    <xf numFmtId="0" fontId="90" fillId="2" borderId="0" xfId="0" applyFont="1" applyFill="1" applyAlignment="1">
      <alignment horizontal="center" vertical="center"/>
    </xf>
    <xf numFmtId="1" fontId="51" fillId="2" borderId="0" xfId="0" applyNumberFormat="1" applyFont="1" applyFill="1" applyAlignment="1">
      <alignment horizontal="center" vertical="center" wrapText="1"/>
    </xf>
    <xf numFmtId="164" fontId="89" fillId="8" borderId="14" xfId="1" applyNumberFormat="1" applyFont="1" applyFill="1" applyBorder="1" applyAlignment="1">
      <alignment horizontal="center" vertical="center" wrapText="1"/>
    </xf>
    <xf numFmtId="164" fontId="89" fillId="8" borderId="9" xfId="1" applyNumberFormat="1" applyFont="1" applyFill="1" applyBorder="1" applyAlignment="1">
      <alignment horizontal="center" vertical="center" wrapText="1"/>
    </xf>
    <xf numFmtId="0" fontId="89" fillId="8" borderId="9" xfId="1" applyFont="1" applyFill="1" applyBorder="1" applyAlignment="1">
      <alignment horizontal="center" vertical="center" wrapText="1"/>
    </xf>
    <xf numFmtId="0" fontId="89" fillId="8" borderId="19" xfId="1" applyFont="1" applyFill="1" applyBorder="1" applyAlignment="1">
      <alignment horizontal="center" vertical="center" wrapText="1"/>
    </xf>
    <xf numFmtId="0" fontId="89" fillId="8" borderId="2" xfId="1" applyFont="1" applyFill="1" applyBorder="1" applyAlignment="1">
      <alignment horizontal="center" vertical="center" wrapText="1"/>
    </xf>
    <xf numFmtId="10" fontId="89" fillId="8" borderId="2" xfId="1" applyNumberFormat="1" applyFont="1" applyFill="1" applyBorder="1" applyAlignment="1">
      <alignment horizontal="center" vertical="center" wrapText="1"/>
    </xf>
    <xf numFmtId="166" fontId="89" fillId="8" borderId="2" xfId="1" applyNumberFormat="1" applyFont="1" applyFill="1" applyBorder="1" applyAlignment="1">
      <alignment horizontal="center" vertical="center" wrapText="1"/>
    </xf>
    <xf numFmtId="164" fontId="75" fillId="31" borderId="9" xfId="0" applyNumberFormat="1" applyFont="1" applyFill="1" applyBorder="1" applyAlignment="1">
      <alignment horizontal="center" vertical="center" wrapText="1"/>
    </xf>
    <xf numFmtId="164" fontId="73" fillId="29" borderId="9" xfId="1" applyNumberFormat="1" applyFont="1" applyFill="1" applyBorder="1" applyAlignment="1">
      <alignment horizontal="center" vertical="center" wrapText="1"/>
    </xf>
    <xf numFmtId="14" fontId="84" fillId="29" borderId="9" xfId="2" applyNumberFormat="1" applyFont="1" applyFill="1" applyBorder="1" applyAlignment="1">
      <alignment horizontal="center" vertical="center" wrapText="1"/>
    </xf>
    <xf numFmtId="14" fontId="90" fillId="29" borderId="9" xfId="2" applyNumberFormat="1" applyFont="1" applyFill="1" applyBorder="1" applyAlignment="1">
      <alignment horizontal="center" vertical="center" wrapText="1"/>
    </xf>
    <xf numFmtId="14" fontId="84" fillId="18" borderId="9" xfId="2" applyNumberFormat="1" applyFont="1" applyFill="1" applyBorder="1" applyAlignment="1">
      <alignment horizontal="center" vertical="center" wrapText="1"/>
    </xf>
    <xf numFmtId="164" fontId="73" fillId="0" borderId="17" xfId="1" applyNumberFormat="1" applyFont="1" applyBorder="1" applyAlignment="1">
      <alignment horizontal="center" vertical="center" wrapText="1"/>
    </xf>
    <xf numFmtId="164" fontId="73" fillId="0" borderId="9" xfId="1" applyNumberFormat="1" applyFont="1" applyBorder="1" applyAlignment="1">
      <alignment horizontal="center" vertical="center" wrapText="1"/>
    </xf>
    <xf numFmtId="14" fontId="78" fillId="0" borderId="11" xfId="3" applyNumberFormat="1" applyFont="1" applyBorder="1" applyAlignment="1">
      <alignment horizontal="center" vertical="center" wrapText="1"/>
    </xf>
    <xf numFmtId="14" fontId="78" fillId="0" borderId="9" xfId="3" applyNumberFormat="1" applyFont="1" applyBorder="1" applyAlignment="1">
      <alignment horizontal="center" vertical="center" wrapText="1"/>
    </xf>
    <xf numFmtId="0" fontId="73" fillId="0" borderId="9" xfId="1" applyFont="1" applyBorder="1" applyAlignment="1">
      <alignment horizontal="center" vertical="center" wrapText="1"/>
    </xf>
    <xf numFmtId="0" fontId="73" fillId="0" borderId="17" xfId="1" applyFont="1" applyBorder="1" applyAlignment="1">
      <alignment horizontal="center" vertical="center" wrapText="1"/>
    </xf>
    <xf numFmtId="10" fontId="73" fillId="0" borderId="17" xfId="1" applyNumberFormat="1" applyFont="1" applyBorder="1" applyAlignment="1">
      <alignment horizontal="center" vertical="center" wrapText="1"/>
    </xf>
    <xf numFmtId="2" fontId="73" fillId="16" borderId="17" xfId="1" applyNumberFormat="1" applyFont="1" applyFill="1" applyBorder="1" applyAlignment="1">
      <alignment horizontal="center" vertical="center" wrapText="1"/>
    </xf>
    <xf numFmtId="164" fontId="73" fillId="16" borderId="17" xfId="1" applyNumberFormat="1" applyFont="1" applyFill="1" applyBorder="1" applyAlignment="1">
      <alignment horizontal="center" vertical="center" wrapText="1"/>
    </xf>
    <xf numFmtId="164" fontId="73" fillId="16" borderId="9" xfId="1" applyNumberFormat="1" applyFont="1" applyFill="1" applyBorder="1" applyAlignment="1">
      <alignment horizontal="center" vertical="center" wrapText="1"/>
    </xf>
    <xf numFmtId="164" fontId="73" fillId="0" borderId="21" xfId="1" applyNumberFormat="1" applyFont="1" applyBorder="1" applyAlignment="1">
      <alignment horizontal="center" vertical="center" wrapText="1"/>
    </xf>
    <xf numFmtId="164" fontId="73" fillId="0" borderId="29" xfId="1" applyNumberFormat="1" applyFont="1" applyBorder="1" applyAlignment="1">
      <alignment horizontal="center" vertical="center" wrapText="1"/>
    </xf>
    <xf numFmtId="164" fontId="73" fillId="0" borderId="28" xfId="1" applyNumberFormat="1" applyFont="1" applyBorder="1" applyAlignment="1">
      <alignment horizontal="center" vertical="center" wrapText="1"/>
    </xf>
    <xf numFmtId="164" fontId="73" fillId="0" borderId="11" xfId="1" applyNumberFormat="1" applyFont="1" applyBorder="1" applyAlignment="1">
      <alignment horizontal="center" vertical="center" wrapText="1"/>
    </xf>
    <xf numFmtId="164" fontId="73" fillId="0" borderId="17" xfId="1" quotePrefix="1" applyNumberFormat="1" applyFont="1" applyBorder="1" applyAlignment="1">
      <alignment horizontal="center" vertical="center" wrapText="1"/>
    </xf>
    <xf numFmtId="164" fontId="34" fillId="0" borderId="17" xfId="3" quotePrefix="1" applyNumberFormat="1" applyBorder="1" applyAlignment="1">
      <alignment horizontal="center" vertical="center" wrapText="1"/>
    </xf>
    <xf numFmtId="164" fontId="34" fillId="0" borderId="21" xfId="3" quotePrefix="1" applyNumberFormat="1" applyBorder="1" applyAlignment="1">
      <alignment horizontal="center" vertical="center" wrapText="1"/>
    </xf>
    <xf numFmtId="164" fontId="73" fillId="0" borderId="21" xfId="1" quotePrefix="1" applyNumberFormat="1" applyFont="1" applyBorder="1" applyAlignment="1">
      <alignment horizontal="center" vertical="center" wrapText="1"/>
    </xf>
    <xf numFmtId="164" fontId="73" fillId="0" borderId="0" xfId="1" quotePrefix="1" applyNumberFormat="1" applyFont="1" applyBorder="1" applyAlignment="1">
      <alignment horizontal="center" vertical="center" wrapText="1"/>
    </xf>
    <xf numFmtId="164" fontId="27" fillId="35" borderId="9" xfId="4" applyNumberFormat="1" applyFont="1" applyBorder="1" applyAlignment="1">
      <alignment horizontal="center" vertical="center" wrapText="1"/>
    </xf>
    <xf numFmtId="164" fontId="27" fillId="35" borderId="32" xfId="4" applyNumberFormat="1" applyFont="1" applyBorder="1" applyAlignment="1">
      <alignment horizontal="center" vertical="center" wrapText="1"/>
    </xf>
    <xf numFmtId="164" fontId="27" fillId="35" borderId="25" xfId="4" applyNumberFormat="1" applyFont="1" applyBorder="1" applyAlignment="1">
      <alignment horizontal="center" vertical="center" wrapText="1"/>
    </xf>
    <xf numFmtId="164" fontId="86" fillId="35" borderId="9" xfId="4" applyNumberFormat="1" applyFont="1" applyBorder="1" applyAlignment="1">
      <alignment horizontal="center" vertical="center" wrapText="1"/>
    </xf>
    <xf numFmtId="164" fontId="72" fillId="30" borderId="9" xfId="1" applyNumberFormat="1" applyFont="1" applyFill="1" applyBorder="1" applyAlignment="1">
      <alignment horizontal="center" vertical="center" wrapText="1"/>
    </xf>
    <xf numFmtId="164" fontId="73" fillId="5" borderId="9" xfId="1" applyNumberFormat="1" applyFont="1" applyFill="1" applyBorder="1" applyAlignment="1">
      <alignment horizontal="center" vertical="center" wrapText="1"/>
    </xf>
    <xf numFmtId="164" fontId="73" fillId="30" borderId="9" xfId="1" applyNumberFormat="1" applyFont="1" applyFill="1" applyBorder="1" applyAlignment="1">
      <alignment horizontal="center" vertical="center" wrapText="1"/>
    </xf>
    <xf numFmtId="0" fontId="89" fillId="8" borderId="0" xfId="1" applyFont="1" applyFill="1" applyBorder="1" applyAlignment="1">
      <alignment horizontal="center" vertical="center" wrapText="1"/>
    </xf>
    <xf numFmtId="0" fontId="2" fillId="2" borderId="0" xfId="0" applyFont="1" applyFill="1" applyAlignment="1">
      <alignment horizontal="center"/>
    </xf>
    <xf numFmtId="0" fontId="90" fillId="0" borderId="0" xfId="0" applyFont="1" applyAlignment="1">
      <alignment horizontal="center" vertical="center"/>
    </xf>
    <xf numFmtId="164" fontId="72" fillId="19" borderId="11" xfId="0" applyNumberFormat="1" applyFont="1" applyFill="1" applyBorder="1" applyAlignment="1">
      <alignment horizontal="center" vertical="center" wrapText="1"/>
    </xf>
    <xf numFmtId="0" fontId="91" fillId="16" borderId="0" xfId="0" applyFont="1" applyFill="1" applyAlignment="1">
      <alignment horizontal="center" vertical="center"/>
    </xf>
    <xf numFmtId="0" fontId="91" fillId="2" borderId="0" xfId="0" applyFont="1" applyFill="1" applyAlignment="1">
      <alignment horizontal="center" vertical="center"/>
    </xf>
    <xf numFmtId="0" fontId="2" fillId="0" borderId="0" xfId="0" applyFont="1" applyAlignment="1">
      <alignment horizontal="center"/>
    </xf>
    <xf numFmtId="0" fontId="80" fillId="29" borderId="11" xfId="0" applyFont="1" applyFill="1" applyBorder="1" applyAlignment="1">
      <alignment horizontal="center" vertical="center" wrapText="1"/>
    </xf>
    <xf numFmtId="0" fontId="90" fillId="30" borderId="0" xfId="0" applyFont="1" applyFill="1" applyAlignment="1">
      <alignment horizontal="center" vertical="center"/>
    </xf>
    <xf numFmtId="16" fontId="72" fillId="30" borderId="11" xfId="0" applyNumberFormat="1" applyFont="1" applyFill="1" applyBorder="1" applyAlignment="1">
      <alignment horizontal="center" vertical="center"/>
    </xf>
    <xf numFmtId="0" fontId="88" fillId="0" borderId="0" xfId="2" applyFont="1" applyAlignment="1">
      <alignment horizontal="center" vertical="center" wrapText="1"/>
    </xf>
    <xf numFmtId="14" fontId="72" fillId="4" borderId="11" xfId="2" applyNumberFormat="1" applyFont="1" applyFill="1" applyBorder="1" applyAlignment="1">
      <alignment horizontal="center" vertical="center" wrapText="1"/>
    </xf>
    <xf numFmtId="0" fontId="92" fillId="2" borderId="0" xfId="2" applyFont="1" applyFill="1" applyAlignment="1">
      <alignment horizontal="center" vertical="center" wrapText="1"/>
    </xf>
    <xf numFmtId="164" fontId="72" fillId="30" borderId="11" xfId="0" applyNumberFormat="1" applyFont="1" applyFill="1" applyBorder="1" applyAlignment="1">
      <alignment horizontal="center" vertical="center" wrapText="1"/>
    </xf>
    <xf numFmtId="0" fontId="75" fillId="18" borderId="11" xfId="0" applyFont="1" applyFill="1" applyBorder="1" applyAlignment="1">
      <alignment horizontal="center" vertical="center" wrapText="1"/>
    </xf>
    <xf numFmtId="0" fontId="81" fillId="29" borderId="11" xfId="0" applyFont="1" applyFill="1" applyBorder="1" applyAlignment="1">
      <alignment horizontal="center" vertical="center" wrapText="1"/>
    </xf>
    <xf numFmtId="1" fontId="82" fillId="29" borderId="0" xfId="0" applyNumberFormat="1" applyFont="1" applyFill="1" applyAlignment="1">
      <alignment horizontal="center"/>
    </xf>
    <xf numFmtId="164" fontId="73" fillId="5" borderId="11" xfId="1" applyNumberFormat="1" applyFont="1" applyFill="1" applyBorder="1" applyAlignment="1">
      <alignment horizontal="center" vertical="center" wrapText="1"/>
    </xf>
    <xf numFmtId="164" fontId="73" fillId="30" borderId="11" xfId="1" applyNumberFormat="1" applyFont="1" applyFill="1" applyBorder="1" applyAlignment="1">
      <alignment horizontal="center" vertical="center" wrapText="1"/>
    </xf>
    <xf numFmtId="14" fontId="72" fillId="30" borderId="11" xfId="2" applyNumberFormat="1" applyFont="1" applyFill="1" applyBorder="1" applyAlignment="1">
      <alignment horizontal="center" vertical="center" wrapText="1"/>
    </xf>
    <xf numFmtId="164" fontId="72" fillId="30" borderId="11" xfId="1" applyNumberFormat="1" applyFont="1" applyFill="1" applyBorder="1" applyAlignment="1">
      <alignment horizontal="center" vertical="center" wrapText="1"/>
    </xf>
    <xf numFmtId="164" fontId="73" fillId="5" borderId="24" xfId="1" applyNumberFormat="1" applyFont="1" applyFill="1" applyBorder="1" applyAlignment="1">
      <alignment horizontal="center" vertical="center" wrapText="1"/>
    </xf>
    <xf numFmtId="166" fontId="68" fillId="0" borderId="0" xfId="0" applyNumberFormat="1" applyFont="1" applyAlignment="1">
      <alignment horizontal="center"/>
    </xf>
    <xf numFmtId="0" fontId="0" fillId="0" borderId="9" xfId="0" applyBorder="1" applyAlignment="1">
      <alignment horizontal="center"/>
    </xf>
    <xf numFmtId="164" fontId="27" fillId="35" borderId="29" xfId="4" applyNumberFormat="1" applyFont="1" applyBorder="1" applyAlignment="1">
      <alignment horizontal="center" vertical="center" wrapText="1"/>
    </xf>
    <xf numFmtId="164" fontId="27" fillId="35" borderId="28" xfId="4" applyNumberFormat="1" applyFont="1" applyBorder="1" applyAlignment="1">
      <alignment horizontal="center" vertical="center" wrapText="1"/>
    </xf>
    <xf numFmtId="164" fontId="27" fillId="35" borderId="11" xfId="4" applyNumberFormat="1" applyFont="1" applyBorder="1" applyAlignment="1">
      <alignment horizontal="center" vertical="center" wrapText="1"/>
    </xf>
    <xf numFmtId="0" fontId="98" fillId="2" borderId="0" xfId="0" applyFont="1" applyFill="1" applyAlignment="1">
      <alignment horizontal="center" vertical="center"/>
    </xf>
    <xf numFmtId="0" fontId="97" fillId="2" borderId="0" xfId="0" applyFont="1" applyFill="1" applyAlignment="1">
      <alignment horizontal="center" vertical="center" wrapText="1"/>
    </xf>
    <xf numFmtId="0" fontId="100" fillId="2" borderId="0" xfId="0" applyFont="1" applyFill="1" applyAlignment="1">
      <alignment horizontal="center" vertical="center"/>
    </xf>
    <xf numFmtId="14" fontId="95" fillId="4" borderId="9" xfId="2" applyNumberFormat="1" applyFont="1" applyFill="1" applyBorder="1" applyAlignment="1">
      <alignment horizontal="center" vertical="center" wrapText="1"/>
    </xf>
    <xf numFmtId="164" fontId="97" fillId="0" borderId="9" xfId="1" quotePrefix="1" applyNumberFormat="1" applyFont="1" applyFill="1" applyBorder="1" applyAlignment="1">
      <alignment horizontal="center" vertical="center" wrapText="1"/>
    </xf>
    <xf numFmtId="14" fontId="97" fillId="0" borderId="9" xfId="2" applyNumberFormat="1" applyFont="1" applyBorder="1" applyAlignment="1">
      <alignment horizontal="center" vertical="center" wrapText="1"/>
    </xf>
    <xf numFmtId="14" fontId="103" fillId="0" borderId="9" xfId="3" applyNumberFormat="1" applyFont="1" applyBorder="1" applyAlignment="1">
      <alignment horizontal="center" vertical="center" wrapText="1"/>
    </xf>
    <xf numFmtId="1" fontId="95" fillId="30" borderId="9" xfId="2" applyNumberFormat="1" applyFont="1" applyFill="1" applyBorder="1" applyAlignment="1">
      <alignment horizontal="center" vertical="center" wrapText="1"/>
    </xf>
    <xf numFmtId="0" fontId="103" fillId="0" borderId="9" xfId="3" applyFont="1" applyBorder="1" applyAlignment="1">
      <alignment horizontal="center" vertical="center" wrapText="1"/>
    </xf>
    <xf numFmtId="164" fontId="97" fillId="4" borderId="9" xfId="1" quotePrefix="1" applyNumberFormat="1" applyFont="1" applyFill="1" applyBorder="1" applyAlignment="1">
      <alignment horizontal="center" vertical="center" wrapText="1"/>
    </xf>
    <xf numFmtId="14" fontId="97" fillId="4" borderId="9" xfId="2" applyNumberFormat="1" applyFont="1" applyFill="1" applyBorder="1" applyAlignment="1">
      <alignment horizontal="center" vertical="center" wrapText="1"/>
    </xf>
    <xf numFmtId="164" fontId="97" fillId="0" borderId="9" xfId="1" applyNumberFormat="1" applyFont="1" applyFill="1" applyBorder="1" applyAlignment="1">
      <alignment horizontal="center" vertical="center" wrapText="1"/>
    </xf>
    <xf numFmtId="164" fontId="110" fillId="0" borderId="9" xfId="3" quotePrefix="1" applyNumberFormat="1" applyFont="1" applyBorder="1" applyAlignment="1">
      <alignment horizontal="center" vertical="center" wrapText="1"/>
    </xf>
    <xf numFmtId="0" fontId="111" fillId="0" borderId="9" xfId="3" applyFont="1" applyBorder="1" applyAlignment="1">
      <alignment horizontal="center" vertical="center" wrapText="1"/>
    </xf>
    <xf numFmtId="164" fontId="110" fillId="0" borderId="9" xfId="3" applyNumberFormat="1" applyFont="1" applyBorder="1" applyAlignment="1">
      <alignment horizontal="center" vertical="center" wrapText="1"/>
    </xf>
    <xf numFmtId="14" fontId="111" fillId="0" borderId="9" xfId="3" applyNumberFormat="1" applyFont="1" applyBorder="1" applyAlignment="1">
      <alignment horizontal="center" vertical="center" wrapText="1"/>
    </xf>
    <xf numFmtId="164" fontId="97" fillId="0" borderId="9" xfId="1" quotePrefix="1" applyNumberFormat="1" applyFont="1" applyBorder="1" applyAlignment="1">
      <alignment horizontal="center" vertical="center" wrapText="1"/>
    </xf>
    <xf numFmtId="164" fontId="97" fillId="16" borderId="9" xfId="1" quotePrefix="1" applyNumberFormat="1" applyFont="1" applyFill="1" applyBorder="1" applyAlignment="1">
      <alignment horizontal="center" vertical="center" wrapText="1"/>
    </xf>
    <xf numFmtId="164" fontId="97" fillId="0" borderId="17" xfId="1" quotePrefix="1" applyNumberFormat="1" applyFont="1" applyFill="1" applyBorder="1" applyAlignment="1">
      <alignment horizontal="center" vertical="center" wrapText="1"/>
    </xf>
    <xf numFmtId="164" fontId="97" fillId="0" borderId="9" xfId="1" applyNumberFormat="1" applyFont="1" applyBorder="1" applyAlignment="1">
      <alignment horizontal="center" vertical="center" wrapText="1"/>
    </xf>
    <xf numFmtId="0" fontId="97" fillId="0" borderId="0" xfId="0" applyFont="1" applyAlignment="1">
      <alignment horizontal="center" vertical="center" wrapText="1"/>
    </xf>
    <xf numFmtId="166" fontId="95" fillId="0" borderId="0" xfId="0" applyNumberFormat="1" applyFont="1" applyAlignment="1">
      <alignment horizontal="center" vertical="center"/>
    </xf>
    <xf numFmtId="166" fontId="95" fillId="30" borderId="0" xfId="0" applyNumberFormat="1" applyFont="1" applyFill="1" applyAlignment="1">
      <alignment horizontal="center" vertical="center"/>
    </xf>
    <xf numFmtId="166" fontId="106" fillId="0" borderId="0" xfId="0" applyNumberFormat="1" applyFont="1" applyAlignment="1">
      <alignment horizontal="center" vertical="center"/>
    </xf>
    <xf numFmtId="166" fontId="95" fillId="0" borderId="0" xfId="2" applyNumberFormat="1" applyFont="1" applyAlignment="1">
      <alignment horizontal="center" vertical="center" wrapText="1"/>
    </xf>
    <xf numFmtId="166" fontId="95" fillId="29" borderId="0" xfId="2" applyNumberFormat="1" applyFont="1" applyFill="1" applyAlignment="1">
      <alignment horizontal="center" vertical="center" wrapText="1"/>
    </xf>
    <xf numFmtId="166" fontId="95" fillId="29" borderId="0" xfId="0" applyNumberFormat="1" applyFont="1" applyFill="1" applyAlignment="1">
      <alignment horizontal="center" vertical="center"/>
    </xf>
    <xf numFmtId="166" fontId="95" fillId="29" borderId="0" xfId="0" applyNumberFormat="1" applyFont="1" applyFill="1" applyAlignment="1">
      <alignment horizontal="center" vertical="center" wrapText="1"/>
    </xf>
    <xf numFmtId="166" fontId="95" fillId="30" borderId="0" xfId="0" applyNumberFormat="1" applyFont="1" applyFill="1" applyAlignment="1">
      <alignment horizontal="center" vertical="center" wrapText="1"/>
    </xf>
    <xf numFmtId="166" fontId="95" fillId="0" borderId="0" xfId="0" applyNumberFormat="1" applyFont="1" applyAlignment="1">
      <alignment horizontal="center" vertical="center" wrapText="1"/>
    </xf>
    <xf numFmtId="166" fontId="95" fillId="30" borderId="0" xfId="2" applyNumberFormat="1" applyFont="1" applyFill="1" applyAlignment="1">
      <alignment horizontal="center" vertical="center" wrapText="1"/>
    </xf>
    <xf numFmtId="14" fontId="97" fillId="0" borderId="0" xfId="2" applyNumberFormat="1" applyFont="1" applyAlignment="1">
      <alignment horizontal="center" vertical="center" wrapText="1"/>
    </xf>
    <xf numFmtId="10" fontId="99" fillId="2" borderId="0" xfId="2" applyNumberFormat="1" applyFont="1" applyFill="1" applyAlignment="1">
      <alignment horizontal="left" vertical="center" wrapText="1"/>
    </xf>
    <xf numFmtId="0" fontId="102" fillId="2" borderId="0" xfId="2" applyFont="1" applyFill="1" applyAlignment="1">
      <alignment vertical="center" wrapText="1"/>
    </xf>
    <xf numFmtId="164" fontId="95" fillId="30" borderId="0" xfId="0" quotePrefix="1" applyNumberFormat="1" applyFont="1" applyFill="1" applyAlignment="1">
      <alignment horizontal="center" vertical="center" wrapText="1"/>
    </xf>
    <xf numFmtId="0" fontId="97" fillId="30" borderId="0" xfId="0" applyFont="1" applyFill="1" applyAlignment="1">
      <alignment horizontal="center" vertical="center" wrapText="1"/>
    </xf>
    <xf numFmtId="0" fontId="95" fillId="30" borderId="0" xfId="0" applyFont="1" applyFill="1" applyAlignment="1">
      <alignment horizontal="center" vertical="center" wrapText="1"/>
    </xf>
    <xf numFmtId="0" fontId="95" fillId="30" borderId="0" xfId="0" applyFont="1" applyFill="1" applyAlignment="1">
      <alignment horizontal="center" vertical="center"/>
    </xf>
    <xf numFmtId="10" fontId="95" fillId="30" borderId="0" xfId="0" applyNumberFormat="1" applyFont="1" applyFill="1" applyAlignment="1">
      <alignment horizontal="center" vertical="center"/>
    </xf>
    <xf numFmtId="1" fontId="95" fillId="30" borderId="0" xfId="0" applyNumberFormat="1" applyFont="1" applyFill="1" applyAlignment="1">
      <alignment horizontal="center" vertical="center"/>
    </xf>
    <xf numFmtId="0" fontId="100" fillId="2" borderId="0" xfId="0" applyFont="1" applyFill="1" applyAlignment="1">
      <alignment horizontal="left" vertical="center"/>
    </xf>
    <xf numFmtId="14" fontId="98" fillId="29" borderId="0" xfId="2" applyNumberFormat="1" applyFont="1" applyFill="1" applyAlignment="1">
      <alignment horizontal="center" vertical="center" wrapText="1"/>
    </xf>
    <xf numFmtId="164" fontId="103" fillId="29" borderId="0" xfId="3" quotePrefix="1" applyNumberFormat="1" applyFont="1" applyFill="1" applyBorder="1" applyAlignment="1">
      <alignment horizontal="center" vertical="center" wrapText="1"/>
    </xf>
    <xf numFmtId="0" fontId="103" fillId="29" borderId="0" xfId="3" applyFont="1" applyFill="1" applyBorder="1" applyAlignment="1">
      <alignment horizontal="center" vertical="center" wrapText="1"/>
    </xf>
    <xf numFmtId="0" fontId="102" fillId="0" borderId="0" xfId="2" applyFont="1" applyAlignment="1">
      <alignment vertical="center" wrapText="1"/>
    </xf>
    <xf numFmtId="164" fontId="97" fillId="29" borderId="0" xfId="0" quotePrefix="1" applyNumberFormat="1" applyFont="1" applyFill="1" applyAlignment="1">
      <alignment horizontal="center" vertical="center" wrapText="1"/>
    </xf>
    <xf numFmtId="0" fontId="97" fillId="29" borderId="0" xfId="0" applyFont="1" applyFill="1" applyAlignment="1">
      <alignment horizontal="center" vertical="center" wrapText="1"/>
    </xf>
    <xf numFmtId="0" fontId="95" fillId="29" borderId="0" xfId="0" applyFont="1" applyFill="1" applyAlignment="1">
      <alignment horizontal="center" vertical="center" wrapText="1"/>
    </xf>
    <xf numFmtId="10" fontId="95" fillId="29" borderId="0" xfId="0" applyNumberFormat="1" applyFont="1" applyFill="1" applyAlignment="1">
      <alignment horizontal="center" vertical="center"/>
    </xf>
    <xf numFmtId="1" fontId="95" fillId="29" borderId="0" xfId="0" applyNumberFormat="1" applyFont="1" applyFill="1" applyAlignment="1">
      <alignment horizontal="center" vertical="center"/>
    </xf>
    <xf numFmtId="164" fontId="107" fillId="0" borderId="0" xfId="0" quotePrefix="1" applyNumberFormat="1" applyFont="1" applyAlignment="1">
      <alignment horizontal="center" vertical="center" wrapText="1"/>
    </xf>
    <xf numFmtId="164" fontId="97" fillId="0" borderId="0" xfId="0" quotePrefix="1" applyNumberFormat="1" applyFont="1" applyAlignment="1">
      <alignment horizontal="center" vertical="center" wrapText="1"/>
    </xf>
    <xf numFmtId="0" fontId="95" fillId="0" borderId="0" xfId="0" applyFont="1" applyAlignment="1">
      <alignment horizontal="center" vertical="center" wrapText="1"/>
    </xf>
    <xf numFmtId="10" fontId="95" fillId="0" borderId="0" xfId="0" applyNumberFormat="1" applyFont="1" applyAlignment="1">
      <alignment horizontal="center" vertical="center"/>
    </xf>
    <xf numFmtId="1" fontId="95" fillId="0" borderId="0" xfId="0" applyNumberFormat="1" applyFont="1" applyAlignment="1">
      <alignment horizontal="center" vertical="center"/>
    </xf>
    <xf numFmtId="0" fontId="100" fillId="0" borderId="0" xfId="0" applyFont="1" applyAlignment="1">
      <alignment horizontal="left" vertical="center"/>
    </xf>
    <xf numFmtId="164" fontId="97" fillId="29" borderId="0" xfId="0" applyNumberFormat="1" applyFont="1" applyFill="1" applyAlignment="1">
      <alignment horizontal="center" vertical="center" wrapText="1"/>
    </xf>
    <xf numFmtId="164" fontId="95" fillId="19" borderId="0" xfId="0" quotePrefix="1" applyNumberFormat="1" applyFont="1" applyFill="1" applyAlignment="1">
      <alignment horizontal="center" vertical="center" wrapText="1"/>
    </xf>
    <xf numFmtId="0" fontId="95" fillId="19" borderId="0" xfId="0" applyFont="1" applyFill="1" applyAlignment="1">
      <alignment horizontal="center" vertical="center" wrapText="1"/>
    </xf>
    <xf numFmtId="10" fontId="95" fillId="19" borderId="0" xfId="0" applyNumberFormat="1" applyFont="1" applyFill="1" applyAlignment="1">
      <alignment horizontal="center" vertical="center"/>
    </xf>
    <xf numFmtId="1" fontId="95" fillId="19" borderId="0" xfId="0" applyNumberFormat="1" applyFont="1" applyFill="1" applyAlignment="1">
      <alignment horizontal="center" vertical="center"/>
    </xf>
    <xf numFmtId="0" fontId="108" fillId="2" borderId="0" xfId="0" applyFont="1" applyFill="1" applyAlignment="1">
      <alignment horizontal="left" vertical="center"/>
    </xf>
    <xf numFmtId="0" fontId="95" fillId="31" borderId="0" xfId="0" applyFont="1" applyFill="1" applyAlignment="1">
      <alignment horizontal="center" vertical="center" wrapText="1"/>
    </xf>
    <xf numFmtId="164" fontId="107" fillId="31" borderId="0" xfId="0" quotePrefix="1" applyNumberFormat="1" applyFont="1" applyFill="1" applyAlignment="1">
      <alignment horizontal="center" vertical="center" wrapText="1"/>
    </xf>
    <xf numFmtId="0" fontId="107" fillId="31" borderId="0" xfId="0" applyFont="1" applyFill="1" applyAlignment="1">
      <alignment horizontal="center" vertical="center" wrapText="1"/>
    </xf>
    <xf numFmtId="1" fontId="106" fillId="31" borderId="0" xfId="0" applyNumberFormat="1" applyFont="1" applyFill="1" applyAlignment="1">
      <alignment horizontal="center" vertical="center"/>
    </xf>
    <xf numFmtId="10" fontId="106" fillId="31" borderId="0" xfId="0" applyNumberFormat="1" applyFont="1" applyFill="1" applyAlignment="1">
      <alignment horizontal="center" vertical="center"/>
    </xf>
    <xf numFmtId="16" fontId="95" fillId="30" borderId="0" xfId="0" applyNumberFormat="1" applyFont="1" applyFill="1" applyAlignment="1">
      <alignment horizontal="center" vertical="center"/>
    </xf>
    <xf numFmtId="10" fontId="95" fillId="29" borderId="0" xfId="2" applyNumberFormat="1" applyFont="1" applyFill="1" applyAlignment="1">
      <alignment horizontal="center" vertical="center" wrapText="1"/>
    </xf>
    <xf numFmtId="0" fontId="104" fillId="29" borderId="0" xfId="0" applyFont="1" applyFill="1" applyAlignment="1">
      <alignment horizontal="center" vertical="center" wrapText="1"/>
    </xf>
    <xf numFmtId="164" fontId="95" fillId="4" borderId="0" xfId="1" quotePrefix="1" applyNumberFormat="1" applyFont="1" applyFill="1" applyBorder="1" applyAlignment="1">
      <alignment horizontal="center" vertical="center" wrapText="1"/>
    </xf>
    <xf numFmtId="14" fontId="95" fillId="4" borderId="0" xfId="2" applyNumberFormat="1" applyFont="1" applyFill="1" applyAlignment="1">
      <alignment horizontal="center" vertical="center" wrapText="1"/>
    </xf>
    <xf numFmtId="14" fontId="97" fillId="30" borderId="0" xfId="2" applyNumberFormat="1" applyFont="1" applyFill="1" applyAlignment="1">
      <alignment horizontal="center" vertical="center" wrapText="1"/>
    </xf>
    <xf numFmtId="14" fontId="95" fillId="30" borderId="0" xfId="2" applyNumberFormat="1" applyFont="1" applyFill="1" applyAlignment="1">
      <alignment horizontal="center" vertical="center" wrapText="1"/>
    </xf>
    <xf numFmtId="10" fontId="106" fillId="30" borderId="0" xfId="0" applyNumberFormat="1" applyFont="1" applyFill="1" applyAlignment="1">
      <alignment horizontal="center" vertical="center" wrapText="1"/>
    </xf>
    <xf numFmtId="1" fontId="106" fillId="30" borderId="0" xfId="0" applyNumberFormat="1" applyFont="1" applyFill="1" applyAlignment="1">
      <alignment horizontal="center" vertical="center" wrapText="1"/>
    </xf>
    <xf numFmtId="0" fontId="98" fillId="0" borderId="0" xfId="0" applyFont="1"/>
    <xf numFmtId="164" fontId="97" fillId="30" borderId="0" xfId="0" applyNumberFormat="1" applyFont="1" applyFill="1" applyAlignment="1">
      <alignment horizontal="center" vertical="center" wrapText="1"/>
    </xf>
    <xf numFmtId="164" fontId="95" fillId="30" borderId="0" xfId="0" applyNumberFormat="1" applyFont="1" applyFill="1" applyAlignment="1">
      <alignment horizontal="center" vertical="center" wrapText="1"/>
    </xf>
    <xf numFmtId="164" fontId="103" fillId="29" borderId="0" xfId="3" applyNumberFormat="1" applyFont="1" applyFill="1" applyBorder="1" applyAlignment="1">
      <alignment horizontal="center" vertical="center" wrapText="1"/>
    </xf>
    <xf numFmtId="164" fontId="95" fillId="29" borderId="0" xfId="0" applyNumberFormat="1" applyFont="1" applyFill="1" applyAlignment="1">
      <alignment horizontal="center" vertical="center" wrapText="1"/>
    </xf>
    <xf numFmtId="164" fontId="97" fillId="29" borderId="0" xfId="1" quotePrefix="1" applyNumberFormat="1" applyFont="1" applyFill="1" applyBorder="1" applyAlignment="1">
      <alignment horizontal="center" vertical="center" wrapText="1"/>
    </xf>
    <xf numFmtId="14" fontId="103" fillId="29" borderId="0" xfId="3" applyNumberFormat="1" applyFont="1" applyFill="1" applyBorder="1" applyAlignment="1">
      <alignment horizontal="center" vertical="center" wrapText="1"/>
    </xf>
    <xf numFmtId="14" fontId="95" fillId="29" borderId="0" xfId="2" applyNumberFormat="1" applyFont="1" applyFill="1" applyAlignment="1">
      <alignment horizontal="center" vertical="center" wrapText="1"/>
    </xf>
    <xf numFmtId="1" fontId="95" fillId="29" borderId="0" xfId="2" applyNumberFormat="1" applyFont="1" applyFill="1" applyAlignment="1">
      <alignment horizontal="center" vertical="center" wrapText="1"/>
    </xf>
    <xf numFmtId="164" fontId="95" fillId="19" borderId="0" xfId="0" applyNumberFormat="1" applyFont="1" applyFill="1" applyAlignment="1">
      <alignment horizontal="center" vertical="center" wrapText="1"/>
    </xf>
    <xf numFmtId="0" fontId="97" fillId="19" borderId="0" xfId="0" applyFont="1" applyFill="1" applyAlignment="1">
      <alignment horizontal="center" vertical="center" wrapText="1"/>
    </xf>
    <xf numFmtId="164" fontId="97" fillId="0" borderId="0" xfId="1" quotePrefix="1" applyNumberFormat="1" applyFont="1" applyFill="1" applyBorder="1" applyAlignment="1">
      <alignment horizontal="center" vertical="center" wrapText="1"/>
    </xf>
    <xf numFmtId="14" fontId="105" fillId="0" borderId="0" xfId="3" applyNumberFormat="1" applyFont="1" applyFill="1" applyBorder="1" applyAlignment="1">
      <alignment horizontal="center" vertical="center" wrapText="1"/>
    </xf>
    <xf numFmtId="14" fontId="95" fillId="0" borderId="0" xfId="2" applyNumberFormat="1" applyFont="1" applyAlignment="1">
      <alignment horizontal="center" vertical="center" wrapText="1"/>
    </xf>
    <xf numFmtId="1" fontId="95" fillId="0" borderId="0" xfId="0" applyNumberFormat="1" applyFont="1" applyAlignment="1">
      <alignment horizontal="center" vertical="center" wrapText="1"/>
    </xf>
    <xf numFmtId="14" fontId="103" fillId="0" borderId="0" xfId="3" applyNumberFormat="1" applyFont="1" applyBorder="1" applyAlignment="1">
      <alignment horizontal="center" vertical="center" wrapText="1"/>
    </xf>
    <xf numFmtId="14" fontId="103" fillId="0" borderId="0" xfId="3" applyNumberFormat="1" applyFont="1" applyFill="1" applyBorder="1" applyAlignment="1">
      <alignment horizontal="center" vertical="center" wrapText="1"/>
    </xf>
    <xf numFmtId="10" fontId="97" fillId="0" borderId="0" xfId="0" applyNumberFormat="1" applyFont="1" applyAlignment="1">
      <alignment horizontal="center" vertical="center" wrapText="1"/>
    </xf>
    <xf numFmtId="1" fontId="97" fillId="0" borderId="0" xfId="0" applyNumberFormat="1" applyFont="1" applyAlignment="1">
      <alignment horizontal="center" vertical="center" wrapText="1"/>
    </xf>
    <xf numFmtId="10" fontId="97" fillId="0" borderId="0" xfId="2" applyNumberFormat="1" applyFont="1" applyAlignment="1">
      <alignment horizontal="center" vertical="center" wrapText="1"/>
    </xf>
    <xf numFmtId="1" fontId="97" fillId="0" borderId="0" xfId="2" applyNumberFormat="1" applyFont="1" applyAlignment="1">
      <alignment horizontal="center" vertical="center" wrapText="1"/>
    </xf>
    <xf numFmtId="10" fontId="95" fillId="0" borderId="0" xfId="2" applyNumberFormat="1" applyFont="1" applyAlignment="1">
      <alignment horizontal="center" vertical="center" wrapText="1"/>
    </xf>
    <xf numFmtId="1" fontId="95" fillId="0" borderId="0" xfId="2" applyNumberFormat="1" applyFont="1" applyAlignment="1">
      <alignment horizontal="center" vertical="center" wrapText="1"/>
    </xf>
    <xf numFmtId="164" fontId="95" fillId="30" borderId="0" xfId="1" quotePrefix="1" applyNumberFormat="1" applyFont="1" applyFill="1" applyBorder="1" applyAlignment="1">
      <alignment horizontal="center" vertical="center" wrapText="1"/>
    </xf>
    <xf numFmtId="14" fontId="105" fillId="30" borderId="0" xfId="3" applyNumberFormat="1" applyFont="1" applyFill="1" applyBorder="1" applyAlignment="1">
      <alignment horizontal="center" vertical="center" wrapText="1"/>
    </xf>
    <xf numFmtId="10" fontId="95" fillId="30" borderId="0" xfId="2" applyNumberFormat="1" applyFont="1" applyFill="1" applyAlignment="1">
      <alignment horizontal="center" vertical="center" wrapText="1"/>
    </xf>
    <xf numFmtId="1" fontId="95" fillId="30" borderId="0" xfId="2" applyNumberFormat="1" applyFont="1" applyFill="1" applyAlignment="1">
      <alignment horizontal="center" vertical="center" wrapText="1"/>
    </xf>
    <xf numFmtId="164" fontId="97" fillId="4" borderId="0" xfId="1" quotePrefix="1" applyNumberFormat="1" applyFont="1" applyFill="1" applyBorder="1" applyAlignment="1">
      <alignment horizontal="center" vertical="center" wrapText="1"/>
    </xf>
    <xf numFmtId="14" fontId="97" fillId="4" borderId="0" xfId="2" applyNumberFormat="1" applyFont="1" applyFill="1" applyAlignment="1">
      <alignment horizontal="center" vertical="center" wrapText="1"/>
    </xf>
    <xf numFmtId="0" fontId="111" fillId="0" borderId="9" xfId="3" applyFont="1" applyBorder="1" applyAlignment="1">
      <alignment vertical="center" wrapText="1"/>
    </xf>
    <xf numFmtId="10" fontId="97" fillId="0" borderId="9" xfId="5" applyNumberFormat="1" applyFont="1" applyFill="1" applyBorder="1" applyAlignment="1">
      <alignment horizontal="center" vertical="center" wrapText="1"/>
    </xf>
    <xf numFmtId="0" fontId="100" fillId="0" borderId="9" xfId="0" applyFont="1" applyBorder="1" applyAlignment="1">
      <alignment horizontal="center"/>
    </xf>
    <xf numFmtId="10" fontId="100" fillId="0" borderId="9" xfId="0" applyNumberFormat="1" applyFont="1" applyBorder="1" applyAlignment="1">
      <alignment horizontal="center"/>
    </xf>
    <xf numFmtId="0" fontId="98" fillId="0" borderId="9" xfId="0" applyFont="1" applyBorder="1"/>
    <xf numFmtId="0" fontId="111" fillId="0" borderId="9" xfId="3" applyFont="1" applyBorder="1" applyAlignment="1">
      <alignment wrapText="1"/>
    </xf>
    <xf numFmtId="164" fontId="111" fillId="0" borderId="9" xfId="3" quotePrefix="1" applyNumberFormat="1" applyFont="1" applyFill="1" applyBorder="1" applyAlignment="1">
      <alignment horizontal="center" vertical="center" wrapText="1"/>
    </xf>
    <xf numFmtId="164" fontId="110" fillId="0" borderId="9" xfId="3" quotePrefix="1" applyNumberFormat="1" applyFont="1" applyFill="1" applyBorder="1" applyAlignment="1">
      <alignment horizontal="center" vertical="center" wrapText="1"/>
    </xf>
    <xf numFmtId="0" fontId="111" fillId="0" borderId="9" xfId="3" applyFont="1" applyFill="1" applyBorder="1" applyAlignment="1">
      <alignment horizontal="center" vertical="center" wrapText="1"/>
    </xf>
    <xf numFmtId="0" fontId="98" fillId="0" borderId="9" xfId="0" applyFont="1" applyBorder="1" applyAlignment="1">
      <alignment horizontal="center" vertical="center" wrapText="1"/>
    </xf>
    <xf numFmtId="0" fontId="98" fillId="0" borderId="9" xfId="0" applyFont="1" applyBorder="1" applyAlignment="1">
      <alignment horizontal="center" vertical="center"/>
    </xf>
    <xf numFmtId="10" fontId="98" fillId="0" borderId="9" xfId="0" applyNumberFormat="1" applyFont="1" applyBorder="1" applyAlignment="1">
      <alignment horizontal="center" vertical="center"/>
    </xf>
    <xf numFmtId="0" fontId="100" fillId="0" borderId="9" xfId="0" applyFont="1" applyBorder="1" applyAlignment="1">
      <alignment horizontal="center" vertical="center"/>
    </xf>
    <xf numFmtId="0" fontId="97" fillId="0" borderId="9" xfId="1" applyNumberFormat="1" applyFont="1" applyBorder="1" applyAlignment="1">
      <alignment horizontal="center" vertical="center" wrapText="1"/>
    </xf>
    <xf numFmtId="10" fontId="97" fillId="0" borderId="9" xfId="1" applyNumberFormat="1" applyFont="1" applyFill="1" applyBorder="1" applyAlignment="1">
      <alignment horizontal="center" vertical="center" wrapText="1"/>
    </xf>
    <xf numFmtId="0" fontId="100" fillId="0" borderId="0" xfId="0" applyFont="1" applyAlignment="1">
      <alignment horizontal="center"/>
    </xf>
    <xf numFmtId="0" fontId="104" fillId="2" borderId="0" xfId="0" applyFont="1" applyFill="1" applyAlignment="1">
      <alignment horizontal="center" vertical="center" wrapText="1"/>
    </xf>
    <xf numFmtId="10" fontId="99" fillId="0" borderId="0" xfId="0" applyNumberFormat="1" applyFont="1" applyAlignment="1">
      <alignment horizontal="center" vertical="center" wrapText="1"/>
    </xf>
    <xf numFmtId="1" fontId="100" fillId="2" borderId="0" xfId="0" applyNumberFormat="1" applyFont="1" applyFill="1" applyAlignment="1">
      <alignment horizontal="center" vertical="center" wrapText="1"/>
    </xf>
    <xf numFmtId="1" fontId="100" fillId="2" borderId="0" xfId="0" applyNumberFormat="1" applyFont="1" applyFill="1" applyAlignment="1">
      <alignment horizontal="center" vertical="center"/>
    </xf>
    <xf numFmtId="10" fontId="100" fillId="2" borderId="0" xfId="0" applyNumberFormat="1" applyFont="1" applyFill="1" applyAlignment="1">
      <alignment horizontal="center" vertical="center"/>
    </xf>
    <xf numFmtId="166" fontId="100" fillId="2" borderId="0" xfId="0" applyNumberFormat="1" applyFont="1" applyFill="1" applyAlignment="1">
      <alignment horizontal="center" vertical="center"/>
    </xf>
    <xf numFmtId="164" fontId="101" fillId="42" borderId="0" xfId="1" applyNumberFormat="1" applyFont="1" applyFill="1" applyBorder="1" applyAlignment="1">
      <alignment horizontal="center" vertical="center" wrapText="1"/>
    </xf>
    <xf numFmtId="0" fontId="101" fillId="42" borderId="0" xfId="1" applyFont="1" applyFill="1" applyBorder="1" applyAlignment="1">
      <alignment horizontal="center" vertical="center" wrapText="1"/>
    </xf>
    <xf numFmtId="0" fontId="113" fillId="42" borderId="0" xfId="1" applyFont="1" applyFill="1" applyBorder="1" applyAlignment="1">
      <alignment horizontal="center" vertical="center" wrapText="1"/>
    </xf>
    <xf numFmtId="1" fontId="101" fillId="42" borderId="0" xfId="1" applyNumberFormat="1" applyFont="1" applyFill="1" applyBorder="1" applyAlignment="1">
      <alignment horizontal="center" vertical="center" wrapText="1"/>
    </xf>
    <xf numFmtId="10" fontId="101" fillId="42" borderId="0" xfId="1" applyNumberFormat="1" applyFont="1" applyFill="1" applyBorder="1" applyAlignment="1">
      <alignment horizontal="center" vertical="center" wrapText="1"/>
    </xf>
    <xf numFmtId="166" fontId="101" fillId="8" borderId="0" xfId="1" applyNumberFormat="1" applyFont="1" applyFill="1" applyBorder="1" applyAlignment="1">
      <alignment horizontal="center" vertical="center" wrapText="1"/>
    </xf>
    <xf numFmtId="0" fontId="98" fillId="2" borderId="0" xfId="0" applyFont="1" applyFill="1"/>
    <xf numFmtId="1" fontId="95" fillId="29" borderId="0" xfId="0" applyNumberFormat="1" applyFont="1" applyFill="1" applyAlignment="1">
      <alignment horizontal="center" vertical="center" wrapText="1"/>
    </xf>
    <xf numFmtId="10" fontId="95" fillId="29" borderId="0" xfId="0" applyNumberFormat="1" applyFont="1" applyFill="1" applyAlignment="1">
      <alignment horizontal="center" vertical="center" wrapText="1"/>
    </xf>
    <xf numFmtId="164" fontId="97" fillId="19" borderId="0" xfId="0" quotePrefix="1" applyNumberFormat="1" applyFont="1" applyFill="1" applyAlignment="1">
      <alignment horizontal="center" vertical="center" wrapText="1"/>
    </xf>
    <xf numFmtId="1" fontId="95" fillId="19" borderId="0" xfId="0" applyNumberFormat="1" applyFont="1" applyFill="1" applyAlignment="1">
      <alignment horizontal="center" vertical="center" wrapText="1"/>
    </xf>
    <xf numFmtId="166" fontId="95" fillId="19" borderId="0" xfId="0" applyNumberFormat="1" applyFont="1" applyFill="1" applyAlignment="1">
      <alignment horizontal="center" vertical="center"/>
    </xf>
    <xf numFmtId="164" fontId="97" fillId="19" borderId="0" xfId="0" applyNumberFormat="1" applyFont="1" applyFill="1" applyAlignment="1">
      <alignment horizontal="center" vertical="center" wrapText="1"/>
    </xf>
    <xf numFmtId="10" fontId="95" fillId="19" borderId="0" xfId="0" applyNumberFormat="1" applyFont="1" applyFill="1" applyAlignment="1">
      <alignment horizontal="center" vertical="center" wrapText="1"/>
    </xf>
    <xf numFmtId="166" fontId="95" fillId="19" borderId="0" xfId="0" applyNumberFormat="1" applyFont="1" applyFill="1" applyAlignment="1">
      <alignment horizontal="center" vertical="center" wrapText="1"/>
    </xf>
    <xf numFmtId="164" fontId="107" fillId="30" borderId="0" xfId="0" quotePrefix="1" applyNumberFormat="1" applyFont="1" applyFill="1" applyAlignment="1">
      <alignment horizontal="center" vertical="center" wrapText="1"/>
    </xf>
    <xf numFmtId="164" fontId="103" fillId="30" borderId="0" xfId="3" applyNumberFormat="1" applyFont="1" applyFill="1" applyBorder="1" applyAlignment="1">
      <alignment horizontal="center" vertical="center" wrapText="1"/>
    </xf>
    <xf numFmtId="1" fontId="95" fillId="30" borderId="0" xfId="0" applyNumberFormat="1" applyFont="1" applyFill="1" applyAlignment="1">
      <alignment horizontal="center" vertical="center" wrapText="1"/>
    </xf>
    <xf numFmtId="10" fontId="95" fillId="30" borderId="0" xfId="0" applyNumberFormat="1" applyFont="1" applyFill="1" applyAlignment="1">
      <alignment horizontal="center" vertical="center" wrapText="1"/>
    </xf>
    <xf numFmtId="164" fontId="107" fillId="16" borderId="0" xfId="0" quotePrefix="1" applyNumberFormat="1" applyFont="1" applyFill="1" applyAlignment="1">
      <alignment horizontal="center" vertical="center" wrapText="1"/>
    </xf>
    <xf numFmtId="164" fontId="107" fillId="16" borderId="0" xfId="0" applyNumberFormat="1" applyFont="1" applyFill="1" applyAlignment="1">
      <alignment horizontal="center" vertical="center" wrapText="1"/>
    </xf>
    <xf numFmtId="164" fontId="109" fillId="16" borderId="0" xfId="3" applyNumberFormat="1" applyFont="1" applyFill="1" applyBorder="1" applyAlignment="1">
      <alignment horizontal="center" vertical="center" wrapText="1"/>
    </xf>
    <xf numFmtId="164" fontId="95" fillId="16" borderId="0" xfId="0" applyNumberFormat="1" applyFont="1" applyFill="1" applyAlignment="1">
      <alignment horizontal="center" vertical="center" wrapText="1"/>
    </xf>
    <xf numFmtId="1" fontId="95" fillId="16" borderId="0" xfId="0" applyNumberFormat="1" applyFont="1" applyFill="1" applyAlignment="1">
      <alignment horizontal="center" vertical="center" wrapText="1"/>
    </xf>
    <xf numFmtId="1" fontId="106" fillId="16" borderId="0" xfId="0" applyNumberFormat="1" applyFont="1" applyFill="1" applyAlignment="1">
      <alignment horizontal="center" vertical="center" wrapText="1"/>
    </xf>
    <xf numFmtId="10" fontId="106" fillId="16" borderId="0" xfId="0" applyNumberFormat="1" applyFont="1" applyFill="1" applyAlignment="1">
      <alignment horizontal="center" vertical="center" wrapText="1"/>
    </xf>
    <xf numFmtId="166" fontId="106" fillId="16" borderId="0" xfId="0" applyNumberFormat="1" applyFont="1" applyFill="1" applyAlignment="1">
      <alignment horizontal="center" vertical="center" wrapText="1"/>
    </xf>
    <xf numFmtId="0" fontId="108" fillId="16" borderId="0" xfId="0" applyFont="1" applyFill="1" applyAlignment="1">
      <alignment horizontal="left" vertical="center"/>
    </xf>
    <xf numFmtId="0" fontId="107" fillId="29" borderId="0" xfId="0" applyFont="1" applyFill="1" applyAlignment="1">
      <alignment horizontal="center" vertical="center" wrapText="1"/>
    </xf>
    <xf numFmtId="1" fontId="106" fillId="29" borderId="0" xfId="0" applyNumberFormat="1" applyFont="1" applyFill="1" applyAlignment="1">
      <alignment horizontal="center" vertical="center"/>
    </xf>
    <xf numFmtId="10" fontId="106" fillId="29" borderId="0" xfId="0" applyNumberFormat="1" applyFont="1" applyFill="1" applyAlignment="1">
      <alignment horizontal="center" vertical="center"/>
    </xf>
    <xf numFmtId="1" fontId="95" fillId="31" borderId="0" xfId="0" applyNumberFormat="1" applyFont="1" applyFill="1" applyAlignment="1">
      <alignment horizontal="center" vertical="center" wrapText="1"/>
    </xf>
    <xf numFmtId="166" fontId="106" fillId="31" borderId="0" xfId="0" applyNumberFormat="1" applyFont="1" applyFill="1" applyAlignment="1">
      <alignment horizontal="center" vertical="center"/>
    </xf>
    <xf numFmtId="0" fontId="100" fillId="30" borderId="0" xfId="0" applyFont="1" applyFill="1" applyAlignment="1">
      <alignment horizontal="left" vertical="center"/>
    </xf>
    <xf numFmtId="0" fontId="104" fillId="19" borderId="0" xfId="0" applyFont="1" applyFill="1" applyAlignment="1">
      <alignment horizontal="center" vertical="center" wrapText="1"/>
    </xf>
    <xf numFmtId="1" fontId="95" fillId="19" borderId="0" xfId="2" applyNumberFormat="1" applyFont="1" applyFill="1" applyAlignment="1">
      <alignment horizontal="center" vertical="center" wrapText="1"/>
    </xf>
    <xf numFmtId="166" fontId="106" fillId="30" borderId="0" xfId="0" applyNumberFormat="1" applyFont="1" applyFill="1" applyAlignment="1">
      <alignment horizontal="center" vertical="center" wrapText="1"/>
    </xf>
    <xf numFmtId="164" fontId="107" fillId="0" borderId="0" xfId="0" applyNumberFormat="1" applyFont="1" applyAlignment="1">
      <alignment horizontal="center" vertical="center" wrapText="1"/>
    </xf>
    <xf numFmtId="164" fontId="109" fillId="0" borderId="0" xfId="3" quotePrefix="1" applyNumberFormat="1" applyFont="1" applyBorder="1" applyAlignment="1">
      <alignment horizontal="center" vertical="center" wrapText="1"/>
    </xf>
    <xf numFmtId="0" fontId="107" fillId="0" borderId="0" xfId="0" applyFont="1" applyAlignment="1">
      <alignment horizontal="center" vertical="center" wrapText="1"/>
    </xf>
    <xf numFmtId="1" fontId="106" fillId="0" borderId="0" xfId="0" applyNumberFormat="1" applyFont="1" applyAlignment="1">
      <alignment horizontal="center" vertical="center"/>
    </xf>
    <xf numFmtId="10" fontId="106" fillId="0" borderId="0" xfId="0" applyNumberFormat="1" applyFont="1" applyAlignment="1">
      <alignment horizontal="center" vertical="center"/>
    </xf>
    <xf numFmtId="0" fontId="114" fillId="2" borderId="0" xfId="2" applyFont="1" applyFill="1" applyAlignment="1">
      <alignment vertical="center" wrapText="1"/>
    </xf>
    <xf numFmtId="164" fontId="109" fillId="0" borderId="0" xfId="3" applyNumberFormat="1" applyFont="1" applyBorder="1" applyAlignment="1">
      <alignment horizontal="center" vertical="center" wrapText="1"/>
    </xf>
    <xf numFmtId="164" fontId="97" fillId="0" borderId="0" xfId="0" applyNumberFormat="1" applyFont="1" applyAlignment="1">
      <alignment horizontal="center" vertical="center" wrapText="1"/>
    </xf>
    <xf numFmtId="14" fontId="100" fillId="29" borderId="0" xfId="2" applyNumberFormat="1" applyFont="1" applyFill="1" applyAlignment="1">
      <alignment horizontal="center" vertical="center" wrapText="1"/>
    </xf>
    <xf numFmtId="164" fontId="97" fillId="18" borderId="0" xfId="0" applyNumberFormat="1" applyFont="1" applyFill="1" applyAlignment="1">
      <alignment horizontal="center" vertical="center" wrapText="1"/>
    </xf>
    <xf numFmtId="14" fontId="98" fillId="18" borderId="0" xfId="2" applyNumberFormat="1" applyFont="1" applyFill="1" applyAlignment="1">
      <alignment horizontal="center" vertical="center" wrapText="1"/>
    </xf>
    <xf numFmtId="14" fontId="103" fillId="18" borderId="0" xfId="3" applyNumberFormat="1" applyFont="1" applyFill="1" applyBorder="1" applyAlignment="1">
      <alignment horizontal="center" vertical="center" wrapText="1"/>
    </xf>
    <xf numFmtId="0" fontId="97" fillId="18" borderId="0" xfId="0" applyFont="1" applyFill="1" applyAlignment="1">
      <alignment horizontal="center" vertical="center" wrapText="1"/>
    </xf>
    <xf numFmtId="0" fontId="95" fillId="18" borderId="0" xfId="0" applyFont="1" applyFill="1" applyAlignment="1">
      <alignment horizontal="center" vertical="center" wrapText="1"/>
    </xf>
    <xf numFmtId="1" fontId="95" fillId="18" borderId="0" xfId="2" applyNumberFormat="1" applyFont="1" applyFill="1" applyAlignment="1">
      <alignment horizontal="center" vertical="center" wrapText="1"/>
    </xf>
    <xf numFmtId="1" fontId="95" fillId="18" borderId="0" xfId="0" applyNumberFormat="1" applyFont="1" applyFill="1" applyAlignment="1">
      <alignment horizontal="center" vertical="center" wrapText="1"/>
    </xf>
    <xf numFmtId="10" fontId="95" fillId="18" borderId="0" xfId="0" applyNumberFormat="1" applyFont="1" applyFill="1" applyAlignment="1">
      <alignment horizontal="center" vertical="center" wrapText="1"/>
    </xf>
    <xf numFmtId="166" fontId="95" fillId="18" borderId="0" xfId="0" applyNumberFormat="1" applyFont="1" applyFill="1" applyAlignment="1">
      <alignment horizontal="center" vertical="center" wrapText="1"/>
    </xf>
    <xf numFmtId="0" fontId="107" fillId="18" borderId="0" xfId="0" applyFont="1" applyFill="1" applyAlignment="1">
      <alignment horizontal="center" vertical="center" wrapText="1"/>
    </xf>
    <xf numFmtId="0" fontId="115" fillId="29" borderId="0" xfId="0" applyFont="1" applyFill="1" applyAlignment="1">
      <alignment horizontal="center" vertical="center" wrapText="1"/>
    </xf>
    <xf numFmtId="14" fontId="97" fillId="29" borderId="0" xfId="2" applyNumberFormat="1" applyFont="1" applyFill="1" applyAlignment="1">
      <alignment horizontal="center" vertical="center" wrapText="1"/>
    </xf>
    <xf numFmtId="14" fontId="105" fillId="29" borderId="0" xfId="3" applyNumberFormat="1" applyFont="1" applyFill="1" applyBorder="1" applyAlignment="1">
      <alignment horizontal="center" vertical="center" wrapText="1"/>
    </xf>
    <xf numFmtId="1" fontId="100" fillId="29" borderId="0" xfId="0" applyNumberFormat="1" applyFont="1" applyFill="1"/>
    <xf numFmtId="164" fontId="97" fillId="5" borderId="0" xfId="1" quotePrefix="1" applyNumberFormat="1" applyFont="1" applyFill="1" applyBorder="1" applyAlignment="1">
      <alignment horizontal="center" vertical="center" wrapText="1"/>
    </xf>
    <xf numFmtId="164" fontId="97" fillId="30" borderId="0" xfId="1" quotePrefix="1" applyNumberFormat="1" applyFont="1" applyFill="1" applyBorder="1" applyAlignment="1">
      <alignment horizontal="center" vertical="center" wrapText="1"/>
    </xf>
    <xf numFmtId="10" fontId="95" fillId="16" borderId="0" xfId="2" applyNumberFormat="1" applyFont="1" applyFill="1" applyAlignment="1">
      <alignment horizontal="center" vertical="center" wrapText="1"/>
    </xf>
    <xf numFmtId="164" fontId="103" fillId="0" borderId="9" xfId="3" quotePrefix="1" applyNumberFormat="1" applyFont="1" applyFill="1" applyBorder="1" applyAlignment="1">
      <alignment horizontal="center" vertical="center" wrapText="1"/>
    </xf>
    <xf numFmtId="1" fontId="97" fillId="0" borderId="9" xfId="0" applyNumberFormat="1" applyFont="1" applyBorder="1" applyAlignment="1">
      <alignment horizontal="center" vertical="center" wrapText="1"/>
    </xf>
    <xf numFmtId="10" fontId="97" fillId="0" borderId="9" xfId="0" applyNumberFormat="1" applyFont="1" applyBorder="1" applyAlignment="1">
      <alignment horizontal="center" vertical="center" wrapText="1"/>
    </xf>
    <xf numFmtId="0" fontId="97" fillId="0" borderId="9" xfId="1" quotePrefix="1" applyNumberFormat="1" applyFont="1" applyFill="1" applyBorder="1" applyAlignment="1">
      <alignment horizontal="center" vertical="center" wrapText="1"/>
    </xf>
    <xf numFmtId="166" fontId="100" fillId="0" borderId="0" xfId="0" applyNumberFormat="1" applyFont="1"/>
    <xf numFmtId="10" fontId="97" fillId="0" borderId="9" xfId="1" quotePrefix="1" applyNumberFormat="1" applyFont="1" applyFill="1" applyBorder="1" applyAlignment="1">
      <alignment horizontal="center" vertical="center" wrapText="1"/>
    </xf>
    <xf numFmtId="164" fontId="103" fillId="0" borderId="9" xfId="3" quotePrefix="1" applyNumberFormat="1" applyFont="1" applyBorder="1" applyAlignment="1">
      <alignment horizontal="center" vertical="center" wrapText="1"/>
    </xf>
    <xf numFmtId="0" fontId="116" fillId="0" borderId="9" xfId="2" quotePrefix="1" applyFont="1" applyBorder="1" applyAlignment="1">
      <alignment horizontal="center" vertical="center"/>
    </xf>
    <xf numFmtId="10" fontId="116" fillId="0" borderId="9" xfId="5" quotePrefix="1" applyNumberFormat="1" applyFont="1" applyBorder="1" applyAlignment="1">
      <alignment horizontal="center" vertical="center"/>
    </xf>
    <xf numFmtId="10" fontId="116" fillId="0" borderId="9" xfId="2" quotePrefix="1" applyNumberFormat="1" applyFont="1" applyBorder="1" applyAlignment="1">
      <alignment horizontal="center" vertical="center"/>
    </xf>
    <xf numFmtId="10" fontId="97" fillId="0" borderId="9" xfId="5" quotePrefix="1" applyNumberFormat="1" applyFont="1" applyFill="1" applyBorder="1" applyAlignment="1">
      <alignment horizontal="center" vertical="center" wrapText="1"/>
    </xf>
    <xf numFmtId="164" fontId="96" fillId="0" borderId="9" xfId="1" quotePrefix="1" applyNumberFormat="1" applyFont="1" applyFill="1" applyBorder="1" applyAlignment="1">
      <alignment horizontal="center" vertical="center" wrapText="1"/>
    </xf>
    <xf numFmtId="10" fontId="95" fillId="30" borderId="9" xfId="2" applyNumberFormat="1" applyFont="1" applyFill="1" applyBorder="1" applyAlignment="1">
      <alignment horizontal="center" vertical="center" wrapText="1"/>
    </xf>
    <xf numFmtId="10" fontId="97" fillId="4" borderId="9" xfId="2" applyNumberFormat="1" applyFont="1" applyFill="1" applyBorder="1" applyAlignment="1">
      <alignment horizontal="center" vertical="center" wrapText="1"/>
    </xf>
    <xf numFmtId="0" fontId="97" fillId="0" borderId="9" xfId="1" applyNumberFormat="1" applyFont="1" applyFill="1" applyBorder="1" applyAlignment="1">
      <alignment horizontal="center" vertical="center" wrapText="1"/>
    </xf>
    <xf numFmtId="164" fontId="117" fillId="35" borderId="9" xfId="4" quotePrefix="1" applyNumberFormat="1" applyFont="1" applyBorder="1" applyAlignment="1">
      <alignment horizontal="center" vertical="center" wrapText="1"/>
    </xf>
    <xf numFmtId="9" fontId="97" fillId="0" borderId="9" xfId="5" quotePrefix="1" applyFont="1" applyFill="1" applyBorder="1" applyAlignment="1">
      <alignment horizontal="center" vertical="center" wrapText="1"/>
    </xf>
    <xf numFmtId="14" fontId="97" fillId="4" borderId="9" xfId="2" quotePrefix="1" applyNumberFormat="1" applyFont="1" applyFill="1" applyBorder="1" applyAlignment="1">
      <alignment horizontal="center" vertical="center" wrapText="1"/>
    </xf>
    <xf numFmtId="0" fontId="97" fillId="4" borderId="9" xfId="2" quotePrefix="1" applyFont="1" applyFill="1" applyBorder="1" applyAlignment="1">
      <alignment horizontal="center" vertical="center" wrapText="1"/>
    </xf>
    <xf numFmtId="10" fontId="97" fillId="4" borderId="9" xfId="2" quotePrefix="1" applyNumberFormat="1" applyFont="1" applyFill="1" applyBorder="1" applyAlignment="1">
      <alignment horizontal="center" vertical="center" wrapText="1"/>
    </xf>
    <xf numFmtId="164" fontId="98" fillId="0" borderId="9" xfId="3" quotePrefix="1" applyNumberFormat="1" applyFont="1" applyFill="1" applyBorder="1" applyAlignment="1">
      <alignment horizontal="center" vertical="center" wrapText="1"/>
    </xf>
    <xf numFmtId="0" fontId="111" fillId="0" borderId="9" xfId="3" quotePrefix="1" applyFont="1" applyBorder="1" applyAlignment="1">
      <alignment horizontal="center" vertical="center" wrapText="1"/>
    </xf>
    <xf numFmtId="164" fontId="94" fillId="0" borderId="9" xfId="3" quotePrefix="1" applyNumberFormat="1" applyFont="1" applyFill="1" applyBorder="1" applyAlignment="1">
      <alignment horizontal="center" vertical="center" wrapText="1"/>
    </xf>
    <xf numFmtId="0" fontId="97" fillId="0" borderId="9" xfId="5" quotePrefix="1" applyNumberFormat="1" applyFont="1" applyFill="1" applyBorder="1" applyAlignment="1">
      <alignment horizontal="center" vertical="center" wrapText="1"/>
    </xf>
    <xf numFmtId="0" fontId="97" fillId="4" borderId="9" xfId="2" applyFont="1" applyFill="1" applyBorder="1" applyAlignment="1">
      <alignment horizontal="center" vertical="center" wrapText="1"/>
    </xf>
    <xf numFmtId="2" fontId="97" fillId="0" borderId="9" xfId="1" quotePrefix="1" applyNumberFormat="1" applyFont="1" applyFill="1" applyBorder="1" applyAlignment="1">
      <alignment horizontal="center" vertical="center" wrapText="1"/>
    </xf>
    <xf numFmtId="2" fontId="100" fillId="0" borderId="9" xfId="0" applyNumberFormat="1" applyFont="1" applyBorder="1" applyAlignment="1">
      <alignment horizontal="center"/>
    </xf>
    <xf numFmtId="10" fontId="100" fillId="0" borderId="9" xfId="0" applyNumberFormat="1" applyFont="1" applyBorder="1"/>
    <xf numFmtId="1" fontId="100" fillId="0" borderId="9" xfId="0" applyNumberFormat="1" applyFont="1" applyBorder="1" applyAlignment="1">
      <alignment horizontal="center"/>
    </xf>
    <xf numFmtId="1" fontId="100" fillId="0" borderId="9" xfId="0" applyNumberFormat="1" applyFont="1" applyBorder="1"/>
    <xf numFmtId="164" fontId="96" fillId="0" borderId="9" xfId="1" quotePrefix="1" applyNumberFormat="1" applyFont="1" applyBorder="1" applyAlignment="1">
      <alignment horizontal="center" vertical="center" wrapText="1"/>
    </xf>
    <xf numFmtId="0" fontId="98" fillId="0" borderId="9" xfId="0" quotePrefix="1" applyFont="1" applyBorder="1"/>
    <xf numFmtId="0" fontId="98" fillId="0" borderId="9" xfId="0" quotePrefix="1" applyFont="1" applyBorder="1" applyAlignment="1">
      <alignment horizontal="center" vertical="center"/>
    </xf>
    <xf numFmtId="10" fontId="98" fillId="0" borderId="9" xfId="0" quotePrefix="1" applyNumberFormat="1" applyFont="1" applyBorder="1" applyAlignment="1">
      <alignment horizontal="center" vertical="center"/>
    </xf>
    <xf numFmtId="1" fontId="98" fillId="0" borderId="9" xfId="0" quotePrefix="1" applyNumberFormat="1" applyFont="1" applyBorder="1" applyAlignment="1">
      <alignment horizontal="center" vertical="center"/>
    </xf>
    <xf numFmtId="0" fontId="96" fillId="0" borderId="9" xfId="0" applyFont="1" applyBorder="1" applyAlignment="1">
      <alignment horizontal="center" vertical="center"/>
    </xf>
    <xf numFmtId="10" fontId="98" fillId="0" borderId="9" xfId="5" applyNumberFormat="1" applyFont="1" applyFill="1" applyBorder="1" applyAlignment="1">
      <alignment horizontal="center" vertical="center"/>
    </xf>
    <xf numFmtId="14" fontId="98" fillId="0" borderId="9" xfId="0" applyNumberFormat="1" applyFont="1" applyBorder="1" applyAlignment="1">
      <alignment horizontal="center" vertical="center"/>
    </xf>
    <xf numFmtId="1" fontId="98" fillId="0" borderId="9" xfId="0" applyNumberFormat="1" applyFont="1" applyBorder="1" applyAlignment="1">
      <alignment horizontal="center" vertical="center"/>
    </xf>
    <xf numFmtId="10" fontId="100" fillId="0" borderId="9" xfId="0" applyNumberFormat="1" applyFont="1" applyBorder="1" applyAlignment="1">
      <alignment horizontal="center" vertical="center"/>
    </xf>
    <xf numFmtId="1" fontId="100" fillId="0" borderId="9" xfId="0" applyNumberFormat="1" applyFont="1" applyBorder="1" applyAlignment="1">
      <alignment horizontal="center" vertical="center"/>
    </xf>
    <xf numFmtId="0" fontId="98" fillId="0" borderId="12" xfId="0" applyFont="1" applyBorder="1" applyAlignment="1">
      <alignment horizontal="center" vertical="center"/>
    </xf>
    <xf numFmtId="0" fontId="111" fillId="0" borderId="12" xfId="3" applyFont="1" applyBorder="1" applyAlignment="1">
      <alignment horizontal="center" vertical="center"/>
    </xf>
    <xf numFmtId="0" fontId="98" fillId="0" borderId="12" xfId="0" applyFont="1" applyBorder="1" applyAlignment="1">
      <alignment horizontal="center" vertical="center" wrapText="1"/>
    </xf>
    <xf numFmtId="164" fontId="97" fillId="0" borderId="17" xfId="1" quotePrefix="1" applyNumberFormat="1" applyFont="1" applyBorder="1" applyAlignment="1">
      <alignment horizontal="center" vertical="center" wrapText="1"/>
    </xf>
    <xf numFmtId="164" fontId="110" fillId="0" borderId="11" xfId="3" quotePrefix="1" applyNumberFormat="1" applyFont="1" applyBorder="1" applyAlignment="1">
      <alignment horizontal="center" vertical="center" wrapText="1"/>
    </xf>
    <xf numFmtId="0" fontId="98" fillId="0" borderId="4" xfId="0" applyFont="1" applyBorder="1" applyAlignment="1">
      <alignment horizontal="center" vertical="center" wrapText="1"/>
    </xf>
    <xf numFmtId="0" fontId="111" fillId="0" borderId="4" xfId="3" applyFont="1" applyBorder="1" applyAlignment="1">
      <alignment horizontal="center" vertical="center" wrapText="1"/>
    </xf>
    <xf numFmtId="0" fontId="96" fillId="0" borderId="4" xfId="0" applyFont="1" applyBorder="1" applyAlignment="1">
      <alignment horizontal="center" vertical="center" wrapText="1"/>
    </xf>
    <xf numFmtId="14" fontId="97" fillId="0" borderId="4" xfId="2" applyNumberFormat="1" applyFont="1" applyBorder="1" applyAlignment="1">
      <alignment horizontal="center" vertical="center" wrapText="1"/>
    </xf>
    <xf numFmtId="14" fontId="98" fillId="0" borderId="4" xfId="3" applyNumberFormat="1" applyFont="1" applyBorder="1" applyAlignment="1">
      <alignment horizontal="center" vertical="center" wrapText="1"/>
    </xf>
    <xf numFmtId="0" fontId="98" fillId="2" borderId="9" xfId="0" applyFont="1" applyFill="1" applyBorder="1" applyAlignment="1">
      <alignment horizontal="center" vertical="center" wrapText="1"/>
    </xf>
    <xf numFmtId="0" fontId="100" fillId="2" borderId="9" xfId="0" applyFont="1" applyFill="1" applyBorder="1" applyAlignment="1">
      <alignment horizontal="center" vertical="center" wrapText="1"/>
    </xf>
    <xf numFmtId="1" fontId="100" fillId="0" borderId="0" xfId="0" applyNumberFormat="1" applyFont="1" applyAlignment="1">
      <alignment horizontal="center"/>
    </xf>
    <xf numFmtId="10" fontId="100" fillId="0" borderId="0" xfId="0" applyNumberFormat="1" applyFont="1"/>
    <xf numFmtId="1" fontId="100" fillId="0" borderId="0" xfId="0" applyNumberFormat="1" applyFont="1"/>
    <xf numFmtId="164" fontId="119" fillId="0" borderId="9" xfId="3" applyNumberFormat="1" applyFont="1" applyBorder="1" applyAlignment="1">
      <alignment horizontal="center" vertical="center" wrapText="1"/>
    </xf>
    <xf numFmtId="0" fontId="94" fillId="0" borderId="0" xfId="0" applyFont="1" applyAlignment="1">
      <alignment horizontal="center" vertical="center" wrapText="1"/>
    </xf>
    <xf numFmtId="0" fontId="116" fillId="0" borderId="9" xfId="0" applyFont="1" applyBorder="1" applyAlignment="1">
      <alignment horizontal="center" vertical="center" wrapText="1"/>
    </xf>
    <xf numFmtId="0" fontId="34" fillId="0" borderId="9" xfId="3" applyBorder="1" applyAlignment="1">
      <alignment horizontal="center" vertical="center" wrapText="1"/>
    </xf>
    <xf numFmtId="0" fontId="121" fillId="2" borderId="0" xfId="0" applyFont="1" applyFill="1" applyAlignment="1">
      <alignment horizontal="center"/>
    </xf>
    <xf numFmtId="0" fontId="121" fillId="2" borderId="0" xfId="0" applyFont="1" applyFill="1" applyAlignment="1">
      <alignment horizontal="center" vertical="center"/>
    </xf>
    <xf numFmtId="0" fontId="122" fillId="2" borderId="0" xfId="0" applyFont="1" applyFill="1" applyAlignment="1">
      <alignment horizontal="center" vertical="center" wrapText="1"/>
    </xf>
    <xf numFmtId="10" fontId="123" fillId="2" borderId="0" xfId="0" applyNumberFormat="1" applyFont="1" applyFill="1" applyAlignment="1">
      <alignment horizontal="left" vertical="center" wrapText="1"/>
    </xf>
    <xf numFmtId="0" fontId="122" fillId="2" borderId="0" xfId="0" applyFont="1" applyFill="1" applyAlignment="1">
      <alignment horizontal="left" vertical="center" wrapText="1"/>
    </xf>
    <xf numFmtId="10" fontId="123" fillId="0" borderId="0" xfId="0" applyNumberFormat="1" applyFont="1" applyAlignment="1">
      <alignment horizontal="left" vertical="center" wrapText="1"/>
    </xf>
    <xf numFmtId="0" fontId="122" fillId="0" borderId="0" xfId="0" applyFont="1" applyAlignment="1">
      <alignment horizontal="left" vertical="center" wrapText="1"/>
    </xf>
    <xf numFmtId="0" fontId="121" fillId="0" borderId="0" xfId="0" applyFont="1" applyAlignment="1">
      <alignment horizontal="center" wrapText="1"/>
    </xf>
    <xf numFmtId="0" fontId="124" fillId="2" borderId="0" xfId="0" applyFont="1" applyFill="1" applyAlignment="1">
      <alignment horizontal="center"/>
    </xf>
    <xf numFmtId="1" fontId="124" fillId="2" borderId="0" xfId="0" applyNumberFormat="1" applyFont="1" applyFill="1" applyAlignment="1">
      <alignment horizontal="center"/>
    </xf>
    <xf numFmtId="164" fontId="125" fillId="39" borderId="0" xfId="1" applyNumberFormat="1" applyFont="1" applyFill="1" applyBorder="1" applyAlignment="1">
      <alignment horizontal="center" vertical="center" wrapText="1"/>
    </xf>
    <xf numFmtId="0" fontId="125" fillId="39" borderId="0" xfId="1" applyFont="1" applyFill="1" applyBorder="1" applyAlignment="1">
      <alignment horizontal="center" vertical="center" wrapText="1"/>
    </xf>
    <xf numFmtId="0" fontId="126" fillId="39" borderId="0" xfId="1" applyFont="1" applyFill="1" applyBorder="1" applyAlignment="1">
      <alignment horizontal="center" vertical="center" wrapText="1"/>
    </xf>
    <xf numFmtId="1" fontId="125" fillId="39" borderId="0" xfId="1" applyNumberFormat="1" applyFont="1" applyFill="1" applyBorder="1" applyAlignment="1">
      <alignment horizontal="center" vertical="center" wrapText="1"/>
    </xf>
    <xf numFmtId="164" fontId="123" fillId="30" borderId="9" xfId="0" quotePrefix="1" applyNumberFormat="1" applyFont="1" applyFill="1" applyBorder="1" applyAlignment="1">
      <alignment horizontal="center" vertical="center" wrapText="1"/>
    </xf>
    <xf numFmtId="0" fontId="122" fillId="30" borderId="9" xfId="0" applyFont="1" applyFill="1" applyBorder="1" applyAlignment="1">
      <alignment horizontal="center" vertical="center" wrapText="1"/>
    </xf>
    <xf numFmtId="0" fontId="123" fillId="30" borderId="9" xfId="0" applyFont="1" applyFill="1" applyBorder="1" applyAlignment="1">
      <alignment horizontal="center" vertical="center"/>
    </xf>
    <xf numFmtId="1" fontId="123" fillId="30" borderId="9" xfId="0" applyNumberFormat="1" applyFont="1" applyFill="1" applyBorder="1" applyAlignment="1">
      <alignment horizontal="center" vertical="center"/>
    </xf>
    <xf numFmtId="0" fontId="124" fillId="2" borderId="0" xfId="0" applyFont="1" applyFill="1" applyAlignment="1">
      <alignment horizontal="center" vertical="center"/>
    </xf>
    <xf numFmtId="164" fontId="122" fillId="29" borderId="9" xfId="0" quotePrefix="1" applyNumberFormat="1" applyFont="1" applyFill="1" applyBorder="1" applyAlignment="1">
      <alignment horizontal="center" vertical="center" wrapText="1"/>
    </xf>
    <xf numFmtId="164" fontId="127" fillId="29" borderId="9" xfId="0" quotePrefix="1" applyNumberFormat="1" applyFont="1" applyFill="1" applyBorder="1" applyAlignment="1">
      <alignment horizontal="center" vertical="center" wrapText="1"/>
    </xf>
    <xf numFmtId="164" fontId="128" fillId="29" borderId="9" xfId="0" quotePrefix="1" applyNumberFormat="1" applyFont="1" applyFill="1" applyBorder="1" applyAlignment="1">
      <alignment horizontal="center" vertical="center" wrapText="1"/>
    </xf>
    <xf numFmtId="0" fontId="127" fillId="29" borderId="9" xfId="0" applyFont="1" applyFill="1" applyBorder="1" applyAlignment="1">
      <alignment horizontal="center" vertical="center" wrapText="1"/>
    </xf>
    <xf numFmtId="0" fontId="122" fillId="29" borderId="9" xfId="0" applyFont="1" applyFill="1" applyBorder="1" applyAlignment="1">
      <alignment horizontal="center" vertical="center" wrapText="1"/>
    </xf>
    <xf numFmtId="0" fontId="129" fillId="29" borderId="9" xfId="3" applyFont="1" applyFill="1" applyBorder="1" applyAlignment="1">
      <alignment horizontal="center" vertical="center" wrapText="1"/>
    </xf>
    <xf numFmtId="0" fontId="123" fillId="29" borderId="9" xfId="0" applyFont="1" applyFill="1" applyBorder="1" applyAlignment="1">
      <alignment horizontal="center" vertical="center"/>
    </xf>
    <xf numFmtId="1" fontId="123" fillId="29" borderId="9" xfId="0" applyNumberFormat="1" applyFont="1" applyFill="1" applyBorder="1" applyAlignment="1">
      <alignment horizontal="center" vertical="center"/>
    </xf>
    <xf numFmtId="0" fontId="124" fillId="0" borderId="0" xfId="0" applyFont="1" applyAlignment="1">
      <alignment horizontal="center" vertical="center"/>
    </xf>
    <xf numFmtId="164" fontId="129" fillId="29" borderId="9" xfId="3" quotePrefix="1" applyNumberFormat="1" applyFont="1" applyFill="1" applyBorder="1" applyAlignment="1">
      <alignment horizontal="center" vertical="center" wrapText="1"/>
    </xf>
    <xf numFmtId="0" fontId="129" fillId="29" borderId="9" xfId="3" applyFont="1" applyFill="1" applyBorder="1" applyAlignment="1">
      <alignment wrapText="1"/>
    </xf>
    <xf numFmtId="14" fontId="122" fillId="29" borderId="9" xfId="2" applyNumberFormat="1" applyFont="1" applyFill="1" applyBorder="1" applyAlignment="1">
      <alignment horizontal="center" vertical="center" wrapText="1"/>
    </xf>
    <xf numFmtId="164" fontId="122" fillId="29" borderId="9" xfId="0" applyNumberFormat="1" applyFont="1" applyFill="1" applyBorder="1" applyAlignment="1">
      <alignment horizontal="center" vertical="center" wrapText="1"/>
    </xf>
    <xf numFmtId="164" fontId="130" fillId="29" borderId="9" xfId="0" applyNumberFormat="1" applyFont="1" applyFill="1" applyBorder="1" applyAlignment="1">
      <alignment horizontal="center" vertical="center" wrapText="1"/>
    </xf>
    <xf numFmtId="0" fontId="130" fillId="29" borderId="9" xfId="0" applyFont="1" applyFill="1" applyBorder="1" applyAlignment="1">
      <alignment horizontal="center" vertical="center" wrapText="1"/>
    </xf>
    <xf numFmtId="164" fontId="123" fillId="30" borderId="9" xfId="0" quotePrefix="1" applyNumberFormat="1" applyFont="1" applyFill="1" applyBorder="1" applyAlignment="1">
      <alignment vertical="center" wrapText="1"/>
    </xf>
    <xf numFmtId="1" fontId="123" fillId="30" borderId="9" xfId="0" quotePrefix="1" applyNumberFormat="1" applyFont="1" applyFill="1" applyBorder="1" applyAlignment="1">
      <alignment vertical="center" wrapText="1"/>
    </xf>
    <xf numFmtId="164" fontId="131" fillId="29" borderId="9" xfId="3" quotePrefix="1" applyNumberFormat="1" applyFont="1" applyFill="1" applyBorder="1" applyAlignment="1">
      <alignment horizontal="center" vertical="center" wrapText="1"/>
    </xf>
    <xf numFmtId="0" fontId="123" fillId="30" borderId="9" xfId="0" applyFont="1" applyFill="1" applyBorder="1" applyAlignment="1">
      <alignment horizontal="center" vertical="center" wrapText="1"/>
    </xf>
    <xf numFmtId="164" fontId="122" fillId="30" borderId="9" xfId="0" quotePrefix="1" applyNumberFormat="1" applyFont="1" applyFill="1" applyBorder="1" applyAlignment="1">
      <alignment horizontal="center" vertical="center" wrapText="1"/>
    </xf>
    <xf numFmtId="16" fontId="123" fillId="30" borderId="9" xfId="0" applyNumberFormat="1" applyFont="1" applyFill="1" applyBorder="1" applyAlignment="1">
      <alignment horizontal="center" vertical="center"/>
    </xf>
    <xf numFmtId="0" fontId="123" fillId="29" borderId="9" xfId="2" applyFont="1" applyFill="1" applyBorder="1" applyAlignment="1">
      <alignment horizontal="center" vertical="center" wrapText="1"/>
    </xf>
    <xf numFmtId="1" fontId="123" fillId="29" borderId="9" xfId="2" applyNumberFormat="1" applyFont="1" applyFill="1" applyBorder="1" applyAlignment="1">
      <alignment horizontal="center" vertical="center" wrapText="1"/>
    </xf>
    <xf numFmtId="164" fontId="123" fillId="4" borderId="9" xfId="1" quotePrefix="1" applyNumberFormat="1" applyFont="1" applyFill="1" applyBorder="1" applyAlignment="1">
      <alignment horizontal="center" vertical="center" wrapText="1"/>
    </xf>
    <xf numFmtId="14" fontId="123" fillId="4" borderId="9" xfId="2" applyNumberFormat="1" applyFont="1" applyFill="1" applyBorder="1" applyAlignment="1">
      <alignment horizontal="center" vertical="center" wrapText="1"/>
    </xf>
    <xf numFmtId="14" fontId="122" fillId="30" borderId="9" xfId="2" applyNumberFormat="1" applyFont="1" applyFill="1" applyBorder="1" applyAlignment="1">
      <alignment horizontal="center" vertical="center" wrapText="1"/>
    </xf>
    <xf numFmtId="164" fontId="132" fillId="30" borderId="9" xfId="0" applyNumberFormat="1" applyFont="1" applyFill="1" applyBorder="1" applyAlignment="1">
      <alignment horizontal="center" vertical="center" wrapText="1"/>
    </xf>
    <xf numFmtId="1" fontId="132" fillId="30" borderId="9" xfId="0" applyNumberFormat="1" applyFont="1" applyFill="1" applyBorder="1" applyAlignment="1">
      <alignment horizontal="center" vertical="center" wrapText="1"/>
    </xf>
    <xf numFmtId="164" fontId="129" fillId="29" borderId="9" xfId="3" applyNumberFormat="1" applyFont="1" applyFill="1" applyBorder="1" applyAlignment="1">
      <alignment horizontal="center" vertical="center" wrapText="1"/>
    </xf>
    <xf numFmtId="164" fontId="122" fillId="30" borderId="9" xfId="0" applyNumberFormat="1" applyFont="1" applyFill="1" applyBorder="1" applyAlignment="1">
      <alignment horizontal="center" vertical="center" wrapText="1"/>
    </xf>
    <xf numFmtId="164" fontId="123" fillId="30" borderId="9" xfId="0" applyNumberFormat="1" applyFont="1" applyFill="1" applyBorder="1" applyAlignment="1">
      <alignment horizontal="center" vertical="center" wrapText="1"/>
    </xf>
    <xf numFmtId="14" fontId="129" fillId="29" borderId="9" xfId="3" applyNumberFormat="1" applyFont="1" applyFill="1" applyBorder="1" applyAlignment="1">
      <alignment horizontal="center" vertical="center" wrapText="1"/>
    </xf>
    <xf numFmtId="14" fontId="123" fillId="29" borderId="9" xfId="2" applyNumberFormat="1" applyFont="1" applyFill="1" applyBorder="1" applyAlignment="1">
      <alignment horizontal="center" vertical="center" wrapText="1"/>
    </xf>
    <xf numFmtId="3" fontId="123" fillId="30" borderId="9" xfId="0" applyNumberFormat="1" applyFont="1" applyFill="1" applyBorder="1" applyAlignment="1">
      <alignment horizontal="center" vertical="center"/>
    </xf>
    <xf numFmtId="164" fontId="133" fillId="0" borderId="9" xfId="0" applyNumberFormat="1" applyFont="1" applyBorder="1" applyAlignment="1">
      <alignment horizontal="center" vertical="center" wrapText="1"/>
    </xf>
    <xf numFmtId="164" fontId="122" fillId="0" borderId="9" xfId="1" quotePrefix="1" applyNumberFormat="1" applyFont="1" applyFill="1" applyBorder="1" applyAlignment="1">
      <alignment horizontal="center" vertical="center" wrapText="1"/>
    </xf>
    <xf numFmtId="14" fontId="123" fillId="0" borderId="9" xfId="2" applyNumberFormat="1" applyFont="1" applyBorder="1" applyAlignment="1">
      <alignment horizontal="center" vertical="center" wrapText="1"/>
    </xf>
    <xf numFmtId="14" fontId="122" fillId="0" borderId="9" xfId="2" applyNumberFormat="1" applyFont="1" applyBorder="1" applyAlignment="1">
      <alignment horizontal="center" vertical="center" wrapText="1"/>
    </xf>
    <xf numFmtId="14" fontId="129" fillId="0" borderId="9" xfId="3" applyNumberFormat="1" applyFont="1" applyFill="1" applyBorder="1" applyAlignment="1">
      <alignment horizontal="center" vertical="center" wrapText="1"/>
    </xf>
    <xf numFmtId="1" fontId="123" fillId="0" borderId="9" xfId="2" applyNumberFormat="1" applyFont="1" applyBorder="1" applyAlignment="1">
      <alignment horizontal="center" vertical="center" wrapText="1"/>
    </xf>
    <xf numFmtId="0" fontId="123" fillId="0" borderId="9" xfId="2" applyFont="1" applyBorder="1" applyAlignment="1">
      <alignment horizontal="center" vertical="center" wrapText="1"/>
    </xf>
    <xf numFmtId="0" fontId="127" fillId="2" borderId="0" xfId="2" applyFont="1" applyFill="1" applyAlignment="1">
      <alignment horizontal="center" vertical="center" wrapText="1"/>
    </xf>
    <xf numFmtId="164" fontId="122" fillId="0" borderId="9" xfId="0" applyNumberFormat="1" applyFont="1" applyBorder="1" applyAlignment="1">
      <alignment horizontal="center" vertical="center" wrapText="1"/>
    </xf>
    <xf numFmtId="164" fontId="122" fillId="0" borderId="9" xfId="0" quotePrefix="1" applyNumberFormat="1" applyFont="1" applyBorder="1" applyAlignment="1">
      <alignment horizontal="center" vertical="center" wrapText="1"/>
    </xf>
    <xf numFmtId="164" fontId="129" fillId="0" borderId="9" xfId="3" applyNumberFormat="1" applyFont="1" applyFill="1" applyBorder="1" applyAlignment="1">
      <alignment horizontal="center" vertical="center" wrapText="1"/>
    </xf>
    <xf numFmtId="0" fontId="122" fillId="0" borderId="9" xfId="0" applyFont="1" applyBorder="1" applyAlignment="1">
      <alignment horizontal="center" vertical="center" wrapText="1"/>
    </xf>
    <xf numFmtId="0" fontId="129" fillId="0" borderId="9" xfId="3" applyFont="1" applyFill="1" applyBorder="1" applyAlignment="1">
      <alignment horizontal="center" vertical="center" wrapText="1"/>
    </xf>
    <xf numFmtId="3" fontId="132" fillId="0" borderId="9" xfId="0" applyNumberFormat="1" applyFont="1" applyBorder="1" applyAlignment="1">
      <alignment horizontal="center" vertical="center"/>
    </xf>
    <xf numFmtId="1" fontId="132" fillId="0" borderId="9" xfId="0" applyNumberFormat="1" applyFont="1" applyBorder="1" applyAlignment="1">
      <alignment horizontal="center" vertical="center"/>
    </xf>
    <xf numFmtId="0" fontId="132" fillId="0" borderId="9" xfId="0" applyFont="1" applyBorder="1" applyAlignment="1">
      <alignment horizontal="center" vertical="center"/>
    </xf>
    <xf numFmtId="0" fontId="134" fillId="2" borderId="0" xfId="0" applyFont="1" applyFill="1" applyAlignment="1">
      <alignment horizontal="center" vertical="center"/>
    </xf>
    <xf numFmtId="3" fontId="123" fillId="29" borderId="9" xfId="0" applyNumberFormat="1" applyFont="1" applyFill="1" applyBorder="1" applyAlignment="1">
      <alignment horizontal="center" vertical="center"/>
    </xf>
    <xf numFmtId="0" fontId="133" fillId="29" borderId="9" xfId="0" applyFont="1" applyFill="1" applyBorder="1" applyAlignment="1">
      <alignment horizontal="center" vertical="center" wrapText="1"/>
    </xf>
    <xf numFmtId="0" fontId="123" fillId="29" borderId="9" xfId="0" applyFont="1" applyFill="1" applyBorder="1" applyAlignment="1">
      <alignment horizontal="center" vertical="center" wrapText="1"/>
    </xf>
    <xf numFmtId="1" fontId="123" fillId="29" borderId="9" xfId="0" applyNumberFormat="1" applyFont="1" applyFill="1" applyBorder="1" applyAlignment="1">
      <alignment horizontal="center" vertical="center" wrapText="1"/>
    </xf>
    <xf numFmtId="164" fontId="122" fillId="29" borderId="9" xfId="1" quotePrefix="1" applyNumberFormat="1" applyFont="1" applyFill="1" applyBorder="1" applyAlignment="1">
      <alignment horizontal="center" vertical="center" wrapText="1"/>
    </xf>
    <xf numFmtId="14" fontId="131" fillId="29" borderId="9" xfId="3" applyNumberFormat="1" applyFont="1" applyFill="1" applyBorder="1" applyAlignment="1">
      <alignment horizontal="center" vertical="center" wrapText="1"/>
    </xf>
    <xf numFmtId="164" fontId="123" fillId="30" borderId="9" xfId="1" quotePrefix="1" applyNumberFormat="1" applyFont="1" applyFill="1" applyBorder="1" applyAlignment="1">
      <alignment horizontal="center" vertical="center" wrapText="1"/>
    </xf>
    <xf numFmtId="14" fontId="131" fillId="30" borderId="9" xfId="3" applyNumberFormat="1" applyFont="1" applyFill="1" applyBorder="1" applyAlignment="1">
      <alignment horizontal="center" vertical="center" wrapText="1"/>
    </xf>
    <xf numFmtId="1" fontId="123" fillId="30" borderId="9" xfId="0" applyNumberFormat="1" applyFont="1" applyFill="1" applyBorder="1" applyAlignment="1">
      <alignment horizontal="center" vertical="center" wrapText="1"/>
    </xf>
    <xf numFmtId="14" fontId="131" fillId="0" borderId="9" xfId="3" applyNumberFormat="1" applyFont="1" applyFill="1" applyBorder="1" applyAlignment="1">
      <alignment horizontal="center" vertical="center" wrapText="1"/>
    </xf>
    <xf numFmtId="0" fontId="123" fillId="0" borderId="9" xfId="0" applyFont="1" applyBorder="1" applyAlignment="1">
      <alignment horizontal="center" vertical="center" wrapText="1"/>
    </xf>
    <xf numFmtId="1" fontId="123" fillId="0" borderId="9" xfId="0" applyNumberFormat="1" applyFont="1" applyBorder="1" applyAlignment="1">
      <alignment horizontal="center" vertical="center" wrapText="1"/>
    </xf>
    <xf numFmtId="164" fontId="122" fillId="30" borderId="9" xfId="1" quotePrefix="1" applyNumberFormat="1" applyFont="1" applyFill="1" applyBorder="1" applyAlignment="1">
      <alignment horizontal="center" vertical="center" wrapText="1"/>
    </xf>
    <xf numFmtId="14" fontId="129" fillId="0" borderId="9" xfId="3" applyNumberFormat="1" applyFont="1" applyBorder="1" applyAlignment="1">
      <alignment horizontal="center" vertical="center" wrapText="1"/>
    </xf>
    <xf numFmtId="0" fontId="122" fillId="0" borderId="9" xfId="2" applyFont="1" applyBorder="1" applyAlignment="1">
      <alignment horizontal="center" vertical="center" wrapText="1"/>
    </xf>
    <xf numFmtId="1" fontId="122" fillId="0" borderId="9" xfId="2" applyNumberFormat="1" applyFont="1" applyBorder="1" applyAlignment="1">
      <alignment horizontal="center" vertical="center" wrapText="1"/>
    </xf>
    <xf numFmtId="10" fontId="122" fillId="0" borderId="9" xfId="2" applyNumberFormat="1" applyFont="1" applyBorder="1" applyAlignment="1">
      <alignment horizontal="center" vertical="center" wrapText="1"/>
    </xf>
    <xf numFmtId="3" fontId="122" fillId="0" borderId="9" xfId="2" applyNumberFormat="1" applyFont="1" applyBorder="1" applyAlignment="1">
      <alignment horizontal="center" vertical="center" wrapText="1"/>
    </xf>
    <xf numFmtId="164" fontId="129" fillId="0" borderId="9" xfId="3" applyNumberFormat="1" applyFont="1" applyBorder="1" applyAlignment="1">
      <alignment horizontal="center" vertical="center" wrapText="1"/>
    </xf>
    <xf numFmtId="14" fontId="135" fillId="0" borderId="9" xfId="2" applyNumberFormat="1" applyFont="1" applyBorder="1" applyAlignment="1">
      <alignment horizontal="center" vertical="center" wrapText="1"/>
    </xf>
    <xf numFmtId="3" fontId="123" fillId="0" borderId="9" xfId="2" applyNumberFormat="1" applyFont="1" applyBorder="1" applyAlignment="1">
      <alignment horizontal="center" vertical="center" wrapText="1"/>
    </xf>
    <xf numFmtId="10" fontId="123" fillId="0" borderId="9" xfId="2" applyNumberFormat="1" applyFont="1" applyBorder="1" applyAlignment="1">
      <alignment horizontal="center" vertical="center" wrapText="1"/>
    </xf>
    <xf numFmtId="0" fontId="123" fillId="30" borderId="9" xfId="2" applyFont="1" applyFill="1" applyBorder="1" applyAlignment="1">
      <alignment horizontal="center" vertical="center" wrapText="1"/>
    </xf>
    <xf numFmtId="1" fontId="123" fillId="30" borderId="9" xfId="2" applyNumberFormat="1" applyFont="1" applyFill="1" applyBorder="1" applyAlignment="1">
      <alignment horizontal="center" vertical="center" wrapText="1"/>
    </xf>
    <xf numFmtId="3" fontId="123" fillId="30" borderId="9" xfId="2" applyNumberFormat="1" applyFont="1" applyFill="1" applyBorder="1" applyAlignment="1">
      <alignment horizontal="center" vertical="center" wrapText="1"/>
    </xf>
    <xf numFmtId="0" fontId="129" fillId="0" borderId="9" xfId="3" applyFont="1" applyBorder="1" applyAlignment="1">
      <alignment horizontal="center" vertical="center" wrapText="1"/>
    </xf>
    <xf numFmtId="3" fontId="122" fillId="0" borderId="9" xfId="0" applyNumberFormat="1" applyFont="1" applyBorder="1" applyAlignment="1">
      <alignment horizontal="center" vertical="center"/>
    </xf>
    <xf numFmtId="0" fontId="127" fillId="2" borderId="9" xfId="2" applyFont="1" applyFill="1" applyBorder="1" applyAlignment="1">
      <alignment horizontal="center" vertical="center" wrapText="1"/>
    </xf>
    <xf numFmtId="9" fontId="122" fillId="0" borderId="9" xfId="0" applyNumberFormat="1" applyFont="1" applyBorder="1" applyAlignment="1">
      <alignment horizontal="center" vertical="center"/>
    </xf>
    <xf numFmtId="0" fontId="122" fillId="0" borderId="9" xfId="0" applyFont="1" applyBorder="1" applyAlignment="1">
      <alignment horizontal="center" vertical="center"/>
    </xf>
    <xf numFmtId="164" fontId="135" fillId="0" borderId="9" xfId="0" quotePrefix="1" applyNumberFormat="1" applyFont="1" applyBorder="1" applyAlignment="1">
      <alignment horizontal="center" vertical="center" wrapText="1"/>
    </xf>
    <xf numFmtId="1" fontId="122" fillId="0" borderId="9" xfId="0" applyNumberFormat="1" applyFont="1" applyBorder="1" applyAlignment="1">
      <alignment horizontal="center" vertical="center"/>
    </xf>
    <xf numFmtId="10" fontId="122" fillId="0" borderId="9" xfId="0" applyNumberFormat="1" applyFont="1" applyBorder="1" applyAlignment="1">
      <alignment horizontal="center" vertical="center"/>
    </xf>
    <xf numFmtId="164" fontId="122" fillId="6" borderId="9" xfId="1" quotePrefix="1" applyNumberFormat="1" applyFont="1" applyFill="1" applyBorder="1" applyAlignment="1">
      <alignment horizontal="center" vertical="center" wrapText="1"/>
    </xf>
    <xf numFmtId="164" fontId="122" fillId="5" borderId="9" xfId="0" quotePrefix="1" applyNumberFormat="1" applyFont="1" applyFill="1" applyBorder="1" applyAlignment="1">
      <alignment horizontal="center" vertical="center" wrapText="1"/>
    </xf>
    <xf numFmtId="164" fontId="123" fillId="0" borderId="9" xfId="0" quotePrefix="1" applyNumberFormat="1" applyFont="1" applyBorder="1" applyAlignment="1">
      <alignment horizontal="center" vertical="center" wrapText="1"/>
    </xf>
    <xf numFmtId="164" fontId="122" fillId="4" borderId="9" xfId="1" quotePrefix="1" applyNumberFormat="1" applyFont="1" applyFill="1" applyBorder="1" applyAlignment="1">
      <alignment horizontal="center" vertical="center" wrapText="1"/>
    </xf>
    <xf numFmtId="14" fontId="122" fillId="4" borderId="9" xfId="2" applyNumberFormat="1" applyFont="1" applyFill="1" applyBorder="1" applyAlignment="1">
      <alignment horizontal="center" vertical="center" wrapText="1"/>
    </xf>
    <xf numFmtId="0" fontId="127" fillId="0" borderId="0" xfId="2" applyFont="1" applyAlignment="1">
      <alignment horizontal="center" vertical="center" wrapText="1"/>
    </xf>
    <xf numFmtId="0" fontId="127" fillId="0" borderId="9" xfId="2" applyFont="1" applyBorder="1" applyAlignment="1">
      <alignment horizontal="center" vertical="center" wrapText="1"/>
    </xf>
    <xf numFmtId="14" fontId="130" fillId="0" borderId="9" xfId="2" applyNumberFormat="1" applyFont="1" applyBorder="1" applyAlignment="1">
      <alignment horizontal="center" vertical="center" wrapText="1"/>
    </xf>
    <xf numFmtId="164" fontId="133" fillId="0" borderId="9" xfId="1" quotePrefix="1" applyNumberFormat="1" applyFont="1" applyFill="1" applyBorder="1" applyAlignment="1">
      <alignment horizontal="center" vertical="center" wrapText="1"/>
    </xf>
    <xf numFmtId="14" fontId="133" fillId="0" borderId="9" xfId="2" applyNumberFormat="1" applyFont="1" applyBorder="1" applyAlignment="1">
      <alignment horizontal="center" vertical="center" wrapText="1"/>
    </xf>
    <xf numFmtId="164" fontId="136" fillId="0" borderId="9" xfId="3" applyNumberFormat="1" applyFont="1" applyFill="1" applyBorder="1" applyAlignment="1">
      <alignment horizontal="center" vertical="center" wrapText="1"/>
    </xf>
    <xf numFmtId="0" fontId="133" fillId="0" borderId="9" xfId="2" applyFont="1" applyBorder="1" applyAlignment="1">
      <alignment horizontal="center" vertical="center" wrapText="1"/>
    </xf>
    <xf numFmtId="0" fontId="132" fillId="0" borderId="9" xfId="2" applyFont="1" applyBorder="1" applyAlignment="1">
      <alignment horizontal="center" vertical="center" wrapText="1"/>
    </xf>
    <xf numFmtId="164" fontId="122" fillId="0" borderId="9" xfId="1" applyNumberFormat="1" applyFont="1" applyFill="1" applyBorder="1" applyAlignment="1">
      <alignment horizontal="center" vertical="center" wrapText="1"/>
    </xf>
    <xf numFmtId="0" fontId="135" fillId="0" borderId="9" xfId="2" applyFont="1" applyBorder="1" applyAlignment="1">
      <alignment horizontal="center" vertical="center" wrapText="1"/>
    </xf>
    <xf numFmtId="14" fontId="122" fillId="34" borderId="9" xfId="2" applyNumberFormat="1" applyFont="1" applyFill="1" applyBorder="1" applyAlignment="1">
      <alignment horizontal="center" vertical="center" wrapText="1"/>
    </xf>
    <xf numFmtId="164" fontId="137" fillId="0" borderId="9" xfId="3" quotePrefix="1" applyNumberFormat="1" applyFont="1" applyBorder="1" applyAlignment="1">
      <alignment horizontal="center" vertical="center" wrapText="1"/>
    </xf>
    <xf numFmtId="1" fontId="129" fillId="0" borderId="9" xfId="3" applyNumberFormat="1" applyFont="1" applyBorder="1" applyAlignment="1">
      <alignment horizontal="center" vertical="center" wrapText="1"/>
    </xf>
    <xf numFmtId="164" fontId="137" fillId="0" borderId="9" xfId="3" applyNumberFormat="1" applyFont="1" applyBorder="1" applyAlignment="1">
      <alignment horizontal="center" vertical="center" wrapText="1"/>
    </xf>
    <xf numFmtId="0" fontId="135" fillId="0" borderId="9" xfId="0" applyFont="1" applyBorder="1" applyAlignment="1">
      <alignment horizontal="center" vertical="center" wrapText="1"/>
    </xf>
    <xf numFmtId="164" fontId="122" fillId="0" borderId="9" xfId="1" quotePrefix="1" applyNumberFormat="1" applyFont="1" applyBorder="1" applyAlignment="1">
      <alignment horizontal="center" vertical="center" wrapText="1"/>
    </xf>
    <xf numFmtId="14" fontId="122" fillId="0" borderId="9" xfId="2" quotePrefix="1" applyNumberFormat="1" applyFont="1" applyBorder="1" applyAlignment="1">
      <alignment horizontal="center" vertical="center" wrapText="1"/>
    </xf>
    <xf numFmtId="0" fontId="123" fillId="0" borderId="9" xfId="2" quotePrefix="1" applyFont="1" applyBorder="1" applyAlignment="1">
      <alignment horizontal="center" vertical="center" wrapText="1"/>
    </xf>
    <xf numFmtId="15" fontId="122" fillId="0" borderId="9" xfId="0" applyNumberFormat="1" applyFont="1" applyBorder="1" applyAlignment="1">
      <alignment horizontal="center" vertical="center" wrapText="1"/>
    </xf>
    <xf numFmtId="14" fontId="135" fillId="34" borderId="9" xfId="2" applyNumberFormat="1" applyFont="1" applyFill="1" applyBorder="1" applyAlignment="1">
      <alignment horizontal="center" vertical="center" wrapText="1"/>
    </xf>
    <xf numFmtId="164" fontId="122" fillId="16" borderId="9" xfId="1" quotePrefix="1" applyNumberFormat="1" applyFont="1" applyFill="1" applyBorder="1" applyAlignment="1">
      <alignment horizontal="center" vertical="center" wrapText="1"/>
    </xf>
    <xf numFmtId="164" fontId="122" fillId="0" borderId="17" xfId="1" quotePrefix="1" applyNumberFormat="1" applyFont="1" applyFill="1" applyBorder="1" applyAlignment="1">
      <alignment horizontal="center" vertical="center" wrapText="1"/>
    </xf>
    <xf numFmtId="14" fontId="140" fillId="0" borderId="9" xfId="2" applyNumberFormat="1" applyFont="1" applyBorder="1" applyAlignment="1">
      <alignment horizontal="center" vertical="center" wrapText="1"/>
    </xf>
    <xf numFmtId="164" fontId="137" fillId="0" borderId="11" xfId="3" applyNumberFormat="1" applyFont="1" applyBorder="1" applyAlignment="1">
      <alignment horizontal="center" vertical="center" wrapText="1"/>
    </xf>
    <xf numFmtId="0" fontId="122" fillId="16" borderId="9" xfId="2" applyFont="1" applyFill="1" applyBorder="1" applyAlignment="1">
      <alignment horizontal="center" vertical="center" wrapText="1"/>
    </xf>
    <xf numFmtId="1" fontId="122" fillId="16" borderId="9" xfId="2" applyNumberFormat="1" applyFont="1" applyFill="1" applyBorder="1" applyAlignment="1">
      <alignment horizontal="center" vertical="center" wrapText="1"/>
    </xf>
    <xf numFmtId="10" fontId="122" fillId="16" borderId="9" xfId="2" applyNumberFormat="1" applyFont="1" applyFill="1" applyBorder="1" applyAlignment="1">
      <alignment horizontal="center" vertical="center" wrapText="1"/>
    </xf>
    <xf numFmtId="164" fontId="122" fillId="0" borderId="21" xfId="1" quotePrefix="1" applyNumberFormat="1" applyFont="1" applyFill="1" applyBorder="1" applyAlignment="1">
      <alignment horizontal="center" vertical="center" wrapText="1"/>
    </xf>
    <xf numFmtId="164" fontId="122" fillId="0" borderId="12" xfId="0" applyNumberFormat="1" applyFont="1" applyBorder="1" applyAlignment="1">
      <alignment horizontal="center" vertical="center" wrapText="1"/>
    </xf>
    <xf numFmtId="14" fontId="122" fillId="0" borderId="32" xfId="2" applyNumberFormat="1" applyFont="1" applyBorder="1" applyAlignment="1">
      <alignment horizontal="center" vertical="center" wrapText="1"/>
    </xf>
    <xf numFmtId="164" fontId="137" fillId="0" borderId="24" xfId="3" applyNumberFormat="1" applyFont="1" applyBorder="1" applyAlignment="1">
      <alignment horizontal="center" vertical="center" wrapText="1"/>
    </xf>
    <xf numFmtId="14" fontId="122" fillId="0" borderId="11" xfId="2" applyNumberFormat="1" applyFont="1" applyBorder="1" applyAlignment="1">
      <alignment horizontal="center" vertical="center" wrapText="1"/>
    </xf>
    <xf numFmtId="164" fontId="122" fillId="0" borderId="13" xfId="0" applyNumberFormat="1" applyFont="1" applyBorder="1" applyAlignment="1">
      <alignment horizontal="center" vertical="center" wrapText="1"/>
    </xf>
    <xf numFmtId="14" fontId="122" fillId="0" borderId="13" xfId="2" applyNumberFormat="1" applyFont="1" applyBorder="1" applyAlignment="1">
      <alignment horizontal="center" vertical="center" wrapText="1"/>
    </xf>
    <xf numFmtId="0" fontId="129" fillId="0" borderId="13" xfId="3" applyFont="1" applyBorder="1" applyAlignment="1">
      <alignment horizontal="center" vertical="center" wrapText="1"/>
    </xf>
    <xf numFmtId="164" fontId="137" fillId="0" borderId="23" xfId="3" applyNumberFormat="1" applyFont="1" applyBorder="1" applyAlignment="1">
      <alignment horizontal="center" vertical="center" wrapText="1"/>
    </xf>
    <xf numFmtId="14" fontId="135" fillId="0" borderId="13" xfId="2" applyNumberFormat="1" applyFont="1" applyBorder="1" applyAlignment="1">
      <alignment horizontal="center" vertical="center" wrapText="1"/>
    </xf>
    <xf numFmtId="164" fontId="122" fillId="0" borderId="9" xfId="1" applyNumberFormat="1" applyFont="1" applyBorder="1" applyAlignment="1">
      <alignment horizontal="center" vertical="center" wrapText="1"/>
    </xf>
    <xf numFmtId="164" fontId="122" fillId="0" borderId="12" xfId="1" quotePrefix="1" applyNumberFormat="1" applyFont="1" applyBorder="1" applyAlignment="1">
      <alignment horizontal="center" vertical="center" wrapText="1"/>
    </xf>
    <xf numFmtId="164" fontId="137" fillId="0" borderId="12" xfId="3" applyNumberFormat="1" applyFont="1" applyBorder="1" applyAlignment="1">
      <alignment horizontal="center" vertical="center" wrapText="1"/>
    </xf>
    <xf numFmtId="14" fontId="122" fillId="0" borderId="12" xfId="2" applyNumberFormat="1" applyFont="1" applyBorder="1" applyAlignment="1">
      <alignment horizontal="center" vertical="center" wrapText="1"/>
    </xf>
    <xf numFmtId="0" fontId="123" fillId="0" borderId="12" xfId="2" applyFont="1" applyBorder="1" applyAlignment="1">
      <alignment horizontal="center" vertical="center" wrapText="1"/>
    </xf>
    <xf numFmtId="0" fontId="122" fillId="0" borderId="12" xfId="2" applyFont="1" applyBorder="1" applyAlignment="1">
      <alignment horizontal="center" vertical="center" wrapText="1"/>
    </xf>
    <xf numFmtId="1" fontId="122" fillId="0" borderId="12" xfId="2" applyNumberFormat="1" applyFont="1" applyBorder="1" applyAlignment="1">
      <alignment horizontal="center" vertical="center" wrapText="1"/>
    </xf>
    <xf numFmtId="10" fontId="122" fillId="0" borderId="12" xfId="2" applyNumberFormat="1" applyFont="1" applyBorder="1" applyAlignment="1">
      <alignment horizontal="center" vertical="center" wrapText="1"/>
    </xf>
    <xf numFmtId="164" fontId="121" fillId="2" borderId="0" xfId="0" applyNumberFormat="1" applyFont="1" applyFill="1" applyAlignment="1">
      <alignment horizontal="center" wrapText="1"/>
    </xf>
    <xf numFmtId="164" fontId="121" fillId="2" borderId="0" xfId="0" applyNumberFormat="1" applyFont="1" applyFill="1" applyAlignment="1">
      <alignment horizontal="center" vertical="center" wrapText="1"/>
    </xf>
    <xf numFmtId="0" fontId="121" fillId="2" borderId="0" xfId="0" applyFont="1" applyFill="1" applyAlignment="1">
      <alignment horizontal="center" wrapText="1"/>
    </xf>
    <xf numFmtId="0" fontId="121" fillId="2" borderId="0" xfId="0" applyFont="1" applyFill="1" applyAlignment="1">
      <alignment horizontal="center" vertical="center" wrapText="1"/>
    </xf>
    <xf numFmtId="0" fontId="129" fillId="2" borderId="0" xfId="3" applyFont="1" applyFill="1" applyAlignment="1">
      <alignment horizontal="center" vertical="center" wrapText="1"/>
    </xf>
    <xf numFmtId="0" fontId="123" fillId="2" borderId="0" xfId="0" applyFont="1" applyFill="1" applyAlignment="1">
      <alignment horizontal="center" vertical="center" wrapText="1"/>
    </xf>
    <xf numFmtId="0" fontId="122" fillId="0" borderId="0" xfId="0" applyFont="1" applyAlignment="1">
      <alignment horizontal="center" vertical="center" wrapText="1"/>
    </xf>
    <xf numFmtId="10" fontId="124" fillId="2" borderId="0" xfId="0" applyNumberFormat="1" applyFont="1" applyFill="1" applyAlignment="1">
      <alignment horizontal="left" vertical="center"/>
    </xf>
    <xf numFmtId="166" fontId="124" fillId="2" borderId="0" xfId="0" applyNumberFormat="1" applyFont="1" applyFill="1" applyAlignment="1">
      <alignment horizontal="center"/>
    </xf>
    <xf numFmtId="164" fontId="125" fillId="40" borderId="0" xfId="1" applyNumberFormat="1" applyFont="1" applyFill="1" applyBorder="1" applyAlignment="1">
      <alignment horizontal="center" vertical="center" wrapText="1"/>
    </xf>
    <xf numFmtId="164" fontId="126" fillId="40" borderId="0" xfId="3" applyNumberFormat="1" applyFont="1" applyFill="1" applyAlignment="1">
      <alignment horizontal="center" vertical="center" wrapText="1"/>
    </xf>
    <xf numFmtId="0" fontId="125" fillId="40" borderId="0" xfId="1" applyFont="1" applyFill="1" applyBorder="1" applyAlignment="1">
      <alignment horizontal="center" vertical="center" wrapText="1"/>
    </xf>
    <xf numFmtId="166" fontId="125" fillId="40" borderId="0" xfId="1" applyNumberFormat="1" applyFont="1" applyFill="1" applyBorder="1" applyAlignment="1">
      <alignment horizontal="center" vertical="center" wrapText="1"/>
    </xf>
    <xf numFmtId="166" fontId="125" fillId="33" borderId="0" xfId="1" applyNumberFormat="1" applyFont="1" applyFill="1" applyBorder="1" applyAlignment="1">
      <alignment horizontal="center" vertical="center" wrapText="1"/>
    </xf>
    <xf numFmtId="0" fontId="123" fillId="0" borderId="9" xfId="0" applyFont="1" applyBorder="1" applyAlignment="1">
      <alignment horizontal="center" vertical="center"/>
    </xf>
    <xf numFmtId="166" fontId="123" fillId="0" borderId="9" xfId="0" applyNumberFormat="1" applyFont="1" applyBorder="1" applyAlignment="1">
      <alignment horizontal="center" vertical="center"/>
    </xf>
    <xf numFmtId="166" fontId="123" fillId="0" borderId="0" xfId="0" applyNumberFormat="1" applyFont="1" applyAlignment="1">
      <alignment horizontal="center" vertical="center"/>
    </xf>
    <xf numFmtId="3" fontId="122" fillId="30" borderId="9" xfId="0" applyNumberFormat="1" applyFont="1" applyFill="1" applyBorder="1" applyAlignment="1">
      <alignment horizontal="center" vertical="center"/>
    </xf>
    <xf numFmtId="166" fontId="123" fillId="30" borderId="9" xfId="0" applyNumberFormat="1" applyFont="1" applyFill="1" applyBorder="1" applyAlignment="1">
      <alignment horizontal="center" vertical="center"/>
    </xf>
    <xf numFmtId="166" fontId="123" fillId="30" borderId="0" xfId="0" applyNumberFormat="1" applyFont="1" applyFill="1" applyAlignment="1">
      <alignment horizontal="center" vertical="center"/>
    </xf>
    <xf numFmtId="0" fontId="133" fillId="0" borderId="9" xfId="0" applyFont="1" applyBorder="1" applyAlignment="1">
      <alignment horizontal="center" vertical="center" wrapText="1"/>
    </xf>
    <xf numFmtId="3" fontId="133" fillId="0" borderId="9" xfId="0" applyNumberFormat="1" applyFont="1" applyBorder="1" applyAlignment="1">
      <alignment horizontal="center" vertical="center"/>
    </xf>
    <xf numFmtId="166" fontId="132" fillId="0" borderId="9" xfId="0" applyNumberFormat="1" applyFont="1" applyBorder="1" applyAlignment="1">
      <alignment horizontal="center" vertical="center"/>
    </xf>
    <xf numFmtId="166" fontId="132" fillId="0" borderId="0" xfId="0" applyNumberFormat="1" applyFont="1" applyAlignment="1">
      <alignment horizontal="center" vertical="center"/>
    </xf>
    <xf numFmtId="0" fontId="122" fillId="16" borderId="9" xfId="0" applyFont="1" applyFill="1" applyBorder="1" applyAlignment="1">
      <alignment horizontal="center" vertical="center" wrapText="1"/>
    </xf>
    <xf numFmtId="166" fontId="123" fillId="0" borderId="9" xfId="2" applyNumberFormat="1" applyFont="1" applyBorder="1" applyAlignment="1">
      <alignment horizontal="center" vertical="center" wrapText="1"/>
    </xf>
    <xf numFmtId="166" fontId="123" fillId="0" borderId="0" xfId="2" applyNumberFormat="1" applyFont="1" applyAlignment="1">
      <alignment horizontal="center" vertical="center" wrapText="1"/>
    </xf>
    <xf numFmtId="164" fontId="122" fillId="29" borderId="9" xfId="1" applyNumberFormat="1" applyFont="1" applyFill="1" applyBorder="1" applyAlignment="1">
      <alignment horizontal="center" vertical="center" wrapText="1"/>
    </xf>
    <xf numFmtId="166" fontId="123" fillId="29" borderId="9" xfId="2" applyNumberFormat="1" applyFont="1" applyFill="1" applyBorder="1" applyAlignment="1">
      <alignment horizontal="center" vertical="center" wrapText="1"/>
    </xf>
    <xf numFmtId="166" fontId="123" fillId="29" borderId="0" xfId="2" applyNumberFormat="1" applyFont="1" applyFill="1" applyAlignment="1">
      <alignment horizontal="center" vertical="center" wrapText="1"/>
    </xf>
    <xf numFmtId="3" fontId="122" fillId="29" borderId="9" xfId="0" applyNumberFormat="1" applyFont="1" applyFill="1" applyBorder="1" applyAlignment="1">
      <alignment horizontal="center" vertical="center"/>
    </xf>
    <xf numFmtId="166" fontId="123" fillId="29" borderId="9" xfId="0" applyNumberFormat="1" applyFont="1" applyFill="1" applyBorder="1" applyAlignment="1">
      <alignment horizontal="center" vertical="center"/>
    </xf>
    <xf numFmtId="166" fontId="123" fillId="29" borderId="0" xfId="0" applyNumberFormat="1" applyFont="1" applyFill="1" applyAlignment="1">
      <alignment horizontal="center" vertical="center"/>
    </xf>
    <xf numFmtId="166" fontId="123" fillId="29" borderId="9" xfId="0" applyNumberFormat="1" applyFont="1" applyFill="1" applyBorder="1" applyAlignment="1">
      <alignment horizontal="center" vertical="center" wrapText="1"/>
    </xf>
    <xf numFmtId="166" fontId="123" fillId="29" borderId="0" xfId="0" applyNumberFormat="1" applyFont="1" applyFill="1" applyAlignment="1">
      <alignment horizontal="center" vertical="center" wrapText="1"/>
    </xf>
    <xf numFmtId="0" fontId="122" fillId="29" borderId="9" xfId="0" applyFont="1" applyFill="1" applyBorder="1" applyAlignment="1">
      <alignment horizontal="center" vertical="center"/>
    </xf>
    <xf numFmtId="166" fontId="123" fillId="30" borderId="9" xfId="0" applyNumberFormat="1" applyFont="1" applyFill="1" applyBorder="1" applyAlignment="1">
      <alignment horizontal="center" vertical="center" wrapText="1"/>
    </xf>
    <xf numFmtId="166" fontId="123" fillId="30" borderId="0" xfId="0" applyNumberFormat="1" applyFont="1" applyFill="1" applyAlignment="1">
      <alignment horizontal="center" vertical="center" wrapText="1"/>
    </xf>
    <xf numFmtId="166" fontId="123" fillId="0" borderId="9" xfId="0" applyNumberFormat="1" applyFont="1" applyBorder="1" applyAlignment="1">
      <alignment horizontal="center" vertical="center" wrapText="1"/>
    </xf>
    <xf numFmtId="166" fontId="123" fillId="0" borderId="0" xfId="0" applyNumberFormat="1" applyFont="1" applyAlignment="1">
      <alignment horizontal="center" vertical="center" wrapText="1"/>
    </xf>
    <xf numFmtId="166" fontId="122" fillId="0" borderId="9" xfId="2" applyNumberFormat="1" applyFont="1" applyBorder="1" applyAlignment="1">
      <alignment horizontal="center" vertical="center" wrapText="1"/>
    </xf>
    <xf numFmtId="3" fontId="129" fillId="0" borderId="9" xfId="3" applyNumberFormat="1" applyFont="1" applyBorder="1" applyAlignment="1">
      <alignment horizontal="center" vertical="center" wrapText="1"/>
    </xf>
    <xf numFmtId="3" fontId="122" fillId="30" borderId="9" xfId="2" applyNumberFormat="1" applyFont="1" applyFill="1" applyBorder="1" applyAlignment="1">
      <alignment horizontal="center" vertical="center" wrapText="1"/>
    </xf>
    <xf numFmtId="166" fontId="123" fillId="30" borderId="9" xfId="2" applyNumberFormat="1" applyFont="1" applyFill="1" applyBorder="1" applyAlignment="1">
      <alignment horizontal="center" vertical="center" wrapText="1"/>
    </xf>
    <xf numFmtId="166" fontId="123" fillId="30" borderId="0" xfId="2" applyNumberFormat="1" applyFont="1" applyFill="1" applyAlignment="1">
      <alignment horizontal="center" vertical="center" wrapText="1"/>
    </xf>
    <xf numFmtId="166" fontId="123" fillId="16" borderId="9" xfId="2" applyNumberFormat="1" applyFont="1" applyFill="1" applyBorder="1" applyAlignment="1">
      <alignment horizontal="center" vertical="center" wrapText="1"/>
    </xf>
    <xf numFmtId="14" fontId="123" fillId="30" borderId="9" xfId="2" applyNumberFormat="1" applyFont="1" applyFill="1" applyBorder="1" applyAlignment="1">
      <alignment horizontal="center" vertical="center" wrapText="1"/>
    </xf>
    <xf numFmtId="0" fontId="122" fillId="30" borderId="9" xfId="2" applyFont="1" applyFill="1" applyBorder="1" applyAlignment="1">
      <alignment horizontal="center" vertical="center" wrapText="1"/>
    </xf>
    <xf numFmtId="164" fontId="121" fillId="0" borderId="9" xfId="1" quotePrefix="1" applyNumberFormat="1" applyFont="1" applyFill="1" applyBorder="1" applyAlignment="1">
      <alignment horizontal="center" vertical="center" wrapText="1"/>
    </xf>
    <xf numFmtId="14" fontId="135" fillId="0" borderId="9" xfId="3" applyNumberFormat="1" applyFont="1" applyBorder="1" applyAlignment="1">
      <alignment horizontal="center" vertical="center" wrapText="1"/>
    </xf>
    <xf numFmtId="9" fontId="122" fillId="0" borderId="9" xfId="2" applyNumberFormat="1" applyFont="1" applyBorder="1" applyAlignment="1">
      <alignment horizontal="center" vertical="center" wrapText="1"/>
    </xf>
    <xf numFmtId="0" fontId="121" fillId="0" borderId="9" xfId="2" applyFont="1" applyBorder="1" applyAlignment="1">
      <alignment horizontal="center" vertical="center" wrapText="1"/>
    </xf>
    <xf numFmtId="1" fontId="121" fillId="0" borderId="9" xfId="2" applyNumberFormat="1" applyFont="1" applyBorder="1" applyAlignment="1">
      <alignment horizontal="center" vertical="center" wrapText="1"/>
    </xf>
    <xf numFmtId="10" fontId="121" fillId="0" borderId="9" xfId="2" applyNumberFormat="1" applyFont="1" applyBorder="1" applyAlignment="1">
      <alignment horizontal="center" vertical="center" wrapText="1"/>
    </xf>
    <xf numFmtId="166" fontId="121" fillId="0" borderId="9" xfId="2" applyNumberFormat="1" applyFont="1" applyBorder="1" applyAlignment="1">
      <alignment horizontal="center" vertical="center" wrapText="1"/>
    </xf>
    <xf numFmtId="9" fontId="121" fillId="0" borderId="9" xfId="2" applyNumberFormat="1" applyFont="1" applyBorder="1" applyAlignment="1">
      <alignment horizontal="center" vertical="center" wrapText="1"/>
    </xf>
    <xf numFmtId="0" fontId="122" fillId="0" borderId="0" xfId="0" applyFont="1" applyAlignment="1">
      <alignment horizontal="center" vertical="center"/>
    </xf>
    <xf numFmtId="14" fontId="122" fillId="16" borderId="9" xfId="2" applyNumberFormat="1" applyFont="1" applyFill="1" applyBorder="1" applyAlignment="1">
      <alignment horizontal="center" vertical="center" wrapText="1"/>
    </xf>
    <xf numFmtId="0" fontId="122" fillId="0" borderId="13" xfId="0" applyFont="1" applyBorder="1" applyAlignment="1">
      <alignment horizontal="center" vertical="center"/>
    </xf>
    <xf numFmtId="14" fontId="130" fillId="0" borderId="11" xfId="2" applyNumberFormat="1" applyFont="1" applyBorder="1" applyAlignment="1">
      <alignment horizontal="center" vertical="center" wrapText="1"/>
    </xf>
    <xf numFmtId="14" fontId="122" fillId="0" borderId="0" xfId="2" applyNumberFormat="1" applyFont="1" applyAlignment="1">
      <alignment horizontal="center" vertical="center" wrapText="1"/>
    </xf>
    <xf numFmtId="164" fontId="129" fillId="2" borderId="0" xfId="3" applyNumberFormat="1" applyFont="1" applyFill="1" applyAlignment="1">
      <alignment horizontal="center" wrapText="1"/>
    </xf>
    <xf numFmtId="10" fontId="144" fillId="2" borderId="0" xfId="2" applyNumberFormat="1" applyFont="1" applyFill="1" applyAlignment="1">
      <alignment horizontal="left" vertical="center" wrapText="1"/>
    </xf>
    <xf numFmtId="10" fontId="123" fillId="2" borderId="0" xfId="2" applyNumberFormat="1" applyFont="1" applyFill="1" applyAlignment="1">
      <alignment horizontal="left" vertical="center" wrapText="1"/>
    </xf>
    <xf numFmtId="0" fontId="127" fillId="2" borderId="0" xfId="2" applyFont="1" applyFill="1" applyAlignment="1">
      <alignment horizontal="left" vertical="center" wrapText="1"/>
    </xf>
    <xf numFmtId="0" fontId="144" fillId="2" borderId="0" xfId="2" applyFont="1" applyFill="1" applyAlignment="1">
      <alignment horizontal="center" vertical="center" wrapText="1"/>
    </xf>
    <xf numFmtId="10" fontId="144" fillId="2" borderId="0" xfId="2" applyNumberFormat="1" applyFont="1" applyFill="1" applyAlignment="1">
      <alignment horizontal="center" vertical="center" wrapText="1"/>
    </xf>
    <xf numFmtId="1" fontId="144" fillId="2" borderId="0" xfId="2" applyNumberFormat="1" applyFont="1" applyFill="1" applyAlignment="1">
      <alignment horizontal="center" vertical="center" wrapText="1"/>
    </xf>
    <xf numFmtId="0" fontId="127" fillId="2" borderId="0" xfId="2" applyFont="1" applyFill="1" applyAlignment="1">
      <alignment vertical="center" wrapText="1"/>
    </xf>
    <xf numFmtId="164" fontId="125" fillId="41" borderId="0" xfId="1" applyNumberFormat="1" applyFont="1" applyFill="1" applyBorder="1" applyAlignment="1">
      <alignment horizontal="center" vertical="center" wrapText="1"/>
    </xf>
    <xf numFmtId="0" fontId="125" fillId="41" borderId="0" xfId="1" applyFont="1" applyFill="1" applyBorder="1" applyAlignment="1">
      <alignment horizontal="center" vertical="center" wrapText="1"/>
    </xf>
    <xf numFmtId="10" fontId="125" fillId="41" borderId="0" xfId="1" applyNumberFormat="1" applyFont="1" applyFill="1" applyBorder="1" applyAlignment="1">
      <alignment horizontal="center" vertical="center" wrapText="1"/>
    </xf>
    <xf numFmtId="1" fontId="125" fillId="41" borderId="0" xfId="1" applyNumberFormat="1" applyFont="1" applyFill="1" applyBorder="1" applyAlignment="1">
      <alignment horizontal="center" vertical="center" wrapText="1"/>
    </xf>
    <xf numFmtId="164" fontId="123" fillId="30" borderId="0" xfId="0" quotePrefix="1" applyNumberFormat="1" applyFont="1" applyFill="1" applyAlignment="1">
      <alignment horizontal="center" vertical="center" wrapText="1"/>
    </xf>
    <xf numFmtId="164" fontId="123" fillId="30" borderId="0" xfId="0" quotePrefix="1" applyNumberFormat="1" applyFont="1" applyFill="1" applyAlignment="1">
      <alignment vertical="center" wrapText="1"/>
    </xf>
    <xf numFmtId="0" fontId="122" fillId="30" borderId="0" xfId="0" applyFont="1" applyFill="1" applyAlignment="1">
      <alignment horizontal="center" vertical="center" wrapText="1"/>
    </xf>
    <xf numFmtId="0" fontId="123" fillId="30" borderId="0" xfId="0" applyFont="1" applyFill="1" applyAlignment="1">
      <alignment horizontal="center" vertical="center" wrapText="1"/>
    </xf>
    <xf numFmtId="0" fontId="123" fillId="30" borderId="0" xfId="0" applyFont="1" applyFill="1" applyAlignment="1">
      <alignment horizontal="center" vertical="center"/>
    </xf>
    <xf numFmtId="10" fontId="123" fillId="30" borderId="0" xfId="0" applyNumberFormat="1" applyFont="1" applyFill="1" applyAlignment="1">
      <alignment horizontal="center" vertical="center"/>
    </xf>
    <xf numFmtId="1" fontId="123" fillId="30" borderId="0" xfId="0" applyNumberFormat="1" applyFont="1" applyFill="1" applyAlignment="1">
      <alignment horizontal="center" vertical="center"/>
    </xf>
    <xf numFmtId="0" fontId="124" fillId="2" borderId="0" xfId="0" applyFont="1" applyFill="1" applyAlignment="1">
      <alignment horizontal="left" vertical="center"/>
    </xf>
    <xf numFmtId="164" fontId="121" fillId="29" borderId="0" xfId="1" quotePrefix="1" applyNumberFormat="1" applyFont="1" applyFill="1" applyBorder="1" applyAlignment="1">
      <alignment horizontal="center" vertical="center" wrapText="1"/>
    </xf>
    <xf numFmtId="14" fontId="121" fillId="29" borderId="0" xfId="2" applyNumberFormat="1" applyFont="1" applyFill="1" applyAlignment="1">
      <alignment horizontal="center" vertical="center" wrapText="1"/>
    </xf>
    <xf numFmtId="164" fontId="129" fillId="29" borderId="0" xfId="3" quotePrefix="1" applyNumberFormat="1" applyFont="1" applyFill="1" applyBorder="1" applyAlignment="1">
      <alignment horizontal="center" vertical="center" wrapText="1"/>
    </xf>
    <xf numFmtId="0" fontId="129" fillId="29" borderId="0" xfId="3" applyFont="1" applyFill="1" applyBorder="1" applyAlignment="1">
      <alignment horizontal="center" vertical="center" wrapText="1"/>
    </xf>
    <xf numFmtId="0" fontId="144" fillId="29" borderId="0" xfId="2" applyFont="1" applyFill="1" applyAlignment="1">
      <alignment horizontal="center" vertical="center" wrapText="1"/>
    </xf>
    <xf numFmtId="10" fontId="144" fillId="29" borderId="0" xfId="2" applyNumberFormat="1" applyFont="1" applyFill="1" applyAlignment="1">
      <alignment horizontal="center" vertical="center" wrapText="1"/>
    </xf>
    <xf numFmtId="1" fontId="144" fillId="29" borderId="0" xfId="2" applyNumberFormat="1" applyFont="1" applyFill="1" applyAlignment="1">
      <alignment horizontal="center" vertical="center" wrapText="1"/>
    </xf>
    <xf numFmtId="0" fontId="127" fillId="0" borderId="0" xfId="2" applyFont="1" applyAlignment="1">
      <alignment vertical="center" wrapText="1"/>
    </xf>
    <xf numFmtId="164" fontId="122" fillId="29" borderId="0" xfId="0" quotePrefix="1" applyNumberFormat="1" applyFont="1" applyFill="1" applyAlignment="1">
      <alignment horizontal="center" vertical="center" wrapText="1"/>
    </xf>
    <xf numFmtId="0" fontId="122" fillId="29" borderId="0" xfId="0" applyFont="1" applyFill="1" applyAlignment="1">
      <alignment horizontal="center" vertical="center" wrapText="1"/>
    </xf>
    <xf numFmtId="0" fontId="123" fillId="29" borderId="0" xfId="0" applyFont="1" applyFill="1" applyAlignment="1">
      <alignment horizontal="center" vertical="center" wrapText="1"/>
    </xf>
    <xf numFmtId="0" fontId="123" fillId="29" borderId="0" xfId="0" applyFont="1" applyFill="1" applyAlignment="1">
      <alignment horizontal="center" vertical="center"/>
    </xf>
    <xf numFmtId="10" fontId="123" fillId="29" borderId="0" xfId="0" applyNumberFormat="1" applyFont="1" applyFill="1" applyAlignment="1">
      <alignment horizontal="center" vertical="center"/>
    </xf>
    <xf numFmtId="1" fontId="123" fillId="29" borderId="0" xfId="0" applyNumberFormat="1" applyFont="1" applyFill="1" applyAlignment="1">
      <alignment horizontal="center" vertical="center"/>
    </xf>
    <xf numFmtId="164" fontId="133" fillId="0" borderId="0" xfId="0" quotePrefix="1" applyNumberFormat="1" applyFont="1" applyAlignment="1">
      <alignment horizontal="center" vertical="center" wrapText="1"/>
    </xf>
    <xf numFmtId="164" fontId="122" fillId="0" borderId="0" xfId="0" quotePrefix="1" applyNumberFormat="1" applyFont="1" applyAlignment="1">
      <alignment horizontal="center" vertical="center" wrapText="1"/>
    </xf>
    <xf numFmtId="0" fontId="123" fillId="0" borderId="0" xfId="0" applyFont="1" applyAlignment="1">
      <alignment horizontal="center" vertical="center" wrapText="1"/>
    </xf>
    <xf numFmtId="0" fontId="123" fillId="0" borderId="0" xfId="0" applyFont="1" applyAlignment="1">
      <alignment horizontal="center" vertical="center"/>
    </xf>
    <xf numFmtId="10" fontId="123" fillId="0" borderId="0" xfId="0" applyNumberFormat="1" applyFont="1" applyAlignment="1">
      <alignment horizontal="center" vertical="center"/>
    </xf>
    <xf numFmtId="1" fontId="123" fillId="0" borderId="0" xfId="0" applyNumberFormat="1" applyFont="1" applyAlignment="1">
      <alignment horizontal="center" vertical="center"/>
    </xf>
    <xf numFmtId="164" fontId="129" fillId="0" borderId="0" xfId="3" quotePrefix="1" applyNumberFormat="1" applyFont="1" applyFill="1" applyBorder="1" applyAlignment="1">
      <alignment horizontal="center" vertical="center" wrapText="1"/>
    </xf>
    <xf numFmtId="0" fontId="129" fillId="0" borderId="0" xfId="3" applyFont="1" applyFill="1" applyBorder="1" applyAlignment="1">
      <alignment horizontal="center" vertical="center" wrapText="1"/>
    </xf>
    <xf numFmtId="0" fontId="124" fillId="0" borderId="0" xfId="0" applyFont="1" applyAlignment="1">
      <alignment horizontal="left" vertical="center"/>
    </xf>
    <xf numFmtId="164" fontId="129" fillId="0" borderId="0" xfId="3" quotePrefix="1" applyNumberFormat="1" applyFont="1" applyBorder="1" applyAlignment="1">
      <alignment horizontal="center" vertical="center" wrapText="1"/>
    </xf>
    <xf numFmtId="164" fontId="122" fillId="29" borderId="0" xfId="0" applyNumberFormat="1" applyFont="1" applyFill="1" applyAlignment="1">
      <alignment horizontal="center" vertical="center" wrapText="1"/>
    </xf>
    <xf numFmtId="0" fontId="143" fillId="29" borderId="0" xfId="3" applyFont="1" applyFill="1" applyBorder="1" applyAlignment="1">
      <alignment horizontal="center" vertical="center" wrapText="1"/>
    </xf>
    <xf numFmtId="164" fontId="123" fillId="19" borderId="0" xfId="0" quotePrefix="1" applyNumberFormat="1" applyFont="1" applyFill="1" applyAlignment="1">
      <alignment horizontal="center" vertical="center" wrapText="1"/>
    </xf>
    <xf numFmtId="16" fontId="123" fillId="19" borderId="0" xfId="0" applyNumberFormat="1" applyFont="1" applyFill="1" applyAlignment="1">
      <alignment horizontal="center" vertical="center"/>
    </xf>
    <xf numFmtId="0" fontId="123" fillId="19" borderId="0" xfId="0" applyFont="1" applyFill="1" applyAlignment="1">
      <alignment horizontal="center" vertical="center" wrapText="1"/>
    </xf>
    <xf numFmtId="0" fontId="123" fillId="19" borderId="0" xfId="0" applyFont="1" applyFill="1" applyAlignment="1">
      <alignment horizontal="center" vertical="center"/>
    </xf>
    <xf numFmtId="10" fontId="123" fillId="19" borderId="0" xfId="0" applyNumberFormat="1" applyFont="1" applyFill="1" applyAlignment="1">
      <alignment horizontal="center" vertical="center"/>
    </xf>
    <xf numFmtId="1" fontId="123" fillId="19" borderId="0" xfId="0" applyNumberFormat="1" applyFont="1" applyFill="1" applyAlignment="1">
      <alignment horizontal="center" vertical="center"/>
    </xf>
    <xf numFmtId="164" fontId="122" fillId="16" borderId="0" xfId="0" quotePrefix="1" applyNumberFormat="1" applyFont="1" applyFill="1" applyAlignment="1">
      <alignment horizontal="center" vertical="center" wrapText="1"/>
    </xf>
    <xf numFmtId="164" fontId="129" fillId="16" borderId="0" xfId="3" quotePrefix="1" applyNumberFormat="1" applyFont="1" applyFill="1" applyBorder="1" applyAlignment="1">
      <alignment horizontal="center" vertical="center" wrapText="1"/>
    </xf>
    <xf numFmtId="0" fontId="122" fillId="16" borderId="0" xfId="0" applyFont="1" applyFill="1" applyAlignment="1">
      <alignment horizontal="center" vertical="center" wrapText="1"/>
    </xf>
    <xf numFmtId="0" fontId="140" fillId="16" borderId="0" xfId="0" applyFont="1" applyFill="1" applyAlignment="1">
      <alignment horizontal="center" vertical="center" wrapText="1"/>
    </xf>
    <xf numFmtId="0" fontId="123" fillId="16" borderId="0" xfId="0" applyFont="1" applyFill="1" applyAlignment="1">
      <alignment horizontal="center" vertical="center" wrapText="1"/>
    </xf>
    <xf numFmtId="0" fontId="123" fillId="16" borderId="0" xfId="0" applyFont="1" applyFill="1" applyAlignment="1">
      <alignment horizontal="center" vertical="center"/>
    </xf>
    <xf numFmtId="10" fontId="123" fillId="16" borderId="0" xfId="0" applyNumberFormat="1" applyFont="1" applyFill="1" applyAlignment="1">
      <alignment horizontal="center" vertical="center"/>
    </xf>
    <xf numFmtId="1" fontId="123" fillId="16" borderId="0" xfId="0" applyNumberFormat="1" applyFont="1" applyFill="1" applyAlignment="1">
      <alignment horizontal="center" vertical="center"/>
    </xf>
    <xf numFmtId="0" fontId="134" fillId="2" borderId="0" xfId="0" applyFont="1" applyFill="1" applyAlignment="1">
      <alignment horizontal="left" vertical="center"/>
    </xf>
    <xf numFmtId="164" fontId="132" fillId="31" borderId="0" xfId="0" quotePrefix="1" applyNumberFormat="1" applyFont="1" applyFill="1" applyAlignment="1">
      <alignment horizontal="center" vertical="center" wrapText="1"/>
    </xf>
    <xf numFmtId="0" fontId="123" fillId="31" borderId="0" xfId="0" applyFont="1" applyFill="1" applyAlignment="1">
      <alignment horizontal="center" vertical="center" wrapText="1"/>
    </xf>
    <xf numFmtId="0" fontId="123" fillId="31" borderId="0" xfId="0" applyFont="1" applyFill="1" applyAlignment="1">
      <alignment horizontal="center" vertical="center"/>
    </xf>
    <xf numFmtId="10" fontId="123" fillId="31" borderId="0" xfId="0" applyNumberFormat="1" applyFont="1" applyFill="1" applyAlignment="1">
      <alignment horizontal="center" vertical="center"/>
    </xf>
    <xf numFmtId="1" fontId="123" fillId="31" borderId="0" xfId="0" applyNumberFormat="1" applyFont="1" applyFill="1" applyAlignment="1">
      <alignment horizontal="center" vertical="center"/>
    </xf>
    <xf numFmtId="164" fontId="133" fillId="31" borderId="0" xfId="0" quotePrefix="1" applyNumberFormat="1" applyFont="1" applyFill="1" applyAlignment="1">
      <alignment horizontal="center" vertical="center" wrapText="1"/>
    </xf>
    <xf numFmtId="0" fontId="133" fillId="31" borderId="0" xfId="0" applyFont="1" applyFill="1" applyAlignment="1">
      <alignment horizontal="center" vertical="center" wrapText="1"/>
    </xf>
    <xf numFmtId="0" fontId="132" fillId="31" borderId="0" xfId="0" applyFont="1" applyFill="1" applyAlignment="1">
      <alignment horizontal="center" vertical="center" wrapText="1"/>
    </xf>
    <xf numFmtId="1" fontId="132" fillId="31" borderId="0" xfId="0" applyNumberFormat="1" applyFont="1" applyFill="1" applyAlignment="1">
      <alignment horizontal="center" vertical="center" wrapText="1"/>
    </xf>
    <xf numFmtId="1" fontId="132" fillId="31" borderId="0" xfId="0" applyNumberFormat="1" applyFont="1" applyFill="1" applyAlignment="1">
      <alignment horizontal="center" vertical="center"/>
    </xf>
    <xf numFmtId="10" fontId="132" fillId="31" borderId="0" xfId="0" applyNumberFormat="1" applyFont="1" applyFill="1" applyAlignment="1">
      <alignment horizontal="center" vertical="center"/>
    </xf>
    <xf numFmtId="0" fontId="134" fillId="30" borderId="0" xfId="0" applyFont="1" applyFill="1" applyAlignment="1">
      <alignment horizontal="left" vertical="center"/>
    </xf>
    <xf numFmtId="0" fontId="132" fillId="31" borderId="0" xfId="0" applyFont="1" applyFill="1" applyAlignment="1">
      <alignment horizontal="center" vertical="center"/>
    </xf>
    <xf numFmtId="16" fontId="123" fillId="30" borderId="0" xfId="0" applyNumberFormat="1" applyFont="1" applyFill="1" applyAlignment="1">
      <alignment horizontal="center" vertical="center"/>
    </xf>
    <xf numFmtId="164" fontId="122" fillId="29" borderId="0" xfId="0" applyNumberFormat="1" applyFont="1" applyFill="1" applyAlignment="1">
      <alignment horizontal="center" vertical="center"/>
    </xf>
    <xf numFmtId="0" fontId="123" fillId="29" borderId="0" xfId="2" applyFont="1" applyFill="1" applyAlignment="1">
      <alignment horizontal="center" vertical="center" wrapText="1"/>
    </xf>
    <xf numFmtId="10" fontId="123" fillId="29" borderId="0" xfId="2" applyNumberFormat="1" applyFont="1" applyFill="1" applyAlignment="1">
      <alignment horizontal="center" vertical="center" wrapText="1"/>
    </xf>
    <xf numFmtId="164" fontId="123" fillId="19" borderId="0" xfId="1" quotePrefix="1" applyNumberFormat="1" applyFont="1" applyFill="1" applyBorder="1" applyAlignment="1">
      <alignment horizontal="center" vertical="center" wrapText="1"/>
    </xf>
    <xf numFmtId="14" fontId="123" fillId="19" borderId="0" xfId="2" applyNumberFormat="1" applyFont="1" applyFill="1" applyAlignment="1">
      <alignment horizontal="center" vertical="center" wrapText="1"/>
    </xf>
    <xf numFmtId="14" fontId="122" fillId="19" borderId="0" xfId="2" applyNumberFormat="1" applyFont="1" applyFill="1" applyAlignment="1">
      <alignment horizontal="center" vertical="center" wrapText="1"/>
    </xf>
    <xf numFmtId="164" fontId="132" fillId="19" borderId="0" xfId="0" applyNumberFormat="1" applyFont="1" applyFill="1" applyAlignment="1">
      <alignment horizontal="center" vertical="center" wrapText="1"/>
    </xf>
    <xf numFmtId="10" fontId="132" fillId="19" borderId="0" xfId="0" applyNumberFormat="1" applyFont="1" applyFill="1" applyAlignment="1">
      <alignment horizontal="center" vertical="center" wrapText="1"/>
    </xf>
    <xf numFmtId="1" fontId="132" fillId="19" borderId="0" xfId="0" applyNumberFormat="1" applyFont="1" applyFill="1" applyAlignment="1">
      <alignment horizontal="center" vertical="center" wrapText="1"/>
    </xf>
    <xf numFmtId="0" fontId="130" fillId="29" borderId="0" xfId="0" applyFont="1" applyFill="1" applyAlignment="1">
      <alignment horizontal="center" vertical="center" wrapText="1"/>
    </xf>
    <xf numFmtId="0" fontId="142" fillId="29" borderId="0" xfId="0" applyFont="1" applyFill="1" applyAlignment="1">
      <alignment horizontal="center" vertical="center" wrapText="1"/>
    </xf>
    <xf numFmtId="164" fontId="123" fillId="4" borderId="0" xfId="1" quotePrefix="1" applyNumberFormat="1" applyFont="1" applyFill="1" applyBorder="1" applyAlignment="1">
      <alignment horizontal="center" vertical="center" wrapText="1"/>
    </xf>
    <xf numFmtId="14" fontId="123" fillId="4" borderId="0" xfId="2" applyNumberFormat="1" applyFont="1" applyFill="1" applyAlignment="1">
      <alignment horizontal="center" vertical="center" wrapText="1"/>
    </xf>
    <xf numFmtId="14" fontId="122" fillId="30" borderId="0" xfId="2" applyNumberFormat="1" applyFont="1" applyFill="1" applyAlignment="1">
      <alignment horizontal="center" vertical="center" wrapText="1"/>
    </xf>
    <xf numFmtId="14" fontId="123" fillId="30" borderId="0" xfId="2" applyNumberFormat="1" applyFont="1" applyFill="1" applyAlignment="1">
      <alignment horizontal="center" vertical="center" wrapText="1"/>
    </xf>
    <xf numFmtId="164" fontId="132" fillId="30" borderId="0" xfId="0" applyNumberFormat="1" applyFont="1" applyFill="1" applyAlignment="1">
      <alignment horizontal="center" vertical="center" wrapText="1"/>
    </xf>
    <xf numFmtId="10" fontId="132" fillId="30" borderId="0" xfId="0" applyNumberFormat="1" applyFont="1" applyFill="1" applyAlignment="1">
      <alignment horizontal="center" vertical="center" wrapText="1"/>
    </xf>
    <xf numFmtId="1" fontId="132" fillId="30" borderId="0" xfId="0" applyNumberFormat="1" applyFont="1" applyFill="1" applyAlignment="1">
      <alignment horizontal="center" vertical="center" wrapText="1"/>
    </xf>
    <xf numFmtId="164" fontId="122" fillId="9" borderId="0" xfId="0" applyNumberFormat="1" applyFont="1" applyFill="1" applyAlignment="1">
      <alignment horizontal="center" vertical="center" wrapText="1"/>
    </xf>
    <xf numFmtId="164" fontId="123" fillId="9" borderId="0" xfId="0" applyNumberFormat="1" applyFont="1" applyFill="1" applyAlignment="1">
      <alignment horizontal="center" vertical="center"/>
    </xf>
    <xf numFmtId="164" fontId="123" fillId="9" borderId="0" xfId="0" applyNumberFormat="1" applyFont="1" applyFill="1" applyAlignment="1">
      <alignment vertical="center" wrapText="1"/>
    </xf>
    <xf numFmtId="0" fontId="121" fillId="0" borderId="0" xfId="0" applyFont="1"/>
    <xf numFmtId="164" fontId="133" fillId="30" borderId="0" xfId="0" applyNumberFormat="1" applyFont="1" applyFill="1" applyAlignment="1">
      <alignment horizontal="center" vertical="center" wrapText="1"/>
    </xf>
    <xf numFmtId="164" fontId="122" fillId="30" borderId="0" xfId="0" applyNumberFormat="1" applyFont="1" applyFill="1" applyAlignment="1">
      <alignment horizontal="center" vertical="center" wrapText="1"/>
    </xf>
    <xf numFmtId="164" fontId="129" fillId="30" borderId="0" xfId="3" quotePrefix="1" applyNumberFormat="1" applyFont="1" applyFill="1" applyBorder="1" applyAlignment="1">
      <alignment horizontal="center" vertical="center" wrapText="1"/>
    </xf>
    <xf numFmtId="164" fontId="123" fillId="30" borderId="0" xfId="0" applyNumberFormat="1" applyFont="1" applyFill="1" applyAlignment="1">
      <alignment horizontal="center" vertical="center" wrapText="1"/>
    </xf>
    <xf numFmtId="3" fontId="123" fillId="30" borderId="0" xfId="0" applyNumberFormat="1" applyFont="1" applyFill="1" applyAlignment="1">
      <alignment horizontal="center" vertical="center"/>
    </xf>
    <xf numFmtId="164" fontId="133" fillId="29" borderId="0" xfId="0" applyNumberFormat="1" applyFont="1" applyFill="1" applyAlignment="1">
      <alignment horizontal="center" vertical="center" wrapText="1"/>
    </xf>
    <xf numFmtId="164" fontId="129" fillId="29" borderId="0" xfId="3" applyNumberFormat="1" applyFont="1" applyFill="1" applyBorder="1" applyAlignment="1">
      <alignment horizontal="center" vertical="center" wrapText="1"/>
    </xf>
    <xf numFmtId="164" fontId="123" fillId="29" borderId="0" xfId="0" applyNumberFormat="1" applyFont="1" applyFill="1" applyAlignment="1">
      <alignment horizontal="center" vertical="center" wrapText="1"/>
    </xf>
    <xf numFmtId="3" fontId="123" fillId="29" borderId="0" xfId="0" applyNumberFormat="1" applyFont="1" applyFill="1" applyAlignment="1">
      <alignment horizontal="center" vertical="center"/>
    </xf>
    <xf numFmtId="164" fontId="122" fillId="29" borderId="0" xfId="1" quotePrefix="1" applyNumberFormat="1" applyFont="1" applyFill="1" applyBorder="1" applyAlignment="1">
      <alignment horizontal="center" vertical="center" wrapText="1"/>
    </xf>
    <xf numFmtId="14" fontId="129" fillId="29" borderId="0" xfId="3" applyNumberFormat="1" applyFont="1" applyFill="1" applyBorder="1" applyAlignment="1">
      <alignment horizontal="center" vertical="center" wrapText="1"/>
    </xf>
    <xf numFmtId="14" fontId="123" fillId="29" borderId="0" xfId="2" applyNumberFormat="1" applyFont="1" applyFill="1" applyAlignment="1">
      <alignment horizontal="center" vertical="center" wrapText="1"/>
    </xf>
    <xf numFmtId="1" fontId="123" fillId="29" borderId="0" xfId="2" applyNumberFormat="1" applyFont="1" applyFill="1" applyAlignment="1">
      <alignment horizontal="center" vertical="center" wrapText="1"/>
    </xf>
    <xf numFmtId="164" fontId="123" fillId="19" borderId="0" xfId="0" applyNumberFormat="1" applyFont="1" applyFill="1" applyAlignment="1">
      <alignment horizontal="center" vertical="center" wrapText="1"/>
    </xf>
    <xf numFmtId="0" fontId="122" fillId="19" borderId="0" xfId="0" applyFont="1" applyFill="1" applyAlignment="1">
      <alignment horizontal="center" vertical="center" wrapText="1"/>
    </xf>
    <xf numFmtId="3" fontId="123" fillId="19" borderId="0" xfId="0" applyNumberFormat="1" applyFont="1" applyFill="1" applyAlignment="1">
      <alignment horizontal="center" vertical="center"/>
    </xf>
    <xf numFmtId="164" fontId="133" fillId="0" borderId="0" xfId="1" quotePrefix="1" applyNumberFormat="1" applyFont="1" applyFill="1" applyBorder="1" applyAlignment="1">
      <alignment horizontal="center" vertical="center" wrapText="1"/>
    </xf>
    <xf numFmtId="164" fontId="122" fillId="0" borderId="0" xfId="1" quotePrefix="1" applyNumberFormat="1" applyFont="1" applyFill="1" applyBorder="1" applyAlignment="1">
      <alignment horizontal="center" vertical="center" wrapText="1"/>
    </xf>
    <xf numFmtId="14" fontId="131" fillId="0" borderId="0" xfId="3" applyNumberFormat="1" applyFont="1" applyFill="1" applyBorder="1" applyAlignment="1">
      <alignment horizontal="center" vertical="center" wrapText="1"/>
    </xf>
    <xf numFmtId="14" fontId="123" fillId="0" borderId="0" xfId="2" applyNumberFormat="1" applyFont="1" applyAlignment="1">
      <alignment horizontal="center" vertical="center" wrapText="1"/>
    </xf>
    <xf numFmtId="10" fontId="123" fillId="0" borderId="0" xfId="0" applyNumberFormat="1" applyFont="1" applyAlignment="1">
      <alignment horizontal="center" vertical="center" wrapText="1"/>
    </xf>
    <xf numFmtId="1" fontId="123" fillId="0" borderId="0" xfId="0" applyNumberFormat="1" applyFont="1" applyAlignment="1">
      <alignment horizontal="center" vertical="center" wrapText="1"/>
    </xf>
    <xf numFmtId="14" fontId="129" fillId="0" borderId="0" xfId="3" applyNumberFormat="1" applyFont="1" applyBorder="1" applyAlignment="1">
      <alignment horizontal="center" vertical="center" wrapText="1"/>
    </xf>
    <xf numFmtId="14" fontId="129" fillId="0" borderId="0" xfId="3" applyNumberFormat="1" applyFont="1" applyFill="1" applyBorder="1" applyAlignment="1">
      <alignment horizontal="center" vertical="center" wrapText="1"/>
    </xf>
    <xf numFmtId="10" fontId="122" fillId="0" borderId="0" xfId="0" applyNumberFormat="1" applyFont="1" applyAlignment="1">
      <alignment horizontal="center" vertical="center" wrapText="1"/>
    </xf>
    <xf numFmtId="1" fontId="122" fillId="0" borderId="0" xfId="0" applyNumberFormat="1" applyFont="1" applyAlignment="1">
      <alignment horizontal="center" vertical="center" wrapText="1"/>
    </xf>
    <xf numFmtId="0" fontId="122" fillId="0" borderId="0" xfId="2" applyFont="1" applyAlignment="1">
      <alignment horizontal="center" vertical="center" wrapText="1"/>
    </xf>
    <xf numFmtId="10" fontId="122" fillId="0" borderId="0" xfId="2" applyNumberFormat="1" applyFont="1" applyAlignment="1">
      <alignment horizontal="center" vertical="center" wrapText="1"/>
    </xf>
    <xf numFmtId="1" fontId="122" fillId="0" borderId="0" xfId="2" applyNumberFormat="1" applyFont="1" applyAlignment="1">
      <alignment horizontal="center" vertical="center" wrapText="1"/>
    </xf>
    <xf numFmtId="164" fontId="130" fillId="5" borderId="0" xfId="1" quotePrefix="1" applyNumberFormat="1" applyFont="1" applyFill="1" applyBorder="1" applyAlignment="1">
      <alignment horizontal="center" vertical="center" wrapText="1"/>
    </xf>
    <xf numFmtId="3" fontId="123" fillId="0" borderId="0" xfId="2" applyNumberFormat="1" applyFont="1" applyAlignment="1">
      <alignment horizontal="center" vertical="center" wrapText="1"/>
    </xf>
    <xf numFmtId="10" fontId="123" fillId="0" borderId="0" xfId="2" applyNumberFormat="1" applyFont="1" applyAlignment="1">
      <alignment horizontal="center" vertical="center" wrapText="1"/>
    </xf>
    <xf numFmtId="1" fontId="123" fillId="0" borderId="0" xfId="2" applyNumberFormat="1" applyFont="1" applyAlignment="1">
      <alignment horizontal="center" vertical="center" wrapText="1"/>
    </xf>
    <xf numFmtId="164" fontId="123" fillId="30" borderId="0" xfId="1" quotePrefix="1" applyNumberFormat="1" applyFont="1" applyFill="1" applyBorder="1" applyAlignment="1">
      <alignment horizontal="center" vertical="center" wrapText="1"/>
    </xf>
    <xf numFmtId="14" fontId="131" fillId="30" borderId="0" xfId="3" applyNumberFormat="1" applyFont="1" applyFill="1" applyBorder="1" applyAlignment="1">
      <alignment horizontal="center" vertical="center" wrapText="1"/>
    </xf>
    <xf numFmtId="3" fontId="123" fillId="30" borderId="0" xfId="2" applyNumberFormat="1" applyFont="1" applyFill="1" applyAlignment="1">
      <alignment horizontal="center" vertical="center" wrapText="1"/>
    </xf>
    <xf numFmtId="10" fontId="123" fillId="30" borderId="0" xfId="2" applyNumberFormat="1" applyFont="1" applyFill="1" applyAlignment="1">
      <alignment horizontal="center" vertical="center" wrapText="1"/>
    </xf>
    <xf numFmtId="1" fontId="123" fillId="30" borderId="0" xfId="2" applyNumberFormat="1" applyFont="1" applyFill="1" applyAlignment="1">
      <alignment horizontal="center" vertical="center" wrapText="1"/>
    </xf>
    <xf numFmtId="0" fontId="123" fillId="30" borderId="0" xfId="2" applyFont="1" applyFill="1" applyAlignment="1">
      <alignment horizontal="center" vertical="center" wrapText="1"/>
    </xf>
    <xf numFmtId="0" fontId="123" fillId="0" borderId="0" xfId="2" applyFont="1" applyAlignment="1">
      <alignment horizontal="center" vertical="center" wrapText="1"/>
    </xf>
    <xf numFmtId="164" fontId="122" fillId="4" borderId="0" xfId="1" quotePrefix="1" applyNumberFormat="1" applyFont="1" applyFill="1" applyBorder="1" applyAlignment="1">
      <alignment horizontal="center" vertical="center" wrapText="1"/>
    </xf>
    <xf numFmtId="14" fontId="122" fillId="4" borderId="0" xfId="2" applyNumberFormat="1" applyFont="1" applyFill="1" applyAlignment="1">
      <alignment horizontal="center" vertical="center" wrapText="1"/>
    </xf>
    <xf numFmtId="14" fontId="121" fillId="0" borderId="9" xfId="2" applyNumberFormat="1" applyFont="1" applyBorder="1" applyAlignment="1">
      <alignment horizontal="center" vertical="center" wrapText="1"/>
    </xf>
    <xf numFmtId="0" fontId="122" fillId="2" borderId="9" xfId="2" applyFont="1" applyFill="1" applyBorder="1" applyAlignment="1">
      <alignment horizontal="center" vertical="center" wrapText="1"/>
    </xf>
    <xf numFmtId="1" fontId="122" fillId="2" borderId="9" xfId="2" applyNumberFormat="1" applyFont="1" applyFill="1" applyBorder="1" applyAlignment="1">
      <alignment horizontal="center" vertical="center" wrapText="1"/>
    </xf>
    <xf numFmtId="10" fontId="122" fillId="2" borderId="9" xfId="2" applyNumberFormat="1" applyFont="1" applyFill="1" applyBorder="1" applyAlignment="1">
      <alignment horizontal="center" vertical="center" wrapText="1"/>
    </xf>
    <xf numFmtId="166" fontId="122" fillId="2" borderId="9" xfId="2" applyNumberFormat="1" applyFont="1" applyFill="1" applyBorder="1" applyAlignment="1">
      <alignment horizontal="center" vertical="center" wrapText="1"/>
    </xf>
    <xf numFmtId="164" fontId="122" fillId="2" borderId="9" xfId="1" quotePrefix="1" applyNumberFormat="1" applyFont="1" applyFill="1" applyBorder="1" applyAlignment="1">
      <alignment horizontal="center" vertical="center" wrapText="1"/>
    </xf>
    <xf numFmtId="0" fontId="129" fillId="0" borderId="9" xfId="3" applyFont="1" applyBorder="1" applyAlignment="1">
      <alignment vertical="center" wrapText="1"/>
    </xf>
    <xf numFmtId="0" fontId="129" fillId="0" borderId="9" xfId="3" applyFont="1" applyFill="1" applyBorder="1" applyAlignment="1">
      <alignment vertical="center" wrapText="1"/>
    </xf>
    <xf numFmtId="10" fontId="122" fillId="0" borderId="9" xfId="5" applyNumberFormat="1" applyFont="1" applyFill="1" applyBorder="1" applyAlignment="1">
      <alignment horizontal="center" vertical="center" wrapText="1"/>
    </xf>
    <xf numFmtId="164" fontId="122" fillId="23" borderId="9" xfId="1" quotePrefix="1" applyNumberFormat="1" applyFont="1" applyFill="1" applyBorder="1" applyAlignment="1">
      <alignment horizontal="center" vertical="center" wrapText="1"/>
    </xf>
    <xf numFmtId="0" fontId="124" fillId="0" borderId="9" xfId="0" applyFont="1" applyBorder="1" applyAlignment="1">
      <alignment horizontal="center"/>
    </xf>
    <xf numFmtId="10" fontId="124" fillId="0" borderId="9" xfId="0" applyNumberFormat="1" applyFont="1" applyBorder="1" applyAlignment="1">
      <alignment horizontal="center"/>
    </xf>
    <xf numFmtId="0" fontId="121" fillId="0" borderId="9" xfId="0" applyFont="1" applyBorder="1"/>
    <xf numFmtId="0" fontId="129" fillId="0" borderId="9" xfId="3" applyFont="1" applyBorder="1" applyAlignment="1">
      <alignment horizontal="left" vertical="center" wrapText="1" indent="1"/>
    </xf>
    <xf numFmtId="0" fontId="129" fillId="0" borderId="9" xfId="3" applyFont="1" applyBorder="1" applyAlignment="1">
      <alignment wrapText="1"/>
    </xf>
    <xf numFmtId="0" fontId="129" fillId="0" borderId="9" xfId="3" applyFont="1" applyBorder="1" applyAlignment="1">
      <alignment horizontal="center" wrapText="1"/>
    </xf>
    <xf numFmtId="164" fontId="129" fillId="0" borderId="9" xfId="3" quotePrefix="1" applyNumberFormat="1" applyFont="1" applyFill="1" applyBorder="1" applyAlignment="1">
      <alignment horizontal="center" vertical="center" wrapText="1"/>
    </xf>
    <xf numFmtId="14" fontId="121" fillId="0" borderId="9" xfId="4" applyNumberFormat="1" applyFont="1" applyFill="1" applyBorder="1" applyAlignment="1">
      <alignment horizontal="center" vertical="center" wrapText="1"/>
    </xf>
    <xf numFmtId="164" fontId="122" fillId="34" borderId="9" xfId="1" applyNumberFormat="1" applyFont="1" applyFill="1" applyBorder="1" applyAlignment="1">
      <alignment horizontal="center" vertical="center" wrapText="1"/>
    </xf>
    <xf numFmtId="14" fontId="129" fillId="34" borderId="9" xfId="3" applyNumberFormat="1" applyFont="1" applyFill="1" applyBorder="1" applyAlignment="1">
      <alignment horizontal="center" vertical="center" wrapText="1"/>
    </xf>
    <xf numFmtId="14" fontId="129" fillId="34" borderId="9" xfId="3" quotePrefix="1" applyNumberFormat="1" applyFont="1" applyFill="1" applyBorder="1" applyAlignment="1">
      <alignment horizontal="center" vertical="center" wrapText="1"/>
    </xf>
    <xf numFmtId="14" fontId="122" fillId="34" borderId="9" xfId="2" quotePrefix="1" applyNumberFormat="1" applyFont="1" applyFill="1" applyBorder="1" applyAlignment="1">
      <alignment horizontal="center" vertical="center" wrapText="1"/>
    </xf>
    <xf numFmtId="164" fontId="137" fillId="0" borderId="9" xfId="3" quotePrefix="1" applyNumberFormat="1" applyFont="1" applyFill="1" applyBorder="1" applyAlignment="1">
      <alignment horizontal="center" vertical="center" wrapText="1"/>
    </xf>
    <xf numFmtId="14" fontId="135" fillId="0" borderId="9" xfId="2" quotePrefix="1" applyNumberFormat="1" applyFont="1" applyBorder="1" applyAlignment="1">
      <alignment horizontal="center" vertical="center" wrapText="1"/>
    </xf>
    <xf numFmtId="0" fontId="121" fillId="0" borderId="9" xfId="0" applyFont="1" applyBorder="1" applyAlignment="1">
      <alignment horizontal="center" vertical="center" wrapText="1"/>
    </xf>
    <xf numFmtId="164" fontId="121" fillId="0" borderId="9" xfId="0" applyNumberFormat="1" applyFont="1" applyBorder="1" applyAlignment="1">
      <alignment horizontal="center" vertical="center"/>
    </xf>
    <xf numFmtId="0" fontId="121" fillId="0" borderId="9" xfId="0" applyFont="1" applyBorder="1" applyAlignment="1">
      <alignment horizontal="center" vertical="center"/>
    </xf>
    <xf numFmtId="0" fontId="129" fillId="0" borderId="9" xfId="3" applyFont="1" applyBorder="1" applyAlignment="1">
      <alignment horizontal="center" vertical="center"/>
    </xf>
    <xf numFmtId="10" fontId="121" fillId="0" borderId="9" xfId="0" applyNumberFormat="1" applyFont="1" applyBorder="1" applyAlignment="1">
      <alignment horizontal="center" vertical="center"/>
    </xf>
    <xf numFmtId="0" fontId="124" fillId="0" borderId="9" xfId="0" applyFont="1" applyBorder="1" applyAlignment="1">
      <alignment horizontal="center" vertical="center"/>
    </xf>
    <xf numFmtId="164" fontId="130" fillId="0" borderId="9" xfId="1" quotePrefix="1" applyNumberFormat="1" applyFont="1" applyFill="1" applyBorder="1" applyAlignment="1">
      <alignment horizontal="center" vertical="center" wrapText="1"/>
    </xf>
    <xf numFmtId="0" fontId="130" fillId="0" borderId="9" xfId="0" applyFont="1" applyBorder="1" applyAlignment="1">
      <alignment horizontal="center" vertical="center" wrapText="1"/>
    </xf>
    <xf numFmtId="0" fontId="122" fillId="0" borderId="9" xfId="1" applyNumberFormat="1" applyFont="1" applyBorder="1" applyAlignment="1">
      <alignment horizontal="center" vertical="center" wrapText="1"/>
    </xf>
    <xf numFmtId="0" fontId="121" fillId="0" borderId="13" xfId="0" applyFont="1" applyBorder="1" applyAlignment="1">
      <alignment horizontal="center" vertical="center" wrapText="1"/>
    </xf>
    <xf numFmtId="164" fontId="129" fillId="0" borderId="13" xfId="3" quotePrefix="1" applyNumberFormat="1" applyFont="1" applyFill="1" applyBorder="1" applyAlignment="1">
      <alignment horizontal="center" vertical="center" wrapText="1"/>
    </xf>
    <xf numFmtId="10" fontId="122" fillId="0" borderId="9" xfId="1" applyNumberFormat="1" applyFont="1" applyFill="1" applyBorder="1" applyAlignment="1">
      <alignment horizontal="center" vertical="center" wrapText="1"/>
    </xf>
    <xf numFmtId="0" fontId="129" fillId="0" borderId="13" xfId="3" applyFont="1" applyBorder="1" applyAlignment="1">
      <alignment horizontal="center" vertical="center"/>
    </xf>
    <xf numFmtId="0" fontId="122" fillId="0" borderId="9" xfId="1" applyNumberFormat="1" applyFont="1" applyFill="1" applyBorder="1" applyAlignment="1">
      <alignment horizontal="center" vertical="center" wrapText="1"/>
    </xf>
    <xf numFmtId="0" fontId="121" fillId="0" borderId="0" xfId="0" applyFont="1" applyAlignment="1">
      <alignment horizontal="center" vertical="center" wrapText="1"/>
    </xf>
    <xf numFmtId="0" fontId="124" fillId="0" borderId="0" xfId="0" applyFont="1" applyAlignment="1">
      <alignment horizontal="center"/>
    </xf>
    <xf numFmtId="10" fontId="124" fillId="0" borderId="0" xfId="0" applyNumberFormat="1" applyFont="1" applyAlignment="1">
      <alignment horizontal="center"/>
    </xf>
    <xf numFmtId="0" fontId="121" fillId="0" borderId="0" xfId="0" applyFont="1" applyAlignment="1">
      <alignment horizontal="center" vertical="center"/>
    </xf>
    <xf numFmtId="0" fontId="130" fillId="0" borderId="0" xfId="0" applyFont="1" applyAlignment="1">
      <alignment horizontal="center" vertical="center" wrapText="1"/>
    </xf>
    <xf numFmtId="0" fontId="121" fillId="2" borderId="0" xfId="0" applyFont="1" applyFill="1" applyAlignment="1">
      <alignment wrapText="1"/>
    </xf>
    <xf numFmtId="0" fontId="124" fillId="2" borderId="0" xfId="0" applyFont="1" applyFill="1" applyAlignment="1">
      <alignment horizontal="center" vertical="center" wrapText="1"/>
    </xf>
    <xf numFmtId="1" fontId="124" fillId="2" borderId="0" xfId="0" applyNumberFormat="1" applyFont="1" applyFill="1" applyAlignment="1">
      <alignment horizontal="center" vertical="center" wrapText="1"/>
    </xf>
    <xf numFmtId="1" fontId="124" fillId="2" borderId="0" xfId="0" applyNumberFormat="1" applyFont="1" applyFill="1" applyAlignment="1">
      <alignment horizontal="center" vertical="center"/>
    </xf>
    <xf numFmtId="166" fontId="124" fillId="2" borderId="0" xfId="0" applyNumberFormat="1" applyFont="1" applyFill="1"/>
    <xf numFmtId="0" fontId="121" fillId="2" borderId="0" xfId="0" applyFont="1" applyFill="1"/>
    <xf numFmtId="164" fontId="125" fillId="37" borderId="0" xfId="1" applyNumberFormat="1" applyFont="1" applyFill="1" applyBorder="1" applyAlignment="1">
      <alignment horizontal="center" vertical="center" wrapText="1"/>
    </xf>
    <xf numFmtId="0" fontId="125" fillId="37" borderId="0" xfId="1" applyFont="1" applyFill="1" applyBorder="1" applyAlignment="1">
      <alignment horizontal="center" vertical="center" wrapText="1"/>
    </xf>
    <xf numFmtId="1" fontId="125" fillId="37" borderId="0" xfId="1" applyNumberFormat="1" applyFont="1" applyFill="1" applyBorder="1" applyAlignment="1">
      <alignment horizontal="center" vertical="center" wrapText="1"/>
    </xf>
    <xf numFmtId="166" fontId="145" fillId="8" borderId="0" xfId="1" applyNumberFormat="1" applyFont="1" applyFill="1" applyBorder="1" applyAlignment="1">
      <alignment horizontal="center" vertical="center" wrapText="1"/>
    </xf>
    <xf numFmtId="0" fontId="129" fillId="29" borderId="9" xfId="3" applyFont="1" applyFill="1" applyBorder="1"/>
    <xf numFmtId="164" fontId="133" fillId="0" borderId="9" xfId="0" quotePrefix="1" applyNumberFormat="1" applyFont="1" applyBorder="1" applyAlignment="1">
      <alignment horizontal="center" vertical="center" wrapText="1"/>
    </xf>
    <xf numFmtId="1" fontId="123" fillId="0" borderId="9" xfId="0" applyNumberFormat="1" applyFont="1" applyBorder="1" applyAlignment="1">
      <alignment horizontal="center" vertical="center"/>
    </xf>
    <xf numFmtId="0" fontId="121" fillId="29" borderId="9" xfId="0" applyFont="1" applyFill="1" applyBorder="1"/>
    <xf numFmtId="164" fontId="123" fillId="29" borderId="9" xfId="0" applyNumberFormat="1" applyFont="1" applyFill="1" applyBorder="1" applyAlignment="1">
      <alignment horizontal="center" vertical="center" wrapText="1"/>
    </xf>
    <xf numFmtId="164" fontId="122" fillId="32" borderId="9" xfId="0" quotePrefix="1" applyNumberFormat="1" applyFont="1" applyFill="1" applyBorder="1" applyAlignment="1">
      <alignment horizontal="center" vertical="center" wrapText="1"/>
    </xf>
    <xf numFmtId="164" fontId="122" fillId="32" borderId="9" xfId="0" applyNumberFormat="1" applyFont="1" applyFill="1" applyBorder="1" applyAlignment="1">
      <alignment horizontal="center" vertical="center" wrapText="1"/>
    </xf>
    <xf numFmtId="164" fontId="131" fillId="32" borderId="9" xfId="3" quotePrefix="1" applyNumberFormat="1" applyFont="1" applyFill="1" applyBorder="1" applyAlignment="1">
      <alignment horizontal="center" vertical="center" wrapText="1"/>
    </xf>
    <xf numFmtId="0" fontId="122" fillId="32" borderId="9" xfId="0" applyFont="1" applyFill="1" applyBorder="1" applyAlignment="1">
      <alignment horizontal="center" vertical="center" wrapText="1"/>
    </xf>
    <xf numFmtId="0" fontId="123" fillId="32" borderId="9" xfId="0" applyFont="1" applyFill="1" applyBorder="1" applyAlignment="1">
      <alignment horizontal="center" vertical="center" wrapText="1"/>
    </xf>
    <xf numFmtId="1" fontId="123" fillId="32" borderId="9" xfId="0" applyNumberFormat="1" applyFont="1" applyFill="1" applyBorder="1" applyAlignment="1">
      <alignment horizontal="center" vertical="center" wrapText="1"/>
    </xf>
    <xf numFmtId="1" fontId="123" fillId="32" borderId="9" xfId="0" applyNumberFormat="1" applyFont="1" applyFill="1" applyBorder="1" applyAlignment="1">
      <alignment horizontal="center" vertical="center"/>
    </xf>
    <xf numFmtId="166" fontId="123" fillId="32" borderId="0" xfId="0" applyNumberFormat="1" applyFont="1" applyFill="1" applyAlignment="1">
      <alignment horizontal="center" vertical="center"/>
    </xf>
    <xf numFmtId="164" fontId="121" fillId="29" borderId="9" xfId="0" quotePrefix="1" applyNumberFormat="1" applyFont="1" applyFill="1" applyBorder="1" applyAlignment="1">
      <alignment horizontal="center" vertical="center" wrapText="1"/>
    </xf>
    <xf numFmtId="164" fontId="121" fillId="29" borderId="9" xfId="0" applyNumberFormat="1" applyFont="1" applyFill="1" applyBorder="1" applyAlignment="1">
      <alignment horizontal="center" vertical="center" wrapText="1"/>
    </xf>
    <xf numFmtId="164" fontId="146" fillId="29" borderId="9" xfId="3" quotePrefix="1" applyNumberFormat="1" applyFont="1" applyFill="1" applyBorder="1" applyAlignment="1">
      <alignment horizontal="center" vertical="center" wrapText="1"/>
    </xf>
    <xf numFmtId="0" fontId="121" fillId="29" borderId="9" xfId="0" applyFont="1" applyFill="1" applyBorder="1" applyAlignment="1">
      <alignment horizontal="center" vertical="center" wrapText="1"/>
    </xf>
    <xf numFmtId="0" fontId="124" fillId="29" borderId="9" xfId="0" applyFont="1" applyFill="1" applyBorder="1" applyAlignment="1">
      <alignment horizontal="center" vertical="center" wrapText="1"/>
    </xf>
    <xf numFmtId="1" fontId="124" fillId="29" borderId="9" xfId="0" applyNumberFormat="1" applyFont="1" applyFill="1" applyBorder="1" applyAlignment="1">
      <alignment horizontal="center" vertical="center" wrapText="1"/>
    </xf>
    <xf numFmtId="1" fontId="124" fillId="29" borderId="9" xfId="0" applyNumberFormat="1" applyFont="1" applyFill="1" applyBorder="1" applyAlignment="1">
      <alignment horizontal="center" vertical="center"/>
    </xf>
    <xf numFmtId="166" fontId="124" fillId="29" borderId="0" xfId="0" applyNumberFormat="1" applyFont="1" applyFill="1" applyAlignment="1">
      <alignment horizontal="center" vertical="center"/>
    </xf>
    <xf numFmtId="164" fontId="122" fillId="23" borderId="9" xfId="0" quotePrefix="1" applyNumberFormat="1" applyFont="1" applyFill="1" applyBorder="1" applyAlignment="1">
      <alignment horizontal="center" vertical="center" wrapText="1"/>
    </xf>
    <xf numFmtId="164" fontId="122" fillId="23" borderId="9" xfId="0" applyNumberFormat="1" applyFont="1" applyFill="1" applyBorder="1" applyAlignment="1">
      <alignment horizontal="center" vertical="center" wrapText="1"/>
    </xf>
    <xf numFmtId="164" fontId="129" fillId="23" borderId="9" xfId="3" quotePrefix="1" applyNumberFormat="1" applyFont="1" applyFill="1" applyBorder="1" applyAlignment="1">
      <alignment horizontal="center" vertical="center" wrapText="1"/>
    </xf>
    <xf numFmtId="0" fontId="122" fillId="23" borderId="9" xfId="0" applyFont="1" applyFill="1" applyBorder="1" applyAlignment="1">
      <alignment horizontal="center" vertical="center" wrapText="1"/>
    </xf>
    <xf numFmtId="0" fontId="123" fillId="23" borderId="9" xfId="0" applyFont="1" applyFill="1" applyBorder="1" applyAlignment="1">
      <alignment horizontal="center" vertical="center" wrapText="1"/>
    </xf>
    <xf numFmtId="1" fontId="123" fillId="23" borderId="9" xfId="0" applyNumberFormat="1" applyFont="1" applyFill="1" applyBorder="1" applyAlignment="1">
      <alignment horizontal="center" vertical="center" wrapText="1"/>
    </xf>
    <xf numFmtId="1" fontId="123" fillId="23" borderId="9" xfId="0" applyNumberFormat="1" applyFont="1" applyFill="1" applyBorder="1" applyAlignment="1">
      <alignment horizontal="center" vertical="center"/>
    </xf>
    <xf numFmtId="166" fontId="123" fillId="23" borderId="0" xfId="0" applyNumberFormat="1" applyFont="1" applyFill="1" applyAlignment="1">
      <alignment horizontal="center" vertical="center"/>
    </xf>
    <xf numFmtId="164" fontId="133" fillId="31" borderId="9" xfId="0" quotePrefix="1" applyNumberFormat="1" applyFont="1" applyFill="1" applyBorder="1" applyAlignment="1">
      <alignment horizontal="center" vertical="center" wrapText="1"/>
    </xf>
    <xf numFmtId="164" fontId="133" fillId="31" borderId="9" xfId="0" applyNumberFormat="1" applyFont="1" applyFill="1" applyBorder="1" applyAlignment="1">
      <alignment horizontal="center" vertical="center" wrapText="1"/>
    </xf>
    <xf numFmtId="0" fontId="123" fillId="31" borderId="9" xfId="0" applyFont="1" applyFill="1" applyBorder="1" applyAlignment="1">
      <alignment horizontal="center" vertical="center" wrapText="1"/>
    </xf>
    <xf numFmtId="0" fontId="133" fillId="31" borderId="9" xfId="0" applyFont="1" applyFill="1" applyBorder="1" applyAlignment="1">
      <alignment horizontal="center" vertical="center" wrapText="1"/>
    </xf>
    <xf numFmtId="0" fontId="132" fillId="31" borderId="9" xfId="0" applyFont="1" applyFill="1" applyBorder="1" applyAlignment="1">
      <alignment horizontal="center" vertical="center" wrapText="1"/>
    </xf>
    <xf numFmtId="1" fontId="132" fillId="31" borderId="9" xfId="0" applyNumberFormat="1" applyFont="1" applyFill="1" applyBorder="1" applyAlignment="1">
      <alignment horizontal="center" vertical="center" wrapText="1"/>
    </xf>
    <xf numFmtId="1" fontId="132" fillId="31" borderId="9" xfId="0" applyNumberFormat="1" applyFont="1" applyFill="1" applyBorder="1" applyAlignment="1">
      <alignment horizontal="center" vertical="center"/>
    </xf>
    <xf numFmtId="166" fontId="132" fillId="31" borderId="0" xfId="0" applyNumberFormat="1" applyFont="1" applyFill="1" applyAlignment="1">
      <alignment horizontal="center" vertical="center"/>
    </xf>
    <xf numFmtId="164" fontId="122" fillId="31" borderId="9" xfId="0" quotePrefix="1" applyNumberFormat="1" applyFont="1" applyFill="1" applyBorder="1" applyAlignment="1">
      <alignment horizontal="center" vertical="center" wrapText="1"/>
    </xf>
    <xf numFmtId="16" fontId="122" fillId="30" borderId="9" xfId="0" applyNumberFormat="1" applyFont="1" applyFill="1" applyBorder="1" applyAlignment="1">
      <alignment horizontal="center" vertical="center"/>
    </xf>
    <xf numFmtId="164" fontId="133" fillId="29" borderId="9" xfId="0" quotePrefix="1" applyNumberFormat="1" applyFont="1" applyFill="1" applyBorder="1" applyAlignment="1">
      <alignment horizontal="center" vertical="center" wrapText="1"/>
    </xf>
    <xf numFmtId="164" fontId="133" fillId="29" borderId="9" xfId="0" applyNumberFormat="1" applyFont="1" applyFill="1" applyBorder="1" applyAlignment="1">
      <alignment horizontal="center" vertical="center" wrapText="1"/>
    </xf>
    <xf numFmtId="164" fontId="136" fillId="29" borderId="9" xfId="3" quotePrefix="1" applyNumberFormat="1" applyFont="1" applyFill="1" applyBorder="1" applyAlignment="1">
      <alignment horizontal="center" vertical="center" wrapText="1"/>
    </xf>
    <xf numFmtId="0" fontId="147" fillId="29" borderId="9" xfId="0" applyFont="1" applyFill="1" applyBorder="1" applyAlignment="1">
      <alignment horizontal="center" vertical="center" wrapText="1"/>
    </xf>
    <xf numFmtId="0" fontId="132" fillId="29" borderId="9" xfId="0" applyFont="1" applyFill="1" applyBorder="1" applyAlignment="1">
      <alignment horizontal="center" vertical="center" wrapText="1"/>
    </xf>
    <xf numFmtId="1" fontId="132" fillId="29" borderId="9" xfId="0" applyNumberFormat="1" applyFont="1" applyFill="1" applyBorder="1" applyAlignment="1">
      <alignment horizontal="center" vertical="center" wrapText="1"/>
    </xf>
    <xf numFmtId="1" fontId="132" fillId="29" borderId="9" xfId="0" applyNumberFormat="1" applyFont="1" applyFill="1" applyBorder="1" applyAlignment="1">
      <alignment horizontal="center" vertical="center"/>
    </xf>
    <xf numFmtId="166" fontId="132" fillId="29" borderId="0" xfId="0" applyNumberFormat="1" applyFont="1" applyFill="1" applyAlignment="1">
      <alignment horizontal="center" vertical="center"/>
    </xf>
    <xf numFmtId="0" fontId="142" fillId="29" borderId="9" xfId="0" applyFont="1" applyFill="1" applyBorder="1" applyAlignment="1">
      <alignment horizontal="center" vertical="center" wrapText="1"/>
    </xf>
    <xf numFmtId="14" fontId="121" fillId="29" borderId="9" xfId="2" applyNumberFormat="1" applyFont="1" applyFill="1" applyBorder="1" applyAlignment="1">
      <alignment horizontal="center" vertical="center" wrapText="1"/>
    </xf>
    <xf numFmtId="166" fontId="132" fillId="30" borderId="0" xfId="0" applyNumberFormat="1" applyFont="1" applyFill="1" applyAlignment="1">
      <alignment horizontal="center" vertical="center" wrapText="1"/>
    </xf>
    <xf numFmtId="166" fontId="123" fillId="16" borderId="0" xfId="2" applyNumberFormat="1" applyFont="1" applyFill="1" applyAlignment="1">
      <alignment horizontal="center" vertical="center" wrapText="1"/>
    </xf>
    <xf numFmtId="14" fontId="122" fillId="5" borderId="9" xfId="2" applyNumberFormat="1" applyFont="1" applyFill="1" applyBorder="1" applyAlignment="1">
      <alignment horizontal="center" vertical="center" wrapText="1"/>
    </xf>
    <xf numFmtId="1" fontId="123" fillId="4" borderId="9" xfId="2" applyNumberFormat="1" applyFont="1" applyFill="1" applyBorder="1" applyAlignment="1">
      <alignment horizontal="center" vertical="center" wrapText="1"/>
    </xf>
    <xf numFmtId="14" fontId="137" fillId="0" borderId="9" xfId="3" applyNumberFormat="1" applyFont="1" applyFill="1" applyBorder="1" applyAlignment="1">
      <alignment horizontal="center" vertical="center" wrapText="1"/>
    </xf>
    <xf numFmtId="10" fontId="122" fillId="0" borderId="9" xfId="5" applyNumberFormat="1" applyFont="1" applyBorder="1" applyAlignment="1">
      <alignment horizontal="center" vertical="center" wrapText="1"/>
    </xf>
    <xf numFmtId="14" fontId="148" fillId="0" borderId="9" xfId="4" applyNumberFormat="1" applyFont="1" applyFill="1" applyBorder="1" applyAlignment="1">
      <alignment horizontal="center" vertical="center" wrapText="1"/>
    </xf>
    <xf numFmtId="1" fontId="127" fillId="0" borderId="9" xfId="2" applyNumberFormat="1" applyFont="1" applyBorder="1" applyAlignment="1">
      <alignment horizontal="center" vertical="center" wrapText="1"/>
    </xf>
    <xf numFmtId="10" fontId="127" fillId="0" borderId="9" xfId="2" applyNumberFormat="1" applyFont="1" applyBorder="1" applyAlignment="1">
      <alignment horizontal="center" vertical="center" wrapText="1"/>
    </xf>
    <xf numFmtId="1" fontId="124" fillId="0" borderId="9" xfId="0" applyNumberFormat="1" applyFont="1" applyBorder="1" applyAlignment="1">
      <alignment horizontal="center" vertical="center" wrapText="1"/>
    </xf>
    <xf numFmtId="0" fontId="121" fillId="0" borderId="9" xfId="0" applyFont="1" applyBorder="1" applyAlignment="1">
      <alignment wrapText="1"/>
    </xf>
    <xf numFmtId="0" fontId="124" fillId="0" borderId="9" xfId="0" applyFont="1" applyBorder="1" applyAlignment="1">
      <alignment horizontal="center" vertical="center" wrapText="1"/>
    </xf>
    <xf numFmtId="1" fontId="124" fillId="0" borderId="9" xfId="0" applyNumberFormat="1" applyFont="1" applyBorder="1" applyAlignment="1">
      <alignment horizontal="center" vertical="center"/>
    </xf>
    <xf numFmtId="14" fontId="121" fillId="0" borderId="9" xfId="3" applyNumberFormat="1" applyFont="1" applyBorder="1" applyAlignment="1">
      <alignment horizontal="center" vertical="center" wrapText="1"/>
    </xf>
    <xf numFmtId="0" fontId="138" fillId="0" borderId="9" xfId="0" applyFont="1" applyBorder="1" applyAlignment="1">
      <alignment horizontal="center" vertical="center" wrapText="1"/>
    </xf>
    <xf numFmtId="164" fontId="122" fillId="0" borderId="17" xfId="1" applyNumberFormat="1" applyFont="1" applyFill="1" applyBorder="1" applyAlignment="1">
      <alignment horizontal="center" vertical="center" wrapText="1"/>
    </xf>
    <xf numFmtId="164" fontId="137" fillId="0" borderId="24" xfId="3" quotePrefix="1" applyNumberFormat="1" applyFont="1" applyBorder="1" applyAlignment="1">
      <alignment horizontal="center" vertical="center" wrapText="1"/>
    </xf>
    <xf numFmtId="0" fontId="121" fillId="2" borderId="7" xfId="0" applyFont="1" applyFill="1" applyBorder="1" applyAlignment="1">
      <alignment wrapText="1"/>
    </xf>
    <xf numFmtId="0" fontId="123" fillId="0" borderId="11" xfId="2" applyFont="1" applyBorder="1" applyAlignment="1">
      <alignment horizontal="center" vertical="center" wrapText="1"/>
    </xf>
    <xf numFmtId="14" fontId="122" fillId="0" borderId="22" xfId="2" applyNumberFormat="1" applyFont="1" applyBorder="1" applyAlignment="1">
      <alignment horizontal="center" vertical="center" wrapText="1"/>
    </xf>
    <xf numFmtId="164" fontId="129" fillId="0" borderId="13" xfId="3" applyNumberFormat="1" applyFont="1" applyBorder="1" applyAlignment="1">
      <alignment horizontal="center" vertical="center" wrapText="1"/>
    </xf>
    <xf numFmtId="14" fontId="121" fillId="0" borderId="13" xfId="3" applyNumberFormat="1" applyFont="1" applyBorder="1" applyAlignment="1">
      <alignment horizontal="center" vertical="center" wrapText="1"/>
    </xf>
    <xf numFmtId="164" fontId="137" fillId="0" borderId="23" xfId="3" quotePrefix="1" applyNumberFormat="1" applyFont="1" applyBorder="1" applyAlignment="1">
      <alignment horizontal="center" vertical="center" wrapText="1"/>
    </xf>
    <xf numFmtId="9" fontId="122" fillId="0" borderId="9" xfId="1" applyNumberFormat="1" applyFont="1" applyFill="1" applyBorder="1" applyAlignment="1">
      <alignment horizontal="center" vertical="center" wrapText="1"/>
    </xf>
    <xf numFmtId="1" fontId="121" fillId="0" borderId="17" xfId="0" applyNumberFormat="1" applyFont="1" applyBorder="1" applyAlignment="1">
      <alignment horizontal="center" vertical="center"/>
    </xf>
    <xf numFmtId="10" fontId="121" fillId="0" borderId="0" xfId="0" applyNumberFormat="1" applyFont="1" applyAlignment="1">
      <alignment horizontal="center" vertical="center"/>
    </xf>
    <xf numFmtId="1" fontId="121" fillId="0" borderId="0" xfId="0" applyNumberFormat="1" applyFont="1" applyAlignment="1">
      <alignment horizontal="center" vertical="center"/>
    </xf>
    <xf numFmtId="166" fontId="124" fillId="0" borderId="0" xfId="0" applyNumberFormat="1" applyFont="1"/>
    <xf numFmtId="0" fontId="149" fillId="0" borderId="0" xfId="0" applyFont="1" applyAlignment="1">
      <alignment horizontal="center" vertical="center" wrapText="1"/>
    </xf>
    <xf numFmtId="9" fontId="121" fillId="0" borderId="9" xfId="0" applyNumberFormat="1" applyFont="1" applyBorder="1" applyAlignment="1">
      <alignment horizontal="center" vertical="center"/>
    </xf>
    <xf numFmtId="1" fontId="121" fillId="0" borderId="9" xfId="0" applyNumberFormat="1" applyFont="1" applyBorder="1" applyAlignment="1">
      <alignment horizontal="center" vertical="center"/>
    </xf>
    <xf numFmtId="14" fontId="121" fillId="0" borderId="12" xfId="3" applyNumberFormat="1" applyFont="1" applyBorder="1" applyAlignment="1">
      <alignment horizontal="center" vertical="center" wrapText="1"/>
    </xf>
    <xf numFmtId="164" fontId="137" fillId="0" borderId="17" xfId="3" quotePrefix="1" applyNumberFormat="1" applyFont="1" applyBorder="1" applyAlignment="1">
      <alignment horizontal="center" vertical="center" wrapText="1"/>
    </xf>
    <xf numFmtId="0" fontId="121" fillId="0" borderId="11" xfId="0" applyFont="1" applyBorder="1" applyAlignment="1">
      <alignment horizontal="center" vertical="center" wrapText="1"/>
    </xf>
    <xf numFmtId="0" fontId="141" fillId="0" borderId="9" xfId="3" applyFont="1" applyBorder="1" applyAlignment="1">
      <alignment horizontal="center" vertical="center" wrapText="1"/>
    </xf>
    <xf numFmtId="164" fontId="129" fillId="0" borderId="17" xfId="3" applyNumberFormat="1" applyFont="1" applyBorder="1" applyAlignment="1">
      <alignment horizontal="center" vertical="center" wrapText="1"/>
    </xf>
    <xf numFmtId="1" fontId="122" fillId="0" borderId="13" xfId="2" applyNumberFormat="1" applyFont="1" applyBorder="1" applyAlignment="1">
      <alignment horizontal="center" vertical="center" wrapText="1"/>
    </xf>
    <xf numFmtId="2" fontId="122" fillId="0" borderId="9" xfId="2" applyNumberFormat="1" applyFont="1" applyBorder="1" applyAlignment="1">
      <alignment horizontal="center" vertical="center" wrapText="1"/>
    </xf>
    <xf numFmtId="0" fontId="121" fillId="0" borderId="0" xfId="0" applyFont="1" applyAlignment="1">
      <alignment wrapText="1"/>
    </xf>
    <xf numFmtId="0" fontId="124" fillId="0" borderId="0" xfId="0" applyFont="1" applyAlignment="1">
      <alignment horizontal="center" vertical="center" wrapText="1"/>
    </xf>
    <xf numFmtId="0" fontId="139" fillId="0" borderId="9" xfId="0" applyFont="1" applyBorder="1" applyAlignment="1">
      <alignment horizontal="center" vertical="center" wrapText="1"/>
    </xf>
    <xf numFmtId="164" fontId="129" fillId="0" borderId="24" xfId="3" applyNumberFormat="1" applyFont="1" applyBorder="1" applyAlignment="1">
      <alignment horizontal="center" vertical="center" wrapText="1"/>
    </xf>
    <xf numFmtId="164" fontId="129" fillId="0" borderId="11" xfId="3" applyNumberFormat="1" applyFont="1" applyBorder="1" applyAlignment="1">
      <alignment horizontal="center" vertical="center" wrapText="1"/>
    </xf>
    <xf numFmtId="0" fontId="127" fillId="0" borderId="17" xfId="0" applyFont="1" applyBorder="1" applyAlignment="1">
      <alignment horizontal="center" vertical="center" wrapText="1"/>
    </xf>
    <xf numFmtId="0" fontId="129" fillId="0" borderId="11" xfId="3" applyFont="1" applyBorder="1" applyAlignment="1">
      <alignment horizontal="center" vertical="center" wrapText="1"/>
    </xf>
    <xf numFmtId="0" fontId="121" fillId="0" borderId="17" xfId="0" applyFont="1" applyBorder="1" applyAlignment="1">
      <alignment horizontal="center" vertical="center" wrapText="1"/>
    </xf>
    <xf numFmtId="0" fontId="129" fillId="0" borderId="12" xfId="3" applyFont="1" applyBorder="1" applyAlignment="1">
      <alignment wrapText="1"/>
    </xf>
    <xf numFmtId="164" fontId="137" fillId="0" borderId="21" xfId="3" applyNumberFormat="1" applyFont="1" applyBorder="1" applyAlignment="1">
      <alignment horizontal="center" vertical="center" wrapText="1"/>
    </xf>
    <xf numFmtId="0" fontId="121" fillId="0" borderId="4" xfId="0" applyFont="1" applyBorder="1" applyAlignment="1">
      <alignment horizontal="center" vertical="center" wrapText="1"/>
    </xf>
    <xf numFmtId="0" fontId="135" fillId="0" borderId="4" xfId="0" applyFont="1" applyBorder="1" applyAlignment="1">
      <alignment horizontal="center" vertical="center" wrapText="1"/>
    </xf>
    <xf numFmtId="0" fontId="129" fillId="0" borderId="12" xfId="3" applyFont="1" applyBorder="1" applyAlignment="1">
      <alignment horizontal="center" vertical="center" wrapText="1"/>
    </xf>
    <xf numFmtId="164" fontId="137" fillId="0" borderId="28" xfId="3" applyNumberFormat="1" applyFont="1" applyBorder="1" applyAlignment="1">
      <alignment horizontal="center" vertical="center" wrapText="1"/>
    </xf>
    <xf numFmtId="14" fontId="121" fillId="0" borderId="9" xfId="0" applyNumberFormat="1" applyFont="1" applyBorder="1" applyAlignment="1">
      <alignment horizontal="center" vertical="center" wrapText="1"/>
    </xf>
    <xf numFmtId="0" fontId="129" fillId="0" borderId="4" xfId="3" applyFont="1" applyBorder="1" applyAlignment="1">
      <alignment horizontal="center" vertical="center" wrapText="1"/>
    </xf>
    <xf numFmtId="10" fontId="124" fillId="0" borderId="0" xfId="0" applyNumberFormat="1" applyFont="1" applyAlignment="1">
      <alignment horizontal="center" vertical="center" wrapText="1"/>
    </xf>
    <xf numFmtId="0" fontId="126" fillId="43" borderId="0" xfId="0" applyFont="1" applyFill="1" applyAlignment="1">
      <alignment horizontal="center" vertical="center" wrapText="1"/>
    </xf>
    <xf numFmtId="167" fontId="121" fillId="0" borderId="9" xfId="0" applyNumberFormat="1" applyFont="1" applyBorder="1" applyAlignment="1">
      <alignment horizontal="center" vertical="center" wrapText="1"/>
    </xf>
    <xf numFmtId="167" fontId="121" fillId="0" borderId="17" xfId="0" applyNumberFormat="1" applyFont="1" applyBorder="1" applyAlignment="1">
      <alignment horizontal="center" vertical="center" wrapText="1"/>
    </xf>
    <xf numFmtId="0" fontId="127" fillId="0" borderId="11" xfId="0" applyFont="1" applyBorder="1" applyAlignment="1">
      <alignment wrapText="1"/>
    </xf>
    <xf numFmtId="10" fontId="121" fillId="0" borderId="9" xfId="0" applyNumberFormat="1" applyFont="1" applyBorder="1" applyAlignment="1">
      <alignment horizontal="center" vertical="center" wrapText="1"/>
    </xf>
    <xf numFmtId="10" fontId="121" fillId="0" borderId="0" xfId="0" applyNumberFormat="1" applyFont="1" applyAlignment="1">
      <alignment horizontal="center" vertical="center" wrapText="1"/>
    </xf>
    <xf numFmtId="9" fontId="121" fillId="0" borderId="9" xfId="0" applyNumberFormat="1" applyFont="1" applyBorder="1" applyAlignment="1">
      <alignment horizontal="center" vertical="center" wrapText="1"/>
    </xf>
    <xf numFmtId="9" fontId="121" fillId="0" borderId="0" xfId="0" applyNumberFormat="1" applyFont="1" applyAlignment="1">
      <alignment horizontal="center" vertical="center" wrapText="1"/>
    </xf>
    <xf numFmtId="0" fontId="121" fillId="46" borderId="9" xfId="0" applyFont="1" applyFill="1" applyBorder="1" applyAlignment="1">
      <alignment horizontal="center" vertical="center" wrapText="1"/>
    </xf>
    <xf numFmtId="167" fontId="122" fillId="0" borderId="9" xfId="0" applyNumberFormat="1" applyFont="1" applyBorder="1" applyAlignment="1">
      <alignment horizontal="center" vertical="center" wrapText="1"/>
    </xf>
    <xf numFmtId="167" fontId="121" fillId="0" borderId="12" xfId="0" applyNumberFormat="1" applyFont="1" applyBorder="1" applyAlignment="1">
      <alignment horizontal="center" vertical="center" wrapText="1"/>
    </xf>
    <xf numFmtId="167" fontId="121" fillId="0" borderId="21" xfId="0" applyNumberFormat="1" applyFont="1" applyBorder="1" applyAlignment="1">
      <alignment horizontal="center" vertical="center" wrapText="1"/>
    </xf>
    <xf numFmtId="0" fontId="127" fillId="0" borderId="24" xfId="0" applyFont="1" applyBorder="1" applyAlignment="1">
      <alignment wrapText="1"/>
    </xf>
    <xf numFmtId="167" fontId="121" fillId="0" borderId="11" xfId="0" applyNumberFormat="1" applyFont="1" applyBorder="1" applyAlignment="1">
      <alignment horizontal="center" vertical="center" wrapText="1"/>
    </xf>
    <xf numFmtId="0" fontId="127" fillId="0" borderId="9" xfId="0" applyFont="1" applyBorder="1" applyAlignment="1">
      <alignment horizontal="center" vertical="center" wrapText="1"/>
    </xf>
    <xf numFmtId="0" fontId="127" fillId="0" borderId="11" xfId="0" applyFont="1" applyBorder="1" applyAlignment="1">
      <alignment horizontal="center" vertical="center" wrapText="1"/>
    </xf>
    <xf numFmtId="167" fontId="121" fillId="0" borderId="23" xfId="0" applyNumberFormat="1" applyFont="1" applyBorder="1" applyAlignment="1">
      <alignment horizontal="center" vertical="center" wrapText="1"/>
    </xf>
    <xf numFmtId="0" fontId="121" fillId="0" borderId="23" xfId="0" applyFont="1" applyBorder="1" applyAlignment="1">
      <alignment horizontal="center" vertical="center" wrapText="1"/>
    </xf>
    <xf numFmtId="0" fontId="127" fillId="0" borderId="13" xfId="0" applyFont="1" applyBorder="1" applyAlignment="1">
      <alignment horizontal="center" vertical="center" wrapText="1"/>
    </xf>
    <xf numFmtId="0" fontId="127" fillId="0" borderId="23" xfId="0" applyFont="1" applyBorder="1" applyAlignment="1">
      <alignment horizontal="center" vertical="center" wrapText="1"/>
    </xf>
    <xf numFmtId="167" fontId="121" fillId="0" borderId="13" xfId="0" applyNumberFormat="1" applyFont="1" applyBorder="1" applyAlignment="1">
      <alignment horizontal="center" vertical="center" wrapText="1"/>
    </xf>
    <xf numFmtId="0" fontId="122" fillId="0" borderId="13" xfId="0" applyFont="1" applyBorder="1" applyAlignment="1">
      <alignment horizontal="center" vertical="center" wrapText="1"/>
    </xf>
    <xf numFmtId="0" fontId="139" fillId="0" borderId="13" xfId="0" applyFont="1" applyBorder="1" applyAlignment="1">
      <alignment horizontal="center" vertical="center" wrapText="1"/>
    </xf>
    <xf numFmtId="0" fontId="122" fillId="0" borderId="12" xfId="0" applyFont="1" applyBorder="1" applyAlignment="1">
      <alignment horizontal="center" vertical="center" wrapText="1"/>
    </xf>
    <xf numFmtId="0" fontId="139" fillId="0" borderId="12" xfId="0" applyFont="1" applyBorder="1" applyAlignment="1">
      <alignment horizontal="center" vertical="center" wrapText="1"/>
    </xf>
    <xf numFmtId="0" fontId="121" fillId="0" borderId="12" xfId="0" applyFont="1" applyBorder="1" applyAlignment="1">
      <alignment horizontal="center" vertical="center" wrapText="1"/>
    </xf>
    <xf numFmtId="0" fontId="122" fillId="0" borderId="24" xfId="0" applyFont="1" applyBorder="1" applyAlignment="1">
      <alignment horizontal="center" vertical="center" wrapText="1"/>
    </xf>
    <xf numFmtId="0" fontId="122" fillId="0" borderId="11" xfId="0" applyFont="1" applyBorder="1" applyAlignment="1">
      <alignment horizontal="center" vertical="center" wrapText="1"/>
    </xf>
    <xf numFmtId="0" fontId="121" fillId="0" borderId="25" xfId="0" applyFont="1" applyBorder="1" applyAlignment="1">
      <alignment horizontal="center" vertical="center" wrapText="1"/>
    </xf>
    <xf numFmtId="0" fontId="127" fillId="0" borderId="30" xfId="0" applyFont="1" applyBorder="1" applyAlignment="1">
      <alignment wrapText="1"/>
    </xf>
    <xf numFmtId="0" fontId="127" fillId="0" borderId="12" xfId="0" applyFont="1" applyBorder="1" applyAlignment="1">
      <alignment horizontal="center" vertical="center" wrapText="1"/>
    </xf>
    <xf numFmtId="0" fontId="127" fillId="0" borderId="12" xfId="0" applyFont="1" applyBorder="1" applyAlignment="1">
      <alignment wrapText="1"/>
    </xf>
    <xf numFmtId="0" fontId="121" fillId="0" borderId="24" xfId="0" applyFont="1" applyBorder="1" applyAlignment="1">
      <alignment horizontal="center" vertical="center" wrapText="1"/>
    </xf>
    <xf numFmtId="10" fontId="121" fillId="0" borderId="12" xfId="0" applyNumberFormat="1" applyFont="1" applyBorder="1" applyAlignment="1">
      <alignment horizontal="center" vertical="center" wrapText="1"/>
    </xf>
    <xf numFmtId="167" fontId="121" fillId="22" borderId="0" xfId="0" applyNumberFormat="1" applyFont="1" applyFill="1" applyAlignment="1">
      <alignment horizontal="center" vertical="center" wrapText="1"/>
    </xf>
    <xf numFmtId="0" fontId="122" fillId="0" borderId="17" xfId="0" applyFont="1" applyBorder="1" applyAlignment="1">
      <alignment horizontal="center" vertical="center" wrapText="1"/>
    </xf>
    <xf numFmtId="0" fontId="127" fillId="0" borderId="22" xfId="0" applyFont="1" applyBorder="1" applyAlignment="1">
      <alignment wrapText="1"/>
    </xf>
    <xf numFmtId="0" fontId="127" fillId="0" borderId="17" xfId="0" applyFont="1" applyBorder="1" applyAlignment="1">
      <alignment wrapText="1"/>
    </xf>
    <xf numFmtId="0" fontId="127" fillId="0" borderId="9" xfId="0" applyFont="1" applyBorder="1" applyAlignment="1">
      <alignment wrapText="1"/>
    </xf>
    <xf numFmtId="0" fontId="135" fillId="0" borderId="29" xfId="0" applyFont="1" applyBorder="1" applyAlignment="1">
      <alignment horizontal="center" vertical="center" wrapText="1"/>
    </xf>
    <xf numFmtId="0" fontId="122" fillId="0" borderId="21" xfId="0" applyFont="1" applyBorder="1" applyAlignment="1">
      <alignment horizontal="center" vertical="center" wrapText="1"/>
    </xf>
    <xf numFmtId="0" fontId="127" fillId="0" borderId="32" xfId="0" applyFont="1" applyBorder="1" applyAlignment="1">
      <alignment horizontal="center" vertical="center" wrapText="1"/>
    </xf>
    <xf numFmtId="0" fontId="135" fillId="0" borderId="21" xfId="0" applyFont="1" applyBorder="1" applyAlignment="1">
      <alignment horizontal="center" vertical="center" wrapText="1"/>
    </xf>
    <xf numFmtId="167" fontId="121" fillId="0" borderId="25" xfId="0" applyNumberFormat="1" applyFont="1" applyBorder="1" applyAlignment="1">
      <alignment horizontal="center" vertical="center" wrapText="1"/>
    </xf>
    <xf numFmtId="0" fontId="135" fillId="0" borderId="11" xfId="0" applyFont="1" applyBorder="1" applyAlignment="1">
      <alignment horizontal="center" vertical="center" wrapText="1"/>
    </xf>
    <xf numFmtId="9" fontId="121" fillId="0" borderId="12" xfId="0" applyNumberFormat="1" applyFont="1" applyBorder="1" applyAlignment="1">
      <alignment horizontal="center" vertical="center" wrapText="1"/>
    </xf>
    <xf numFmtId="0" fontId="121" fillId="0" borderId="12" xfId="0" applyFont="1" applyBorder="1" applyAlignment="1">
      <alignment wrapText="1"/>
    </xf>
    <xf numFmtId="14" fontId="121" fillId="0" borderId="12" xfId="0" applyNumberFormat="1" applyFont="1" applyBorder="1" applyAlignment="1">
      <alignment horizontal="center" vertical="center" wrapText="1"/>
    </xf>
    <xf numFmtId="0" fontId="121" fillId="0" borderId="5" xfId="0" applyFont="1" applyBorder="1" applyAlignment="1">
      <alignment horizontal="center" vertical="center" wrapText="1"/>
    </xf>
    <xf numFmtId="0" fontId="121" fillId="0" borderId="4" xfId="0" applyFont="1" applyBorder="1" applyAlignment="1">
      <alignment wrapText="1"/>
    </xf>
    <xf numFmtId="167" fontId="121" fillId="0" borderId="22" xfId="0" applyNumberFormat="1" applyFont="1" applyBorder="1" applyAlignment="1">
      <alignment horizontal="center" vertical="center" wrapText="1"/>
    </xf>
    <xf numFmtId="0" fontId="94" fillId="0" borderId="0" xfId="0" applyFont="1" applyAlignment="1">
      <alignment horizontal="center" vertical="center"/>
    </xf>
    <xf numFmtId="0" fontId="120" fillId="0" borderId="9" xfId="3" applyFont="1" applyBorder="1" applyAlignment="1">
      <alignment horizontal="center" vertical="center" wrapText="1"/>
    </xf>
    <xf numFmtId="0" fontId="74" fillId="0" borderId="9" xfId="3" applyFont="1" applyBorder="1" applyAlignment="1">
      <alignment horizontal="center" vertical="center" wrapText="1"/>
    </xf>
    <xf numFmtId="0" fontId="116" fillId="0" borderId="0" xfId="0" applyFont="1" applyAlignment="1">
      <alignment horizontal="center" vertical="center" wrapText="1"/>
    </xf>
    <xf numFmtId="0" fontId="154" fillId="0" borderId="0" xfId="0" applyFont="1" applyAlignment="1">
      <alignment horizontal="center" vertical="center" wrapText="1"/>
    </xf>
    <xf numFmtId="10" fontId="116" fillId="0" borderId="0" xfId="0" applyNumberFormat="1" applyFont="1" applyAlignment="1">
      <alignment horizontal="center" vertical="center" wrapText="1"/>
    </xf>
    <xf numFmtId="9" fontId="116" fillId="0" borderId="0" xfId="0" applyNumberFormat="1" applyFont="1" applyAlignment="1">
      <alignment horizontal="center" vertical="center" wrapText="1"/>
    </xf>
    <xf numFmtId="0" fontId="154" fillId="38" borderId="0" xfId="0" applyFont="1" applyFill="1" applyAlignment="1">
      <alignment horizontal="center" vertical="center" wrapText="1"/>
    </xf>
    <xf numFmtId="16" fontId="116" fillId="0" borderId="9" xfId="0" applyNumberFormat="1" applyFont="1" applyBorder="1" applyAlignment="1">
      <alignment horizontal="center" vertical="center" wrapText="1"/>
    </xf>
    <xf numFmtId="10" fontId="116" fillId="0" borderId="9" xfId="0" applyNumberFormat="1" applyFont="1" applyBorder="1" applyAlignment="1">
      <alignment horizontal="center" vertical="center" wrapText="1"/>
    </xf>
    <xf numFmtId="9" fontId="116" fillId="0" borderId="9" xfId="0" applyNumberFormat="1" applyFont="1" applyBorder="1" applyAlignment="1">
      <alignment horizontal="center" vertical="center" wrapText="1"/>
    </xf>
    <xf numFmtId="16" fontId="116" fillId="16" borderId="9" xfId="0" applyNumberFormat="1" applyFont="1" applyFill="1" applyBorder="1" applyAlignment="1">
      <alignment horizontal="center" vertical="center" wrapText="1"/>
    </xf>
    <xf numFmtId="16" fontId="116" fillId="0" borderId="12" xfId="0" applyNumberFormat="1" applyFont="1" applyBorder="1" applyAlignment="1">
      <alignment horizontal="center" vertical="center" wrapText="1"/>
    </xf>
    <xf numFmtId="0" fontId="120" fillId="0" borderId="12" xfId="3" applyFont="1" applyBorder="1" applyAlignment="1">
      <alignment horizontal="center" vertical="center" wrapText="1"/>
    </xf>
    <xf numFmtId="0" fontId="116" fillId="0" borderId="12" xfId="0" applyFont="1" applyBorder="1" applyAlignment="1">
      <alignment horizontal="center" vertical="center" wrapText="1"/>
    </xf>
    <xf numFmtId="0" fontId="153" fillId="0" borderId="0" xfId="0" applyFont="1" applyAlignment="1">
      <alignment horizontal="center" vertical="center" wrapText="1"/>
    </xf>
    <xf numFmtId="16" fontId="94" fillId="0" borderId="0" xfId="0" applyNumberFormat="1" applyFont="1" applyAlignment="1">
      <alignment horizontal="center" vertical="center" wrapText="1"/>
    </xf>
    <xf numFmtId="0" fontId="34" fillId="0" borderId="0" xfId="3" applyAlignment="1">
      <alignment horizontal="center" vertical="center" wrapText="1"/>
    </xf>
    <xf numFmtId="0" fontId="155" fillId="0" borderId="0" xfId="0" applyFont="1" applyAlignment="1">
      <alignment horizontal="center" vertical="center" wrapText="1"/>
    </xf>
    <xf numFmtId="0" fontId="156" fillId="0" borderId="0" xfId="0" applyFont="1" applyAlignment="1">
      <alignment horizontal="center" vertical="center" wrapText="1"/>
    </xf>
    <xf numFmtId="16" fontId="94" fillId="0" borderId="0" xfId="0" applyNumberFormat="1" applyFont="1" applyAlignment="1">
      <alignment horizontal="center" vertical="center"/>
    </xf>
    <xf numFmtId="164" fontId="137" fillId="0" borderId="29" xfId="3" quotePrefix="1" applyNumberFormat="1" applyFont="1" applyBorder="1" applyAlignment="1">
      <alignment horizontal="center" vertical="center" wrapText="1"/>
    </xf>
    <xf numFmtId="14" fontId="135" fillId="0" borderId="12" xfId="2" applyNumberFormat="1" applyFont="1" applyBorder="1" applyAlignment="1">
      <alignment horizontal="center" vertical="center" wrapText="1"/>
    </xf>
    <xf numFmtId="0" fontId="121" fillId="0" borderId="16" xfId="0" applyFont="1" applyBorder="1"/>
    <xf numFmtId="16" fontId="94" fillId="16" borderId="0" xfId="0" applyNumberFormat="1" applyFont="1" applyFill="1" applyAlignment="1">
      <alignment horizontal="center" vertical="center" wrapText="1"/>
    </xf>
    <xf numFmtId="0" fontId="34" fillId="0" borderId="4" xfId="3" applyBorder="1" applyAlignment="1">
      <alignment horizontal="center" vertical="center" wrapText="1"/>
    </xf>
    <xf numFmtId="0" fontId="98" fillId="16" borderId="9" xfId="0" applyFont="1" applyFill="1" applyBorder="1"/>
    <xf numFmtId="14" fontId="135" fillId="0" borderId="11" xfId="2" applyNumberFormat="1" applyFont="1" applyBorder="1" applyAlignment="1">
      <alignment horizontal="center" vertical="center" wrapText="1"/>
    </xf>
    <xf numFmtId="0" fontId="121" fillId="0" borderId="32" xfId="0" applyFont="1" applyBorder="1" applyAlignment="1">
      <alignment horizontal="center" vertical="center" wrapText="1"/>
    </xf>
    <xf numFmtId="164" fontId="129" fillId="0" borderId="32" xfId="3" quotePrefix="1" applyNumberFormat="1" applyFont="1" applyFill="1" applyBorder="1" applyAlignment="1">
      <alignment horizontal="center" vertical="center" wrapText="1"/>
    </xf>
    <xf numFmtId="0" fontId="34" fillId="0" borderId="13" xfId="3" applyBorder="1" applyAlignment="1">
      <alignment horizontal="center" vertical="center" wrapText="1"/>
    </xf>
    <xf numFmtId="0" fontId="121" fillId="0" borderId="4" xfId="0" applyFont="1" applyBorder="1" applyAlignment="1">
      <alignment horizontal="center" vertical="center"/>
    </xf>
    <xf numFmtId="164" fontId="137" fillId="0" borderId="11" xfId="3" quotePrefix="1" applyNumberFormat="1" applyFont="1" applyBorder="1" applyAlignment="1">
      <alignment horizontal="center" vertical="center" wrapText="1"/>
    </xf>
    <xf numFmtId="164" fontId="34" fillId="0" borderId="9" xfId="3" applyNumberFormat="1" applyBorder="1" applyAlignment="1">
      <alignment horizontal="center" vertical="center" wrapText="1"/>
    </xf>
    <xf numFmtId="167" fontId="121" fillId="0" borderId="5" xfId="0" applyNumberFormat="1" applyFont="1" applyBorder="1" applyAlignment="1">
      <alignment horizontal="center" vertical="center" wrapText="1"/>
    </xf>
    <xf numFmtId="0" fontId="122" fillId="0" borderId="4" xfId="0" applyFont="1" applyBorder="1" applyAlignment="1">
      <alignment horizontal="center" vertical="center" wrapText="1"/>
    </xf>
    <xf numFmtId="164" fontId="122" fillId="16" borderId="9" xfId="1" applyNumberFormat="1" applyFont="1" applyFill="1" applyBorder="1" applyAlignment="1">
      <alignment horizontal="center" vertical="center" wrapText="1"/>
    </xf>
    <xf numFmtId="10" fontId="122" fillId="0" borderId="9" xfId="1" applyNumberFormat="1" applyFont="1" applyBorder="1" applyAlignment="1">
      <alignment horizontal="center" vertical="center" wrapText="1"/>
    </xf>
    <xf numFmtId="0" fontId="157" fillId="2" borderId="0" xfId="0" applyFont="1" applyFill="1" applyAlignment="1">
      <alignment wrapText="1"/>
    </xf>
    <xf numFmtId="0" fontId="135" fillId="0" borderId="13" xfId="0" applyFont="1" applyBorder="1" applyAlignment="1">
      <alignment horizontal="center" vertical="center"/>
    </xf>
    <xf numFmtId="0" fontId="34" fillId="0" borderId="12" xfId="3" applyBorder="1" applyAlignment="1">
      <alignment horizontal="center" vertical="center" wrapText="1"/>
    </xf>
    <xf numFmtId="0" fontId="124" fillId="0" borderId="4" xfId="0" applyFont="1" applyBorder="1" applyAlignment="1">
      <alignment horizontal="center"/>
    </xf>
    <xf numFmtId="0" fontId="158" fillId="0" borderId="0" xfId="0" applyFont="1" applyAlignment="1">
      <alignment horizontal="center" vertical="center"/>
    </xf>
    <xf numFmtId="0" fontId="159" fillId="0" borderId="9" xfId="0" applyFont="1" applyBorder="1" applyAlignment="1">
      <alignment horizontal="center" vertical="center" wrapText="1"/>
    </xf>
    <xf numFmtId="164" fontId="129" fillId="0" borderId="12" xfId="3" applyNumberFormat="1" applyFont="1" applyBorder="1" applyAlignment="1">
      <alignment horizontal="center" vertical="center" wrapText="1"/>
    </xf>
    <xf numFmtId="0" fontId="121" fillId="0" borderId="12" xfId="0" applyFont="1" applyBorder="1" applyAlignment="1">
      <alignment horizontal="center" vertical="center"/>
    </xf>
    <xf numFmtId="0" fontId="121" fillId="0" borderId="12" xfId="0" applyFont="1" applyBorder="1"/>
    <xf numFmtId="1" fontId="121" fillId="0" borderId="12" xfId="0" applyNumberFormat="1" applyFont="1" applyBorder="1" applyAlignment="1">
      <alignment horizontal="center" vertical="center" wrapText="1"/>
    </xf>
    <xf numFmtId="0" fontId="34" fillId="0" borderId="22" xfId="3" applyBorder="1" applyAlignment="1">
      <alignment horizontal="center" vertical="center" wrapText="1"/>
    </xf>
    <xf numFmtId="0" fontId="124" fillId="0" borderId="13" xfId="0" applyFont="1" applyBorder="1" applyAlignment="1">
      <alignment horizontal="center" vertical="center" wrapText="1"/>
    </xf>
    <xf numFmtId="0" fontId="159" fillId="0" borderId="4" xfId="0" applyFont="1" applyBorder="1" applyAlignment="1">
      <alignment horizontal="center" vertical="center"/>
    </xf>
    <xf numFmtId="168" fontId="122" fillId="0" borderId="9" xfId="2" applyNumberFormat="1" applyFont="1" applyBorder="1" applyAlignment="1">
      <alignment horizontal="center" vertical="center" wrapText="1"/>
    </xf>
    <xf numFmtId="0" fontId="34" fillId="0" borderId="25" xfId="3" applyBorder="1" applyAlignment="1">
      <alignment horizontal="center" vertical="center" wrapText="1"/>
    </xf>
    <xf numFmtId="0" fontId="159" fillId="0" borderId="2" xfId="0" applyFont="1" applyBorder="1" applyAlignment="1">
      <alignment horizontal="center" vertical="center"/>
    </xf>
    <xf numFmtId="0" fontId="121" fillId="0" borderId="30" xfId="0" applyFont="1" applyBorder="1" applyAlignment="1">
      <alignment horizontal="center" vertical="center" wrapText="1"/>
    </xf>
    <xf numFmtId="14" fontId="97" fillId="0" borderId="13" xfId="2" applyNumberFormat="1" applyFont="1" applyBorder="1" applyAlignment="1">
      <alignment horizontal="center" vertical="center" wrapText="1"/>
    </xf>
    <xf numFmtId="1" fontId="100" fillId="2" borderId="9" xfId="0" applyNumberFormat="1" applyFont="1" applyFill="1" applyBorder="1" applyAlignment="1">
      <alignment horizontal="center" vertical="center" wrapText="1"/>
    </xf>
    <xf numFmtId="0" fontId="98" fillId="0" borderId="2" xfId="0" applyFont="1" applyBorder="1" applyAlignment="1">
      <alignment horizontal="center" vertical="center" wrapText="1"/>
    </xf>
    <xf numFmtId="0" fontId="111" fillId="0" borderId="2" xfId="3" applyFont="1" applyBorder="1" applyAlignment="1">
      <alignment horizontal="center" vertical="center" wrapText="1"/>
    </xf>
    <xf numFmtId="164" fontId="129" fillId="0" borderId="32" xfId="3" applyNumberFormat="1" applyFont="1" applyBorder="1" applyAlignment="1">
      <alignment horizontal="center" vertical="center" wrapText="1"/>
    </xf>
    <xf numFmtId="0" fontId="121" fillId="0" borderId="32" xfId="0" applyFont="1" applyBorder="1" applyAlignment="1">
      <alignment horizontal="center" vertical="center"/>
    </xf>
    <xf numFmtId="0" fontId="121" fillId="0" borderId="32" xfId="0" applyFont="1" applyBorder="1"/>
    <xf numFmtId="164" fontId="122" fillId="0" borderId="13" xfId="1" quotePrefix="1" applyNumberFormat="1" applyFont="1" applyBorder="1" applyAlignment="1">
      <alignment horizontal="center" vertical="center" wrapText="1"/>
    </xf>
    <xf numFmtId="164" fontId="121" fillId="2" borderId="9" xfId="0" applyNumberFormat="1" applyFont="1" applyFill="1" applyBorder="1" applyAlignment="1">
      <alignment horizontal="center" wrapText="1"/>
    </xf>
    <xf numFmtId="0" fontId="121" fillId="2" borderId="9" xfId="0" applyFont="1" applyFill="1" applyBorder="1" applyAlignment="1">
      <alignment horizontal="center" wrapText="1"/>
    </xf>
    <xf numFmtId="0" fontId="121" fillId="2" borderId="9" xfId="0" applyFont="1" applyFill="1" applyBorder="1" applyAlignment="1">
      <alignment horizontal="center" vertical="center" wrapText="1"/>
    </xf>
    <xf numFmtId="164" fontId="122" fillId="0" borderId="12" xfId="1" applyNumberFormat="1" applyFont="1" applyBorder="1" applyAlignment="1">
      <alignment horizontal="center" vertical="center" wrapText="1"/>
    </xf>
    <xf numFmtId="14" fontId="160" fillId="0" borderId="9" xfId="2" applyNumberFormat="1" applyFont="1" applyBorder="1" applyAlignment="1">
      <alignment horizontal="center" vertical="center" wrapText="1"/>
    </xf>
    <xf numFmtId="0" fontId="160" fillId="0" borderId="13" xfId="0" applyFont="1" applyBorder="1" applyAlignment="1">
      <alignment horizontal="center" vertical="center"/>
    </xf>
    <xf numFmtId="164" fontId="119" fillId="0" borderId="9" xfId="3" applyNumberFormat="1" applyFont="1" applyFill="1" applyBorder="1" applyAlignment="1">
      <alignment horizontal="center" vertical="center" wrapText="1"/>
    </xf>
    <xf numFmtId="14" fontId="34" fillId="0" borderId="17" xfId="3" applyNumberFormat="1" applyBorder="1" applyAlignment="1">
      <alignment horizontal="center" vertical="center" wrapText="1"/>
    </xf>
    <xf numFmtId="166" fontId="122" fillId="0" borderId="12" xfId="2" applyNumberFormat="1" applyFont="1" applyBorder="1" applyAlignment="1">
      <alignment horizontal="center" vertical="center" wrapText="1"/>
    </xf>
    <xf numFmtId="0" fontId="122" fillId="0" borderId="13" xfId="2" applyFont="1" applyBorder="1" applyAlignment="1">
      <alignment horizontal="center" vertical="center" wrapText="1"/>
    </xf>
    <xf numFmtId="10" fontId="122" fillId="0" borderId="13" xfId="2" applyNumberFormat="1" applyFont="1" applyBorder="1" applyAlignment="1">
      <alignment horizontal="center" vertical="center" wrapText="1"/>
    </xf>
    <xf numFmtId="166" fontId="122" fillId="0" borderId="13" xfId="2" applyNumberFormat="1" applyFont="1" applyBorder="1" applyAlignment="1">
      <alignment horizontal="center" vertical="center" wrapText="1"/>
    </xf>
    <xf numFmtId="14" fontId="34" fillId="0" borderId="13" xfId="3" applyNumberFormat="1" applyBorder="1" applyAlignment="1">
      <alignment horizontal="center" vertical="center" wrapText="1"/>
    </xf>
    <xf numFmtId="14" fontId="161" fillId="0" borderId="13" xfId="3" applyNumberFormat="1" applyFont="1" applyBorder="1" applyAlignment="1">
      <alignment horizontal="center" vertical="center" wrapText="1"/>
    </xf>
    <xf numFmtId="14" fontId="160" fillId="0" borderId="13" xfId="2" applyNumberFormat="1" applyFont="1" applyBorder="1" applyAlignment="1">
      <alignment horizontal="center" vertical="center" wrapText="1"/>
    </xf>
    <xf numFmtId="14" fontId="160" fillId="0" borderId="11" xfId="2" applyNumberFormat="1" applyFont="1" applyBorder="1" applyAlignment="1">
      <alignment horizontal="center" vertical="center" wrapText="1"/>
    </xf>
    <xf numFmtId="164" fontId="137" fillId="0" borderId="13" xfId="3" quotePrefix="1" applyNumberFormat="1" applyFont="1" applyBorder="1" applyAlignment="1">
      <alignment horizontal="center" vertical="center" wrapText="1"/>
    </xf>
    <xf numFmtId="164" fontId="137" fillId="0" borderId="4" xfId="3" quotePrefix="1" applyNumberFormat="1" applyFont="1" applyBorder="1" applyAlignment="1">
      <alignment horizontal="center" vertical="center" wrapText="1"/>
    </xf>
    <xf numFmtId="164" fontId="122" fillId="18" borderId="9" xfId="1" quotePrefix="1" applyNumberFormat="1" applyFont="1" applyFill="1" applyBorder="1" applyAlignment="1">
      <alignment horizontal="center" vertical="center" wrapText="1"/>
    </xf>
    <xf numFmtId="0" fontId="159" fillId="2" borderId="4" xfId="0" applyFont="1" applyFill="1" applyBorder="1" applyAlignment="1">
      <alignment horizontal="center" vertical="center"/>
    </xf>
    <xf numFmtId="10" fontId="159" fillId="2" borderId="4" xfId="0" applyNumberFormat="1" applyFont="1" applyFill="1" applyBorder="1" applyAlignment="1">
      <alignment horizontal="center" vertical="center"/>
    </xf>
    <xf numFmtId="166" fontId="159" fillId="2" borderId="4" xfId="0" applyNumberFormat="1" applyFont="1" applyFill="1" applyBorder="1" applyAlignment="1">
      <alignment horizontal="center" vertical="center"/>
    </xf>
    <xf numFmtId="14" fontId="122" fillId="0" borderId="17" xfId="2" applyNumberFormat="1" applyFont="1" applyBorder="1" applyAlignment="1">
      <alignment horizontal="center" vertical="center" wrapText="1"/>
    </xf>
    <xf numFmtId="14" fontId="161" fillId="0" borderId="32" xfId="3" applyNumberFormat="1" applyFont="1" applyBorder="1" applyAlignment="1">
      <alignment horizontal="center" vertical="center" wrapText="1"/>
    </xf>
    <xf numFmtId="14" fontId="34" fillId="0" borderId="32" xfId="3" applyNumberFormat="1" applyBorder="1" applyAlignment="1">
      <alignment horizontal="center" vertical="center" wrapText="1"/>
    </xf>
    <xf numFmtId="14" fontId="161" fillId="0" borderId="4" xfId="3" applyNumberFormat="1" applyFont="1" applyBorder="1" applyAlignment="1">
      <alignment horizontal="center" vertical="center" wrapText="1"/>
    </xf>
    <xf numFmtId="14" fontId="122" fillId="0" borderId="4" xfId="2" applyNumberFormat="1" applyFont="1" applyBorder="1" applyAlignment="1">
      <alignment horizontal="center" vertical="center" wrapText="1"/>
    </xf>
    <xf numFmtId="0" fontId="121" fillId="2" borderId="4" xfId="0" applyFont="1" applyFill="1" applyBorder="1" applyAlignment="1">
      <alignment horizontal="center" vertical="center"/>
    </xf>
    <xf numFmtId="0" fontId="121" fillId="2" borderId="4" xfId="0" applyFont="1" applyFill="1" applyBorder="1" applyAlignment="1">
      <alignment horizontal="center" vertical="center" wrapText="1"/>
    </xf>
    <xf numFmtId="0" fontId="34" fillId="2" borderId="4" xfId="3" applyFill="1" applyBorder="1" applyAlignment="1">
      <alignment horizontal="center" vertical="center" wrapText="1"/>
    </xf>
    <xf numFmtId="0" fontId="98" fillId="0" borderId="17" xfId="0" applyFont="1" applyBorder="1" applyAlignment="1">
      <alignment horizontal="center" vertical="center" wrapText="1"/>
    </xf>
    <xf numFmtId="0" fontId="122" fillId="0" borderId="4" xfId="1" applyNumberFormat="1" applyFont="1" applyFill="1" applyBorder="1" applyAlignment="1">
      <alignment horizontal="center" vertical="center" wrapText="1"/>
    </xf>
    <xf numFmtId="0" fontId="159" fillId="0" borderId="32" xfId="0" applyFont="1" applyBorder="1" applyAlignment="1">
      <alignment horizontal="center" vertical="center" wrapText="1"/>
    </xf>
    <xf numFmtId="0" fontId="124" fillId="0" borderId="4" xfId="0" applyFont="1" applyBorder="1" applyAlignment="1">
      <alignment horizontal="center" vertical="center" wrapText="1"/>
    </xf>
    <xf numFmtId="164" fontId="137" fillId="0" borderId="12" xfId="3" quotePrefix="1" applyNumberFormat="1" applyFont="1" applyBorder="1" applyAlignment="1">
      <alignment horizontal="center" vertical="center" wrapText="1"/>
    </xf>
    <xf numFmtId="0" fontId="122" fillId="0" borderId="12" xfId="1" applyNumberFormat="1" applyFont="1" applyBorder="1" applyAlignment="1">
      <alignment horizontal="center" vertical="center" wrapText="1"/>
    </xf>
    <xf numFmtId="10" fontId="122" fillId="0" borderId="4" xfId="1" applyNumberFormat="1" applyFont="1" applyFill="1" applyBorder="1" applyAlignment="1">
      <alignment horizontal="center" vertical="center" wrapText="1"/>
    </xf>
    <xf numFmtId="10" fontId="121" fillId="0" borderId="4" xfId="0" applyNumberFormat="1" applyFont="1" applyBorder="1" applyAlignment="1">
      <alignment horizontal="center" vertical="center" wrapText="1"/>
    </xf>
    <xf numFmtId="0" fontId="159" fillId="0" borderId="4" xfId="0" applyFont="1" applyBorder="1" applyAlignment="1">
      <alignment horizontal="center" vertical="center" wrapText="1"/>
    </xf>
    <xf numFmtId="14" fontId="34" fillId="0" borderId="12" xfId="3" applyNumberFormat="1" applyBorder="1" applyAlignment="1">
      <alignment horizontal="center" vertical="center" wrapText="1"/>
    </xf>
    <xf numFmtId="164" fontId="129" fillId="0" borderId="22" xfId="3" quotePrefix="1" applyNumberFormat="1" applyFont="1" applyFill="1" applyBorder="1" applyAlignment="1">
      <alignment horizontal="center" vertical="center" wrapText="1"/>
    </xf>
    <xf numFmtId="10" fontId="121" fillId="0" borderId="13" xfId="0" applyNumberFormat="1" applyFont="1" applyBorder="1" applyAlignment="1">
      <alignment horizontal="center" vertical="center" wrapText="1"/>
    </xf>
    <xf numFmtId="0" fontId="121" fillId="16" borderId="9" xfId="0" applyFont="1" applyFill="1" applyBorder="1" applyAlignment="1">
      <alignment horizontal="center" vertical="center" wrapText="1"/>
    </xf>
    <xf numFmtId="0" fontId="34" fillId="2" borderId="0" xfId="3" applyFill="1" applyAlignment="1">
      <alignment horizontal="center" vertical="center" wrapText="1"/>
    </xf>
    <xf numFmtId="168" fontId="122" fillId="0" borderId="4" xfId="2" applyNumberFormat="1" applyFont="1" applyBorder="1" applyAlignment="1">
      <alignment horizontal="center" vertical="center" wrapText="1"/>
    </xf>
    <xf numFmtId="14" fontId="129" fillId="0" borderId="12" xfId="3" applyNumberFormat="1" applyFont="1" applyBorder="1" applyAlignment="1">
      <alignment horizontal="center" vertical="center" wrapText="1"/>
    </xf>
    <xf numFmtId="14" fontId="130" fillId="0" borderId="12" xfId="2" applyNumberFormat="1" applyFont="1" applyBorder="1" applyAlignment="1">
      <alignment horizontal="center" vertical="center" wrapText="1"/>
    </xf>
    <xf numFmtId="14" fontId="129" fillId="0" borderId="13" xfId="3" applyNumberFormat="1" applyFont="1" applyBorder="1" applyAlignment="1">
      <alignment horizontal="center" vertical="center" wrapText="1"/>
    </xf>
    <xf numFmtId="14" fontId="122" fillId="0" borderId="23" xfId="2" applyNumberFormat="1" applyFont="1" applyBorder="1" applyAlignment="1">
      <alignment horizontal="center" vertical="center" wrapText="1"/>
    </xf>
    <xf numFmtId="14" fontId="34" fillId="0" borderId="9" xfId="3" applyNumberFormat="1" applyFill="1" applyBorder="1" applyAlignment="1">
      <alignment horizontal="center" vertical="center" wrapText="1"/>
    </xf>
    <xf numFmtId="0" fontId="34" fillId="0" borderId="17" xfId="3" applyBorder="1" applyAlignment="1">
      <alignment horizontal="center" vertical="center" wrapText="1"/>
    </xf>
    <xf numFmtId="164" fontId="137" fillId="0" borderId="11" xfId="3" applyNumberFormat="1" applyFont="1" applyFill="1" applyBorder="1" applyAlignment="1">
      <alignment horizontal="center" vertical="center" wrapText="1"/>
    </xf>
    <xf numFmtId="167" fontId="121" fillId="16" borderId="9" xfId="0" applyNumberFormat="1" applyFont="1" applyFill="1" applyBorder="1" applyAlignment="1">
      <alignment horizontal="center" vertical="center" wrapText="1"/>
    </xf>
    <xf numFmtId="164" fontId="137" fillId="0" borderId="21" xfId="3" quotePrefix="1" applyNumberFormat="1" applyFont="1" applyBorder="1" applyAlignment="1">
      <alignment horizontal="center" vertical="center" wrapText="1"/>
    </xf>
    <xf numFmtId="0" fontId="34" fillId="0" borderId="25" xfId="3" applyFill="1" applyBorder="1" applyAlignment="1">
      <alignment horizontal="center" vertical="center" wrapText="1"/>
    </xf>
    <xf numFmtId="0" fontId="159" fillId="2" borderId="4" xfId="0" applyFont="1" applyFill="1" applyBorder="1" applyAlignment="1">
      <alignment horizontal="center" vertical="center" wrapText="1"/>
    </xf>
    <xf numFmtId="0" fontId="122" fillId="0" borderId="11" xfId="2" applyFont="1" applyBorder="1" applyAlignment="1">
      <alignment horizontal="center" vertical="center" wrapText="1"/>
    </xf>
    <xf numFmtId="14" fontId="122" fillId="0" borderId="3" xfId="2" applyNumberFormat="1" applyFont="1" applyBorder="1" applyAlignment="1">
      <alignment horizontal="center" vertical="center" wrapText="1"/>
    </xf>
    <xf numFmtId="14" fontId="129" fillId="0" borderId="32" xfId="3" applyNumberFormat="1" applyFont="1" applyBorder="1" applyAlignment="1">
      <alignment horizontal="center" vertical="center" wrapText="1"/>
    </xf>
    <xf numFmtId="14" fontId="34" fillId="0" borderId="3" xfId="3" applyNumberFormat="1" applyFill="1" applyBorder="1" applyAlignment="1">
      <alignment horizontal="center" vertical="center" wrapText="1"/>
    </xf>
    <xf numFmtId="14" fontId="122" fillId="0" borderId="24" xfId="2" applyNumberFormat="1" applyFont="1" applyBorder="1" applyAlignment="1">
      <alignment horizontal="center" vertical="center" wrapText="1"/>
    </xf>
    <xf numFmtId="14" fontId="122" fillId="0" borderId="16" xfId="2" applyNumberFormat="1" applyFont="1" applyBorder="1" applyAlignment="1">
      <alignment horizontal="center" vertical="center" wrapText="1"/>
    </xf>
    <xf numFmtId="168" fontId="122" fillId="0" borderId="3" xfId="2" applyNumberFormat="1" applyFont="1" applyBorder="1" applyAlignment="1">
      <alignment horizontal="center" vertical="center" wrapText="1"/>
    </xf>
    <xf numFmtId="14" fontId="160" fillId="0" borderId="12" xfId="2" applyNumberFormat="1" applyFont="1" applyBorder="1" applyAlignment="1">
      <alignment horizontal="center" vertical="center" wrapText="1"/>
    </xf>
    <xf numFmtId="14" fontId="129" fillId="0" borderId="4" xfId="3" applyNumberFormat="1" applyFont="1" applyBorder="1" applyAlignment="1">
      <alignment horizontal="center" vertical="center" wrapText="1"/>
    </xf>
    <xf numFmtId="14" fontId="34" fillId="0" borderId="4" xfId="3" applyNumberFormat="1" applyBorder="1" applyAlignment="1">
      <alignment horizontal="center" vertical="center" wrapText="1"/>
    </xf>
    <xf numFmtId="6" fontId="130" fillId="0" borderId="11" xfId="2" applyNumberFormat="1" applyFont="1" applyBorder="1" applyAlignment="1">
      <alignment horizontal="center" vertical="center" wrapText="1"/>
    </xf>
    <xf numFmtId="14" fontId="130" fillId="0" borderId="4" xfId="2" applyNumberFormat="1" applyFont="1" applyBorder="1" applyAlignment="1">
      <alignment horizontal="center" vertical="center" wrapText="1"/>
    </xf>
    <xf numFmtId="14" fontId="122" fillId="0" borderId="21" xfId="2" applyNumberFormat="1" applyFont="1" applyBorder="1" applyAlignment="1">
      <alignment horizontal="center" vertical="center" wrapText="1"/>
    </xf>
    <xf numFmtId="14" fontId="97" fillId="16" borderId="9" xfId="2" applyNumberFormat="1" applyFont="1" applyFill="1" applyBorder="1" applyAlignment="1">
      <alignment horizontal="center" vertical="center" wrapText="1"/>
    </xf>
    <xf numFmtId="164" fontId="137" fillId="0" borderId="28" xfId="3" quotePrefix="1" applyNumberFormat="1" applyFont="1" applyBorder="1" applyAlignment="1">
      <alignment horizontal="center" vertical="center" wrapText="1"/>
    </xf>
    <xf numFmtId="0" fontId="121" fillId="0" borderId="3" xfId="0" applyFont="1" applyBorder="1" applyAlignment="1">
      <alignment horizontal="center" vertical="center" wrapText="1"/>
    </xf>
    <xf numFmtId="14" fontId="34" fillId="0" borderId="23" xfId="3" applyNumberFormat="1" applyBorder="1" applyAlignment="1">
      <alignment horizontal="center" vertical="center" wrapText="1"/>
    </xf>
    <xf numFmtId="164" fontId="119" fillId="0" borderId="17" xfId="3" applyNumberFormat="1" applyFont="1" applyBorder="1" applyAlignment="1">
      <alignment horizontal="center" vertical="center" wrapText="1"/>
    </xf>
    <xf numFmtId="0" fontId="116" fillId="0" borderId="11" xfId="0" applyFont="1" applyBorder="1" applyAlignment="1">
      <alignment horizontal="center" vertical="center" wrapText="1"/>
    </xf>
    <xf numFmtId="10" fontId="116" fillId="0" borderId="12" xfId="0" applyNumberFormat="1" applyFont="1" applyBorder="1" applyAlignment="1">
      <alignment horizontal="center" vertical="center" wrapText="1"/>
    </xf>
    <xf numFmtId="0" fontId="116" fillId="0" borderId="13" xfId="0" applyFont="1" applyBorder="1" applyAlignment="1">
      <alignment horizontal="center" vertical="center" wrapText="1"/>
    </xf>
    <xf numFmtId="0" fontId="116" fillId="0" borderId="4" xfId="0" applyFont="1" applyBorder="1" applyAlignment="1">
      <alignment horizontal="center" vertical="center" wrapText="1"/>
    </xf>
    <xf numFmtId="15" fontId="122" fillId="0" borderId="17" xfId="2" applyNumberFormat="1" applyFont="1" applyBorder="1" applyAlignment="1">
      <alignment horizontal="center" vertical="center" wrapText="1"/>
    </xf>
    <xf numFmtId="14" fontId="122" fillId="0" borderId="2" xfId="2" applyNumberFormat="1" applyFont="1" applyBorder="1" applyAlignment="1">
      <alignment horizontal="center" vertical="center" wrapText="1"/>
    </xf>
    <xf numFmtId="0" fontId="121" fillId="0" borderId="2" xfId="0" applyFont="1" applyBorder="1" applyAlignment="1">
      <alignment horizontal="center" vertical="center" wrapText="1"/>
    </xf>
    <xf numFmtId="164" fontId="129" fillId="0" borderId="2" xfId="3" quotePrefix="1" applyNumberFormat="1" applyFont="1" applyFill="1" applyBorder="1" applyAlignment="1">
      <alignment horizontal="center" vertical="center" wrapText="1"/>
    </xf>
    <xf numFmtId="14" fontId="34" fillId="0" borderId="2" xfId="3" applyNumberFormat="1" applyBorder="1" applyAlignment="1">
      <alignment horizontal="center" vertical="center" wrapText="1"/>
    </xf>
    <xf numFmtId="164" fontId="137" fillId="0" borderId="25" xfId="3" quotePrefix="1" applyNumberFormat="1" applyFont="1" applyBorder="1" applyAlignment="1">
      <alignment horizontal="center" vertical="center" wrapText="1"/>
    </xf>
    <xf numFmtId="10" fontId="116" fillId="0" borderId="13" xfId="0" applyNumberFormat="1" applyFont="1" applyBorder="1" applyAlignment="1">
      <alignment horizontal="center" vertical="center" wrapText="1"/>
    </xf>
    <xf numFmtId="0" fontId="34" fillId="0" borderId="2" xfId="3" applyBorder="1" applyAlignment="1">
      <alignment horizontal="center" vertical="center" wrapText="1"/>
    </xf>
    <xf numFmtId="166" fontId="122" fillId="16" borderId="9" xfId="2" applyNumberFormat="1" applyFont="1" applyFill="1" applyBorder="1" applyAlignment="1">
      <alignment horizontal="center" vertical="center" wrapText="1"/>
    </xf>
    <xf numFmtId="0" fontId="121" fillId="0" borderId="29" xfId="0" applyFont="1" applyBorder="1" applyAlignment="1">
      <alignment horizontal="center" vertical="center" wrapText="1"/>
    </xf>
    <xf numFmtId="1" fontId="122" fillId="0" borderId="11" xfId="2" applyNumberFormat="1" applyFont="1" applyBorder="1" applyAlignment="1">
      <alignment horizontal="center" vertical="center" wrapText="1"/>
    </xf>
    <xf numFmtId="0" fontId="122" fillId="0" borderId="4" xfId="2" applyFont="1" applyBorder="1" applyAlignment="1">
      <alignment horizontal="center" vertical="center" wrapText="1"/>
    </xf>
    <xf numFmtId="0" fontId="124" fillId="0" borderId="19" xfId="0" applyFont="1" applyBorder="1" applyAlignment="1">
      <alignment horizontal="center" vertical="center" wrapText="1"/>
    </xf>
    <xf numFmtId="0" fontId="159" fillId="0" borderId="3" xfId="0" applyFont="1" applyBorder="1" applyAlignment="1">
      <alignment horizontal="center" vertical="center" wrapText="1"/>
    </xf>
    <xf numFmtId="14" fontId="122" fillId="16" borderId="17" xfId="2" applyNumberFormat="1" applyFont="1" applyFill="1" applyBorder="1" applyAlignment="1">
      <alignment horizontal="center" vertical="center" wrapText="1"/>
    </xf>
    <xf numFmtId="0" fontId="98" fillId="0" borderId="17" xfId="0" applyFont="1" applyBorder="1" applyAlignment="1">
      <alignment horizontal="center" vertical="center"/>
    </xf>
    <xf numFmtId="10" fontId="98" fillId="0" borderId="12" xfId="0" applyNumberFormat="1" applyFont="1" applyBorder="1" applyAlignment="1">
      <alignment horizontal="center" vertical="center"/>
    </xf>
    <xf numFmtId="1" fontId="98" fillId="0" borderId="12" xfId="0" applyNumberFormat="1" applyFont="1" applyBorder="1" applyAlignment="1">
      <alignment horizontal="center" vertical="center"/>
    </xf>
    <xf numFmtId="14" fontId="122" fillId="2" borderId="9" xfId="2" applyNumberFormat="1" applyFont="1" applyFill="1" applyBorder="1" applyAlignment="1">
      <alignment horizontal="center" vertical="center" wrapText="1"/>
    </xf>
    <xf numFmtId="14" fontId="122" fillId="2" borderId="12" xfId="2" applyNumberFormat="1" applyFont="1" applyFill="1" applyBorder="1" applyAlignment="1">
      <alignment horizontal="center" vertical="center" wrapText="1"/>
    </xf>
    <xf numFmtId="164" fontId="122" fillId="0" borderId="17" xfId="1" quotePrefix="1" applyNumberFormat="1" applyFont="1" applyBorder="1" applyAlignment="1">
      <alignment horizontal="center" vertical="center" wrapText="1"/>
    </xf>
    <xf numFmtId="164" fontId="122" fillId="0" borderId="21" xfId="1" quotePrefix="1" applyNumberFormat="1" applyFont="1" applyBorder="1" applyAlignment="1">
      <alignment horizontal="center" vertical="center" wrapText="1"/>
    </xf>
    <xf numFmtId="168" fontId="122" fillId="16" borderId="9" xfId="2" applyNumberFormat="1" applyFont="1" applyFill="1" applyBorder="1" applyAlignment="1">
      <alignment horizontal="center" vertical="center" wrapText="1"/>
    </xf>
    <xf numFmtId="168" fontId="122" fillId="0" borderId="17" xfId="2" applyNumberFormat="1" applyFont="1" applyBorder="1" applyAlignment="1">
      <alignment horizontal="center" vertical="center" wrapText="1"/>
    </xf>
    <xf numFmtId="164" fontId="137" fillId="0" borderId="0" xfId="3" quotePrefix="1" applyNumberFormat="1" applyFont="1" applyAlignment="1">
      <alignment horizontal="center" vertical="center" wrapText="1"/>
    </xf>
    <xf numFmtId="164" fontId="122" fillId="0" borderId="0" xfId="1" quotePrefix="1" applyNumberFormat="1" applyFont="1" applyBorder="1" applyAlignment="1">
      <alignment horizontal="center" vertical="center" wrapText="1"/>
    </xf>
    <xf numFmtId="14" fontId="129" fillId="2" borderId="9" xfId="3" applyNumberFormat="1" applyFont="1" applyFill="1" applyBorder="1" applyAlignment="1">
      <alignment horizontal="center" vertical="center" wrapText="1"/>
    </xf>
    <xf numFmtId="14" fontId="135" fillId="2" borderId="9" xfId="2" applyNumberFormat="1" applyFont="1" applyFill="1" applyBorder="1" applyAlignment="1">
      <alignment horizontal="center" vertical="center" wrapText="1"/>
    </xf>
    <xf numFmtId="16" fontId="116" fillId="16" borderId="17" xfId="0" applyNumberFormat="1" applyFont="1" applyFill="1" applyBorder="1" applyAlignment="1">
      <alignment horizontal="center" vertical="center" wrapText="1"/>
    </xf>
    <xf numFmtId="0" fontId="118" fillId="0" borderId="9" xfId="0" applyFont="1" applyBorder="1" applyAlignment="1">
      <alignment horizontal="center" vertical="center" wrapText="1"/>
    </xf>
    <xf numFmtId="164" fontId="137" fillId="0" borderId="9" xfId="3" applyNumberFormat="1" applyFont="1" applyFill="1" applyBorder="1" applyAlignment="1">
      <alignment horizontal="center" vertical="center" wrapText="1"/>
    </xf>
    <xf numFmtId="1" fontId="122" fillId="16" borderId="11" xfId="2" applyNumberFormat="1" applyFont="1" applyFill="1" applyBorder="1" applyAlignment="1">
      <alignment horizontal="center" vertical="center" wrapText="1"/>
    </xf>
    <xf numFmtId="1" fontId="124" fillId="16" borderId="4" xfId="0" applyNumberFormat="1" applyFont="1" applyFill="1" applyBorder="1" applyAlignment="1">
      <alignment horizontal="center" vertical="center" wrapText="1"/>
    </xf>
    <xf numFmtId="14" fontId="160" fillId="2" borderId="9" xfId="2" applyNumberFormat="1" applyFont="1" applyFill="1" applyBorder="1" applyAlignment="1">
      <alignment horizontal="center" vertical="center" wrapText="1"/>
    </xf>
    <xf numFmtId="14" fontId="160" fillId="2" borderId="12" xfId="2" applyNumberFormat="1" applyFont="1" applyFill="1" applyBorder="1" applyAlignment="1">
      <alignment horizontal="center" vertical="center" wrapText="1"/>
    </xf>
    <xf numFmtId="0" fontId="121" fillId="16" borderId="23" xfId="0" applyFont="1" applyFill="1" applyBorder="1" applyAlignment="1">
      <alignment horizontal="center" vertical="center" wrapText="1"/>
    </xf>
    <xf numFmtId="0" fontId="121" fillId="16" borderId="13" xfId="0" applyFont="1" applyFill="1" applyBorder="1" applyAlignment="1">
      <alignment horizontal="center" vertical="center" wrapText="1"/>
    </xf>
    <xf numFmtId="10" fontId="121" fillId="16" borderId="13" xfId="0" applyNumberFormat="1" applyFont="1" applyFill="1" applyBorder="1" applyAlignment="1">
      <alignment horizontal="center" vertical="center" wrapText="1"/>
    </xf>
    <xf numFmtId="0" fontId="158" fillId="16" borderId="13" xfId="0" applyFont="1" applyFill="1" applyBorder="1" applyAlignment="1">
      <alignment horizontal="center" vertical="center" wrapText="1"/>
    </xf>
    <xf numFmtId="0" fontId="158" fillId="16" borderId="13" xfId="0" applyFont="1" applyFill="1" applyBorder="1" applyAlignment="1">
      <alignment horizontal="center" vertical="center"/>
    </xf>
    <xf numFmtId="10" fontId="158" fillId="16" borderId="13" xfId="0" applyNumberFormat="1" applyFont="1" applyFill="1" applyBorder="1" applyAlignment="1">
      <alignment horizontal="center" vertical="center"/>
    </xf>
    <xf numFmtId="1" fontId="158" fillId="16" borderId="13" xfId="0" applyNumberFormat="1" applyFont="1" applyFill="1" applyBorder="1" applyAlignment="1">
      <alignment horizontal="center" vertical="center"/>
    </xf>
    <xf numFmtId="10" fontId="98" fillId="0" borderId="12" xfId="5" applyNumberFormat="1" applyFont="1" applyBorder="1" applyAlignment="1">
      <alignment horizontal="center" vertical="center"/>
    </xf>
    <xf numFmtId="10" fontId="158" fillId="16" borderId="13" xfId="5" applyNumberFormat="1" applyFont="1" applyFill="1" applyBorder="1" applyAlignment="1">
      <alignment horizontal="center" vertical="center"/>
    </xf>
    <xf numFmtId="10" fontId="98" fillId="0" borderId="9" xfId="5" applyNumberFormat="1" applyFont="1" applyBorder="1" applyAlignment="1">
      <alignment horizontal="center" vertical="center"/>
    </xf>
    <xf numFmtId="1" fontId="158" fillId="0" borderId="4" xfId="0" applyNumberFormat="1" applyFont="1" applyBorder="1" applyAlignment="1">
      <alignment horizontal="center" vertical="center" wrapText="1"/>
    </xf>
    <xf numFmtId="1" fontId="158" fillId="0" borderId="4" xfId="0" applyNumberFormat="1" applyFont="1" applyBorder="1" applyAlignment="1">
      <alignment horizontal="center" vertical="center"/>
    </xf>
    <xf numFmtId="10" fontId="158" fillId="0" borderId="4" xfId="5" applyNumberFormat="1" applyFont="1" applyFill="1" applyBorder="1" applyAlignment="1">
      <alignment horizontal="center" vertical="center"/>
    </xf>
    <xf numFmtId="10" fontId="158" fillId="0" borderId="4" xfId="0" applyNumberFormat="1" applyFont="1" applyBorder="1" applyAlignment="1">
      <alignment horizontal="center" vertical="center"/>
    </xf>
    <xf numFmtId="164" fontId="34" fillId="2" borderId="9" xfId="3" applyNumberFormat="1" applyFill="1" applyBorder="1" applyAlignment="1">
      <alignment horizontal="center" vertical="center" wrapText="1"/>
    </xf>
    <xf numFmtId="14" fontId="122" fillId="2" borderId="17" xfId="2" applyNumberFormat="1" applyFont="1" applyFill="1" applyBorder="1" applyAlignment="1">
      <alignment horizontal="center" vertical="center" wrapText="1"/>
    </xf>
    <xf numFmtId="0" fontId="121" fillId="0" borderId="28" xfId="0" applyFont="1" applyBorder="1" applyAlignment="1">
      <alignment horizontal="center" vertical="center" wrapText="1"/>
    </xf>
    <xf numFmtId="0" fontId="123" fillId="0" borderId="13" xfId="2" applyFont="1" applyBorder="1" applyAlignment="1">
      <alignment horizontal="center" vertical="center" wrapText="1"/>
    </xf>
    <xf numFmtId="0" fontId="121" fillId="0" borderId="26" xfId="0" applyFont="1" applyBorder="1" applyAlignment="1">
      <alignment horizontal="center" vertical="center" wrapText="1"/>
    </xf>
    <xf numFmtId="0" fontId="123" fillId="0" borderId="4" xfId="2" applyFont="1" applyBorder="1" applyAlignment="1">
      <alignment horizontal="center" vertical="center" wrapText="1"/>
    </xf>
    <xf numFmtId="14" fontId="160" fillId="2" borderId="13" xfId="2" applyNumberFormat="1" applyFont="1" applyFill="1" applyBorder="1" applyAlignment="1">
      <alignment vertical="center" wrapText="1"/>
    </xf>
    <xf numFmtId="14" fontId="160" fillId="2" borderId="4" xfId="2" applyNumberFormat="1" applyFont="1" applyFill="1" applyBorder="1" applyAlignment="1">
      <alignment vertical="center" wrapText="1"/>
    </xf>
    <xf numFmtId="14" fontId="163" fillId="2" borderId="9" xfId="2" applyNumberFormat="1" applyFont="1" applyFill="1" applyBorder="1" applyAlignment="1">
      <alignment horizontal="center" vertical="center" wrapText="1"/>
    </xf>
    <xf numFmtId="14" fontId="163" fillId="2" borderId="9" xfId="3" applyNumberFormat="1" applyFont="1" applyFill="1" applyBorder="1" applyAlignment="1">
      <alignment horizontal="center" vertical="center" wrapText="1"/>
    </xf>
    <xf numFmtId="0" fontId="34" fillId="0" borderId="4" xfId="3" applyFill="1" applyBorder="1" applyAlignment="1">
      <alignment horizontal="center" vertical="center" wrapText="1"/>
    </xf>
    <xf numFmtId="164" fontId="122" fillId="0" borderId="32" xfId="0" applyNumberFormat="1" applyFont="1" applyBorder="1" applyAlignment="1">
      <alignment horizontal="center" vertical="center" wrapText="1"/>
    </xf>
    <xf numFmtId="0" fontId="139" fillId="44" borderId="21" xfId="0" applyFont="1" applyFill="1" applyBorder="1" applyAlignment="1">
      <alignment horizontal="center" vertical="center" wrapText="1"/>
    </xf>
    <xf numFmtId="0" fontId="121" fillId="32" borderId="12" xfId="0" applyFont="1" applyFill="1" applyBorder="1" applyAlignment="1">
      <alignment horizontal="center" vertical="center" wrapText="1"/>
    </xf>
    <xf numFmtId="0" fontId="159" fillId="32" borderId="9" xfId="0" applyFont="1" applyFill="1" applyBorder="1" applyAlignment="1">
      <alignment horizontal="center" vertical="center" wrapText="1"/>
    </xf>
    <xf numFmtId="0" fontId="121" fillId="32" borderId="9" xfId="0" applyFont="1" applyFill="1" applyBorder="1" applyAlignment="1">
      <alignment horizontal="center" vertical="center" wrapText="1"/>
    </xf>
    <xf numFmtId="0" fontId="151" fillId="45" borderId="22" xfId="0" applyFont="1" applyFill="1" applyBorder="1" applyAlignment="1">
      <alignment horizontal="center" vertical="center" wrapText="1"/>
    </xf>
    <xf numFmtId="0" fontId="121" fillId="32" borderId="21" xfId="0" applyFont="1" applyFill="1" applyBorder="1" applyAlignment="1">
      <alignment horizontal="center" vertical="center" wrapText="1"/>
    </xf>
    <xf numFmtId="0" fontId="121" fillId="32" borderId="4" xfId="0" applyFont="1" applyFill="1" applyBorder="1" applyAlignment="1">
      <alignment horizontal="center" vertical="center" wrapText="1"/>
    </xf>
    <xf numFmtId="0" fontId="121" fillId="32" borderId="13" xfId="0" applyFont="1" applyFill="1" applyBorder="1" applyAlignment="1">
      <alignment horizontal="center" vertical="center" wrapText="1"/>
    </xf>
    <xf numFmtId="0" fontId="151" fillId="45" borderId="21" xfId="0" applyFont="1" applyFill="1" applyBorder="1" applyAlignment="1">
      <alignment horizontal="center" vertical="center" wrapText="1"/>
    </xf>
    <xf numFmtId="0" fontId="121" fillId="32" borderId="17" xfId="0" applyFont="1" applyFill="1" applyBorder="1" applyAlignment="1">
      <alignment horizontal="center" vertical="center" wrapText="1"/>
    </xf>
    <xf numFmtId="0" fontId="151" fillId="45" borderId="17" xfId="0" applyFont="1" applyFill="1" applyBorder="1" applyAlignment="1">
      <alignment horizontal="center" vertical="center" wrapText="1"/>
    </xf>
    <xf numFmtId="0" fontId="139" fillId="44" borderId="17" xfId="0" applyFont="1" applyFill="1" applyBorder="1" applyAlignment="1">
      <alignment horizontal="center" vertical="center" wrapText="1"/>
    </xf>
    <xf numFmtId="0" fontId="152" fillId="45" borderId="17" xfId="0" applyFont="1" applyFill="1" applyBorder="1" applyAlignment="1">
      <alignment horizontal="center" vertical="center" wrapText="1"/>
    </xf>
    <xf numFmtId="167" fontId="121" fillId="22" borderId="17" xfId="0" applyNumberFormat="1" applyFont="1" applyFill="1" applyBorder="1" applyAlignment="1">
      <alignment horizontal="center" vertical="center" wrapText="1"/>
    </xf>
    <xf numFmtId="0" fontId="151" fillId="45" borderId="25" xfId="0" applyFont="1" applyFill="1" applyBorder="1" applyAlignment="1">
      <alignment horizontal="center" vertical="center" wrapText="1"/>
    </xf>
    <xf numFmtId="0" fontId="151" fillId="45" borderId="4" xfId="0" applyFont="1" applyFill="1" applyBorder="1" applyAlignment="1">
      <alignment horizontal="center" vertical="center" wrapText="1"/>
    </xf>
    <xf numFmtId="0" fontId="139" fillId="44" borderId="12" xfId="0" applyFont="1" applyFill="1" applyBorder="1" applyAlignment="1">
      <alignment horizontal="center" vertical="center" wrapText="1"/>
    </xf>
    <xf numFmtId="0" fontId="122" fillId="32" borderId="12" xfId="0" applyFont="1" applyFill="1" applyBorder="1" applyAlignment="1">
      <alignment horizontal="center" vertical="center" wrapText="1"/>
    </xf>
    <xf numFmtId="0" fontId="121" fillId="32" borderId="22" xfId="0" applyFont="1" applyFill="1" applyBorder="1" applyAlignment="1">
      <alignment horizontal="center" vertical="center" wrapText="1"/>
    </xf>
    <xf numFmtId="0" fontId="121" fillId="32" borderId="26" xfId="0" applyFont="1" applyFill="1" applyBorder="1" applyAlignment="1">
      <alignment horizontal="center" vertical="center" wrapText="1"/>
    </xf>
    <xf numFmtId="0" fontId="121" fillId="32" borderId="23" xfId="0" applyFont="1" applyFill="1" applyBorder="1" applyAlignment="1">
      <alignment horizontal="center" vertical="center" wrapText="1"/>
    </xf>
    <xf numFmtId="0" fontId="121" fillId="48" borderId="9" xfId="0" applyFont="1" applyFill="1" applyBorder="1" applyAlignment="1">
      <alignment horizontal="center" vertical="center" wrapText="1"/>
    </xf>
    <xf numFmtId="0" fontId="122" fillId="48" borderId="9" xfId="0" applyFont="1" applyFill="1" applyBorder="1" applyAlignment="1">
      <alignment horizontal="center" vertical="center" wrapText="1"/>
    </xf>
    <xf numFmtId="0" fontId="151" fillId="45" borderId="2" xfId="0" applyFont="1" applyFill="1" applyBorder="1" applyAlignment="1">
      <alignment horizontal="center" vertical="center" wrapText="1"/>
    </xf>
    <xf numFmtId="14" fontId="9" fillId="4" borderId="9" xfId="2" applyNumberFormat="1" applyFont="1" applyFill="1" applyBorder="1" applyAlignment="1">
      <alignment horizontal="center" vertical="center" wrapText="1"/>
    </xf>
    <xf numFmtId="14" fontId="9" fillId="4" borderId="10" xfId="2" applyNumberFormat="1" applyFont="1" applyFill="1" applyBorder="1" applyAlignment="1">
      <alignment horizontal="center" vertical="center" wrapText="1"/>
    </xf>
    <xf numFmtId="14" fontId="9" fillId="4" borderId="8" xfId="2" applyNumberFormat="1" applyFont="1" applyFill="1" applyBorder="1" applyAlignment="1">
      <alignment horizontal="center" vertical="center" wrapText="1"/>
    </xf>
    <xf numFmtId="14" fontId="9" fillId="4" borderId="16" xfId="2" applyNumberFormat="1" applyFont="1" applyFill="1" applyBorder="1" applyAlignment="1">
      <alignment horizontal="center" vertical="center" wrapText="1"/>
    </xf>
    <xf numFmtId="0" fontId="3" fillId="10"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164" fontId="16" fillId="19" borderId="9" xfId="0" applyNumberFormat="1" applyFont="1" applyFill="1" applyBorder="1" applyAlignment="1">
      <alignment horizontal="center" vertical="center" wrapText="1"/>
    </xf>
    <xf numFmtId="0" fontId="8" fillId="22" borderId="9" xfId="0" applyFont="1" applyFill="1" applyBorder="1" applyAlignment="1">
      <alignment horizontal="center" vertical="center"/>
    </xf>
    <xf numFmtId="164" fontId="42" fillId="28" borderId="9" xfId="0" applyNumberFormat="1" applyFont="1" applyFill="1" applyBorder="1" applyAlignment="1">
      <alignment horizontal="center" vertical="center" wrapText="1"/>
    </xf>
    <xf numFmtId="14" fontId="4" fillId="23" borderId="9" xfId="2" applyNumberFormat="1" applyFont="1" applyFill="1" applyBorder="1" applyAlignment="1">
      <alignment horizontal="center" vertical="center" wrapText="1"/>
    </xf>
    <xf numFmtId="0" fontId="3" fillId="14" borderId="9" xfId="0" applyFont="1" applyFill="1" applyBorder="1" applyAlignment="1">
      <alignment horizontal="center" vertical="center" wrapText="1"/>
    </xf>
    <xf numFmtId="0" fontId="12" fillId="2" borderId="8" xfId="0" applyFont="1" applyFill="1" applyBorder="1" applyAlignment="1">
      <alignment horizontal="left" wrapText="1"/>
    </xf>
    <xf numFmtId="0" fontId="3" fillId="15" borderId="9" xfId="0" applyFont="1" applyFill="1" applyBorder="1" applyAlignment="1">
      <alignment horizontal="center" vertical="center" wrapText="1"/>
    </xf>
    <xf numFmtId="0" fontId="10" fillId="3" borderId="9" xfId="0" applyFont="1" applyFill="1" applyBorder="1" applyAlignment="1">
      <alignment horizontal="center" vertical="center" wrapText="1"/>
    </xf>
    <xf numFmtId="14" fontId="9" fillId="4" borderId="29" xfId="2" applyNumberFormat="1" applyFont="1" applyFill="1" applyBorder="1" applyAlignment="1">
      <alignment horizontal="center" vertical="center" wrapText="1"/>
    </xf>
    <xf numFmtId="14" fontId="9" fillId="4" borderId="11" xfId="2" applyNumberFormat="1" applyFont="1" applyFill="1" applyBorder="1" applyAlignment="1">
      <alignment horizontal="center" vertical="center" wrapText="1"/>
    </xf>
    <xf numFmtId="14" fontId="9" fillId="4" borderId="13" xfId="2" applyNumberFormat="1" applyFont="1" applyFill="1" applyBorder="1" applyAlignment="1">
      <alignment horizontal="center" vertical="center"/>
    </xf>
    <xf numFmtId="14" fontId="57" fillId="4" borderId="17" xfId="2" applyNumberFormat="1" applyFont="1" applyFill="1" applyBorder="1" applyAlignment="1">
      <alignment horizontal="center" vertical="center" wrapText="1"/>
    </xf>
    <xf numFmtId="14" fontId="57" fillId="4" borderId="29" xfId="2" applyNumberFormat="1" applyFont="1" applyFill="1" applyBorder="1" applyAlignment="1">
      <alignment horizontal="center" vertical="center" wrapText="1"/>
    </xf>
    <xf numFmtId="14" fontId="57" fillId="4" borderId="11" xfId="2" applyNumberFormat="1" applyFont="1" applyFill="1" applyBorder="1" applyAlignment="1">
      <alignment horizontal="center" vertical="center" wrapText="1"/>
    </xf>
    <xf numFmtId="14" fontId="57" fillId="30" borderId="17" xfId="2" applyNumberFormat="1" applyFont="1" applyFill="1" applyBorder="1" applyAlignment="1">
      <alignment horizontal="center" vertical="center" wrapText="1"/>
    </xf>
    <xf numFmtId="14" fontId="57" fillId="30" borderId="29" xfId="2" applyNumberFormat="1" applyFont="1" applyFill="1" applyBorder="1" applyAlignment="1">
      <alignment horizontal="center" vertical="center" wrapText="1"/>
    </xf>
    <xf numFmtId="14" fontId="57" fillId="30" borderId="11" xfId="2" applyNumberFormat="1" applyFont="1" applyFill="1" applyBorder="1" applyAlignment="1">
      <alignment horizontal="center" vertical="center" wrapText="1"/>
    </xf>
    <xf numFmtId="164" fontId="57" fillId="30" borderId="17" xfId="1" quotePrefix="1" applyNumberFormat="1" applyFont="1" applyFill="1" applyBorder="1" applyAlignment="1">
      <alignment horizontal="center" vertical="center" wrapText="1"/>
    </xf>
    <xf numFmtId="164" fontId="57" fillId="30" borderId="29" xfId="1" quotePrefix="1" applyNumberFormat="1" applyFont="1" applyFill="1" applyBorder="1" applyAlignment="1">
      <alignment horizontal="center" vertical="center" wrapText="1"/>
    </xf>
    <xf numFmtId="164" fontId="57" fillId="30" borderId="11" xfId="1" quotePrefix="1" applyNumberFormat="1" applyFont="1" applyFill="1" applyBorder="1" applyAlignment="1">
      <alignment horizontal="center" vertical="center" wrapText="1"/>
    </xf>
    <xf numFmtId="164" fontId="57" fillId="30" borderId="29" xfId="0" applyNumberFormat="1" applyFont="1" applyFill="1" applyBorder="1" applyAlignment="1">
      <alignment horizontal="center" vertical="center" wrapText="1"/>
    </xf>
    <xf numFmtId="164" fontId="57" fillId="30" borderId="11" xfId="0" applyNumberFormat="1" applyFont="1" applyFill="1" applyBorder="1" applyAlignment="1">
      <alignment horizontal="center" vertical="center" wrapText="1"/>
    </xf>
    <xf numFmtId="164" fontId="57" fillId="30" borderId="17" xfId="0" applyNumberFormat="1" applyFont="1" applyFill="1" applyBorder="1" applyAlignment="1">
      <alignment horizontal="center" vertical="center" wrapText="1"/>
    </xf>
    <xf numFmtId="164" fontId="57" fillId="30" borderId="17" xfId="0" quotePrefix="1" applyNumberFormat="1" applyFont="1" applyFill="1" applyBorder="1" applyAlignment="1">
      <alignment horizontal="center" vertical="center" wrapText="1"/>
    </xf>
    <xf numFmtId="164" fontId="57" fillId="30" borderId="29" xfId="0" quotePrefix="1" applyNumberFormat="1" applyFont="1" applyFill="1" applyBorder="1" applyAlignment="1">
      <alignment horizontal="center" vertical="center" wrapText="1"/>
    </xf>
    <xf numFmtId="164" fontId="57" fillId="30" borderId="11" xfId="0" quotePrefix="1" applyNumberFormat="1" applyFont="1" applyFill="1" applyBorder="1" applyAlignment="1">
      <alignment horizontal="center" vertical="center" wrapText="1"/>
    </xf>
    <xf numFmtId="164" fontId="57" fillId="30" borderId="9" xfId="0" quotePrefix="1" applyNumberFormat="1" applyFont="1" applyFill="1" applyBorder="1" applyAlignment="1">
      <alignment horizontal="center" vertical="center" wrapText="1"/>
    </xf>
    <xf numFmtId="0" fontId="12" fillId="2" borderId="8" xfId="0" applyFont="1" applyFill="1" applyBorder="1" applyAlignment="1">
      <alignment horizontal="left" vertical="center" wrapText="1"/>
    </xf>
    <xf numFmtId="164" fontId="57" fillId="30" borderId="22" xfId="0" quotePrefix="1" applyNumberFormat="1" applyFont="1" applyFill="1" applyBorder="1" applyAlignment="1">
      <alignment horizontal="center" vertical="center" wrapText="1"/>
    </xf>
    <xf numFmtId="164" fontId="57" fillId="30" borderId="26" xfId="0" quotePrefix="1" applyNumberFormat="1" applyFont="1" applyFill="1" applyBorder="1" applyAlignment="1">
      <alignment horizontal="center" vertical="center" wrapText="1"/>
    </xf>
    <xf numFmtId="164" fontId="57" fillId="30" borderId="23" xfId="0" quotePrefix="1" applyNumberFormat="1" applyFont="1" applyFill="1" applyBorder="1" applyAlignment="1">
      <alignment horizontal="center" vertical="center" wrapText="1"/>
    </xf>
    <xf numFmtId="164" fontId="57" fillId="30" borderId="21" xfId="0" quotePrefix="1" applyNumberFormat="1" applyFont="1" applyFill="1" applyBorder="1" applyAlignment="1">
      <alignment horizontal="center" vertical="center" wrapText="1"/>
    </xf>
    <xf numFmtId="164" fontId="57" fillId="30" borderId="28" xfId="0" quotePrefix="1" applyNumberFormat="1" applyFont="1" applyFill="1" applyBorder="1" applyAlignment="1">
      <alignment horizontal="center" vertical="center" wrapText="1"/>
    </xf>
    <xf numFmtId="164" fontId="57" fillId="30" borderId="24" xfId="0" quotePrefix="1" applyNumberFormat="1" applyFont="1" applyFill="1" applyBorder="1" applyAlignment="1">
      <alignment horizontal="center" vertical="center" wrapText="1"/>
    </xf>
    <xf numFmtId="0" fontId="57" fillId="30" borderId="17" xfId="0" applyFont="1" applyFill="1" applyBorder="1" applyAlignment="1">
      <alignment horizontal="center" vertical="center" wrapText="1"/>
    </xf>
    <xf numFmtId="0" fontId="57" fillId="30" borderId="29" xfId="0" applyFont="1" applyFill="1" applyBorder="1" applyAlignment="1">
      <alignment horizontal="center" vertical="center" wrapText="1"/>
    </xf>
    <xf numFmtId="0" fontId="57" fillId="30" borderId="11" xfId="0" applyFont="1" applyFill="1" applyBorder="1" applyAlignment="1">
      <alignment horizontal="center" vertical="center" wrapText="1"/>
    </xf>
    <xf numFmtId="14" fontId="122" fillId="34" borderId="22" xfId="2" applyNumberFormat="1" applyFont="1" applyFill="1" applyBorder="1" applyAlignment="1">
      <alignment horizontal="center" vertical="center" wrapText="1"/>
    </xf>
    <xf numFmtId="14" fontId="122" fillId="34" borderId="29" xfId="2" applyNumberFormat="1" applyFont="1" applyFill="1" applyBorder="1" applyAlignment="1">
      <alignment horizontal="center" vertical="center" wrapText="1"/>
    </xf>
    <xf numFmtId="14" fontId="122" fillId="34" borderId="11" xfId="2" applyNumberFormat="1" applyFont="1" applyFill="1" applyBorder="1" applyAlignment="1">
      <alignment horizontal="center" vertical="center" wrapText="1"/>
    </xf>
    <xf numFmtId="164" fontId="122" fillId="6" borderId="9" xfId="1" quotePrefix="1" applyNumberFormat="1" applyFont="1" applyFill="1" applyBorder="1" applyAlignment="1">
      <alignment horizontal="center" vertical="center" wrapText="1"/>
    </xf>
    <xf numFmtId="14" fontId="122" fillId="30" borderId="9" xfId="2" applyNumberFormat="1" applyFont="1" applyFill="1" applyBorder="1" applyAlignment="1">
      <alignment horizontal="center" vertical="center" wrapText="1"/>
    </xf>
    <xf numFmtId="14" fontId="122" fillId="34" borderId="9" xfId="2" applyNumberFormat="1" applyFont="1" applyFill="1" applyBorder="1" applyAlignment="1">
      <alignment horizontal="center" vertical="center" wrapText="1"/>
    </xf>
    <xf numFmtId="14" fontId="122" fillId="34" borderId="12" xfId="2" applyNumberFormat="1" applyFont="1" applyFill="1" applyBorder="1" applyAlignment="1">
      <alignment horizontal="center" vertical="center" wrapText="1"/>
    </xf>
    <xf numFmtId="14" fontId="130" fillId="34" borderId="9" xfId="2" applyNumberFormat="1" applyFont="1" applyFill="1" applyBorder="1" applyAlignment="1">
      <alignment horizontal="center" vertical="center" wrapText="1"/>
    </xf>
    <xf numFmtId="14" fontId="122" fillId="34" borderId="13" xfId="2" applyNumberFormat="1" applyFont="1" applyFill="1" applyBorder="1" applyAlignment="1">
      <alignment horizontal="center" vertical="center" wrapText="1"/>
    </xf>
    <xf numFmtId="14" fontId="122" fillId="34" borderId="21" xfId="2" applyNumberFormat="1" applyFont="1" applyFill="1" applyBorder="1" applyAlignment="1">
      <alignment horizontal="center" vertical="center" wrapText="1"/>
    </xf>
    <xf numFmtId="14" fontId="122" fillId="34" borderId="28" xfId="2" applyNumberFormat="1" applyFont="1" applyFill="1" applyBorder="1" applyAlignment="1">
      <alignment horizontal="center" vertical="center" wrapText="1"/>
    </xf>
    <xf numFmtId="14" fontId="122" fillId="34" borderId="24" xfId="2" applyNumberFormat="1" applyFont="1" applyFill="1" applyBorder="1" applyAlignment="1">
      <alignment horizontal="center" vertical="center" wrapText="1"/>
    </xf>
    <xf numFmtId="14" fontId="135" fillId="34" borderId="9" xfId="2" applyNumberFormat="1" applyFont="1" applyFill="1" applyBorder="1" applyAlignment="1">
      <alignment horizontal="center" vertical="center" wrapText="1"/>
    </xf>
    <xf numFmtId="0" fontId="139" fillId="34" borderId="9" xfId="0" applyFont="1" applyFill="1" applyBorder="1" applyAlignment="1">
      <alignment horizontal="center" vertical="center"/>
    </xf>
    <xf numFmtId="0" fontId="122" fillId="4" borderId="17" xfId="1" applyFont="1" applyFill="1" applyBorder="1" applyAlignment="1">
      <alignment horizontal="center" vertical="center" wrapText="1"/>
    </xf>
    <xf numFmtId="0" fontId="122" fillId="4" borderId="29" xfId="1" quotePrefix="1" applyFont="1" applyFill="1" applyBorder="1" applyAlignment="1">
      <alignment horizontal="center" vertical="center" wrapText="1"/>
    </xf>
    <xf numFmtId="0" fontId="122" fillId="4" borderId="29" xfId="1" applyFont="1" applyFill="1" applyBorder="1" applyAlignment="1">
      <alignment horizontal="center" vertical="center" wrapText="1"/>
    </xf>
    <xf numFmtId="0" fontId="122" fillId="4" borderId="11" xfId="1" applyFont="1" applyFill="1" applyBorder="1" applyAlignment="1">
      <alignment horizontal="center" vertical="center" wrapText="1"/>
    </xf>
    <xf numFmtId="164" fontId="123" fillId="30" borderId="9" xfId="0" quotePrefix="1" applyNumberFormat="1" applyFont="1" applyFill="1" applyBorder="1" applyAlignment="1">
      <alignment horizontal="center" vertical="center" wrapText="1"/>
    </xf>
    <xf numFmtId="14" fontId="123" fillId="4" borderId="9" xfId="2" applyNumberFormat="1" applyFont="1" applyFill="1" applyBorder="1" applyAlignment="1">
      <alignment horizontal="center" vertical="center" wrapText="1"/>
    </xf>
    <xf numFmtId="164" fontId="122" fillId="30" borderId="9" xfId="0" quotePrefix="1" applyNumberFormat="1" applyFont="1" applyFill="1" applyBorder="1" applyAlignment="1">
      <alignment horizontal="center" vertical="center" wrapText="1"/>
    </xf>
    <xf numFmtId="14" fontId="130" fillId="5" borderId="9" xfId="2" applyNumberFormat="1" applyFont="1" applyFill="1" applyBorder="1" applyAlignment="1">
      <alignment horizontal="center" vertical="center" wrapText="1"/>
    </xf>
    <xf numFmtId="0" fontId="122" fillId="2" borderId="0" xfId="0" applyFont="1" applyFill="1" applyAlignment="1">
      <alignment horizontal="center" vertical="center" wrapText="1"/>
    </xf>
    <xf numFmtId="14" fontId="122" fillId="4" borderId="9" xfId="2" applyNumberFormat="1" applyFont="1" applyFill="1" applyBorder="1" applyAlignment="1">
      <alignment horizontal="center" vertical="center" wrapText="1"/>
    </xf>
    <xf numFmtId="16" fontId="123" fillId="30" borderId="9" xfId="0" applyNumberFormat="1" applyFont="1" applyFill="1" applyBorder="1" applyAlignment="1">
      <alignment horizontal="center" vertical="center"/>
    </xf>
    <xf numFmtId="164" fontId="123" fillId="30" borderId="9" xfId="0" applyNumberFormat="1" applyFont="1" applyFill="1" applyBorder="1" applyAlignment="1">
      <alignment horizontal="center" vertical="center" wrapText="1"/>
    </xf>
    <xf numFmtId="164" fontId="122" fillId="30" borderId="9" xfId="1" quotePrefix="1" applyNumberFormat="1" applyFont="1" applyFill="1" applyBorder="1" applyAlignment="1">
      <alignment horizontal="center" vertical="center" wrapText="1"/>
    </xf>
    <xf numFmtId="164" fontId="130" fillId="5" borderId="9" xfId="0" quotePrefix="1" applyNumberFormat="1" applyFont="1" applyFill="1" applyBorder="1" applyAlignment="1">
      <alignment horizontal="center" vertical="center" wrapText="1"/>
    </xf>
    <xf numFmtId="14" fontId="122" fillId="3" borderId="17" xfId="2" applyNumberFormat="1" applyFont="1" applyFill="1" applyBorder="1" applyAlignment="1">
      <alignment horizontal="center" vertical="center" wrapText="1"/>
    </xf>
    <xf numFmtId="14" fontId="122" fillId="3" borderId="29" xfId="2" applyNumberFormat="1" applyFont="1" applyFill="1" applyBorder="1" applyAlignment="1">
      <alignment horizontal="center" vertical="center" wrapText="1"/>
    </xf>
    <xf numFmtId="14" fontId="122" fillId="3" borderId="11" xfId="2" applyNumberFormat="1" applyFont="1" applyFill="1" applyBorder="1" applyAlignment="1">
      <alignment horizontal="center" vertical="center" wrapText="1"/>
    </xf>
    <xf numFmtId="14" fontId="122" fillId="3" borderId="4" xfId="2" applyNumberFormat="1" applyFont="1" applyFill="1" applyBorder="1" applyAlignment="1">
      <alignment horizontal="center" vertical="center" wrapText="1"/>
    </xf>
    <xf numFmtId="14" fontId="130" fillId="3" borderId="12" xfId="2" applyNumberFormat="1" applyFont="1" applyFill="1" applyBorder="1" applyAlignment="1">
      <alignment horizontal="center" vertical="center" wrapText="1"/>
    </xf>
    <xf numFmtId="14" fontId="130" fillId="3" borderId="9" xfId="2" applyNumberFormat="1" applyFont="1" applyFill="1" applyBorder="1" applyAlignment="1">
      <alignment horizontal="center" vertical="center" wrapText="1"/>
    </xf>
    <xf numFmtId="14" fontId="122" fillId="3" borderId="21" xfId="2" applyNumberFormat="1" applyFont="1" applyFill="1" applyBorder="1" applyAlignment="1">
      <alignment horizontal="center" vertical="center" wrapText="1"/>
    </xf>
    <xf numFmtId="14" fontId="122" fillId="3" borderId="28" xfId="2" applyNumberFormat="1" applyFont="1" applyFill="1" applyBorder="1" applyAlignment="1">
      <alignment horizontal="center" vertical="center" wrapText="1"/>
    </xf>
    <xf numFmtId="14" fontId="122" fillId="3" borderId="24" xfId="2" applyNumberFormat="1" applyFont="1" applyFill="1" applyBorder="1" applyAlignment="1">
      <alignment horizontal="center" vertical="center" wrapText="1"/>
    </xf>
    <xf numFmtId="14" fontId="122" fillId="3" borderId="22" xfId="2" applyNumberFormat="1" applyFont="1" applyFill="1" applyBorder="1" applyAlignment="1">
      <alignment horizontal="center" vertical="center" wrapText="1"/>
    </xf>
    <xf numFmtId="14" fontId="122" fillId="3" borderId="26" xfId="2" applyNumberFormat="1" applyFont="1" applyFill="1" applyBorder="1" applyAlignment="1">
      <alignment horizontal="center" vertical="center" wrapText="1"/>
    </xf>
    <xf numFmtId="14" fontId="122" fillId="3" borderId="23" xfId="2" applyNumberFormat="1" applyFont="1" applyFill="1" applyBorder="1" applyAlignment="1">
      <alignment horizontal="center" vertical="center" wrapText="1"/>
    </xf>
    <xf numFmtId="14" fontId="122" fillId="3" borderId="0" xfId="2" applyNumberFormat="1" applyFont="1" applyFill="1" applyAlignment="1">
      <alignment horizontal="center" vertical="center" wrapText="1"/>
    </xf>
    <xf numFmtId="14" fontId="122" fillId="3" borderId="30" xfId="2" applyNumberFormat="1" applyFont="1" applyFill="1" applyBorder="1" applyAlignment="1">
      <alignment horizontal="center" vertical="center" wrapText="1"/>
    </xf>
    <xf numFmtId="14" fontId="160" fillId="3" borderId="22" xfId="2" applyNumberFormat="1" applyFont="1" applyFill="1" applyBorder="1" applyAlignment="1">
      <alignment horizontal="center" vertical="center" wrapText="1"/>
    </xf>
    <xf numFmtId="14" fontId="130" fillId="3" borderId="3" xfId="2" applyNumberFormat="1" applyFont="1" applyFill="1" applyBorder="1" applyAlignment="1">
      <alignment horizontal="center" vertical="center" wrapText="1"/>
    </xf>
    <xf numFmtId="14" fontId="130" fillId="3" borderId="4" xfId="2" applyNumberFormat="1" applyFont="1" applyFill="1" applyBorder="1" applyAlignment="1">
      <alignment horizontal="center" vertical="center" wrapText="1"/>
    </xf>
    <xf numFmtId="0" fontId="142" fillId="2" borderId="0" xfId="0" applyFont="1" applyFill="1" applyAlignment="1">
      <alignment horizontal="center" vertical="center" wrapText="1"/>
    </xf>
    <xf numFmtId="164" fontId="123" fillId="30" borderId="9" xfId="1" quotePrefix="1" applyNumberFormat="1" applyFont="1" applyFill="1" applyBorder="1" applyAlignment="1">
      <alignment horizontal="center" vertical="center" wrapText="1"/>
    </xf>
    <xf numFmtId="14" fontId="123" fillId="30" borderId="9" xfId="2" applyNumberFormat="1" applyFont="1" applyFill="1" applyBorder="1" applyAlignment="1">
      <alignment horizontal="center" vertical="center" wrapText="1"/>
    </xf>
    <xf numFmtId="14" fontId="130" fillId="5" borderId="2" xfId="2" applyNumberFormat="1" applyFont="1" applyFill="1" applyBorder="1" applyAlignment="1">
      <alignment horizontal="center" vertical="center" wrapText="1"/>
    </xf>
    <xf numFmtId="14" fontId="122" fillId="5" borderId="2" xfId="2" applyNumberFormat="1" applyFont="1" applyFill="1" applyBorder="1" applyAlignment="1">
      <alignment horizontal="center" vertical="center" wrapText="1"/>
    </xf>
    <xf numFmtId="14" fontId="122" fillId="5" borderId="9" xfId="2" applyNumberFormat="1" applyFont="1" applyFill="1" applyBorder="1" applyAlignment="1">
      <alignment horizontal="center" vertical="center" wrapText="1"/>
    </xf>
    <xf numFmtId="14" fontId="130" fillId="0" borderId="0" xfId="4" applyNumberFormat="1" applyFont="1" applyFill="1" applyAlignment="1">
      <alignment horizontal="center" vertical="center" wrapText="1"/>
    </xf>
    <xf numFmtId="14" fontId="122" fillId="5" borderId="13" xfId="2" applyNumberFormat="1" applyFont="1" applyFill="1" applyBorder="1" applyAlignment="1">
      <alignment horizontal="center" vertical="center" wrapText="1"/>
    </xf>
    <xf numFmtId="14" fontId="130" fillId="5" borderId="9" xfId="4" applyNumberFormat="1" applyFont="1" applyFill="1" applyBorder="1" applyAlignment="1">
      <alignment horizontal="center" vertical="center" wrapText="1"/>
    </xf>
    <xf numFmtId="0" fontId="130" fillId="5" borderId="0" xfId="0" applyFont="1" applyFill="1" applyAlignment="1">
      <alignment horizontal="center" vertical="center"/>
    </xf>
    <xf numFmtId="0" fontId="121" fillId="5" borderId="0" xfId="0" applyFont="1" applyFill="1" applyAlignment="1">
      <alignment horizontal="center" vertical="center"/>
    </xf>
    <xf numFmtId="0" fontId="130" fillId="5" borderId="12" xfId="0" applyFont="1" applyFill="1" applyBorder="1" applyAlignment="1">
      <alignment horizontal="center" vertical="center"/>
    </xf>
    <xf numFmtId="0" fontId="121" fillId="5" borderId="12" xfId="0" applyFont="1" applyFill="1" applyBorder="1" applyAlignment="1">
      <alignment horizontal="center" vertical="center"/>
    </xf>
    <xf numFmtId="14" fontId="130" fillId="5" borderId="4" xfId="2" applyNumberFormat="1" applyFont="1" applyFill="1" applyBorder="1" applyAlignment="1">
      <alignment horizontal="center" vertical="center" wrapText="1"/>
    </xf>
    <xf numFmtId="14" fontId="122" fillId="5" borderId="4" xfId="2" applyNumberFormat="1" applyFont="1" applyFill="1" applyBorder="1" applyAlignment="1">
      <alignment horizontal="center" vertical="center" wrapText="1"/>
    </xf>
    <xf numFmtId="0" fontId="130" fillId="5" borderId="9" xfId="0" applyFont="1" applyFill="1" applyBorder="1" applyAlignment="1">
      <alignment horizontal="center" vertical="center"/>
    </xf>
    <xf numFmtId="0" fontId="121" fillId="5" borderId="9" xfId="0" applyFont="1" applyFill="1" applyBorder="1" applyAlignment="1">
      <alignment horizontal="center" vertical="center"/>
    </xf>
    <xf numFmtId="14" fontId="122" fillId="35" borderId="9" xfId="4" applyNumberFormat="1" applyFont="1" applyBorder="1" applyAlignment="1">
      <alignment horizontal="center" vertical="center" wrapText="1"/>
    </xf>
    <xf numFmtId="14" fontId="148" fillId="35" borderId="9" xfId="4" applyNumberFormat="1" applyFont="1" applyBorder="1" applyAlignment="1">
      <alignment horizontal="center" vertical="center" wrapText="1"/>
    </xf>
    <xf numFmtId="164" fontId="123" fillId="30" borderId="9" xfId="1" applyNumberFormat="1" applyFont="1" applyFill="1" applyBorder="1" applyAlignment="1">
      <alignment horizontal="center" vertical="center" wrapText="1"/>
    </xf>
    <xf numFmtId="14" fontId="121" fillId="35" borderId="9" xfId="4" applyNumberFormat="1" applyFont="1" applyBorder="1" applyAlignment="1">
      <alignment horizontal="center" vertical="center" wrapText="1"/>
    </xf>
    <xf numFmtId="0" fontId="139" fillId="2" borderId="0" xfId="0" applyFont="1" applyFill="1" applyAlignment="1">
      <alignment horizontal="left" vertical="center" wrapText="1"/>
    </xf>
    <xf numFmtId="164" fontId="122" fillId="30" borderId="9" xfId="1" applyNumberFormat="1" applyFont="1" applyFill="1" applyBorder="1" applyAlignment="1">
      <alignment horizontal="center" vertical="center" wrapText="1"/>
    </xf>
    <xf numFmtId="14" fontId="122" fillId="3" borderId="9" xfId="2" applyNumberFormat="1" applyFont="1" applyFill="1" applyBorder="1" applyAlignment="1">
      <alignment horizontal="center" vertical="center" wrapText="1"/>
    </xf>
    <xf numFmtId="14" fontId="122" fillId="3" borderId="13" xfId="2" applyNumberFormat="1" applyFont="1" applyFill="1" applyBorder="1" applyAlignment="1">
      <alignment horizontal="center" vertical="center" wrapText="1"/>
    </xf>
    <xf numFmtId="164" fontId="130" fillId="3" borderId="4" xfId="1" quotePrefix="1" applyNumberFormat="1" applyFont="1" applyFill="1" applyBorder="1" applyAlignment="1">
      <alignment horizontal="center" vertical="center" wrapText="1"/>
    </xf>
    <xf numFmtId="164" fontId="130" fillId="3" borderId="4" xfId="1" applyNumberFormat="1" applyFont="1" applyFill="1" applyBorder="1" applyAlignment="1">
      <alignment horizontal="center" vertical="center" wrapText="1"/>
    </xf>
    <xf numFmtId="14" fontId="122" fillId="3" borderId="12" xfId="2" applyNumberFormat="1" applyFont="1" applyFill="1" applyBorder="1" applyAlignment="1">
      <alignment horizontal="center" vertical="center" wrapText="1"/>
    </xf>
    <xf numFmtId="14" fontId="135" fillId="3" borderId="9" xfId="2" applyNumberFormat="1" applyFont="1" applyFill="1" applyBorder="1" applyAlignment="1">
      <alignment horizontal="center" vertical="center" wrapText="1"/>
    </xf>
    <xf numFmtId="14" fontId="122" fillId="3" borderId="9" xfId="2" quotePrefix="1" applyNumberFormat="1" applyFont="1" applyFill="1" applyBorder="1" applyAlignment="1">
      <alignment horizontal="center" vertical="center" wrapText="1"/>
    </xf>
    <xf numFmtId="164" fontId="130" fillId="5" borderId="0" xfId="1" quotePrefix="1" applyNumberFormat="1" applyFont="1" applyFill="1" applyBorder="1" applyAlignment="1">
      <alignment horizontal="center" vertical="center" wrapText="1"/>
    </xf>
    <xf numFmtId="164" fontId="122" fillId="35" borderId="9" xfId="4" quotePrefix="1" applyNumberFormat="1" applyFont="1" applyBorder="1" applyAlignment="1">
      <alignment horizontal="center" vertical="center" wrapText="1"/>
    </xf>
    <xf numFmtId="164" fontId="122" fillId="3" borderId="9" xfId="1" quotePrefix="1" applyNumberFormat="1" applyFont="1" applyFill="1" applyBorder="1" applyAlignment="1">
      <alignment horizontal="center" vertical="center" wrapText="1"/>
    </xf>
    <xf numFmtId="164" fontId="123" fillId="30" borderId="0" xfId="1" quotePrefix="1" applyNumberFormat="1" applyFont="1" applyFill="1" applyBorder="1" applyAlignment="1">
      <alignment horizontal="center" vertical="center" wrapText="1"/>
    </xf>
    <xf numFmtId="164" fontId="126" fillId="36" borderId="9" xfId="1" quotePrefix="1" applyNumberFormat="1" applyFont="1" applyFill="1" applyBorder="1" applyAlignment="1">
      <alignment horizontal="center" vertical="center" wrapText="1"/>
    </xf>
    <xf numFmtId="164" fontId="122" fillId="36" borderId="9" xfId="1" quotePrefix="1" applyNumberFormat="1" applyFont="1" applyFill="1" applyBorder="1" applyAlignment="1">
      <alignment horizontal="center" vertical="center" wrapText="1"/>
    </xf>
    <xf numFmtId="164" fontId="130" fillId="3" borderId="9" xfId="1" quotePrefix="1" applyNumberFormat="1" applyFont="1" applyFill="1" applyBorder="1" applyAlignment="1">
      <alignment horizontal="center" vertical="center" wrapText="1"/>
    </xf>
    <xf numFmtId="164" fontId="130" fillId="2" borderId="0" xfId="2" applyNumberFormat="1" applyFont="1" applyFill="1" applyAlignment="1">
      <alignment vertical="center" wrapText="1"/>
    </xf>
    <xf numFmtId="164" fontId="123" fillId="30" borderId="0" xfId="0" applyNumberFormat="1" applyFont="1" applyFill="1" applyAlignment="1">
      <alignment horizontal="center" vertical="center" wrapText="1"/>
    </xf>
    <xf numFmtId="14" fontId="123" fillId="30" borderId="0" xfId="2" applyNumberFormat="1" applyFont="1" applyFill="1" applyAlignment="1">
      <alignment horizontal="center" vertical="center" wrapText="1"/>
    </xf>
    <xf numFmtId="16" fontId="123" fillId="30" borderId="0" xfId="0" applyNumberFormat="1" applyFont="1" applyFill="1" applyAlignment="1">
      <alignment horizontal="center" vertical="center"/>
    </xf>
    <xf numFmtId="14" fontId="123" fillId="4" borderId="0" xfId="2" applyNumberFormat="1" applyFont="1" applyFill="1" applyAlignment="1">
      <alignment horizontal="center" vertical="center" wrapText="1"/>
    </xf>
    <xf numFmtId="164" fontId="123" fillId="19" borderId="0" xfId="0" applyNumberFormat="1" applyFont="1" applyFill="1" applyAlignment="1">
      <alignment horizontal="center" vertical="center" wrapText="1"/>
    </xf>
    <xf numFmtId="16" fontId="123" fillId="19" borderId="0" xfId="0" applyNumberFormat="1" applyFont="1" applyFill="1" applyAlignment="1">
      <alignment horizontal="center" vertical="center"/>
    </xf>
    <xf numFmtId="14" fontId="123" fillId="19" borderId="0" xfId="2" applyNumberFormat="1" applyFont="1" applyFill="1" applyAlignment="1">
      <alignment horizontal="center" vertical="center" wrapText="1"/>
    </xf>
    <xf numFmtId="164" fontId="123" fillId="31" borderId="0" xfId="0" quotePrefix="1" applyNumberFormat="1" applyFont="1" applyFill="1" applyAlignment="1">
      <alignment horizontal="center" vertical="center" wrapText="1"/>
    </xf>
    <xf numFmtId="164" fontId="123" fillId="9" borderId="0" xfId="0" applyNumberFormat="1" applyFont="1" applyFill="1" applyAlignment="1">
      <alignment horizontal="center" vertical="center"/>
    </xf>
    <xf numFmtId="164" fontId="130" fillId="3" borderId="17" xfId="1" quotePrefix="1" applyNumberFormat="1" applyFont="1" applyFill="1" applyBorder="1" applyAlignment="1">
      <alignment horizontal="center" vertical="center" wrapText="1"/>
    </xf>
    <xf numFmtId="164" fontId="130" fillId="3" borderId="29" xfId="1" quotePrefix="1" applyNumberFormat="1" applyFont="1" applyFill="1" applyBorder="1" applyAlignment="1">
      <alignment horizontal="center" vertical="center" wrapText="1"/>
    </xf>
    <xf numFmtId="164" fontId="130" fillId="3" borderId="11" xfId="1" quotePrefix="1" applyNumberFormat="1" applyFont="1" applyFill="1" applyBorder="1" applyAlignment="1">
      <alignment horizontal="center" vertical="center" wrapText="1"/>
    </xf>
    <xf numFmtId="14" fontId="97" fillId="49" borderId="9" xfId="2" applyNumberFormat="1" applyFont="1" applyFill="1" applyBorder="1" applyAlignment="1">
      <alignment horizontal="center" vertical="center" wrapText="1"/>
    </xf>
    <xf numFmtId="164" fontId="97" fillId="47" borderId="9" xfId="4" quotePrefix="1" applyNumberFormat="1" applyFont="1" applyFill="1" applyBorder="1" applyAlignment="1">
      <alignment horizontal="center" vertical="center" wrapText="1"/>
    </xf>
    <xf numFmtId="164" fontId="97" fillId="47" borderId="9" xfId="4" applyNumberFormat="1" applyFont="1" applyFill="1" applyBorder="1" applyAlignment="1">
      <alignment horizontal="center" vertical="center" wrapText="1"/>
    </xf>
    <xf numFmtId="164" fontId="97" fillId="49" borderId="17" xfId="4" quotePrefix="1" applyNumberFormat="1" applyFont="1" applyFill="1" applyBorder="1" applyAlignment="1">
      <alignment horizontal="center" vertical="center" wrapText="1"/>
    </xf>
    <xf numFmtId="164" fontId="97" fillId="49" borderId="29" xfId="4" applyNumberFormat="1" applyFont="1" applyFill="1" applyBorder="1" applyAlignment="1">
      <alignment horizontal="center" vertical="center" wrapText="1"/>
    </xf>
    <xf numFmtId="164" fontId="97" fillId="49" borderId="11" xfId="4" applyNumberFormat="1" applyFont="1" applyFill="1" applyBorder="1" applyAlignment="1">
      <alignment horizontal="center" vertical="center" wrapText="1"/>
    </xf>
    <xf numFmtId="164" fontId="97" fillId="49" borderId="9" xfId="4" quotePrefix="1" applyNumberFormat="1" applyFont="1" applyFill="1" applyBorder="1" applyAlignment="1">
      <alignment horizontal="center" vertical="center" wrapText="1"/>
    </xf>
    <xf numFmtId="164" fontId="97" fillId="49" borderId="9" xfId="4" applyNumberFormat="1" applyFont="1" applyFill="1" applyBorder="1" applyAlignment="1">
      <alignment horizontal="center" vertical="center" wrapText="1"/>
    </xf>
    <xf numFmtId="14" fontId="97" fillId="47" borderId="13" xfId="2" applyNumberFormat="1" applyFont="1" applyFill="1" applyBorder="1" applyAlignment="1">
      <alignment horizontal="center" vertical="center" wrapText="1"/>
    </xf>
    <xf numFmtId="14" fontId="95" fillId="30" borderId="0" xfId="2" applyNumberFormat="1" applyFont="1" applyFill="1" applyAlignment="1">
      <alignment horizontal="center" vertical="center" wrapText="1"/>
    </xf>
    <xf numFmtId="164" fontId="104" fillId="30" borderId="9" xfId="4" quotePrefix="1" applyNumberFormat="1" applyFont="1" applyFill="1" applyBorder="1" applyAlignment="1">
      <alignment horizontal="center" vertical="center" wrapText="1"/>
    </xf>
    <xf numFmtId="164" fontId="117" fillId="30" borderId="9" xfId="4" quotePrefix="1" applyNumberFormat="1" applyFont="1" applyFill="1" applyBorder="1" applyAlignment="1">
      <alignment horizontal="center" vertical="center" wrapText="1"/>
    </xf>
    <xf numFmtId="164" fontId="117" fillId="30" borderId="9" xfId="4" applyNumberFormat="1" applyFont="1" applyFill="1" applyBorder="1" applyAlignment="1">
      <alignment horizontal="center" vertical="center" wrapText="1"/>
    </xf>
    <xf numFmtId="164" fontId="97" fillId="35" borderId="9" xfId="4" quotePrefix="1" applyNumberFormat="1" applyFont="1" applyBorder="1" applyAlignment="1">
      <alignment horizontal="center" vertical="center" wrapText="1"/>
    </xf>
    <xf numFmtId="164" fontId="104" fillId="5" borderId="0" xfId="1" quotePrefix="1" applyNumberFormat="1" applyFont="1" applyFill="1" applyBorder="1" applyAlignment="1">
      <alignment horizontal="center" vertical="center" wrapText="1"/>
    </xf>
    <xf numFmtId="164" fontId="97" fillId="5" borderId="0" xfId="1" quotePrefix="1" applyNumberFormat="1" applyFont="1" applyFill="1" applyBorder="1" applyAlignment="1">
      <alignment horizontal="center" vertical="center" wrapText="1"/>
    </xf>
    <xf numFmtId="14" fontId="97" fillId="4" borderId="9" xfId="2" applyNumberFormat="1" applyFont="1" applyFill="1" applyBorder="1" applyAlignment="1">
      <alignment horizontal="center" vertical="center" wrapText="1"/>
    </xf>
    <xf numFmtId="164" fontId="117" fillId="35" borderId="9" xfId="4" quotePrefix="1" applyNumberFormat="1" applyFont="1" applyBorder="1" applyAlignment="1">
      <alignment horizontal="center" vertical="center" wrapText="1"/>
    </xf>
    <xf numFmtId="164" fontId="117" fillId="35" borderId="9" xfId="4" applyNumberFormat="1" applyFont="1" applyBorder="1" applyAlignment="1">
      <alignment horizontal="center" vertical="center" wrapText="1"/>
    </xf>
    <xf numFmtId="164" fontId="95" fillId="30" borderId="0" xfId="0" applyNumberFormat="1" applyFont="1" applyFill="1" applyAlignment="1">
      <alignment horizontal="center" vertical="center" wrapText="1"/>
    </xf>
    <xf numFmtId="164" fontId="95" fillId="30" borderId="0" xfId="1" quotePrefix="1" applyNumberFormat="1" applyFont="1" applyFill="1" applyBorder="1" applyAlignment="1">
      <alignment horizontal="center" vertical="center" wrapText="1"/>
    </xf>
    <xf numFmtId="164" fontId="97" fillId="30" borderId="0" xfId="1" quotePrefix="1" applyNumberFormat="1" applyFont="1" applyFill="1" applyBorder="1" applyAlignment="1">
      <alignment horizontal="center" vertical="center" wrapText="1"/>
    </xf>
    <xf numFmtId="164" fontId="95" fillId="19" borderId="0" xfId="0" applyNumberFormat="1" applyFont="1" applyFill="1" applyAlignment="1">
      <alignment horizontal="center" vertical="center" wrapText="1"/>
    </xf>
    <xf numFmtId="14" fontId="97" fillId="4" borderId="9" xfId="2" quotePrefix="1" applyNumberFormat="1" applyFont="1" applyFill="1" applyBorder="1" applyAlignment="1">
      <alignment horizontal="center" vertical="center" wrapText="1"/>
    </xf>
    <xf numFmtId="14" fontId="97" fillId="4" borderId="0" xfId="2" applyNumberFormat="1" applyFont="1" applyFill="1" applyAlignment="1">
      <alignment horizontal="center" vertical="center" wrapText="1"/>
    </xf>
    <xf numFmtId="0" fontId="104" fillId="2" borderId="0" xfId="0" applyFont="1" applyFill="1" applyAlignment="1">
      <alignment horizontal="center" vertical="center" wrapText="1"/>
    </xf>
    <xf numFmtId="0" fontId="112" fillId="2" borderId="0" xfId="0" applyFont="1" applyFill="1" applyAlignment="1">
      <alignment horizontal="center" vertical="center" wrapText="1"/>
    </xf>
    <xf numFmtId="164" fontId="97" fillId="19" borderId="0" xfId="0" applyNumberFormat="1" applyFont="1" applyFill="1" applyAlignment="1">
      <alignment horizontal="center" vertical="center" wrapText="1"/>
    </xf>
    <xf numFmtId="164" fontId="95" fillId="19" borderId="0" xfId="0" quotePrefix="1" applyNumberFormat="1" applyFont="1" applyFill="1" applyAlignment="1">
      <alignment horizontal="center" vertical="center" wrapText="1"/>
    </xf>
    <xf numFmtId="164" fontId="97" fillId="19" borderId="0" xfId="0" quotePrefix="1" applyNumberFormat="1" applyFont="1" applyFill="1" applyAlignment="1">
      <alignment horizontal="center" vertical="center" wrapText="1"/>
    </xf>
    <xf numFmtId="16" fontId="95" fillId="30" borderId="0" xfId="0" applyNumberFormat="1" applyFont="1" applyFill="1" applyAlignment="1">
      <alignment horizontal="center" vertical="center"/>
    </xf>
    <xf numFmtId="14" fontId="95" fillId="4" borderId="0" xfId="2" applyNumberFormat="1" applyFont="1" applyFill="1" applyAlignment="1">
      <alignment horizontal="center" vertical="center" wrapText="1"/>
    </xf>
    <xf numFmtId="164" fontId="97" fillId="19" borderId="9" xfId="4" quotePrefix="1" applyNumberFormat="1" applyFont="1" applyFill="1" applyBorder="1" applyAlignment="1">
      <alignment horizontal="center" vertical="center" wrapText="1"/>
    </xf>
    <xf numFmtId="164" fontId="97" fillId="19" borderId="9" xfId="4" applyNumberFormat="1" applyFont="1" applyFill="1" applyBorder="1" applyAlignment="1">
      <alignment horizontal="center" vertical="center" wrapText="1"/>
    </xf>
    <xf numFmtId="164" fontId="97" fillId="47" borderId="4" xfId="4" quotePrefix="1" applyNumberFormat="1" applyFont="1" applyFill="1" applyBorder="1" applyAlignment="1">
      <alignment horizontal="center" vertical="center" wrapText="1"/>
    </xf>
    <xf numFmtId="164" fontId="97" fillId="47" borderId="4" xfId="4" applyNumberFormat="1" applyFont="1" applyFill="1" applyBorder="1" applyAlignment="1">
      <alignment horizontal="center" vertical="center" wrapText="1"/>
    </xf>
    <xf numFmtId="0" fontId="118" fillId="30" borderId="17" xfId="0" applyFont="1" applyFill="1" applyBorder="1" applyAlignment="1">
      <alignment horizontal="center" vertical="center" wrapText="1"/>
    </xf>
    <xf numFmtId="0" fontId="118" fillId="30" borderId="29" xfId="0" applyFont="1" applyFill="1" applyBorder="1" applyAlignment="1">
      <alignment horizontal="center" vertical="center" wrapText="1"/>
    </xf>
    <xf numFmtId="0" fontId="118" fillId="30" borderId="11" xfId="0" applyFont="1" applyFill="1" applyBorder="1" applyAlignment="1">
      <alignment horizontal="center" vertical="center" wrapText="1"/>
    </xf>
    <xf numFmtId="0" fontId="118" fillId="30" borderId="9" xfId="0" applyFont="1" applyFill="1" applyBorder="1" applyAlignment="1">
      <alignment horizontal="center" vertical="center" wrapText="1"/>
    </xf>
    <xf numFmtId="16" fontId="162" fillId="0" borderId="9" xfId="0" applyNumberFormat="1" applyFont="1" applyBorder="1" applyAlignment="1">
      <alignment horizontal="center" vertical="center" wrapText="1"/>
    </xf>
    <xf numFmtId="16" fontId="116" fillId="0" borderId="9" xfId="0" applyNumberFormat="1" applyFont="1" applyBorder="1" applyAlignment="1">
      <alignment horizontal="center" vertical="center" wrapText="1"/>
    </xf>
    <xf numFmtId="14" fontId="9" fillId="4" borderId="27" xfId="2" applyNumberFormat="1"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7" fillId="2" borderId="8" xfId="0" applyFont="1" applyFill="1" applyBorder="1" applyAlignment="1">
      <alignment horizontal="left" wrapText="1"/>
    </xf>
    <xf numFmtId="164" fontId="14" fillId="8" borderId="18" xfId="0" applyNumberFormat="1" applyFont="1" applyFill="1" applyBorder="1" applyAlignment="1">
      <alignment horizontal="center" vertical="center" wrapText="1"/>
    </xf>
    <xf numFmtId="164" fontId="14" fillId="8" borderId="19" xfId="0" applyNumberFormat="1" applyFont="1" applyFill="1" applyBorder="1" applyAlignment="1">
      <alignment horizontal="center" vertical="center" wrapText="1"/>
    </xf>
    <xf numFmtId="164" fontId="3" fillId="12" borderId="6" xfId="0" applyNumberFormat="1" applyFont="1" applyFill="1" applyBorder="1" applyAlignment="1">
      <alignment horizontal="center" vertical="center" wrapText="1"/>
    </xf>
    <xf numFmtId="164" fontId="3" fillId="12" borderId="7" xfId="0" applyNumberFormat="1" applyFont="1" applyFill="1" applyBorder="1" applyAlignment="1">
      <alignment horizontal="center" vertical="center" wrapText="1"/>
    </xf>
    <xf numFmtId="164" fontId="10" fillId="12" borderId="6" xfId="0" applyNumberFormat="1" applyFont="1" applyFill="1" applyBorder="1" applyAlignment="1">
      <alignment horizontal="center" vertical="center" wrapText="1"/>
    </xf>
    <xf numFmtId="164" fontId="10" fillId="12" borderId="7" xfId="0" applyNumberFormat="1"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3" fillId="13" borderId="7" xfId="0" applyFont="1" applyFill="1" applyBorder="1" applyAlignment="1">
      <alignment horizontal="center" vertical="center" wrapText="1"/>
    </xf>
    <xf numFmtId="164" fontId="16" fillId="4" borderId="5" xfId="0" applyNumberFormat="1" applyFont="1" applyFill="1" applyBorder="1" applyAlignment="1">
      <alignment horizontal="center" vertical="center" wrapText="1"/>
    </xf>
    <xf numFmtId="164" fontId="16" fillId="4" borderId="6" xfId="0" applyNumberFormat="1"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13" fillId="13" borderId="0" xfId="0" applyFont="1" applyFill="1" applyAlignment="1">
      <alignment horizontal="center" vertical="center" wrapText="1"/>
    </xf>
    <xf numFmtId="0" fontId="14" fillId="13" borderId="9" xfId="0" applyFont="1" applyFill="1" applyBorder="1" applyAlignment="1">
      <alignment horizontal="center" vertical="center" wrapText="1"/>
    </xf>
    <xf numFmtId="0" fontId="13" fillId="13" borderId="9" xfId="0" applyFont="1" applyFill="1" applyBorder="1" applyAlignment="1">
      <alignment horizontal="center" vertical="center" wrapText="1"/>
    </xf>
    <xf numFmtId="14" fontId="4" fillId="23" borderId="10" xfId="2" applyNumberFormat="1" applyFont="1" applyFill="1" applyBorder="1" applyAlignment="1">
      <alignment horizontal="center" vertical="center" wrapText="1"/>
    </xf>
    <xf numFmtId="14" fontId="4" fillId="23" borderId="8" xfId="2" applyNumberFormat="1" applyFont="1" applyFill="1" applyBorder="1" applyAlignment="1">
      <alignment horizontal="center" vertical="center" wrapText="1"/>
    </xf>
    <xf numFmtId="0" fontId="3" fillId="29" borderId="0" xfId="0" applyFont="1" applyFill="1" applyAlignment="1">
      <alignment horizontal="center" vertical="center" wrapText="1"/>
    </xf>
    <xf numFmtId="0" fontId="3" fillId="29" borderId="30" xfId="0" applyFont="1" applyFill="1" applyBorder="1" applyAlignment="1">
      <alignment horizontal="center" vertical="center" wrapText="1"/>
    </xf>
    <xf numFmtId="164" fontId="5" fillId="24" borderId="4" xfId="0" applyNumberFormat="1" applyFont="1" applyFill="1" applyBorder="1" applyAlignment="1">
      <alignment horizontal="center" vertical="center" wrapText="1"/>
    </xf>
    <xf numFmtId="0" fontId="8" fillId="24" borderId="4" xfId="0" applyFont="1" applyFill="1" applyBorder="1" applyAlignment="1">
      <alignment horizontal="center" vertical="center" wrapText="1"/>
    </xf>
    <xf numFmtId="0" fontId="16" fillId="18" borderId="15" xfId="0" applyFont="1" applyFill="1" applyBorder="1" applyAlignment="1">
      <alignment horizontal="center" vertical="center" wrapText="1"/>
    </xf>
    <xf numFmtId="0" fontId="16" fillId="18" borderId="0" xfId="0" applyFont="1" applyFill="1" applyAlignment="1">
      <alignment horizontal="center" vertical="center" wrapText="1"/>
    </xf>
    <xf numFmtId="164" fontId="14" fillId="23" borderId="15" xfId="0" applyNumberFormat="1" applyFont="1" applyFill="1" applyBorder="1" applyAlignment="1">
      <alignment horizontal="center" vertical="center" wrapText="1"/>
    </xf>
    <xf numFmtId="164" fontId="14" fillId="23" borderId="0" xfId="0" applyNumberFormat="1" applyFont="1" applyFill="1" applyAlignment="1">
      <alignment horizontal="center" vertical="center" wrapText="1"/>
    </xf>
    <xf numFmtId="0" fontId="94" fillId="30" borderId="0" xfId="0" applyFont="1" applyFill="1" applyAlignment="1">
      <alignment horizontal="center" vertical="center"/>
    </xf>
  </cellXfs>
  <cellStyles count="6">
    <cellStyle name="Heading 1" xfId="1" builtinId="16"/>
    <cellStyle name="Hyperlink" xfId="3" builtinId="8"/>
    <cellStyle name="Neutral" xfId="4" builtinId="28"/>
    <cellStyle name="Normal" xfId="0" builtinId="0"/>
    <cellStyle name="Normal 2" xfId="2" xr:uid="{00000000-0005-0000-0000-000002000000}"/>
    <cellStyle name="Percent" xfId="5" builtinId="5"/>
  </cellStyles>
  <dxfs count="67">
    <dxf>
      <font>
        <b/>
        <i val="0"/>
        <color theme="0"/>
      </font>
      <fill>
        <patternFill patternType="solid">
          <bgColor rgb="FFFFD166"/>
        </patternFill>
      </fill>
    </dxf>
    <dxf>
      <font>
        <b/>
        <i val="0"/>
        <color theme="0"/>
      </font>
      <fill>
        <patternFill patternType="solid">
          <bgColor rgb="FF118AB2"/>
        </patternFill>
      </fill>
    </dxf>
    <dxf>
      <font>
        <b/>
        <i val="0"/>
        <color theme="0"/>
      </font>
      <fill>
        <patternFill patternType="solid">
          <bgColor rgb="FFEF476F"/>
        </patternFill>
      </fill>
    </dxf>
    <dxf>
      <font>
        <b/>
        <i val="0"/>
        <color theme="0"/>
      </font>
      <fill>
        <patternFill patternType="solid">
          <bgColor rgb="FF17B087"/>
        </patternFill>
      </fill>
    </dxf>
    <dxf>
      <font>
        <b/>
        <i val="0"/>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FFD166"/>
        </patternFill>
      </fill>
    </dxf>
    <dxf>
      <font>
        <color theme="0"/>
      </font>
      <fill>
        <patternFill patternType="solid">
          <bgColor rgb="FF118AB2"/>
        </patternFill>
      </fill>
    </dxf>
    <dxf>
      <font>
        <color theme="0"/>
      </font>
      <fill>
        <patternFill patternType="solid">
          <bgColor rgb="FFEF476F"/>
        </patternFill>
      </fill>
    </dxf>
    <dxf>
      <font>
        <color theme="0"/>
      </font>
      <fill>
        <patternFill patternType="solid">
          <bgColor rgb="FF17B087"/>
        </patternFill>
      </fill>
    </dxf>
    <dxf>
      <font>
        <color theme="0"/>
      </font>
      <fill>
        <patternFill patternType="solid">
          <bgColor rgb="FF073B4C"/>
        </patternFill>
      </fill>
    </dxf>
    <dxf>
      <font>
        <color theme="0"/>
      </font>
      <fill>
        <patternFill patternType="solid">
          <bgColor rgb="FF92D050"/>
        </patternFill>
      </fill>
    </dxf>
    <dxf>
      <font>
        <color theme="0"/>
      </font>
      <fill>
        <patternFill patternType="solid">
          <bgColor theme="7"/>
        </patternFill>
      </fill>
    </dxf>
    <dxf>
      <font>
        <color theme="0"/>
      </font>
      <fill>
        <patternFill patternType="solid">
          <bgColor rgb="FF203764"/>
        </patternFill>
      </fill>
    </dxf>
    <dxf>
      <font>
        <color theme="0"/>
      </font>
      <fill>
        <patternFill patternType="solid">
          <bgColor rgb="FFFF0000"/>
        </patternFill>
      </fill>
    </dxf>
    <dxf>
      <font>
        <color theme="0"/>
      </font>
      <fill>
        <patternFill patternType="solid">
          <bgColor rgb="FF00B0F0"/>
        </patternFill>
      </fill>
    </dxf>
    <dxf>
      <font>
        <color theme="0"/>
      </font>
      <fill>
        <patternFill patternType="solid">
          <bgColor rgb="FF0070C0"/>
        </patternFill>
      </fill>
    </dxf>
    <dxf>
      <font>
        <color theme="0"/>
      </font>
      <fill>
        <patternFill patternType="solid">
          <bgColor theme="6"/>
        </patternFill>
      </fill>
    </dxf>
  </dxfs>
  <tableStyles count="0" defaultTableStyle="TableStyleMedium2" defaultPivotStyle="PivotStyleLight16"/>
  <colors>
    <mruColors>
      <color rgb="FFE7E6E6"/>
      <color rgb="FFFF5457"/>
      <color rgb="FFF06C00"/>
      <color rgb="FFFF7171"/>
      <color rgb="FF1F4E78"/>
      <color rgb="FF2037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76200</xdr:rowOff>
    </xdr:from>
    <xdr:to>
      <xdr:col>4</xdr:col>
      <xdr:colOff>1866900</xdr:colOff>
      <xdr:row>0</xdr:row>
      <xdr:rowOff>914400</xdr:rowOff>
    </xdr:to>
    <xdr:pic>
      <xdr:nvPicPr>
        <xdr:cNvPr id="3" name="Picture 2">
          <a:extLst>
            <a:ext uri="{FF2B5EF4-FFF2-40B4-BE49-F238E27FC236}">
              <a16:creationId xmlns:a16="http://schemas.microsoft.com/office/drawing/2014/main" id="{BFC60864-55BB-AE8E-2AB0-F99C6F8064C8}"/>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1"/>
        <a:stretch>
          <a:fillRect/>
        </a:stretch>
      </xdr:blipFill>
      <xdr:spPr>
        <a:xfrm>
          <a:off x="4619625" y="76200"/>
          <a:ext cx="1752600" cy="838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29210</xdr:colOff>
      <xdr:row>0</xdr:row>
      <xdr:rowOff>216047</xdr:rowOff>
    </xdr:from>
    <xdr:to>
      <xdr:col>3</xdr:col>
      <xdr:colOff>2280285</xdr:colOff>
      <xdr:row>0</xdr:row>
      <xdr:rowOff>801069</xdr:rowOff>
    </xdr:to>
    <xdr:pic>
      <xdr:nvPicPr>
        <xdr:cNvPr id="3" name="Picture 2" descr="ahrmm site header logo">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7360" y="216047"/>
          <a:ext cx="2251075" cy="585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0</xdr:col>
      <xdr:colOff>1752600</xdr:colOff>
      <xdr:row>0</xdr:row>
      <xdr:rowOff>990600</xdr:rowOff>
    </xdr:to>
    <xdr:pic>
      <xdr:nvPicPr>
        <xdr:cNvPr id="2" name="Picture 2">
          <a:extLst>
            <a:ext uri="{FF2B5EF4-FFF2-40B4-BE49-F238E27FC236}">
              <a16:creationId xmlns:a16="http://schemas.microsoft.com/office/drawing/2014/main" id="{2DFFA4AC-82A9-47B0-B7A3-29B27649DD24}"/>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1"/>
        <a:stretch>
          <a:fillRect/>
        </a:stretch>
      </xdr:blipFill>
      <xdr:spPr>
        <a:xfrm>
          <a:off x="0" y="152400"/>
          <a:ext cx="1752600" cy="838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514350</xdr:colOff>
      <xdr:row>0</xdr:row>
      <xdr:rowOff>161925</xdr:rowOff>
    </xdr:from>
    <xdr:to>
      <xdr:col>1</xdr:col>
      <xdr:colOff>377190</xdr:colOff>
      <xdr:row>0</xdr:row>
      <xdr:rowOff>1024890</xdr:rowOff>
    </xdr:to>
    <xdr:pic>
      <xdr:nvPicPr>
        <xdr:cNvPr id="3" name="Picture 2">
          <a:extLst>
            <a:ext uri="{FF2B5EF4-FFF2-40B4-BE49-F238E27FC236}">
              <a16:creationId xmlns:a16="http://schemas.microsoft.com/office/drawing/2014/main" id="{B29E8FFE-81F8-4C69-809C-3D447251C9C5}"/>
            </a:ext>
            <a:ext uri="{147F2762-F138-4A5C-976F-8EAC2B608ADB}">
              <a16:predDERef xmlns:a16="http://schemas.microsoft.com/office/drawing/2014/main" pred="{00000000-0008-0000-0200-000002000000}"/>
            </a:ext>
          </a:extLst>
        </xdr:cNvPr>
        <xdr:cNvPicPr>
          <a:picLocks noChangeAspect="1"/>
        </xdr:cNvPicPr>
      </xdr:nvPicPr>
      <xdr:blipFill>
        <a:blip xmlns:r="http://schemas.openxmlformats.org/officeDocument/2006/relationships" r:embed="rId1"/>
        <a:stretch>
          <a:fillRect/>
        </a:stretch>
      </xdr:blipFill>
      <xdr:spPr>
        <a:xfrm>
          <a:off x="514350" y="161925"/>
          <a:ext cx="1752600" cy="838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666750</xdr:colOff>
      <xdr:row>0</xdr:row>
      <xdr:rowOff>228600</xdr:rowOff>
    </xdr:from>
    <xdr:to>
      <xdr:col>1</xdr:col>
      <xdr:colOff>1256824</xdr:colOff>
      <xdr:row>0</xdr:row>
      <xdr:rowOff>986790</xdr:rowOff>
    </xdr:to>
    <xdr:pic>
      <xdr:nvPicPr>
        <xdr:cNvPr id="2" name="Picture 2">
          <a:extLst>
            <a:ext uri="{FF2B5EF4-FFF2-40B4-BE49-F238E27FC236}">
              <a16:creationId xmlns:a16="http://schemas.microsoft.com/office/drawing/2014/main" id="{3A220356-28CA-4A90-E456-C9C96A222CB6}"/>
            </a:ext>
          </a:extLst>
        </xdr:cNvPr>
        <xdr:cNvPicPr>
          <a:picLocks noChangeAspect="1"/>
        </xdr:cNvPicPr>
      </xdr:nvPicPr>
      <xdr:blipFill>
        <a:blip xmlns:r="http://schemas.openxmlformats.org/officeDocument/2006/relationships" r:embed="rId1"/>
        <a:stretch>
          <a:fillRect/>
        </a:stretch>
      </xdr:blipFill>
      <xdr:spPr>
        <a:xfrm>
          <a:off x="666750" y="228600"/>
          <a:ext cx="2047875" cy="733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466725</xdr:colOff>
      <xdr:row>0</xdr:row>
      <xdr:rowOff>190637</xdr:rowOff>
    </xdr:from>
    <xdr:to>
      <xdr:col>1</xdr:col>
      <xdr:colOff>1443355</xdr:colOff>
      <xdr:row>0</xdr:row>
      <xdr:rowOff>758189</xdr:rowOff>
    </xdr:to>
    <xdr:pic>
      <xdr:nvPicPr>
        <xdr:cNvPr id="3" name="Picture 2" descr="The Association for the Health Care Environment (AHE) - Homepage | AHE">
          <a:extLst>
            <a:ext uri="{FF2B5EF4-FFF2-40B4-BE49-F238E27FC236}">
              <a16:creationId xmlns:a16="http://schemas.microsoft.com/office/drawing/2014/main" id="{447E962A-4C69-40E6-B7F2-FB2D10229C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190637"/>
          <a:ext cx="3013075" cy="554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429260</xdr:colOff>
      <xdr:row>0</xdr:row>
      <xdr:rowOff>216047</xdr:rowOff>
    </xdr:from>
    <xdr:to>
      <xdr:col>1</xdr:col>
      <xdr:colOff>491490</xdr:colOff>
      <xdr:row>0</xdr:row>
      <xdr:rowOff>802974</xdr:rowOff>
    </xdr:to>
    <xdr:pic>
      <xdr:nvPicPr>
        <xdr:cNvPr id="4" name="Picture 2" descr="ahrmm site header logo">
          <a:extLst>
            <a:ext uri="{FF2B5EF4-FFF2-40B4-BE49-F238E27FC236}">
              <a16:creationId xmlns:a16="http://schemas.microsoft.com/office/drawing/2014/main" id="{AB8358F1-EF7A-4306-84D5-11F8531FFF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260" y="216047"/>
          <a:ext cx="2251075" cy="585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571500</xdr:colOff>
      <xdr:row>0</xdr:row>
      <xdr:rowOff>47625</xdr:rowOff>
    </xdr:from>
    <xdr:to>
      <xdr:col>1</xdr:col>
      <xdr:colOff>643890</xdr:colOff>
      <xdr:row>0</xdr:row>
      <xdr:rowOff>1748790</xdr:rowOff>
    </xdr:to>
    <xdr:pic>
      <xdr:nvPicPr>
        <xdr:cNvPr id="4" name="Picture 1">
          <a:extLst>
            <a:ext uri="{FF2B5EF4-FFF2-40B4-BE49-F238E27FC236}">
              <a16:creationId xmlns:a16="http://schemas.microsoft.com/office/drawing/2014/main" id="{5585BF57-0041-CE42-CA8B-69659D0F3784}"/>
            </a:ext>
          </a:extLst>
        </xdr:cNvPr>
        <xdr:cNvPicPr>
          <a:picLocks noChangeAspect="1"/>
        </xdr:cNvPicPr>
      </xdr:nvPicPr>
      <xdr:blipFill>
        <a:blip xmlns:r="http://schemas.openxmlformats.org/officeDocument/2006/relationships" r:embed="rId1"/>
        <a:stretch>
          <a:fillRect/>
        </a:stretch>
      </xdr:blipFill>
      <xdr:spPr>
        <a:xfrm>
          <a:off x="571500" y="47625"/>
          <a:ext cx="1952625" cy="16954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672359</xdr:colOff>
      <xdr:row>0</xdr:row>
      <xdr:rowOff>106680</xdr:rowOff>
    </xdr:from>
    <xdr:to>
      <xdr:col>3</xdr:col>
      <xdr:colOff>2773679</xdr:colOff>
      <xdr:row>0</xdr:row>
      <xdr:rowOff>822960</xdr:rowOff>
    </xdr:to>
    <xdr:pic>
      <xdr:nvPicPr>
        <xdr:cNvPr id="2" name="Picture 1" descr="ASHRM: Homepage | ASHRM">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2299" y="106680"/>
          <a:ext cx="210132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266700</xdr:colOff>
      <xdr:row>0</xdr:row>
      <xdr:rowOff>200162</xdr:rowOff>
    </xdr:from>
    <xdr:to>
      <xdr:col>4</xdr:col>
      <xdr:colOff>1043305</xdr:colOff>
      <xdr:row>0</xdr:row>
      <xdr:rowOff>754379</xdr:rowOff>
    </xdr:to>
    <xdr:pic>
      <xdr:nvPicPr>
        <xdr:cNvPr id="3" name="Picture 2" descr="The Association for the Health Care Environment (AHE) - Homepage | AHE">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2540" y="200162"/>
          <a:ext cx="3014980" cy="554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King, Kris" id="{C657BF37-437E-4C6B-95C4-B8B935C394ED}" userId="krking@smithbucklin.com" providerId="PeoplePicker"/>
  <person displayName="Schuette, Nick" id="{B0D3600F-C3AF-4BC2-B202-A425CB08BF3C}" userId="Nschuette@smithbucklin.com" providerId="PeoplePicker"/>
  <person displayName="Magalona, Krishna" id="{61FBA03E-4DC9-41BE-8D6A-5FF9DC84B4DF}" userId="kmagalona@smithbucklin.com" providerId="PeoplePicker"/>
  <person displayName="Fanelli, Nick" id="{EE9239D1-5697-40E5-99A1-D3365CE24472}" userId="S::nfanelli@smithbucklin.com::f0398fd7-63bd-4c51-92c4-0bed649369b2"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4" dT="2023-06-07T14:43:49.41" personId="{EE9239D1-5697-40E5-99A1-D3365CE24472}" id="{229C207F-3871-4EFA-A959-C8F4C63A30F2}">
    <text xml:space="preserve">@binz.jeannie@gmail.com FYI for you, made slight tweaks to this one. </text>
  </threadedComment>
</ThreadedComments>
</file>

<file path=xl/threadedComments/threadedComment2.xml><?xml version="1.0" encoding="utf-8"?>
<ThreadedComments xmlns="http://schemas.microsoft.com/office/spreadsheetml/2018/threadedcomments" xmlns:x="http://schemas.openxmlformats.org/spreadsheetml/2006/main">
  <threadedComment ref="F105" dT="2024-07-24T15:55:12.81" personId="{EE9239D1-5697-40E5-99A1-D3365CE24472}" id="{C51C39BB-CCFB-4511-9829-3E18721F5F45}">
    <text>@King, Kris I have a reminder for our next call, but there is still no PDC 2024 Sponsorship contract/the page is still hidden as of 7/24.</text>
    <mentions>
      <mention mentionpersonId="{C657BF37-437E-4C6B-95C4-B8B935C394ED}" mentionId="{5E8EF010-B413-4A3D-BE3C-074F4EDB9BED}" startIndex="0" length="11"/>
    </mentions>
  </threadedComment>
  <threadedComment ref="F106" dT="2024-07-24T15:55:12.81" personId="{EE9239D1-5697-40E5-99A1-D3365CE24472}" id="{F4D7B278-3D45-4524-AF3F-42BD1A845F52}">
    <text>@King, Kris I have a reminder for our next call, but there is still no PDC 2024 Sponsorship contract/the page is still hidden as of 7/24.</text>
    <mentions>
      <mention mentionpersonId="{C657BF37-437E-4C6B-95C4-B8B935C394ED}" mentionId="{5FC6FBBF-937D-421D-82C7-07C74D82B899}" startIndex="0" length="1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E45" dT="2024-07-09T15:25:10.53" personId="{EE9239D1-5697-40E5-99A1-D3365CE24472}" id="{CB8948FD-B2E7-4355-98C7-9B49489E9337}">
    <text xml:space="preserve">@Schuette, Nick based on Patrick mentioning their KBYG email on 7/18, I'm pushing this Space Appointment reminder to Friday 7/19. We'll then do the Monday one still on 7/22. </text>
    <mentions>
      <mention mentionpersonId="{B0D3600F-C3AF-4BC2-B202-A425CB08BF3C}" mentionId="{84A84C36-1389-4156-A74A-6FA44395AFC7}" startIndex="0" length="15"/>
    </mentions>
  </threadedComment>
  <threadedComment ref="E55" dT="2024-08-13T18:34:16.39" personId="{EE9239D1-5697-40E5-99A1-D3365CE24472}" id="{3BCEFED4-6DD6-4F17-AAEE-592D4A30088E}">
    <text xml:space="preserve">@Magalona, Krishna I will add to our board, but we have a new email for 8/27. </text>
    <mentions>
      <mention mentionpersonId="{61FBA03E-4DC9-41BE-8D6A-5FF9DC84B4DF}" mentionId="{9989D32C-F7E5-413B-9198-2C51097A323C}" startIndex="0" length="18"/>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pp.markup.io/markup/612e9dbd-2663-4d07-9a77-dad915e93e1e" TargetMode="External"/><Relationship Id="rId13" Type="http://schemas.openxmlformats.org/officeDocument/2006/relationships/hyperlink" Target="https://app.markup.io/invite/accept/qAbQ6_7P" TargetMode="External"/><Relationship Id="rId18" Type="http://schemas.openxmlformats.org/officeDocument/2006/relationships/hyperlink" Target="https://app.markup.io/invite/accept/e49nWG4E" TargetMode="External"/><Relationship Id="rId3" Type="http://schemas.openxmlformats.org/officeDocument/2006/relationships/hyperlink" Target="https://app.markup.io/invite/accept/MSWLijL6" TargetMode="External"/><Relationship Id="rId21" Type="http://schemas.openxmlformats.org/officeDocument/2006/relationships/printerSettings" Target="../printerSettings/printerSettings1.bin"/><Relationship Id="rId7" Type="http://schemas.openxmlformats.org/officeDocument/2006/relationships/hyperlink" Target="https://app.markup.io/invite/accept/wVueIzML" TargetMode="External"/><Relationship Id="rId12" Type="http://schemas.openxmlformats.org/officeDocument/2006/relationships/hyperlink" Target="https://app.markup.io/invite/accept/WwN0Ax8-" TargetMode="External"/><Relationship Id="rId17" Type="http://schemas.openxmlformats.org/officeDocument/2006/relationships/hyperlink" Target="https://app.markup.io/invite/accept/DW0HUAxn" TargetMode="External"/><Relationship Id="rId2" Type="http://schemas.openxmlformats.org/officeDocument/2006/relationships/hyperlink" Target="https://app.markup.io/invite/accept/fbiFgLmP" TargetMode="External"/><Relationship Id="rId16" Type="http://schemas.openxmlformats.org/officeDocument/2006/relationships/hyperlink" Target="https://app.markup.io/invite/accept/Utwrw-ij" TargetMode="External"/><Relationship Id="rId20" Type="http://schemas.openxmlformats.org/officeDocument/2006/relationships/hyperlink" Target="https://mailchi.mp/smithbucklin/ashe-architecture-showcase-16922036?e=%5bUNIQID" TargetMode="External"/><Relationship Id="rId1" Type="http://schemas.openxmlformats.org/officeDocument/2006/relationships/hyperlink" Target="mailto:ASHE@Smithbucklin.com" TargetMode="External"/><Relationship Id="rId6" Type="http://schemas.openxmlformats.org/officeDocument/2006/relationships/hyperlink" Target="https://app.markup.io/invite/accept/BJzyUziZ" TargetMode="External"/><Relationship Id="rId11" Type="http://schemas.openxmlformats.org/officeDocument/2006/relationships/hyperlink" Target="https://app.markup.io/invite/accept/6eBbBqWh" TargetMode="External"/><Relationship Id="rId5" Type="http://schemas.openxmlformats.org/officeDocument/2006/relationships/hyperlink" Target="https://app.markup.io/invite/accept/BJzyUziZ" TargetMode="External"/><Relationship Id="rId15" Type="http://schemas.openxmlformats.org/officeDocument/2006/relationships/hyperlink" Target="mailto:nschuette@smithbucklin.com" TargetMode="External"/><Relationship Id="rId10" Type="http://schemas.openxmlformats.org/officeDocument/2006/relationships/hyperlink" Target="https://app.markup.io/invite/accept/NEm5ptjr" TargetMode="External"/><Relationship Id="rId19" Type="http://schemas.openxmlformats.org/officeDocument/2006/relationships/hyperlink" Target="https://app.markup.io/invite/accept/WwN0Ax8-" TargetMode="External"/><Relationship Id="rId4" Type="http://schemas.openxmlformats.org/officeDocument/2006/relationships/hyperlink" Target="https://app.markup.io/invite/accept/u9cBzdf-" TargetMode="External"/><Relationship Id="rId9" Type="http://schemas.openxmlformats.org/officeDocument/2006/relationships/hyperlink" Target="https://app.markup.io/invite/accept/wHzxfa-E" TargetMode="External"/><Relationship Id="rId14" Type="http://schemas.openxmlformats.org/officeDocument/2006/relationships/hyperlink" Target="mailto:ASHE@smithbucklin.com"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app.markup.io/invite/accept/5PVSaNo2" TargetMode="External"/><Relationship Id="rId13" Type="http://schemas.openxmlformats.org/officeDocument/2006/relationships/vmlDrawing" Target="../drawings/vmlDrawing2.vml"/><Relationship Id="rId3" Type="http://schemas.openxmlformats.org/officeDocument/2006/relationships/hyperlink" Target="https://mailchi.mp/smithbucklin/ahrmm-scweek23-retargeting" TargetMode="External"/><Relationship Id="rId7" Type="http://schemas.openxmlformats.org/officeDocument/2006/relationships/hyperlink" Target="https://app.markup.io/invite/accept/Ik_naYQP" TargetMode="External"/><Relationship Id="rId12" Type="http://schemas.openxmlformats.org/officeDocument/2006/relationships/vmlDrawing" Target="../drawings/vmlDrawing1.vml"/><Relationship Id="rId2" Type="http://schemas.openxmlformats.org/officeDocument/2006/relationships/hyperlink" Target="https://mailchi.mp/smithbucklin/ahrmm-cant_miss_sponsorships_n-z" TargetMode="External"/><Relationship Id="rId1" Type="http://schemas.openxmlformats.org/officeDocument/2006/relationships/hyperlink" Target="https://mailchi.mp/smithbucklin/ahrmm23_thankyou-n-z-10380803" TargetMode="External"/><Relationship Id="rId6" Type="http://schemas.openxmlformats.org/officeDocument/2006/relationships/hyperlink" Target="https://app.markup.io/invite/accept/_nNzz6CD" TargetMode="External"/><Relationship Id="rId11" Type="http://schemas.openxmlformats.org/officeDocument/2006/relationships/drawing" Target="../drawings/drawing2.xml"/><Relationship Id="rId5" Type="http://schemas.openxmlformats.org/officeDocument/2006/relationships/hyperlink" Target="https://app.markup.io/invite/accept/s25ahNzy" TargetMode="External"/><Relationship Id="rId15" Type="http://schemas.microsoft.com/office/2017/10/relationships/threadedComment" Target="../threadedComments/threadedComment1.xml"/><Relationship Id="rId10" Type="http://schemas.openxmlformats.org/officeDocument/2006/relationships/printerSettings" Target="../printerSettings/printerSettings2.bin"/><Relationship Id="rId4" Type="http://schemas.openxmlformats.org/officeDocument/2006/relationships/hyperlink" Target="https://app.markup.io/invite/accept/kBrSiRpg" TargetMode="External"/><Relationship Id="rId9" Type="http://schemas.openxmlformats.org/officeDocument/2006/relationships/hyperlink" Target="https://app.markup.io/invite/accept/5PVSaNo2"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mailto:ashe@smithbucklin.com" TargetMode="External"/><Relationship Id="rId13" Type="http://schemas.openxmlformats.org/officeDocument/2006/relationships/hyperlink" Target="mailto:ashe@smithbucklin.com" TargetMode="External"/><Relationship Id="rId3" Type="http://schemas.openxmlformats.org/officeDocument/2006/relationships/hyperlink" Target="mailto:ASHE@Smithbucklin.com" TargetMode="External"/><Relationship Id="rId7" Type="http://schemas.openxmlformats.org/officeDocument/2006/relationships/hyperlink" Target="mailto:ashe@smithbucklin.com" TargetMode="External"/><Relationship Id="rId12" Type="http://schemas.openxmlformats.org/officeDocument/2006/relationships/hyperlink" Target="mailto:ashe@smithbucklin.com" TargetMode="External"/><Relationship Id="rId2" Type="http://schemas.openxmlformats.org/officeDocument/2006/relationships/hyperlink" Target="mailto:ASHE@Smithbucklin.com" TargetMode="External"/><Relationship Id="rId16" Type="http://schemas.openxmlformats.org/officeDocument/2006/relationships/drawing" Target="../drawings/drawing3.xml"/><Relationship Id="rId1" Type="http://schemas.openxmlformats.org/officeDocument/2006/relationships/hyperlink" Target="mailto:ASHE@Smithbucklin.com" TargetMode="External"/><Relationship Id="rId6" Type="http://schemas.openxmlformats.org/officeDocument/2006/relationships/hyperlink" Target="https://app.smartsheet.com/b/publish?EQBCT=6f289d995a5c47f39467f523ffce37cf" TargetMode="External"/><Relationship Id="rId11" Type="http://schemas.openxmlformats.org/officeDocument/2006/relationships/hyperlink" Target="mailto:ashe@smithbucklin.com" TargetMode="External"/><Relationship Id="rId5" Type="http://schemas.openxmlformats.org/officeDocument/2006/relationships/hyperlink" Target="mailto:ashe@smithbucklin.com" TargetMode="External"/><Relationship Id="rId15" Type="http://schemas.openxmlformats.org/officeDocument/2006/relationships/printerSettings" Target="../printerSettings/printerSettings3.bin"/><Relationship Id="rId10" Type="http://schemas.openxmlformats.org/officeDocument/2006/relationships/hyperlink" Target="mailto:ashe@smithbucklin.com" TargetMode="External"/><Relationship Id="rId4" Type="http://schemas.openxmlformats.org/officeDocument/2006/relationships/hyperlink" Target="mailto:ASHE@Smithbucklin.com" TargetMode="External"/><Relationship Id="rId9" Type="http://schemas.openxmlformats.org/officeDocument/2006/relationships/hyperlink" Target="mailto:ashe@smithbucklin.com" TargetMode="External"/><Relationship Id="rId14" Type="http://schemas.openxmlformats.org/officeDocument/2006/relationships/hyperlink" Target="mailto:ashe@smithbucklin.co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mailto:ASHE@smithbucklin.com" TargetMode="External"/><Relationship Id="rId21" Type="http://schemas.openxmlformats.org/officeDocument/2006/relationships/hyperlink" Target="mailto:ASHE@smithbucklin.com" TargetMode="External"/><Relationship Id="rId63" Type="http://schemas.openxmlformats.org/officeDocument/2006/relationships/hyperlink" Target="mailto:jeiding@smithbucklin.com" TargetMode="External"/><Relationship Id="rId159" Type="http://schemas.openxmlformats.org/officeDocument/2006/relationships/hyperlink" Target="http://45453794.hs-sites.com/maximize-your-brand" TargetMode="External"/><Relationship Id="rId170" Type="http://schemas.openxmlformats.org/officeDocument/2006/relationships/hyperlink" Target="mailto:ashe@smithbucklin.com" TargetMode="External"/><Relationship Id="rId226" Type="http://schemas.openxmlformats.org/officeDocument/2006/relationships/hyperlink" Target="http://45453794.hs-sites.com/pdc-summit-2026-hfm-preview" TargetMode="External"/><Relationship Id="rId268" Type="http://schemas.openxmlformats.org/officeDocument/2006/relationships/hyperlink" Target="https://45453794.hs-sites.com/hfic-exhibitor-news-4" TargetMode="External"/><Relationship Id="rId32" Type="http://schemas.openxmlformats.org/officeDocument/2006/relationships/hyperlink" Target="mailto:krking@smithbucklin.com" TargetMode="External"/><Relationship Id="rId74" Type="http://schemas.openxmlformats.org/officeDocument/2006/relationships/hyperlink" Target="mailto:krking@smithbucklin.com" TargetMode="External"/><Relationship Id="rId128" Type="http://schemas.openxmlformats.org/officeDocument/2006/relationships/hyperlink" Target="mailto:ashe@smithbucklin.com" TargetMode="External"/><Relationship Id="rId5" Type="http://schemas.openxmlformats.org/officeDocument/2006/relationships/hyperlink" Target="mailto:nschuette@smithbucklin.com" TargetMode="External"/><Relationship Id="rId95" Type="http://schemas.openxmlformats.org/officeDocument/2006/relationships/hyperlink" Target="https://www.jibjab.com/view/template/elf_dance" TargetMode="External"/><Relationship Id="rId160" Type="http://schemas.openxmlformats.org/officeDocument/2006/relationships/hyperlink" Target="mailto:ashe@smithbucklin.com" TargetMode="External"/><Relationship Id="rId181" Type="http://schemas.openxmlformats.org/officeDocument/2006/relationships/hyperlink" Target="http://45453794.hs-sites.com/sustainability-summit-last-call" TargetMode="External"/><Relationship Id="rId216" Type="http://schemas.openxmlformats.org/officeDocument/2006/relationships/hyperlink" Target="http://45453794.hs-sites.com/end-the-year-strong-with-hfm-ashe-advertising" TargetMode="External"/><Relationship Id="rId237" Type="http://schemas.openxmlformats.org/officeDocument/2006/relationships/hyperlink" Target="mailto:jeiding@smithbucklin.com" TargetMode="External"/><Relationship Id="rId258" Type="http://schemas.openxmlformats.org/officeDocument/2006/relationships/hyperlink" Target="https://45453794.hs-sites.com/hfic-core-competency-framework" TargetMode="External"/><Relationship Id="rId22" Type="http://schemas.openxmlformats.org/officeDocument/2006/relationships/hyperlink" Target="mailto:ASHE@Smithbucklin.com" TargetMode="External"/><Relationship Id="rId43" Type="http://schemas.openxmlformats.org/officeDocument/2006/relationships/hyperlink" Target="mailto:ASHE@Smithbucklin.com" TargetMode="External"/><Relationship Id="rId64" Type="http://schemas.openxmlformats.org/officeDocument/2006/relationships/hyperlink" Target="mailto:jeiding@smithbucklin.com" TargetMode="External"/><Relationship Id="rId118" Type="http://schemas.openxmlformats.org/officeDocument/2006/relationships/hyperlink" Target="mailto:jeiding@smithbucklin.com" TargetMode="External"/><Relationship Id="rId139" Type="http://schemas.openxmlformats.org/officeDocument/2006/relationships/hyperlink" Target="http://45453794.hs-sites.com/spring-into-action" TargetMode="External"/><Relationship Id="rId85" Type="http://schemas.openxmlformats.org/officeDocument/2006/relationships/hyperlink" Target="http://45453794.hs-sites.com/secure-your-place-in-the-2025-architecture-for-health-showcase" TargetMode="External"/><Relationship Id="rId150" Type="http://schemas.openxmlformats.org/officeDocument/2006/relationships/hyperlink" Target="mailto:ashe@smithbucklin.com" TargetMode="External"/><Relationship Id="rId171" Type="http://schemas.openxmlformats.org/officeDocument/2006/relationships/hyperlink" Target="http://45453794.hs-sites.com/dont-delay-sustainability-forum" TargetMode="External"/><Relationship Id="rId192" Type="http://schemas.openxmlformats.org/officeDocument/2006/relationships/hyperlink" Target="mailto:jeiding@smithbucklin.com" TargetMode="External"/><Relationship Id="rId206" Type="http://schemas.openxmlformats.org/officeDocument/2006/relationships/hyperlink" Target="http://45453794.hs-sites.com/meet-the-2026-hfic-team" TargetMode="External"/><Relationship Id="rId227" Type="http://schemas.openxmlformats.org/officeDocument/2006/relationships/hyperlink" Target="mailto:ashe@smithbucklin.com" TargetMode="External"/><Relationship Id="rId248" Type="http://schemas.openxmlformats.org/officeDocument/2006/relationships/hyperlink" Target="https://45453794.hs-sites.com/pdc-summit-2026-day-1-recap" TargetMode="External"/><Relationship Id="rId269" Type="http://schemas.openxmlformats.org/officeDocument/2006/relationships/hyperlink" Target="https://45453794.hs-sites.com/hfm-july-deadline" TargetMode="External"/><Relationship Id="rId12" Type="http://schemas.openxmlformats.org/officeDocument/2006/relationships/hyperlink" Target="mailto:nschuette@smithbucklin.com" TargetMode="External"/><Relationship Id="rId33" Type="http://schemas.openxmlformats.org/officeDocument/2006/relationships/hyperlink" Target="mailto:sgriffin@smithbucklin.com" TargetMode="External"/><Relationship Id="rId108" Type="http://schemas.openxmlformats.org/officeDocument/2006/relationships/hyperlink" Target="mailto:ashe@smithbucklin.com" TargetMode="External"/><Relationship Id="rId129" Type="http://schemas.openxmlformats.org/officeDocument/2006/relationships/hyperlink" Target="http://45453794.hs-sites.com/ashe-opportunities-youll-love" TargetMode="External"/><Relationship Id="rId54" Type="http://schemas.openxmlformats.org/officeDocument/2006/relationships/hyperlink" Target="mailto:nschuette@smithbucklin.com" TargetMode="External"/><Relationship Id="rId75" Type="http://schemas.openxmlformats.org/officeDocument/2006/relationships/hyperlink" Target="mailto:sgriffin@smithbucklin.com" TargetMode="External"/><Relationship Id="rId96" Type="http://schemas.openxmlformats.org/officeDocument/2006/relationships/hyperlink" Target="mailto:ASHE@smithbucklin.com" TargetMode="External"/><Relationship Id="rId140" Type="http://schemas.openxmlformats.org/officeDocument/2006/relationships/hyperlink" Target="mailto:ashe@smithbucklin.com" TargetMode="External"/><Relationship Id="rId161" Type="http://schemas.openxmlformats.org/officeDocument/2006/relationships/hyperlink" Target="https://www.ashemarketingsolutions.org/corporate-support/sustainability-initiative/" TargetMode="External"/><Relationship Id="rId182" Type="http://schemas.openxmlformats.org/officeDocument/2006/relationships/hyperlink" Target="http://45453794.hs-sites.com/upcoming-ashe-happenings" TargetMode="External"/><Relationship Id="rId217" Type="http://schemas.openxmlformats.org/officeDocument/2006/relationships/hyperlink" Target="mailto:jeiding@smithbucklin.com" TargetMode="External"/><Relationship Id="rId6" Type="http://schemas.openxmlformats.org/officeDocument/2006/relationships/hyperlink" Target="mailto:Nschuette@smithbucklin.com" TargetMode="External"/><Relationship Id="rId238" Type="http://schemas.openxmlformats.org/officeDocument/2006/relationships/hyperlink" Target="mailto:ashe@smithbucklin.com" TargetMode="External"/><Relationship Id="rId259" Type="http://schemas.openxmlformats.org/officeDocument/2006/relationships/hyperlink" Target="mailto:ashe@smithbucklin.com" TargetMode="External"/><Relationship Id="rId23" Type="http://schemas.openxmlformats.org/officeDocument/2006/relationships/hyperlink" Target="mailto:ASHE@Smithbucklin.com" TargetMode="External"/><Relationship Id="rId119" Type="http://schemas.openxmlformats.org/officeDocument/2006/relationships/hyperlink" Target="mailto:ashe@smithbucklin.com" TargetMode="External"/><Relationship Id="rId270" Type="http://schemas.openxmlformats.org/officeDocument/2006/relationships/printerSettings" Target="../printerSettings/printerSettings4.bin"/><Relationship Id="rId44" Type="http://schemas.openxmlformats.org/officeDocument/2006/relationships/hyperlink" Target="https://app.markup.io/invite/accept/6eBbBqWh" TargetMode="External"/><Relationship Id="rId65" Type="http://schemas.openxmlformats.org/officeDocument/2006/relationships/hyperlink" Target="mailto:jeiding@smithbucklin.com" TargetMode="External"/><Relationship Id="rId86" Type="http://schemas.openxmlformats.org/officeDocument/2006/relationships/hyperlink" Target="http://45453794.hs-sites.com/2025-ashe-marketing-guide-launch" TargetMode="External"/><Relationship Id="rId130" Type="http://schemas.openxmlformats.org/officeDocument/2006/relationships/hyperlink" Target="http://45453794.hs-sites.com/go-beyond-your-hfic-booth-1" TargetMode="External"/><Relationship Id="rId151" Type="http://schemas.openxmlformats.org/officeDocument/2006/relationships/hyperlink" Target="mailto:ashe@smithbucklin.com" TargetMode="External"/><Relationship Id="rId172" Type="http://schemas.openxmlformats.org/officeDocument/2006/relationships/hyperlink" Target="mailto:ashe@smithbucklin.com" TargetMode="External"/><Relationship Id="rId193" Type="http://schemas.openxmlformats.org/officeDocument/2006/relationships/hyperlink" Target="http://45453794.hs-sites.com/ashe-biennial-survey-sponsorship" TargetMode="External"/><Relationship Id="rId207" Type="http://schemas.openxmlformats.org/officeDocument/2006/relationships/hyperlink" Target="http://45453794.hs-sites.com/ashe-pdc-summit-2026-exhibitor-bulletin-1" TargetMode="External"/><Relationship Id="rId228" Type="http://schemas.openxmlformats.org/officeDocument/2006/relationships/hyperlink" Target="http://45453794.hs-sites.com/pdc-summit-2026-exhibitor-webinar-sign-up" TargetMode="External"/><Relationship Id="rId249" Type="http://schemas.openxmlformats.org/officeDocument/2006/relationships/hyperlink" Target="https://45453794.hs-sites.com/pdc-summit-2026-thank-you" TargetMode="External"/><Relationship Id="rId13" Type="http://schemas.openxmlformats.org/officeDocument/2006/relationships/hyperlink" Target="mailto:nschuette@smithbucklin.com" TargetMode="External"/><Relationship Id="rId109" Type="http://schemas.openxmlformats.org/officeDocument/2006/relationships/hyperlink" Target="mailto:ashe@smithbucklin.com" TargetMode="External"/><Relationship Id="rId260" Type="http://schemas.openxmlformats.org/officeDocument/2006/relationships/hyperlink" Target="https://45453794.hs-sites.com/pdc-summit-2027-prospectus-launch" TargetMode="External"/><Relationship Id="rId34" Type="http://schemas.openxmlformats.org/officeDocument/2006/relationships/hyperlink" Target="mailto:nschuette@smithbucklin.com" TargetMode="External"/><Relationship Id="rId55" Type="http://schemas.openxmlformats.org/officeDocument/2006/relationships/hyperlink" Target="http://45453794.hs-sites.com/2024-health-care-facilities-innovation-conference-exhibitor-survey?hs_preview=LnRGUYWZ-173034476037" TargetMode="External"/><Relationship Id="rId76" Type="http://schemas.openxmlformats.org/officeDocument/2006/relationships/hyperlink" Target="mailto:jeiding@smithbucklin.com" TargetMode="External"/><Relationship Id="rId97" Type="http://schemas.openxmlformats.org/officeDocument/2006/relationships/hyperlink" Target="mailto:ASHE@smithbucklin.com" TargetMode="External"/><Relationship Id="rId120" Type="http://schemas.openxmlformats.org/officeDocument/2006/relationships/hyperlink" Target="mailto:ASHE@smithbucklin.com" TargetMode="External"/><Relationship Id="rId141" Type="http://schemas.openxmlformats.org/officeDocument/2006/relationships/hyperlink" Target="mailto:ashe@smithbucklin.com" TargetMode="External"/><Relationship Id="rId7" Type="http://schemas.openxmlformats.org/officeDocument/2006/relationships/hyperlink" Target="https://app.markup.io/invite/accept/rUagOp-4" TargetMode="External"/><Relationship Id="rId162" Type="http://schemas.openxmlformats.org/officeDocument/2006/relationships/hyperlink" Target="http://45453794.hs-sites.com/join-us-at-ashe-academy" TargetMode="External"/><Relationship Id="rId183" Type="http://schemas.openxmlformats.org/officeDocument/2006/relationships/hyperlink" Target="http://45453794.hs-sites.com/hfm-magazine-september/october" TargetMode="External"/><Relationship Id="rId218" Type="http://schemas.openxmlformats.org/officeDocument/2006/relationships/hyperlink" Target="mailto:jeiding@smithbucklin.com" TargetMode="External"/><Relationship Id="rId239" Type="http://schemas.openxmlformats.org/officeDocument/2006/relationships/hyperlink" Target="http://45453794.hs-sites.com/pdc-summit-2027-exhibits-launch" TargetMode="External"/><Relationship Id="rId250" Type="http://schemas.openxmlformats.org/officeDocument/2006/relationships/hyperlink" Target="https://www.ashemarketingsolutions.org/health-care-facilities-innovation-conference/sponsorship-opportunities/" TargetMode="External"/><Relationship Id="rId271" Type="http://schemas.openxmlformats.org/officeDocument/2006/relationships/drawing" Target="../drawings/drawing4.xml"/><Relationship Id="rId24" Type="http://schemas.openxmlformats.org/officeDocument/2006/relationships/hyperlink" Target="mailto:nschuette@smithbucklin.com" TargetMode="External"/><Relationship Id="rId45" Type="http://schemas.openxmlformats.org/officeDocument/2006/relationships/hyperlink" Target="mailto:ASHE@smithbucklin.com" TargetMode="External"/><Relationship Id="rId66" Type="http://schemas.openxmlformats.org/officeDocument/2006/relationships/hyperlink" Target="mailto:jeiding@smithbucklin.com" TargetMode="External"/><Relationship Id="rId87" Type="http://schemas.openxmlformats.org/officeDocument/2006/relationships/hyperlink" Target="mailto:jeiding@smithbucklin.com" TargetMode="External"/><Relationship Id="rId110" Type="http://schemas.openxmlformats.org/officeDocument/2006/relationships/hyperlink" Target="http://45453794.hs-sites.com/reserve-your-hfm-march/april-ad-before-the-holiday-rush" TargetMode="External"/><Relationship Id="rId131" Type="http://schemas.openxmlformats.org/officeDocument/2006/relationships/hyperlink" Target="http://45453794.hs-sites.com/pdc-summit-2026-space-selection-preview" TargetMode="External"/><Relationship Id="rId152" Type="http://schemas.openxmlformats.org/officeDocument/2006/relationships/hyperlink" Target="http://45453794.hs-sites.com/ashe-advertising-opportunities-in-bloom" TargetMode="External"/><Relationship Id="rId173" Type="http://schemas.openxmlformats.org/officeDocument/2006/relationships/hyperlink" Target="http://45453794.hs-sites.com/hfic-exhibitor-newsletter-3" TargetMode="External"/><Relationship Id="rId194" Type="http://schemas.openxmlformats.org/officeDocument/2006/relationships/hyperlink" Target="http://45453794.hs-sites.com/ashe-academy-2025-push" TargetMode="External"/><Relationship Id="rId208" Type="http://schemas.openxmlformats.org/officeDocument/2006/relationships/hyperlink" Target="https://www.ashemarketingsolutions.org/pdc-summit/sponsorship-opportunities/venue-branding/" TargetMode="External"/><Relationship Id="rId229" Type="http://schemas.openxmlformats.org/officeDocument/2006/relationships/hyperlink" Target="http://45453794.hs-sites.com/ashe-happy-holidays-2025" TargetMode="External"/><Relationship Id="rId240" Type="http://schemas.openxmlformats.org/officeDocument/2006/relationships/hyperlink" Target="http://45453794.hs-sites.com/february-2026-advertising" TargetMode="External"/><Relationship Id="rId261" Type="http://schemas.openxmlformats.org/officeDocument/2006/relationships/hyperlink" Target="https://45453794.hs-sites.com/hfic-2026-exhibitor-bulletin-2" TargetMode="External"/><Relationship Id="rId14" Type="http://schemas.openxmlformats.org/officeDocument/2006/relationships/hyperlink" Target="https://app.markup.io/invite/accept/6qlDqWb-" TargetMode="External"/><Relationship Id="rId35" Type="http://schemas.openxmlformats.org/officeDocument/2006/relationships/hyperlink" Target="https://app.markup.io/invite/accept/DlslfKu3" TargetMode="External"/><Relationship Id="rId56" Type="http://schemas.openxmlformats.org/officeDocument/2006/relationships/hyperlink" Target="http://45453794.hs-sites.com/hfm-september-october-advertise?hs_preview=FpAFhCzz-173883764327" TargetMode="External"/><Relationship Id="rId77" Type="http://schemas.openxmlformats.org/officeDocument/2006/relationships/hyperlink" Target="mailto:ASHE@smithbucklin.com" TargetMode="External"/><Relationship Id="rId100" Type="http://schemas.openxmlformats.org/officeDocument/2006/relationships/hyperlink" Target="http://45453794.hs-sites.com/highlight-your-best-health-care-facility-design" TargetMode="External"/><Relationship Id="rId8" Type="http://schemas.openxmlformats.org/officeDocument/2006/relationships/hyperlink" Target="https://app.markup.io/invite/accept/3cLSSPOP" TargetMode="External"/><Relationship Id="rId98" Type="http://schemas.openxmlformats.org/officeDocument/2006/relationships/hyperlink" Target="mailto:ASHE@smithbucklin.com" TargetMode="External"/><Relationship Id="rId121" Type="http://schemas.openxmlformats.org/officeDocument/2006/relationships/hyperlink" Target="https://www.ashemarketingsolutions.org/events/pdc-summit/sponsorship-opportunities/" TargetMode="External"/><Relationship Id="rId142" Type="http://schemas.openxmlformats.org/officeDocument/2006/relationships/hyperlink" Target="mailto:ashe@smithbucklin.com" TargetMode="External"/><Relationship Id="rId163" Type="http://schemas.openxmlformats.org/officeDocument/2006/relationships/hyperlink" Target="http://45453794.hs-sites.com/hfic-venue-branding" TargetMode="External"/><Relationship Id="rId184" Type="http://schemas.openxmlformats.org/officeDocument/2006/relationships/hyperlink" Target="http://45453794.hs-sites.com/space-selection-for-hfic-2026" TargetMode="External"/><Relationship Id="rId219" Type="http://schemas.openxmlformats.org/officeDocument/2006/relationships/hyperlink" Target="mailto:ashe@smithbucklin.com" TargetMode="External"/><Relationship Id="rId230" Type="http://schemas.openxmlformats.org/officeDocument/2006/relationships/hyperlink" Target="http://45453794.hs-sites.com/pdc-summit-2026-exhibitor-webinar-reminder" TargetMode="External"/><Relationship Id="rId251" Type="http://schemas.openxmlformats.org/officeDocument/2006/relationships/hyperlink" Target="mailto:ashe@smithbucklin.com" TargetMode="External"/><Relationship Id="rId25" Type="http://schemas.openxmlformats.org/officeDocument/2006/relationships/hyperlink" Target="https://app.markup.io/invite/accept/px4xn16H" TargetMode="External"/><Relationship Id="rId46" Type="http://schemas.openxmlformats.org/officeDocument/2006/relationships/hyperlink" Target="mailto:ASHE@smithbucklin.com" TargetMode="External"/><Relationship Id="rId67" Type="http://schemas.openxmlformats.org/officeDocument/2006/relationships/hyperlink" Target="mailto:jeiding@smithbucklin.com" TargetMode="External"/><Relationship Id="rId272" Type="http://schemas.openxmlformats.org/officeDocument/2006/relationships/vmlDrawing" Target="../drawings/vmlDrawing3.vml"/><Relationship Id="rId88" Type="http://schemas.openxmlformats.org/officeDocument/2006/relationships/hyperlink" Target="http://45453794.hs-sites.com/start-2025-strong-with-health-facilities-management-hfm-magazine" TargetMode="External"/><Relationship Id="rId111" Type="http://schemas.openxmlformats.org/officeDocument/2006/relationships/hyperlink" Target="http://45453794.hs-sites.com/happy-holidays-from-ashe-sales" TargetMode="External"/><Relationship Id="rId132" Type="http://schemas.openxmlformats.org/officeDocument/2006/relationships/hyperlink" Target="http://45453794.hs-sites.com/exclusive-plan-your-pre-show-advertising" TargetMode="External"/><Relationship Id="rId153" Type="http://schemas.openxmlformats.org/officeDocument/2006/relationships/hyperlink" Target="http://45453794.hs-sites.com/high-impact-low-cost" TargetMode="External"/><Relationship Id="rId174" Type="http://schemas.openxmlformats.org/officeDocument/2006/relationships/hyperlink" Target="http://45453794.hs-sites.com/hfic-exhibitor-webinar-rem" TargetMode="External"/><Relationship Id="rId195" Type="http://schemas.openxmlformats.org/officeDocument/2006/relationships/hyperlink" Target="mailto:jeiding@smithbucklin.com" TargetMode="External"/><Relationship Id="rId209" Type="http://schemas.openxmlformats.org/officeDocument/2006/relationships/hyperlink" Target="mailto:ashe@smithbucklin.com" TargetMode="External"/><Relationship Id="rId220" Type="http://schemas.openxmlformats.org/officeDocument/2006/relationships/hyperlink" Target="mailto:ashe@smithbucklin.com" TargetMode="External"/><Relationship Id="rId241" Type="http://schemas.openxmlformats.org/officeDocument/2006/relationships/hyperlink" Target="http://45453794.hs-sites.com/pdc-summit-2026-space-selection-preview-1" TargetMode="External"/><Relationship Id="rId15" Type="http://schemas.openxmlformats.org/officeDocument/2006/relationships/hyperlink" Target="mailto:krking@smithbucklin.com" TargetMode="External"/><Relationship Id="rId36" Type="http://schemas.openxmlformats.org/officeDocument/2006/relationships/hyperlink" Target="https://app.markup.io/invite/accept/DlslfKu3" TargetMode="External"/><Relationship Id="rId57" Type="http://schemas.openxmlformats.org/officeDocument/2006/relationships/hyperlink" Target="mailto:jeiding@smithbucklin.com" TargetMode="External"/><Relationship Id="rId262" Type="http://schemas.openxmlformats.org/officeDocument/2006/relationships/hyperlink" Target="https://45453794.hs-sites.com/hfic-spons-push-may" TargetMode="External"/><Relationship Id="rId78" Type="http://schemas.openxmlformats.org/officeDocument/2006/relationships/hyperlink" Target="mailto:ashe@smithbucklin.com" TargetMode="External"/><Relationship Id="rId99" Type="http://schemas.openxmlformats.org/officeDocument/2006/relationships/hyperlink" Target="http://45453794.hs-sites.com/sponsor-pdc-summit-2025" TargetMode="External"/><Relationship Id="rId101" Type="http://schemas.openxmlformats.org/officeDocument/2006/relationships/hyperlink" Target="http://45453794.hs-sites.com/pdc-2025-exh-bulletin-2" TargetMode="External"/><Relationship Id="rId122" Type="http://schemas.openxmlformats.org/officeDocument/2006/relationships/hyperlink" Target="http://45453794.hs-sites.com/spotlight-your-best-design-apply-for-2025-architecture-for-health-showcase" TargetMode="External"/><Relationship Id="rId143" Type="http://schemas.openxmlformats.org/officeDocument/2006/relationships/hyperlink" Target="https://calendly.com/" TargetMode="External"/><Relationship Id="rId164" Type="http://schemas.openxmlformats.org/officeDocument/2006/relationships/hyperlink" Target="http://45453794.hs-sites.com/hfic-exhibitor-newsletter-2" TargetMode="External"/><Relationship Id="rId185" Type="http://schemas.openxmlformats.org/officeDocument/2006/relationships/hyperlink" Target="http://45453794.hs-sites.com/hfic-exhibitor-newsletter-4" TargetMode="External"/><Relationship Id="rId9" Type="http://schemas.openxmlformats.org/officeDocument/2006/relationships/hyperlink" Target="https://app.markup.io/invite/accept/ovkkHkg0" TargetMode="External"/><Relationship Id="rId210" Type="http://schemas.openxmlformats.org/officeDocument/2006/relationships/hyperlink" Target="http://45453794.hs-sites.com/pdc-summit-2026-venue-branding" TargetMode="External"/><Relationship Id="rId26" Type="http://schemas.openxmlformats.org/officeDocument/2006/relationships/hyperlink" Target="https://app.markup.io/invite/accept/sG212JZU" TargetMode="External"/><Relationship Id="rId231" Type="http://schemas.openxmlformats.org/officeDocument/2006/relationships/hyperlink" Target="http://45453794.hs-sites.com/ashe-pdc-summit-2026-exhibitor-bulletin-3" TargetMode="External"/><Relationship Id="rId252" Type="http://schemas.openxmlformats.org/officeDocument/2006/relationships/hyperlink" Target="https://45453794.hs-sites.com/hfic-2026-venue-branding" TargetMode="External"/><Relationship Id="rId273" Type="http://schemas.openxmlformats.org/officeDocument/2006/relationships/comments" Target="../comments2.xml"/><Relationship Id="rId47" Type="http://schemas.openxmlformats.org/officeDocument/2006/relationships/hyperlink" Target="mailto:ASHE@smithbucklin.com" TargetMode="External"/><Relationship Id="rId68" Type="http://schemas.openxmlformats.org/officeDocument/2006/relationships/hyperlink" Target="mailto:jeiding@smithbucklin.com" TargetMode="External"/><Relationship Id="rId89" Type="http://schemas.openxmlformats.org/officeDocument/2006/relationships/hyperlink" Target="mailto:jeiding@smithbucklin.com" TargetMode="External"/><Relationship Id="rId112" Type="http://schemas.openxmlformats.org/officeDocument/2006/relationships/hyperlink" Target="mailto:jeiding@smithbucklin.com" TargetMode="External"/><Relationship Id="rId133" Type="http://schemas.openxmlformats.org/officeDocument/2006/relationships/hyperlink" Target="http://45453794.hs-sites.com/reach-health-care-professionals-with-hfm-advertising" TargetMode="External"/><Relationship Id="rId154" Type="http://schemas.openxmlformats.org/officeDocument/2006/relationships/hyperlink" Target="http://45453794.hs-sites.com/hfic-exhibitor-newsletter-1" TargetMode="External"/><Relationship Id="rId175" Type="http://schemas.openxmlformats.org/officeDocument/2006/relationships/hyperlink" Target="mailto:ashe@smithbucklin.com" TargetMode="External"/><Relationship Id="rId196" Type="http://schemas.openxmlformats.org/officeDocument/2006/relationships/hyperlink" Target="mailto:jeiding@smithbucklin.com" TargetMode="External"/><Relationship Id="rId200" Type="http://schemas.openxmlformats.org/officeDocument/2006/relationships/hyperlink" Target="mailto:jeiding@smithbucklin.com" TargetMode="External"/><Relationship Id="rId16" Type="http://schemas.openxmlformats.org/officeDocument/2006/relationships/hyperlink" Target="https://app.markup.io/invite/accept/xI_8OVzy" TargetMode="External"/><Relationship Id="rId221" Type="http://schemas.openxmlformats.org/officeDocument/2006/relationships/hyperlink" Target="http://45453794.hs-sites.com/fall-send-ashe-2026-events" TargetMode="External"/><Relationship Id="rId242" Type="http://schemas.openxmlformats.org/officeDocument/2006/relationships/hyperlink" Target="mailto:krking@smithbucklin.com" TargetMode="External"/><Relationship Id="rId263" Type="http://schemas.openxmlformats.org/officeDocument/2006/relationships/hyperlink" Target="https://45453794.hs-sites.com/hfic-sponsorship-push-2" TargetMode="External"/><Relationship Id="rId37" Type="http://schemas.openxmlformats.org/officeDocument/2006/relationships/hyperlink" Target="https://app.markup.io/invite/accept/DlslfKu3" TargetMode="External"/><Relationship Id="rId58" Type="http://schemas.openxmlformats.org/officeDocument/2006/relationships/hyperlink" Target="mailto:sgriffin@smithbucklin.com" TargetMode="External"/><Relationship Id="rId79" Type="http://schemas.openxmlformats.org/officeDocument/2006/relationships/hyperlink" Target="mailto:ashe@smithbucklin.com" TargetMode="External"/><Relationship Id="rId102" Type="http://schemas.openxmlformats.org/officeDocument/2006/relationships/hyperlink" Target="http://45453794.hs-sites.com/expand-your-ashe-footprint" TargetMode="External"/><Relationship Id="rId123" Type="http://schemas.openxmlformats.org/officeDocument/2006/relationships/hyperlink" Target="mailto:ashe@smithbucklin.com" TargetMode="External"/><Relationship Id="rId144" Type="http://schemas.openxmlformats.org/officeDocument/2006/relationships/hyperlink" Target="mailto:jeiding@smithbucklin.com" TargetMode="External"/><Relationship Id="rId90" Type="http://schemas.openxmlformats.org/officeDocument/2006/relationships/hyperlink" Target="http://45453794.hs-sites.com/secure-your-place-in-the-2025-architecture-for-health-showcase-1" TargetMode="External"/><Relationship Id="rId165" Type="http://schemas.openxmlformats.org/officeDocument/2006/relationships/hyperlink" Target="http://45453794.hs-sites.com/hfm-july/august" TargetMode="External"/><Relationship Id="rId186" Type="http://schemas.openxmlformats.org/officeDocument/2006/relationships/hyperlink" Target="mailto:jeiding@smithbucklin.com" TargetMode="External"/><Relationship Id="rId211" Type="http://schemas.openxmlformats.org/officeDocument/2006/relationships/hyperlink" Target="mailto:ashe@smithbucklin.com" TargetMode="External"/><Relationship Id="rId232" Type="http://schemas.openxmlformats.org/officeDocument/2006/relationships/hyperlink" Target="http://45453794.hs-sites.com/pdc-summit-2026-exhibitor-webinar-thank-you" TargetMode="External"/><Relationship Id="rId253" Type="http://schemas.openxmlformats.org/officeDocument/2006/relationships/hyperlink" Target="mailto:jeiding@smithbucklin.com" TargetMode="External"/><Relationship Id="rId274" Type="http://schemas.microsoft.com/office/2017/10/relationships/threadedComment" Target="../threadedComments/threadedComment2.xml"/><Relationship Id="rId27" Type="http://schemas.openxmlformats.org/officeDocument/2006/relationships/hyperlink" Target="mailto:ASHE@Smithbucklin.com" TargetMode="External"/><Relationship Id="rId48" Type="http://schemas.openxmlformats.org/officeDocument/2006/relationships/hyperlink" Target="mailto:ASHE@Smithbucklin.com" TargetMode="External"/><Relationship Id="rId69" Type="http://schemas.openxmlformats.org/officeDocument/2006/relationships/hyperlink" Target="http://45453794.hs-sites.com/ashe-hfm-advertising-packages?hs_preview=WlWujryQ-177978465389" TargetMode="External"/><Relationship Id="rId113" Type="http://schemas.openxmlformats.org/officeDocument/2006/relationships/hyperlink" Target="mailto:jeiding@smithbucklin.com" TargetMode="External"/><Relationship Id="rId134" Type="http://schemas.openxmlformats.org/officeDocument/2006/relationships/hyperlink" Target="mailto:jeiding@smithbucklin.com" TargetMode="External"/><Relationship Id="rId80" Type="http://schemas.openxmlformats.org/officeDocument/2006/relationships/hyperlink" Target="http://45453794.hs-sites.com/arch-showcase-launch-2025" TargetMode="External"/><Relationship Id="rId155" Type="http://schemas.openxmlformats.org/officeDocument/2006/relationships/hyperlink" Target="http://45453794.hs-sites.com/aha-sustainability-forum" TargetMode="External"/><Relationship Id="rId176" Type="http://schemas.openxmlformats.org/officeDocument/2006/relationships/hyperlink" Target="http://45453794.hs-sites.com/hfic-exhibitor-webinar-thank-you" TargetMode="External"/><Relationship Id="rId197" Type="http://schemas.openxmlformats.org/officeDocument/2006/relationships/hyperlink" Target="http://45453794.hs-sites.com/hfm-november-december-2025" TargetMode="External"/><Relationship Id="rId201" Type="http://schemas.openxmlformats.org/officeDocument/2006/relationships/hyperlink" Target="mailto:ashe@smithbucklin.com" TargetMode="External"/><Relationship Id="rId222" Type="http://schemas.openxmlformats.org/officeDocument/2006/relationships/hyperlink" Target="http://45453794.hs-sites.com/deadline-soon-2026-architecture-for-health-showcase" TargetMode="External"/><Relationship Id="rId243" Type="http://schemas.openxmlformats.org/officeDocument/2006/relationships/hyperlink" Target="https://45453794.hs-sites.com/pdc-2027-space-selection-top-partners" TargetMode="External"/><Relationship Id="rId264" Type="http://schemas.openxmlformats.org/officeDocument/2006/relationships/hyperlink" Target="https://45453794.hs-sites.com/hfic-sponsorships-3" TargetMode="External"/><Relationship Id="rId17" Type="http://schemas.openxmlformats.org/officeDocument/2006/relationships/hyperlink" Target="https://app.markup.io/invite/accept/NxC0YLec" TargetMode="External"/><Relationship Id="rId38" Type="http://schemas.openxmlformats.org/officeDocument/2006/relationships/hyperlink" Target="https://app.markup.io/invite/accept/DlslfKu3" TargetMode="External"/><Relationship Id="rId59" Type="http://schemas.openxmlformats.org/officeDocument/2006/relationships/hyperlink" Target="mailto:ASHE@smithbucklin.com" TargetMode="External"/><Relationship Id="rId103" Type="http://schemas.openxmlformats.org/officeDocument/2006/relationships/hyperlink" Target="http://45453794.hs-sites.com/join-us-at-pdc-summit-2025" TargetMode="External"/><Relationship Id="rId124" Type="http://schemas.openxmlformats.org/officeDocument/2006/relationships/hyperlink" Target="http://45453794.hs-sites.com/take-your-pdc-summit-2025-involvement-a-step-further" TargetMode="External"/><Relationship Id="rId70" Type="http://schemas.openxmlformats.org/officeDocument/2006/relationships/hyperlink" Target="http://45453794.hs-sites.com/2025-pdc-summit-exhibit?hs_preview=PoZciCcB-174754766878" TargetMode="External"/><Relationship Id="rId91" Type="http://schemas.openxmlformats.org/officeDocument/2006/relationships/hyperlink" Target="http://45453794.hs-sites.com/dont-delay-advertise-with-health-facilities-management-hfm-magazine" TargetMode="External"/><Relationship Id="rId145" Type="http://schemas.openxmlformats.org/officeDocument/2006/relationships/hyperlink" Target="https://www.ashemarketingsolutions.org/lead-generation/" TargetMode="External"/><Relationship Id="rId166" Type="http://schemas.openxmlformats.org/officeDocument/2006/relationships/hyperlink" Target="mailto:ashe@smithbucklin.com" TargetMode="External"/><Relationship Id="rId187" Type="http://schemas.openxmlformats.org/officeDocument/2006/relationships/hyperlink" Target="http://45453794.hs-sites.com/hfic-2026-space-selection-reminder" TargetMode="External"/><Relationship Id="rId1" Type="http://schemas.openxmlformats.org/officeDocument/2006/relationships/hyperlink" Target="mailto:Nschuette@smithbucklin.com" TargetMode="External"/><Relationship Id="rId212" Type="http://schemas.openxmlformats.org/officeDocument/2006/relationships/hyperlink" Target="http://45453794.hs-sites.com/first-look-see-the-2026-health-care-facilities-innovation-conference-prospectus" TargetMode="External"/><Relationship Id="rId233" Type="http://schemas.openxmlformats.org/officeDocument/2006/relationships/hyperlink" Target="http://45453794.hs-sites.com/pdc-summit-2026-webinar-last-call" TargetMode="External"/><Relationship Id="rId254" Type="http://schemas.openxmlformats.org/officeDocument/2006/relationships/hyperlink" Target="https://45453794.hs-sites.com/last-call-hfm-magazine-summer" TargetMode="External"/><Relationship Id="rId28" Type="http://schemas.openxmlformats.org/officeDocument/2006/relationships/hyperlink" Target="https://app.markup.io/invite/accept/Idig3xIK" TargetMode="External"/><Relationship Id="rId49" Type="http://schemas.openxmlformats.org/officeDocument/2006/relationships/hyperlink" Target="mailto:ASHE@Smithbucklin.com" TargetMode="External"/><Relationship Id="rId114" Type="http://schemas.openxmlformats.org/officeDocument/2006/relationships/hyperlink" Target="https://www.ashemarketingsolutions.org/events/architecture-showcase/" TargetMode="External"/><Relationship Id="rId60" Type="http://schemas.openxmlformats.org/officeDocument/2006/relationships/hyperlink" Target="mailto:jeiding@smithbucklin.com" TargetMode="External"/><Relationship Id="rId81" Type="http://schemas.openxmlformats.org/officeDocument/2006/relationships/hyperlink" Target="http://45453794.hs-sites.com/health-care-facilities-innovation-conference-2025" TargetMode="External"/><Relationship Id="rId135" Type="http://schemas.openxmlformats.org/officeDocument/2006/relationships/hyperlink" Target="http://45453794.hs-sites.com/ashe-pdc-2025-exhibitor-bulletin-4" TargetMode="External"/><Relationship Id="rId156" Type="http://schemas.openxmlformats.org/officeDocument/2006/relationships/hyperlink" Target="https://www.ashemarketingsolutions.org/events/ashe-academy/" TargetMode="External"/><Relationship Id="rId177" Type="http://schemas.openxmlformats.org/officeDocument/2006/relationships/hyperlink" Target="mailto:ashe@smithbucklin.com" TargetMode="External"/><Relationship Id="rId198" Type="http://schemas.openxmlformats.org/officeDocument/2006/relationships/hyperlink" Target="mailto:ashe@smithbucklin.com" TargetMode="External"/><Relationship Id="rId202" Type="http://schemas.openxmlformats.org/officeDocument/2006/relationships/hyperlink" Target="mailto:ashe@smithbucklin.com" TargetMode="External"/><Relationship Id="rId223" Type="http://schemas.openxmlformats.org/officeDocument/2006/relationships/hyperlink" Target="http://45453794.hs-sites.com/ashe-pdc-summit-2026-exhibitor-bulletin-2" TargetMode="External"/><Relationship Id="rId244" Type="http://schemas.openxmlformats.org/officeDocument/2006/relationships/hyperlink" Target="https://45453794.hs-sites.com/pdc-summit-2027-space-selection-appointment" TargetMode="External"/><Relationship Id="rId18" Type="http://schemas.openxmlformats.org/officeDocument/2006/relationships/hyperlink" Target="mailto:ASHE@Smithbucklin.com" TargetMode="External"/><Relationship Id="rId39" Type="http://schemas.openxmlformats.org/officeDocument/2006/relationships/hyperlink" Target="https://app.markup.io/invite/accept/DlslfKu3" TargetMode="External"/><Relationship Id="rId265" Type="http://schemas.openxmlformats.org/officeDocument/2006/relationships/hyperlink" Target="https://45453794.hs-sites.com/hfic-exhibitor-bulletin-3" TargetMode="External"/><Relationship Id="rId50" Type="http://schemas.openxmlformats.org/officeDocument/2006/relationships/hyperlink" Target="mailto:sgriffin@smithbucklin.com" TargetMode="External"/><Relationship Id="rId104" Type="http://schemas.openxmlformats.org/officeDocument/2006/relationships/hyperlink" Target="http://45453794.hs-sites.com/go-beyond-your-hfic-booth" TargetMode="External"/><Relationship Id="rId125" Type="http://schemas.openxmlformats.org/officeDocument/2006/relationships/hyperlink" Target="mailto:ASHE@smithbucklin.com" TargetMode="External"/><Relationship Id="rId146" Type="http://schemas.openxmlformats.org/officeDocument/2006/relationships/hyperlink" Target="http://45453794.hs-sites.com/pdc-summit-2025-thank-you-exhibitor-survey" TargetMode="External"/><Relationship Id="rId167" Type="http://schemas.openxmlformats.org/officeDocument/2006/relationships/hyperlink" Target="mailto:ashe@smithbucklin.com" TargetMode="External"/><Relationship Id="rId188" Type="http://schemas.openxmlformats.org/officeDocument/2006/relationships/hyperlink" Target="http://45453794.hs-sites.com/hfic-2025-thank-you-survey" TargetMode="External"/><Relationship Id="rId71" Type="http://schemas.openxmlformats.org/officeDocument/2006/relationships/hyperlink" Target="https://app.smartsheet.com/b/publish?EQBCT=6f289d995a5c47f39467f523ffce37cf" TargetMode="External"/><Relationship Id="rId92" Type="http://schemas.openxmlformats.org/officeDocument/2006/relationships/hyperlink" Target="mailto:ASHE@smithbucklin.com" TargetMode="External"/><Relationship Id="rId213" Type="http://schemas.openxmlformats.org/officeDocument/2006/relationships/hyperlink" Target="http://45453794.hs-sites.com/2026-health-care-facilities-innovation-conference-prospectus-launch" TargetMode="External"/><Relationship Id="rId234" Type="http://schemas.openxmlformats.org/officeDocument/2006/relationships/hyperlink" Target="http://45453794.hs-sites.com/2026-architecture-for-health-showcase-last-call" TargetMode="External"/><Relationship Id="rId2" Type="http://schemas.openxmlformats.org/officeDocument/2006/relationships/hyperlink" Target="mailto:Nschuette@smithbucklin.com" TargetMode="External"/><Relationship Id="rId29" Type="http://schemas.openxmlformats.org/officeDocument/2006/relationships/hyperlink" Target="mailto:ASHE@Smithbucklin.com" TargetMode="External"/><Relationship Id="rId255" Type="http://schemas.openxmlformats.org/officeDocument/2006/relationships/hyperlink" Target="mailto:ashe@smithbucklin.com" TargetMode="External"/><Relationship Id="rId40" Type="http://schemas.openxmlformats.org/officeDocument/2006/relationships/hyperlink" Target="mailto:ASHE@Smithbucklin.com" TargetMode="External"/><Relationship Id="rId115" Type="http://schemas.openxmlformats.org/officeDocument/2006/relationships/hyperlink" Target="http://45453794.hs-sites.com/whats-in-store-for-ashe-in-2025" TargetMode="External"/><Relationship Id="rId136" Type="http://schemas.openxmlformats.org/officeDocument/2006/relationships/hyperlink" Target="http://45453794.hs-sites.com/join-us-at-health-facilities-innovation-conference-2025" TargetMode="External"/><Relationship Id="rId157" Type="http://schemas.openxmlformats.org/officeDocument/2006/relationships/hyperlink" Target="mailto:ashe@smithbucklin.com" TargetMode="External"/><Relationship Id="rId178" Type="http://schemas.openxmlformats.org/officeDocument/2006/relationships/hyperlink" Target="mailto:ashe@smithbucklin.com" TargetMode="External"/><Relationship Id="rId61" Type="http://schemas.openxmlformats.org/officeDocument/2006/relationships/hyperlink" Target="mailto:jeiding@smithbucklin.com" TargetMode="External"/><Relationship Id="rId82" Type="http://schemas.openxmlformats.org/officeDocument/2006/relationships/hyperlink" Target="https://www.ashemarketingsolutions.org/hfm-magazine/editorial-calendar/" TargetMode="External"/><Relationship Id="rId199" Type="http://schemas.openxmlformats.org/officeDocument/2006/relationships/hyperlink" Target="http://45453794.hs-sites.com/hfic-2026-exhibitor-launch" TargetMode="External"/><Relationship Id="rId203" Type="http://schemas.openxmlformats.org/officeDocument/2006/relationships/hyperlink" Target="http://45453794.hs-sites.com/ashe-end-of-year-advertising" TargetMode="External"/><Relationship Id="rId19" Type="http://schemas.openxmlformats.org/officeDocument/2006/relationships/hyperlink" Target="mailto:ASHE@smithbucklin.com" TargetMode="External"/><Relationship Id="rId224" Type="http://schemas.openxmlformats.org/officeDocument/2006/relationships/hyperlink" Target="http://45453794.hs-sites.com/ashe-2026-media-kit-launch" TargetMode="External"/><Relationship Id="rId245" Type="http://schemas.openxmlformats.org/officeDocument/2006/relationships/hyperlink" Target="https://45453794.hs-sites.com/your-pdc-summit-2027-space-selection-reminder" TargetMode="External"/><Relationship Id="rId266" Type="http://schemas.openxmlformats.org/officeDocument/2006/relationships/hyperlink" Target="https://45453794.hs-sites.com/hfm-june" TargetMode="External"/><Relationship Id="rId30" Type="http://schemas.openxmlformats.org/officeDocument/2006/relationships/hyperlink" Target="mailto:nschuette@smithbucklin.com" TargetMode="External"/><Relationship Id="rId105" Type="http://schemas.openxmlformats.org/officeDocument/2006/relationships/hyperlink" Target="mailto:jeiding@smithbucklin.com" TargetMode="External"/><Relationship Id="rId126" Type="http://schemas.openxmlformats.org/officeDocument/2006/relationships/hyperlink" Target="http://45453794.hs-sites.com/ashe-pdc-2025-exhibitor-bulletin-3" TargetMode="External"/><Relationship Id="rId147" Type="http://schemas.openxmlformats.org/officeDocument/2006/relationships/hyperlink" Target="http://45453794.hs-sites.com/go-beyond-your-booth" TargetMode="External"/><Relationship Id="rId168" Type="http://schemas.openxmlformats.org/officeDocument/2006/relationships/hyperlink" Target="http://45453794.hs-sites.com/sustainability-initiative" TargetMode="External"/><Relationship Id="rId51" Type="http://schemas.openxmlformats.org/officeDocument/2006/relationships/hyperlink" Target="mailto:krking@smithbucklin.com" TargetMode="External"/><Relationship Id="rId72" Type="http://schemas.openxmlformats.org/officeDocument/2006/relationships/hyperlink" Target="mailto:sgriffin@smithbucklin.com" TargetMode="External"/><Relationship Id="rId93" Type="http://schemas.openxmlformats.org/officeDocument/2006/relationships/hyperlink" Target="mailto:jeiding@smithbucklin.com" TargetMode="External"/><Relationship Id="rId189" Type="http://schemas.openxmlformats.org/officeDocument/2006/relationships/hyperlink" Target="http://45453794.hs-sites.com/hfic-2025-survey-reminder" TargetMode="External"/><Relationship Id="rId3" Type="http://schemas.openxmlformats.org/officeDocument/2006/relationships/hyperlink" Target="https://app.markup.io/invite/accept/Qzpj6ef3" TargetMode="External"/><Relationship Id="rId214" Type="http://schemas.openxmlformats.org/officeDocument/2006/relationships/hyperlink" Target="http://45453794.hs-sites.com/arch-showcase-2026-launch" TargetMode="External"/><Relationship Id="rId235" Type="http://schemas.openxmlformats.org/officeDocument/2006/relationships/hyperlink" Target="http://45453794.hs-sites.com/ashe-pdc-summit-2026-exhibitor-bulletin-4" TargetMode="External"/><Relationship Id="rId256" Type="http://schemas.openxmlformats.org/officeDocument/2006/relationships/hyperlink" Target="https://45453794.hs-sites.com/hfic-2026-lanyards" TargetMode="External"/><Relationship Id="rId116" Type="http://schemas.openxmlformats.org/officeDocument/2006/relationships/hyperlink" Target="mailto:jeiding@smithbucklin.com" TargetMode="External"/><Relationship Id="rId137" Type="http://schemas.openxmlformats.org/officeDocument/2006/relationships/hyperlink" Target="http://45453794.hs-sites.com/pdc-summit-2026-space-selection-details" TargetMode="External"/><Relationship Id="rId158" Type="http://schemas.openxmlformats.org/officeDocument/2006/relationships/hyperlink" Target="mailto:ashe@smithbucklin.com" TargetMode="External"/><Relationship Id="rId20" Type="http://schemas.openxmlformats.org/officeDocument/2006/relationships/hyperlink" Target="mailto:ASHE@Smithbucklin.com" TargetMode="External"/><Relationship Id="rId41" Type="http://schemas.openxmlformats.org/officeDocument/2006/relationships/hyperlink" Target="mailto:ASHE@Smithbucklin.com" TargetMode="External"/><Relationship Id="rId62" Type="http://schemas.openxmlformats.org/officeDocument/2006/relationships/hyperlink" Target="mailto:jeiding@smithbucklin.com" TargetMode="External"/><Relationship Id="rId83" Type="http://schemas.openxmlformats.org/officeDocument/2006/relationships/hyperlink" Target="mailto:ASHE@smithbucklin.com" TargetMode="External"/><Relationship Id="rId179" Type="http://schemas.openxmlformats.org/officeDocument/2006/relationships/hyperlink" Target="http://45453794.hs-sites.com/act-now-hfic-booths" TargetMode="External"/><Relationship Id="rId190" Type="http://schemas.openxmlformats.org/officeDocument/2006/relationships/hyperlink" Target="mailto:jeiding@smithbucklin.com" TargetMode="External"/><Relationship Id="rId204" Type="http://schemas.openxmlformats.org/officeDocument/2006/relationships/hyperlink" Target="mailto:ashe@smithbucklin.com" TargetMode="External"/><Relationship Id="rId225" Type="http://schemas.openxmlformats.org/officeDocument/2006/relationships/hyperlink" Target="mailto:jeiding@smithbucklin.com" TargetMode="External"/><Relationship Id="rId246" Type="http://schemas.openxmlformats.org/officeDocument/2006/relationships/hyperlink" Target="https://45453794.hs-sites.com/call-for-advertising-hfm-magazine-summer-preview" TargetMode="External"/><Relationship Id="rId267" Type="http://schemas.openxmlformats.org/officeDocument/2006/relationships/hyperlink" Target="https://45453794.hs-sites.com/hfic-post-event-advertising" TargetMode="External"/><Relationship Id="rId106" Type="http://schemas.openxmlformats.org/officeDocument/2006/relationships/hyperlink" Target="mailto:ashe@smithbucklin.com" TargetMode="External"/><Relationship Id="rId127" Type="http://schemas.openxmlformats.org/officeDocument/2006/relationships/hyperlink" Target="http://45453794.hs-sites.com/plan-your-pre-show-advertising" TargetMode="External"/><Relationship Id="rId10" Type="http://schemas.openxmlformats.org/officeDocument/2006/relationships/hyperlink" Target="https://app.markup.io/invite/accept/ovkkHkg0" TargetMode="External"/><Relationship Id="rId31" Type="http://schemas.openxmlformats.org/officeDocument/2006/relationships/hyperlink" Target="mailto:ASHE@Smithbucklin.com" TargetMode="External"/><Relationship Id="rId52" Type="http://schemas.openxmlformats.org/officeDocument/2006/relationships/hyperlink" Target="mailto:Krking@smithbucklin.com" TargetMode="External"/><Relationship Id="rId73" Type="http://schemas.openxmlformats.org/officeDocument/2006/relationships/hyperlink" Target="http://45453794.hs-sites.com/2025-pdc-summit-exhibit?hs_preview=PoZciCcB-174754766878" TargetMode="External"/><Relationship Id="rId94" Type="http://schemas.openxmlformats.org/officeDocument/2006/relationships/hyperlink" Target="mailto:jeiding@smithbucklin.com" TargetMode="External"/><Relationship Id="rId148" Type="http://schemas.openxmlformats.org/officeDocument/2006/relationships/hyperlink" Target="http://45453794.hs-sites.com/pdc-summit-2025-survey-reminder" TargetMode="External"/><Relationship Id="rId169" Type="http://schemas.openxmlformats.org/officeDocument/2006/relationships/hyperlink" Target="http://45453794.hs-sites.com/secure-your-booth-at-hfic-2025" TargetMode="External"/><Relationship Id="rId4" Type="http://schemas.openxmlformats.org/officeDocument/2006/relationships/hyperlink" Target="https://app.markup.io/invite/accept/n9LMSYkf" TargetMode="External"/><Relationship Id="rId180" Type="http://schemas.openxmlformats.org/officeDocument/2006/relationships/hyperlink" Target="http://45453794.hs-sites.com/hfic-2026-space-selection-save-the-date" TargetMode="External"/><Relationship Id="rId215" Type="http://schemas.openxmlformats.org/officeDocument/2006/relationships/hyperlink" Target="mailto:jeiding@smithbucklin.com" TargetMode="External"/><Relationship Id="rId236" Type="http://schemas.openxmlformats.org/officeDocument/2006/relationships/hyperlink" Target="mailto:jeiding@smithbucklin.com" TargetMode="External"/><Relationship Id="rId257" Type="http://schemas.openxmlformats.org/officeDocument/2006/relationships/hyperlink" Target="https://45453794.hs-sites.com/hfic-2026-exhibitor-bulletin-1" TargetMode="External"/><Relationship Id="rId42" Type="http://schemas.openxmlformats.org/officeDocument/2006/relationships/hyperlink" Target="mailto:ASHE@Smithbucklin.com" TargetMode="External"/><Relationship Id="rId84" Type="http://schemas.openxmlformats.org/officeDocument/2006/relationships/hyperlink" Target="mailto:jeiding@smithbucklin.com" TargetMode="External"/><Relationship Id="rId138" Type="http://schemas.openxmlformats.org/officeDocument/2006/relationships/hyperlink" Target="http://45453794.hs-sites.com/reminder-your-pdc-summit-2026-space-selection-details" TargetMode="External"/><Relationship Id="rId191" Type="http://schemas.openxmlformats.org/officeDocument/2006/relationships/hyperlink" Target="mailto:ashe@smithbucklin.com" TargetMode="External"/><Relationship Id="rId205" Type="http://schemas.openxmlformats.org/officeDocument/2006/relationships/hyperlink" Target="http://45453794.hs-sites.com/hfic-2026-sponsorships-coming-soon" TargetMode="External"/><Relationship Id="rId247" Type="http://schemas.openxmlformats.org/officeDocument/2006/relationships/hyperlink" Target="mailto:ashe@smithbucklin.com" TargetMode="External"/><Relationship Id="rId107" Type="http://schemas.openxmlformats.org/officeDocument/2006/relationships/hyperlink" Target="mailto:ashe@smithbucklin.com" TargetMode="External"/><Relationship Id="rId11" Type="http://schemas.openxmlformats.org/officeDocument/2006/relationships/hyperlink" Target="mailto:sgriffin@smithbucklin.com" TargetMode="External"/><Relationship Id="rId53" Type="http://schemas.openxmlformats.org/officeDocument/2006/relationships/hyperlink" Target="mailto:sgriffin@smithbucklin.com" TargetMode="External"/><Relationship Id="rId149" Type="http://schemas.openxmlformats.org/officeDocument/2006/relationships/hyperlink" Target="http://45453794.hs-sites.com/spring-into-hfic-action"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shsmd@smithbucklin.com" TargetMode="External"/><Relationship Id="rId21" Type="http://schemas.openxmlformats.org/officeDocument/2006/relationships/hyperlink" Target="mailto:jeiding@smithbucklin.com" TargetMode="External"/><Relationship Id="rId42" Type="http://schemas.openxmlformats.org/officeDocument/2006/relationships/hyperlink" Target="mailto:jeiding@smithbucklin.com" TargetMode="External"/><Relationship Id="rId63" Type="http://schemas.openxmlformats.org/officeDocument/2006/relationships/hyperlink" Target="http://47186043.hs-sites.com/reach-health-care-strategist-and-marketers-at-shsmd-connections-2025-%F0%9F%A4%9D" TargetMode="External"/><Relationship Id="rId84" Type="http://schemas.openxmlformats.org/officeDocument/2006/relationships/hyperlink" Target="http://47186043.hs-sites.com/still-interested-in-sponsorships-2" TargetMode="External"/><Relationship Id="rId138" Type="http://schemas.openxmlformats.org/officeDocument/2006/relationships/hyperlink" Target="http://47186043.hs-sites.com/shsmd-futurescan-sponsorship" TargetMode="External"/><Relationship Id="rId159" Type="http://schemas.openxmlformats.org/officeDocument/2006/relationships/hyperlink" Target="http://47186043.hs-sites.com/reminder-fill-out-a-quick-shsmd-connections-2025-survey-1" TargetMode="External"/><Relationship Id="rId170" Type="http://schemas.openxmlformats.org/officeDocument/2006/relationships/hyperlink" Target="https://47186043.hs-sites.com/shsmd-connections-2026-booth-push" TargetMode="External"/><Relationship Id="rId191" Type="http://schemas.openxmlformats.org/officeDocument/2006/relationships/hyperlink" Target="https://www.shsmdmediakit.org/five-ways-to-own-the-shsmd-solution-center-floor" TargetMode="External"/><Relationship Id="rId107" Type="http://schemas.openxmlformats.org/officeDocument/2006/relationships/hyperlink" Target="http://47186043.hs-sites.com/act-now-sponsor-shsmds-networking-social" TargetMode="External"/><Relationship Id="rId11" Type="http://schemas.openxmlformats.org/officeDocument/2006/relationships/hyperlink" Target="http://47186043.hs-sites.com/shsmd-2025-new-advertising" TargetMode="External"/><Relationship Id="rId32" Type="http://schemas.openxmlformats.org/officeDocument/2006/relationships/hyperlink" Target="https://www.shsmdmediakit.org/year-round-digital-advertising/" TargetMode="External"/><Relationship Id="rId53" Type="http://schemas.openxmlformats.org/officeDocument/2006/relationships/hyperlink" Target="mailto:shsmd@smithbucklin.com" TargetMode="External"/><Relationship Id="rId74" Type="http://schemas.openxmlformats.org/officeDocument/2006/relationships/hyperlink" Target="mailto:jeiding@smithbucklin.com" TargetMode="External"/><Relationship Id="rId128" Type="http://schemas.openxmlformats.org/officeDocument/2006/relationships/hyperlink" Target="mailto:jeiding@smithbucklin.com" TargetMode="External"/><Relationship Id="rId149" Type="http://schemas.openxmlformats.org/officeDocument/2006/relationships/hyperlink" Target="http://47186043.hs-sites.com/shsmd-2025-thank-you-survey" TargetMode="External"/><Relationship Id="rId5" Type="http://schemas.openxmlformats.org/officeDocument/2006/relationships/hyperlink" Target="http://47186043.hs-sites.com/dont-delay-get-ahead-with-2025-shsmd-advertising" TargetMode="External"/><Relationship Id="rId95" Type="http://schemas.openxmlformats.org/officeDocument/2006/relationships/hyperlink" Target="http://47186043.hs-sites.com/enhance-your-shsmd-connections-2025-experience" TargetMode="External"/><Relationship Id="rId160" Type="http://schemas.openxmlformats.org/officeDocument/2006/relationships/hyperlink" Target="http://47186043.hs-sites.com/happy-holidays-shsmd-2025" TargetMode="External"/><Relationship Id="rId181" Type="http://schemas.openxmlformats.org/officeDocument/2006/relationships/hyperlink" Target="https://47186043.hs-sites.com/low-cost-high-reward-advertising-with-shsmd" TargetMode="External"/><Relationship Id="rId22" Type="http://schemas.openxmlformats.org/officeDocument/2006/relationships/hyperlink" Target="mailto:sgriffin@smithbucklin.com" TargetMode="External"/><Relationship Id="rId43" Type="http://schemas.openxmlformats.org/officeDocument/2006/relationships/hyperlink" Target="mailto:jeiding@smithbucklin.com" TargetMode="External"/><Relationship Id="rId64" Type="http://schemas.openxmlformats.org/officeDocument/2006/relationships/hyperlink" Target="mailto:jeiding@smithbucklin.com" TargetMode="External"/><Relationship Id="rId118" Type="http://schemas.openxmlformats.org/officeDocument/2006/relationships/hyperlink" Target="mailto:shsmd@smithbucklin.com" TargetMode="External"/><Relationship Id="rId139" Type="http://schemas.openxmlformats.org/officeDocument/2006/relationships/hyperlink" Target="http://47186043.hs-sites.com/shsmd-connections-2025-session-tracks" TargetMode="External"/><Relationship Id="rId85" Type="http://schemas.openxmlformats.org/officeDocument/2006/relationships/hyperlink" Target="http://47186043.hs-sites.com/dont-delay-sponsorship" TargetMode="External"/><Relationship Id="rId150" Type="http://schemas.openxmlformats.org/officeDocument/2006/relationships/hyperlink" Target="http://47186043.hs-sites.com/reminder-fill-out-a-quick-shsmd-connections-2025-survey" TargetMode="External"/><Relationship Id="rId171" Type="http://schemas.openxmlformats.org/officeDocument/2006/relationships/hyperlink" Target="https://47186043.hs-sites.com/shsmd-march-advertising" TargetMode="External"/><Relationship Id="rId192" Type="http://schemas.openxmlformats.org/officeDocument/2006/relationships/hyperlink" Target="https://us6.campaign-archive.com/?e=__test_email__&amp;u=97c5aa1f46&amp;id=3cda10a2d8" TargetMode="External"/><Relationship Id="rId12" Type="http://schemas.openxmlformats.org/officeDocument/2006/relationships/hyperlink" Target="http://47186043.hs-sites.com/new-year-new-shsmd-opportunities" TargetMode="External"/><Relationship Id="rId33" Type="http://schemas.openxmlformats.org/officeDocument/2006/relationships/hyperlink" Target="https://www.shsmdmediakit.org/year-round-digital-advertising/" TargetMode="External"/><Relationship Id="rId108" Type="http://schemas.openxmlformats.org/officeDocument/2006/relationships/hyperlink" Target="http://47186043.hs-sites.com/exclusive-sponsor-shsmds-networking-social" TargetMode="External"/><Relationship Id="rId129" Type="http://schemas.openxmlformats.org/officeDocument/2006/relationships/hyperlink" Target="http://47186043.hs-sites.com/shsmd-booth-follow-up" TargetMode="External"/><Relationship Id="rId54" Type="http://schemas.openxmlformats.org/officeDocument/2006/relationships/hyperlink" Target="mailto:shsmd@smithbucklin.com" TargetMode="External"/><Relationship Id="rId75" Type="http://schemas.openxmlformats.org/officeDocument/2006/relationships/hyperlink" Target="http://47186043.hs-sites.com/will-we-see-you-at-shsmd-connections-2025" TargetMode="External"/><Relationship Id="rId96" Type="http://schemas.openxmlformats.org/officeDocument/2006/relationships/hyperlink" Target="mailto:jeiding@smithbucklin.com" TargetMode="External"/><Relationship Id="rId140" Type="http://schemas.openxmlformats.org/officeDocument/2006/relationships/hyperlink" Target="http://47186043.hs-sites.com/few-connections-booths-remain" TargetMode="External"/><Relationship Id="rId161" Type="http://schemas.openxmlformats.org/officeDocument/2006/relationships/hyperlink" Target="http://47186043.hs-sites.com/shsmd-2026-advertising-launch" TargetMode="External"/><Relationship Id="rId182" Type="http://schemas.openxmlformats.org/officeDocument/2006/relationships/hyperlink" Target="https://47186043.hs-sites.com/claim-your-spot-on-the-shsmd-connections-floor" TargetMode="External"/><Relationship Id="rId6" Type="http://schemas.openxmlformats.org/officeDocument/2006/relationships/hyperlink" Target="http://47186043.hs-sites.com/prepare-for-2025-shsmd-advertising" TargetMode="External"/><Relationship Id="rId23" Type="http://schemas.openxmlformats.org/officeDocument/2006/relationships/hyperlink" Target="mailto:jeiding@smithbucklin.com" TargetMode="External"/><Relationship Id="rId119" Type="http://schemas.openxmlformats.org/officeDocument/2006/relationships/hyperlink" Target="mailto:jeiding@smithbucklin.com" TargetMode="External"/><Relationship Id="rId44" Type="http://schemas.openxmlformats.org/officeDocument/2006/relationships/hyperlink" Target="mailto:jeiding@smithbucklin.com" TargetMode="External"/><Relationship Id="rId65" Type="http://schemas.openxmlformats.org/officeDocument/2006/relationships/hyperlink" Target="mailto:sgriffin@smithbucklin.com" TargetMode="External"/><Relationship Id="rId86" Type="http://schemas.openxmlformats.org/officeDocument/2006/relationships/hyperlink" Target="http://47186043.hs-sites.com/maximize-your-impact-1" TargetMode="External"/><Relationship Id="rId130" Type="http://schemas.openxmlformats.org/officeDocument/2006/relationships/hyperlink" Target="http://47186043.hs-sites.com/shsmd-summer-opps" TargetMode="External"/><Relationship Id="rId151" Type="http://schemas.openxmlformats.org/officeDocument/2006/relationships/hyperlink" Target="mailto:jeiding@smithbucklin.com" TargetMode="External"/><Relationship Id="rId172" Type="http://schemas.openxmlformats.org/officeDocument/2006/relationships/hyperlink" Target="https://47186043.hs-sites.com/shsmd-connections-first-timers" TargetMode="External"/><Relationship Id="rId193" Type="http://schemas.openxmlformats.org/officeDocument/2006/relationships/hyperlink" Target="https://www.shsmdmediakit.org/your-logo-in-every-shsmd-attendees-hand" TargetMode="External"/><Relationship Id="rId13" Type="http://schemas.openxmlformats.org/officeDocument/2006/relationships/hyperlink" Target="http://47186043.hs-sites.com/engage-with-the-shsmd-audience" TargetMode="External"/><Relationship Id="rId109" Type="http://schemas.openxmlformats.org/officeDocument/2006/relationships/hyperlink" Target="http://47186043.hs-sites.com/connect-in-dallas" TargetMode="External"/><Relationship Id="rId34" Type="http://schemas.openxmlformats.org/officeDocument/2006/relationships/hyperlink" Target="mailto:sgriffin@smithbucklin.com" TargetMode="External"/><Relationship Id="rId50" Type="http://schemas.openxmlformats.org/officeDocument/2006/relationships/hyperlink" Target="mailto:shsmd@smithbucklin.com" TargetMode="External"/><Relationship Id="rId55" Type="http://schemas.openxmlformats.org/officeDocument/2006/relationships/hyperlink" Target="mailto:shsmd@smithbucklin.com" TargetMode="External"/><Relationship Id="rId76" Type="http://schemas.openxmlformats.org/officeDocument/2006/relationships/hyperlink" Target="mailto:sgriffin@smithbucklin.com" TargetMode="External"/><Relationship Id="rId97" Type="http://schemas.openxmlformats.org/officeDocument/2006/relationships/hyperlink" Target="mailto:sgriffin@smithbucklin.com" TargetMode="External"/><Relationship Id="rId104" Type="http://schemas.openxmlformats.org/officeDocument/2006/relationships/hyperlink" Target="https://www.shsmdmediakit.org/year-round-digital-advertising/futurescan-portfolio/" TargetMode="External"/><Relationship Id="rId120" Type="http://schemas.openxmlformats.org/officeDocument/2006/relationships/hyperlink" Target="mailto:shsmd@smithbucklin.com" TargetMode="External"/><Relationship Id="rId125" Type="http://schemas.openxmlformats.org/officeDocument/2006/relationships/hyperlink" Target="http://47186043.hs-sites.com/add-your-company-to-the-shsmd-connections-floor-plan" TargetMode="External"/><Relationship Id="rId141" Type="http://schemas.openxmlformats.org/officeDocument/2006/relationships/hyperlink" Target="http://47186043.hs-sites.com/shsmd-webinar-push-2" TargetMode="External"/><Relationship Id="rId146" Type="http://schemas.openxmlformats.org/officeDocument/2006/relationships/hyperlink" Target="mailto:shsmd@smithbucklin.com" TargetMode="External"/><Relationship Id="rId167" Type="http://schemas.openxmlformats.org/officeDocument/2006/relationships/hyperlink" Target="http://47186043.hs-sites.com/personalization_tokencontact.firstname-valued-partner-our-gift-to-you" TargetMode="External"/><Relationship Id="rId188" Type="http://schemas.openxmlformats.org/officeDocument/2006/relationships/hyperlink" Target="https://47186043.hs-sites.com/own-shsmds-most-downloaded-resource" TargetMode="External"/><Relationship Id="rId7" Type="http://schemas.openxmlformats.org/officeDocument/2006/relationships/hyperlink" Target="http://47186043.hs-sites.com/meet-key-decision-makers-at-2025-shsmd-connections" TargetMode="External"/><Relationship Id="rId71" Type="http://schemas.openxmlformats.org/officeDocument/2006/relationships/hyperlink" Target="mailto:jeiding@smithbucklin.com" TargetMode="External"/><Relationship Id="rId92" Type="http://schemas.openxmlformats.org/officeDocument/2006/relationships/hyperlink" Target="mailto:jeiding@smithbucklin.com" TargetMode="External"/><Relationship Id="rId162" Type="http://schemas.openxmlformats.org/officeDocument/2006/relationships/hyperlink" Target="http://47186043.hs-sites.com/shsmd-2026-happy-new-yea" TargetMode="External"/><Relationship Id="rId183" Type="http://schemas.openxmlformats.org/officeDocument/2006/relationships/hyperlink" Target="https://47186043.hs-sites.com/show-up-bigger-at-shsmd-connections-2026" TargetMode="External"/><Relationship Id="rId2" Type="http://schemas.openxmlformats.org/officeDocument/2006/relationships/hyperlink" Target="http://47186043.hs-sites.com/shsmd-connections-we-missed-you" TargetMode="External"/><Relationship Id="rId29" Type="http://schemas.openxmlformats.org/officeDocument/2006/relationships/hyperlink" Target="mailto:jeiding@smithbucklin.com" TargetMode="External"/><Relationship Id="rId24" Type="http://schemas.openxmlformats.org/officeDocument/2006/relationships/hyperlink" Target="https://www.shsmdmediakit.org/year-round-digital-advertising/" TargetMode="External"/><Relationship Id="rId40" Type="http://schemas.openxmlformats.org/officeDocument/2006/relationships/hyperlink" Target="mailto:sgriffin@smithbucklin.com" TargetMode="External"/><Relationship Id="rId45" Type="http://schemas.openxmlformats.org/officeDocument/2006/relationships/hyperlink" Target="https://www.shsmdmediakit.org/year-round-digital-advertising/" TargetMode="External"/><Relationship Id="rId66" Type="http://schemas.openxmlformats.org/officeDocument/2006/relationships/hyperlink" Target="http://47186043.hs-sites.com/now-live-shsmd-connections-2025-sponsorships-%E2%AD%90" TargetMode="External"/><Relationship Id="rId87" Type="http://schemas.openxmlformats.org/officeDocument/2006/relationships/hyperlink" Target="mailto:jeiding@smithbucklin.com" TargetMode="External"/><Relationship Id="rId110" Type="http://schemas.openxmlformats.org/officeDocument/2006/relationships/hyperlink" Target="http://47186043.hs-sites.com/new-shsmd-sponsorship" TargetMode="External"/><Relationship Id="rId115" Type="http://schemas.openxmlformats.org/officeDocument/2006/relationships/hyperlink" Target="mailto:shsmd@smithbucklin.com" TargetMode="External"/><Relationship Id="rId131" Type="http://schemas.openxmlformats.org/officeDocument/2006/relationships/hyperlink" Target="http://47186043.hs-sites.com/shsmd-connections-2025-exhibitor-bulletin-2" TargetMode="External"/><Relationship Id="rId136" Type="http://schemas.openxmlformats.org/officeDocument/2006/relationships/hyperlink" Target="http://47186043.hs-sites.com/new-sponsorships-in-dallas?hs_preview=YHSHmoed-193262688030" TargetMode="External"/><Relationship Id="rId157" Type="http://schemas.openxmlformats.org/officeDocument/2006/relationships/hyperlink" Target="mailto:jeiding@smithbucklin.com" TargetMode="External"/><Relationship Id="rId178" Type="http://schemas.openxmlformats.org/officeDocument/2006/relationships/hyperlink" Target="https://47186043.hs-sites.com/pull-up-a-chair-at-shsmd" TargetMode="External"/><Relationship Id="rId61" Type="http://schemas.openxmlformats.org/officeDocument/2006/relationships/hyperlink" Target="http://47186043.hs-sites.com/shsmd-advertising-opportunities-youll-love-%F0%9F%98%8D" TargetMode="External"/><Relationship Id="rId82" Type="http://schemas.openxmlformats.org/officeDocument/2006/relationships/hyperlink" Target="mailto:jeiding@smithbucklin.com" TargetMode="External"/><Relationship Id="rId152" Type="http://schemas.openxmlformats.org/officeDocument/2006/relationships/hyperlink" Target="https://www.shsmdmediakit.org/shsmd-connections/virtual-conference/" TargetMode="External"/><Relationship Id="rId173" Type="http://schemas.openxmlformats.org/officeDocument/2006/relationships/hyperlink" Target="https://www.shsmdmediakit.org/shsmd-connections/sponsorship-opportunities/attendee-engagement-and-networking/" TargetMode="External"/><Relationship Id="rId194" Type="http://schemas.openxmlformats.org/officeDocument/2006/relationships/printerSettings" Target="../printerSettings/printerSettings5.bin"/><Relationship Id="rId19" Type="http://schemas.openxmlformats.org/officeDocument/2006/relationships/hyperlink" Target="http://47186043.hs-sites.com/shsmd-advertising-opportunities-youll-love" TargetMode="External"/><Relationship Id="rId14" Type="http://schemas.openxmlformats.org/officeDocument/2006/relationships/hyperlink" Target="http://47186043.hs-sites.com/ways-to-engage-with-3700-health-care-strategists-and-marketers" TargetMode="External"/><Relationship Id="rId30" Type="http://schemas.openxmlformats.org/officeDocument/2006/relationships/hyperlink" Target="https://www.shsmdmediakit.org/shsmd-connections/" TargetMode="External"/><Relationship Id="rId35" Type="http://schemas.openxmlformats.org/officeDocument/2006/relationships/hyperlink" Target="mailto:jeiding@smithbucklin.com" TargetMode="External"/><Relationship Id="rId56" Type="http://schemas.openxmlformats.org/officeDocument/2006/relationships/hyperlink" Target="mailto:shsmd@smithbucklin.com" TargetMode="External"/><Relationship Id="rId77" Type="http://schemas.openxmlformats.org/officeDocument/2006/relationships/hyperlink" Target="http://47186043.hs-sites.com/will-we-see-you-at-shsmd-connections-2025-2" TargetMode="External"/><Relationship Id="rId100" Type="http://schemas.openxmlformats.org/officeDocument/2006/relationships/hyperlink" Target="mailto:nschuette@smithbucklin.com" TargetMode="External"/><Relationship Id="rId105" Type="http://schemas.openxmlformats.org/officeDocument/2006/relationships/hyperlink" Target="http://47186043.hs-sites.com/national-stage-in-your-region" TargetMode="External"/><Relationship Id="rId126" Type="http://schemas.openxmlformats.org/officeDocument/2006/relationships/hyperlink" Target="http://47186043.hs-sites.com/summer-webinar-push" TargetMode="External"/><Relationship Id="rId147" Type="http://schemas.openxmlformats.org/officeDocument/2006/relationships/hyperlink" Target="http://47186043.hs-sites.com/shsmd-connections-2025-exhibitor-bulletin-5" TargetMode="External"/><Relationship Id="rId168" Type="http://schemas.openxmlformats.org/officeDocument/2006/relationships/hyperlink" Target="mailto:jeiding@smithbucklin.com" TargetMode="External"/><Relationship Id="rId8" Type="http://schemas.openxmlformats.org/officeDocument/2006/relationships/hyperlink" Target="http://47186043.hs-sites.com/meet-key-decision-makers-at-2025-shsmd-connections-1" TargetMode="External"/><Relationship Id="rId51" Type="http://schemas.openxmlformats.org/officeDocument/2006/relationships/hyperlink" Target="https://app.smartsheet.com/b/publish?EQBCT=6f289d995a5c47f39467f523ffce37cf" TargetMode="External"/><Relationship Id="rId72" Type="http://schemas.openxmlformats.org/officeDocument/2006/relationships/hyperlink" Target="mailto:sgriffin@smithbucklin.com" TargetMode="External"/><Relationship Id="rId93" Type="http://schemas.openxmlformats.org/officeDocument/2006/relationships/hyperlink" Target="mailto:sgriffin@smithbucklin.com" TargetMode="External"/><Relationship Id="rId98" Type="http://schemas.openxmlformats.org/officeDocument/2006/relationships/hyperlink" Target="http://47186043.hs-sites.com/enhance-your-shsmd-connections-2025-experience-2" TargetMode="External"/><Relationship Id="rId121" Type="http://schemas.openxmlformats.org/officeDocument/2006/relationships/hyperlink" Target="mailto:shsmd@smithbucklin.com" TargetMode="External"/><Relationship Id="rId142" Type="http://schemas.openxmlformats.org/officeDocument/2006/relationships/hyperlink" Target="http://47186043.hs-sites.com/shsmd-connections-2026-dave-the-date" TargetMode="External"/><Relationship Id="rId163" Type="http://schemas.openxmlformats.org/officeDocument/2006/relationships/hyperlink" Target="http://47186043.hs-sites.com/shsmd-2026-sponsorship-launch" TargetMode="External"/><Relationship Id="rId184" Type="http://schemas.openxmlformats.org/officeDocument/2006/relationships/hyperlink" Target="https://www.shsmdmediakit.org/year-round-engagement/member-support-and-resources/" TargetMode="External"/><Relationship Id="rId189" Type="http://schemas.openxmlformats.org/officeDocument/2006/relationships/hyperlink" Target="https://www.shsmdmediakit.org/shsmd-connections-2026-exhibitor-bulletin-1" TargetMode="External"/><Relationship Id="rId3" Type="http://schemas.openxmlformats.org/officeDocument/2006/relationships/hyperlink" Target="http://47186043.hs-sites.com/icymi-reserve-your-2025-shsmd-connections-exhibit-space" TargetMode="External"/><Relationship Id="rId25" Type="http://schemas.openxmlformats.org/officeDocument/2006/relationships/hyperlink" Target="https://www.shsmdmediakit.org/shsmd-connections/" TargetMode="External"/><Relationship Id="rId46" Type="http://schemas.openxmlformats.org/officeDocument/2006/relationships/hyperlink" Target="https://app.smartsheet.com/b/publish?EQBCT=58674b3f806f4d01aefe4183d6804aad" TargetMode="External"/><Relationship Id="rId67" Type="http://schemas.openxmlformats.org/officeDocument/2006/relationships/hyperlink" Target="http://47186043.hs-sites.com/now-live-shsmd-connections-2025-sponsorships" TargetMode="External"/><Relationship Id="rId116" Type="http://schemas.openxmlformats.org/officeDocument/2006/relationships/hyperlink" Target="mailto:shsmd@smithbucklin.com" TargetMode="External"/><Relationship Id="rId137" Type="http://schemas.openxmlformats.org/officeDocument/2006/relationships/hyperlink" Target="http://47186043.hs-sites.com/shsmd-connections-pre-and-post-show-marketing" TargetMode="External"/><Relationship Id="rId158" Type="http://schemas.openxmlformats.org/officeDocument/2006/relationships/hyperlink" Target="http://47186043.hs-sites.com/grateful-for-you" TargetMode="External"/><Relationship Id="rId20" Type="http://schemas.openxmlformats.org/officeDocument/2006/relationships/hyperlink" Target="mailto:sgriffin@smithbucklin.com" TargetMode="External"/><Relationship Id="rId41" Type="http://schemas.openxmlformats.org/officeDocument/2006/relationships/hyperlink" Target="mailto:shsmd@smithbucklin.com" TargetMode="External"/><Relationship Id="rId62" Type="http://schemas.openxmlformats.org/officeDocument/2006/relationships/hyperlink" Target="mailto:jeiding@smithbucklin.com" TargetMode="External"/><Relationship Id="rId83" Type="http://schemas.openxmlformats.org/officeDocument/2006/relationships/hyperlink" Target="mailto:sgriffin@smithbucklin.com" TargetMode="External"/><Relationship Id="rId88" Type="http://schemas.openxmlformats.org/officeDocument/2006/relationships/hyperlink" Target="mailto:sgriffin@smithbucklin.com" TargetMode="External"/><Relationship Id="rId111" Type="http://schemas.openxmlformats.org/officeDocument/2006/relationships/hyperlink" Target="http://47186043.hs-sites.com/advertising-reach" TargetMode="External"/><Relationship Id="rId132" Type="http://schemas.openxmlformats.org/officeDocument/2006/relationships/hyperlink" Target="http://47186043.hs-sites.com/low-cost-shsmd-sponsorships" TargetMode="External"/><Relationship Id="rId153" Type="http://schemas.openxmlformats.org/officeDocument/2006/relationships/hyperlink" Target="mailto:shsmd@smithbucklin.com" TargetMode="External"/><Relationship Id="rId174" Type="http://schemas.openxmlformats.org/officeDocument/2006/relationships/hyperlink" Target="mailto:shsmd@smithbucklin.com" TargetMode="External"/><Relationship Id="rId179" Type="http://schemas.openxmlformats.org/officeDocument/2006/relationships/hyperlink" Target="https://47186043.hs-sites.com/a-message-from-shsmd-executive-director" TargetMode="External"/><Relationship Id="rId195" Type="http://schemas.openxmlformats.org/officeDocument/2006/relationships/drawing" Target="../drawings/drawing5.xml"/><Relationship Id="rId190" Type="http://schemas.openxmlformats.org/officeDocument/2006/relationships/hyperlink" Target="https://www.shsmdmediakit.org/baltimore-is-calling.-claim-your-spot-on-the-shsmd-floor" TargetMode="External"/><Relationship Id="rId15" Type="http://schemas.openxmlformats.org/officeDocument/2006/relationships/hyperlink" Target="http://47186043.hs-sites.com/engage-with-1100-health-care-strategists-and-marketers" TargetMode="External"/><Relationship Id="rId36" Type="http://schemas.openxmlformats.org/officeDocument/2006/relationships/hyperlink" Target="mailto:sgriffin@smithbucklin.com" TargetMode="External"/><Relationship Id="rId57" Type="http://schemas.openxmlformats.org/officeDocument/2006/relationships/hyperlink" Target="mailto:shsmd@smithbucklin.com" TargetMode="External"/><Relationship Id="rId106" Type="http://schemas.openxmlformats.org/officeDocument/2006/relationships/hyperlink" Target="mailto:nschuette@smithbucklin.com" TargetMode="External"/><Relationship Id="rId127" Type="http://schemas.openxmlformats.org/officeDocument/2006/relationships/hyperlink" Target="http://47186043.hs-sites.com/we-want-to-see-you-at-shsmd-connections" TargetMode="External"/><Relationship Id="rId10" Type="http://schemas.openxmlformats.org/officeDocument/2006/relationships/hyperlink" Target="http://47186043.hs-sites.com/happy-holidays-from-shsmd-2025-events-advertising" TargetMode="External"/><Relationship Id="rId31" Type="http://schemas.openxmlformats.org/officeDocument/2006/relationships/hyperlink" Target="https://www.shsmdmediakit.org/year-round-digital-advertising/digital-outreach-and-advertising/" TargetMode="External"/><Relationship Id="rId52" Type="http://schemas.openxmlformats.org/officeDocument/2006/relationships/hyperlink" Target="mailto:shsmd@smithbucklin.com" TargetMode="External"/><Relationship Id="rId73" Type="http://schemas.openxmlformats.org/officeDocument/2006/relationships/hyperlink" Target="http://47186043.hs-sites.com/maximize-your-impact-with-year-round-shsmd-advertising-%EF%B8%8F" TargetMode="External"/><Relationship Id="rId78" Type="http://schemas.openxmlformats.org/officeDocument/2006/relationships/hyperlink" Target="http://47186043.hs-sites.com/go-beyond-your-booth-1" TargetMode="External"/><Relationship Id="rId94" Type="http://schemas.openxmlformats.org/officeDocument/2006/relationships/hyperlink" Target="http://47186043.hs-sites.com/spring-into-shsmd-connections-2025-action" TargetMode="External"/><Relationship Id="rId99" Type="http://schemas.openxmlformats.org/officeDocument/2006/relationships/hyperlink" Target="http://47186043.hs-sites.com/sponsor-shsmds-networking-social" TargetMode="External"/><Relationship Id="rId101" Type="http://schemas.openxmlformats.org/officeDocument/2006/relationships/hyperlink" Target="http://47186043.hs-sites.com/opportunities-in-bloom" TargetMode="External"/><Relationship Id="rId122" Type="http://schemas.openxmlformats.org/officeDocument/2006/relationships/hyperlink" Target="mailto:shsmd@smithbucklin.com" TargetMode="External"/><Relationship Id="rId143" Type="http://schemas.openxmlformats.org/officeDocument/2006/relationships/hyperlink" Target="http://47186043.hs-sites.com/last-call-sponsorships-shsmd-connections-2025" TargetMode="External"/><Relationship Id="rId148" Type="http://schemas.openxmlformats.org/officeDocument/2006/relationships/hyperlink" Target="http://47186043.hs-sites.com/reminder-space-selection-for-shsmd-connections-2026" TargetMode="External"/><Relationship Id="rId164" Type="http://schemas.openxmlformats.org/officeDocument/2006/relationships/hyperlink" Target="http://47186043.hs-sites.com/shsmd-2026-sponsorship-early-access" TargetMode="External"/><Relationship Id="rId169" Type="http://schemas.openxmlformats.org/officeDocument/2006/relationships/hyperlink" Target="http://47186043.hs-sites.com/low-cost-high-reward-sponsorships" TargetMode="External"/><Relationship Id="rId185" Type="http://schemas.openxmlformats.org/officeDocument/2006/relationships/hyperlink" Target="https://47186043.hs-sites.com/shsmd26-is-in-your-region.-your-brand-should-be-too" TargetMode="External"/><Relationship Id="rId4" Type="http://schemas.openxmlformats.org/officeDocument/2006/relationships/hyperlink" Target="http://47186043.hs-sites.com/2025-shsdm-year-round-advertising-launch" TargetMode="External"/><Relationship Id="rId9" Type="http://schemas.openxmlformats.org/officeDocument/2006/relationships/hyperlink" Target="http://47186043.hs-sites.com/happy-holidays-from-shsmd-2025-events-advertising-1" TargetMode="External"/><Relationship Id="rId180" Type="http://schemas.openxmlformats.org/officeDocument/2006/relationships/hyperlink" Target="https://47186043.hs-sites.com/stand-out-in-baltimore-with-shsmd-sponsorships" TargetMode="External"/><Relationship Id="rId26" Type="http://schemas.openxmlformats.org/officeDocument/2006/relationships/hyperlink" Target="mailto:sgriffin@smithbucklin.com" TargetMode="External"/><Relationship Id="rId47" Type="http://schemas.openxmlformats.org/officeDocument/2006/relationships/hyperlink" Target="mailto:jeiding@smithbucklin.com" TargetMode="External"/><Relationship Id="rId68" Type="http://schemas.openxmlformats.org/officeDocument/2006/relationships/hyperlink" Target="mailto:sgriffin@smithbucklin.com" TargetMode="External"/><Relationship Id="rId89" Type="http://schemas.openxmlformats.org/officeDocument/2006/relationships/hyperlink" Target="https://www.shsmdmediakit.org/year-round-digital-advertising/digital-outreach-and-advertising/" TargetMode="External"/><Relationship Id="rId112" Type="http://schemas.openxmlformats.org/officeDocument/2006/relationships/hyperlink" Target="mailto:shsmd@smithbucklin.com" TargetMode="External"/><Relationship Id="rId133" Type="http://schemas.openxmlformats.org/officeDocument/2006/relationships/hyperlink" Target="http://47186043.hs-sites.com/dont-miss-out-shsmd-2025" TargetMode="External"/><Relationship Id="rId154" Type="http://schemas.openxmlformats.org/officeDocument/2006/relationships/hyperlink" Target="http://47186043.hs-sites.com/shsmd-connections-virtual-conference-sponsorship" TargetMode="External"/><Relationship Id="rId175" Type="http://schemas.openxmlformats.org/officeDocument/2006/relationships/hyperlink" Target="https://47186043.hs-sites.com/here-are-some-budget-friendly-sponsorships" TargetMode="External"/><Relationship Id="rId16" Type="http://schemas.openxmlformats.org/officeDocument/2006/relationships/hyperlink" Target="http://47186043.hs-sites.com/engage-with-1100-health-care-strategists-and-marketers-%F0%9F%91%8B" TargetMode="External"/><Relationship Id="rId37" Type="http://schemas.openxmlformats.org/officeDocument/2006/relationships/hyperlink" Target="mailto:jeiding@smithbucklin.com" TargetMode="External"/><Relationship Id="rId58" Type="http://schemas.openxmlformats.org/officeDocument/2006/relationships/hyperlink" Target="mailto:shsmd@smithbucklin.com" TargetMode="External"/><Relationship Id="rId79" Type="http://schemas.openxmlformats.org/officeDocument/2006/relationships/hyperlink" Target="mailto:jeiding@smithbucklin.com" TargetMode="External"/><Relationship Id="rId102" Type="http://schemas.openxmlformats.org/officeDocument/2006/relationships/hyperlink" Target="mailto:jeiding@smithbucklin.com" TargetMode="External"/><Relationship Id="rId123" Type="http://schemas.openxmlformats.org/officeDocument/2006/relationships/hyperlink" Target="mailto:shsmd@smithbucklin.com" TargetMode="External"/><Relationship Id="rId144" Type="http://schemas.openxmlformats.org/officeDocument/2006/relationships/hyperlink" Target="http://47186043.hs-sites.com/shsmd-connections-2025-exhibitor-bulletin-4" TargetMode="External"/><Relationship Id="rId90" Type="http://schemas.openxmlformats.org/officeDocument/2006/relationships/hyperlink" Target="http://47186043.hs-sites.com/maximize-your-impact" TargetMode="External"/><Relationship Id="rId165" Type="http://schemas.openxmlformats.org/officeDocument/2006/relationships/hyperlink" Target="http://47186043.hs-sites.com/shsmd-connections-2026-sponsorships-icymi" TargetMode="External"/><Relationship Id="rId186" Type="http://schemas.openxmlformats.org/officeDocument/2006/relationships/hyperlink" Target="https://47186043.hs-sites.com/reminder-shsmd26-is-in-your-region" TargetMode="External"/><Relationship Id="rId27" Type="http://schemas.openxmlformats.org/officeDocument/2006/relationships/hyperlink" Target="mailto:jeiding@smithbucklin.com" TargetMode="External"/><Relationship Id="rId48" Type="http://schemas.openxmlformats.org/officeDocument/2006/relationships/hyperlink" Target="mailto:shsmd@smithbucklin.com" TargetMode="External"/><Relationship Id="rId69" Type="http://schemas.openxmlformats.org/officeDocument/2006/relationships/hyperlink" Target="http://47186043.hs-sites.com/reach-health-care-strategist-and-marketers" TargetMode="External"/><Relationship Id="rId113" Type="http://schemas.openxmlformats.org/officeDocument/2006/relationships/hyperlink" Target="http://47186043.hs-sites.com/act-now-sponsor-shsmds-networking-social-1" TargetMode="External"/><Relationship Id="rId134" Type="http://schemas.openxmlformats.org/officeDocument/2006/relationships/hyperlink" Target="http://47186043.hs-sites.com/unlock-top-sponsor-benefits" TargetMode="External"/><Relationship Id="rId80" Type="http://schemas.openxmlformats.org/officeDocument/2006/relationships/hyperlink" Target="mailto:sgriffin@smithbucklin.com" TargetMode="External"/><Relationship Id="rId155" Type="http://schemas.openxmlformats.org/officeDocument/2006/relationships/hyperlink" Target="http://47186043.hs-sites.com/lock-in-shsmd-2025-advertising-before-its-too-late" TargetMode="External"/><Relationship Id="rId176" Type="http://schemas.openxmlformats.org/officeDocument/2006/relationships/hyperlink" Target="https://47186043.hs-sites.com/dont-wait-to-exhibit-at-shsmd-connections-2026" TargetMode="External"/><Relationship Id="rId17" Type="http://schemas.openxmlformats.org/officeDocument/2006/relationships/hyperlink" Target="http://47186043.hs-sites.com/go-digital-with-shsmd-%F0%9F%92%BB" TargetMode="External"/><Relationship Id="rId38" Type="http://schemas.openxmlformats.org/officeDocument/2006/relationships/hyperlink" Target="https://www.shsmdmediakit.org/year-round-digital-advertising/" TargetMode="External"/><Relationship Id="rId59" Type="http://schemas.openxmlformats.org/officeDocument/2006/relationships/hyperlink" Target="mailto:shsmd@smithbucklin.com" TargetMode="External"/><Relationship Id="rId103" Type="http://schemas.openxmlformats.org/officeDocument/2006/relationships/hyperlink" Target="mailto:jeiding@smithbucklin.com" TargetMode="External"/><Relationship Id="rId124" Type="http://schemas.openxmlformats.org/officeDocument/2006/relationships/hyperlink" Target="http://47186043.hs-sites.com/shsmd-connections-2025-exhibitor-bulletin-1" TargetMode="External"/><Relationship Id="rId70" Type="http://schemas.openxmlformats.org/officeDocument/2006/relationships/hyperlink" Target="http://47186043.hs-sites.com/maximize-your-impact-with-year-round-shsmd-advertising" TargetMode="External"/><Relationship Id="rId91" Type="http://schemas.openxmlformats.org/officeDocument/2006/relationships/hyperlink" Target="http://47186043.hs-sites.com/spring-into-shsmd-connections-2025-action-2" TargetMode="External"/><Relationship Id="rId145" Type="http://schemas.openxmlformats.org/officeDocument/2006/relationships/hyperlink" Target="http://47186043.hs-sites.com/space-selection-details-for-shsmd-connections-2026" TargetMode="External"/><Relationship Id="rId166" Type="http://schemas.openxmlformats.org/officeDocument/2006/relationships/hyperlink" Target="http://47186043.hs-sites.com/shsmd-2026-sponsorship-goals" TargetMode="External"/><Relationship Id="rId187" Type="http://schemas.openxmlformats.org/officeDocument/2006/relationships/hyperlink" Target="https://47186043.hs-sites.com/move-in-ready-booths-are-available-for-shsmd26" TargetMode="External"/><Relationship Id="rId1" Type="http://schemas.openxmlformats.org/officeDocument/2006/relationships/hyperlink" Target="http://47186043.hs-sites.com/shsmd-connections-2024-exhibitor-survey-reminder" TargetMode="External"/><Relationship Id="rId28" Type="http://schemas.openxmlformats.org/officeDocument/2006/relationships/hyperlink" Target="mailto:sgriffin@smithbucklin.com" TargetMode="External"/><Relationship Id="rId49" Type="http://schemas.openxmlformats.org/officeDocument/2006/relationships/hyperlink" Target="mailto:shsmd@smithbucklin.com" TargetMode="External"/><Relationship Id="rId114" Type="http://schemas.openxmlformats.org/officeDocument/2006/relationships/hyperlink" Target="mailto:shsmd@smithbucklin.com" TargetMode="External"/><Relationship Id="rId60" Type="http://schemas.openxmlformats.org/officeDocument/2006/relationships/hyperlink" Target="mailto:shsmd@smithbucklin.com" TargetMode="External"/><Relationship Id="rId81" Type="http://schemas.openxmlformats.org/officeDocument/2006/relationships/hyperlink" Target="http://47186043.hs-sites.com/go-beyond-your-booth" TargetMode="External"/><Relationship Id="rId135" Type="http://schemas.openxmlformats.org/officeDocument/2006/relationships/hyperlink" Target="http://47186043.hs-sites.com/shsmd-connections-2025-exhibitor-bulletin-3?hs_preview=OpLmgeky-193669192981" TargetMode="External"/><Relationship Id="rId156" Type="http://schemas.openxmlformats.org/officeDocument/2006/relationships/hyperlink" Target="mailto:shsmd@smithbucklin.com" TargetMode="External"/><Relationship Id="rId177" Type="http://schemas.openxmlformats.org/officeDocument/2006/relationships/hyperlink" Target="https://www.shsmdmediakit.org/shsmd-connections/sponsorship-opportunities/solution-center-engagement/" TargetMode="External"/><Relationship Id="rId18" Type="http://schemas.openxmlformats.org/officeDocument/2006/relationships/hyperlink" Target="http://47186043.hs-sites.com/go-digital-with-shsmd-2" TargetMode="External"/><Relationship Id="rId39" Type="http://schemas.openxmlformats.org/officeDocument/2006/relationships/hyperlink" Target="mailto:jeiding@smithbucklin.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kmcdonnell@smithbucklin.com" TargetMode="External"/><Relationship Id="rId21" Type="http://schemas.openxmlformats.org/officeDocument/2006/relationships/hyperlink" Target="mailto:nschuette@smithbucklin.com" TargetMode="External"/><Relationship Id="rId42" Type="http://schemas.openxmlformats.org/officeDocument/2006/relationships/hyperlink" Target="mailto:nschuette@smithbucklin.com" TargetMode="External"/><Relationship Id="rId63" Type="http://schemas.openxmlformats.org/officeDocument/2006/relationships/hyperlink" Target="mailto:nschuette@smithbucklin.com" TargetMode="External"/><Relationship Id="rId84" Type="http://schemas.openxmlformats.org/officeDocument/2006/relationships/hyperlink" Target="http://45453426.hs-sites.com/expand-your-reach-with-ahes-advertising-opportunities" TargetMode="External"/><Relationship Id="rId138" Type="http://schemas.openxmlformats.org/officeDocument/2006/relationships/hyperlink" Target="mailto:kmcdonnell@smithbucklin.com" TargetMode="External"/><Relationship Id="rId159" Type="http://schemas.openxmlformats.org/officeDocument/2006/relationships/hyperlink" Target="mailto:kmcdonnell@smithbucklin.com" TargetMode="External"/><Relationship Id="rId170" Type="http://schemas.openxmlformats.org/officeDocument/2006/relationships/hyperlink" Target="https://45453426.hs-sites.com/close-the-quarter-strong-with-ahe-visibility" TargetMode="External"/><Relationship Id="rId191" Type="http://schemas.openxmlformats.org/officeDocument/2006/relationships/hyperlink" Target="https://45453426.hs-sites.com/stand-out-at-exchange26-with-two-new-opportunities" TargetMode="External"/><Relationship Id="rId205" Type="http://schemas.openxmlformats.org/officeDocument/2006/relationships/hyperlink" Target="mailto:kmcdonnell@smithbucklin.com" TargetMode="External"/><Relationship Id="rId107" Type="http://schemas.openxmlformats.org/officeDocument/2006/relationships/hyperlink" Target="http://45453426.hs-sites.com/key-exhibit-tips-and-deadlines-for-columbus-join-us-live-april-29" TargetMode="External"/><Relationship Id="rId11" Type="http://schemas.openxmlformats.org/officeDocument/2006/relationships/hyperlink" Target="https://app.markup.io/invite/accept/-UlLrVfK" TargetMode="External"/><Relationship Id="rId32" Type="http://schemas.openxmlformats.org/officeDocument/2006/relationships/hyperlink" Target="mailto:nschuette@smithbucklin.com" TargetMode="External"/><Relationship Id="rId53" Type="http://schemas.openxmlformats.org/officeDocument/2006/relationships/hyperlink" Target="http://45453426.hs-sites.com/exchange25-sponsorship-opportunities" TargetMode="External"/><Relationship Id="rId74" Type="http://schemas.openxmlformats.org/officeDocument/2006/relationships/hyperlink" Target="mailto:nschuette@smithbucklin.com" TargetMode="External"/><Relationship Id="rId128" Type="http://schemas.openxmlformats.org/officeDocument/2006/relationships/hyperlink" Target="https://45453426.hs-sites.com/ahe-2025-exhibitor-survey" TargetMode="External"/><Relationship Id="rId149" Type="http://schemas.openxmlformats.org/officeDocument/2006/relationships/hyperlink" Target="mailto:kmcdonnell@smithbucklin.com" TargetMode="External"/><Relationship Id="rId5" Type="http://schemas.openxmlformats.org/officeDocument/2006/relationships/hyperlink" Target="https://app.markup.io/invite/accept/92PmUeQo" TargetMode="External"/><Relationship Id="rId95" Type="http://schemas.openxmlformats.org/officeDocument/2006/relationships/hyperlink" Target="https://www.ahemediakit.org/advertise/evs-week/" TargetMode="External"/><Relationship Id="rId160" Type="http://schemas.openxmlformats.org/officeDocument/2006/relationships/hyperlink" Target="https://45453426.hs-sites.com/ahe-digest-january-edition-dedicated-email-opportunities" TargetMode="External"/><Relationship Id="rId181" Type="http://schemas.openxmlformats.org/officeDocument/2006/relationships/hyperlink" Target="https://45453426.hs-sites.com/new-at-exchange26-two-fresh-ways-to-get-seen" TargetMode="External"/><Relationship Id="rId22" Type="http://schemas.openxmlformats.org/officeDocument/2006/relationships/hyperlink" Target="mailto:nschuette@smithbucklin.com" TargetMode="External"/><Relationship Id="rId43" Type="http://schemas.openxmlformats.org/officeDocument/2006/relationships/hyperlink" Target="mailto:nschuette@smithbucklin.com" TargetMode="External"/><Relationship Id="rId64" Type="http://schemas.openxmlformats.org/officeDocument/2006/relationships/hyperlink" Target="http://45453426.hs-sites.com/jumpstart-your-2025-marketing-with-ahe-advertising-opportunities-2" TargetMode="External"/><Relationship Id="rId118" Type="http://schemas.openxmlformats.org/officeDocument/2006/relationships/hyperlink" Target="mailto:kmcdonnell@smithbucklin.com" TargetMode="External"/><Relationship Id="rId139" Type="http://schemas.openxmlformats.org/officeDocument/2006/relationships/hyperlink" Target="mailto:kmcdonnell@smithbucklin.com" TargetMode="External"/><Relationship Id="rId85" Type="http://schemas.openxmlformats.org/officeDocument/2006/relationships/hyperlink" Target="mailto:nschuette@smithbucklin.com" TargetMode="External"/><Relationship Id="rId150" Type="http://schemas.openxmlformats.org/officeDocument/2006/relationships/hyperlink" Target="https://45453426.hs-sites.com/keep-your-brand-shining-all-year-with-ahe" TargetMode="External"/><Relationship Id="rId171" Type="http://schemas.openxmlformats.org/officeDocument/2006/relationships/hyperlink" Target="mailto:kmcdonnell@smithbucklin.com" TargetMode="External"/><Relationship Id="rId192" Type="http://schemas.openxmlformats.org/officeDocument/2006/relationships/hyperlink" Target="https://45453426.hs-sites.com/get-in-front-of-200-evs-pros-host-an-ahe-webinar" TargetMode="External"/><Relationship Id="rId206" Type="http://schemas.openxmlformats.org/officeDocument/2006/relationships/hyperlink" Target="mailto:kmcdonnell@smithbucklin.com" TargetMode="External"/><Relationship Id="rId12" Type="http://schemas.openxmlformats.org/officeDocument/2006/relationships/hyperlink" Target="mailto:jowens@smithbucklin.com" TargetMode="External"/><Relationship Id="rId33" Type="http://schemas.openxmlformats.org/officeDocument/2006/relationships/hyperlink" Target="mailto:Jowens@smithbucklin.com" TargetMode="External"/><Relationship Id="rId108" Type="http://schemas.openxmlformats.org/officeDocument/2006/relationships/hyperlink" Target="http://45453426.hs-sites.com/reminder-register-now-for-the-exchange25-logistics-webinar" TargetMode="External"/><Relationship Id="rId129" Type="http://schemas.openxmlformats.org/officeDocument/2006/relationships/hyperlink" Target="https://45453426.hs-sites.com/grow-your-audience-with-ahe-webinar-sponsorship" TargetMode="External"/><Relationship Id="rId54" Type="http://schemas.openxmlformats.org/officeDocument/2006/relationships/hyperlink" Target="http://45453426.hs-sites.com/secure-a-booth-for-exchange25" TargetMode="External"/><Relationship Id="rId75" Type="http://schemas.openxmlformats.org/officeDocument/2006/relationships/hyperlink" Target="mailto:nschuette@smithbucklin.com" TargetMode="External"/><Relationship Id="rId96" Type="http://schemas.openxmlformats.org/officeDocument/2006/relationships/hyperlink" Target="http://45453426.hs-sites.com/dont-miss-out-elevate-your-brand-at-exchange25-1" TargetMode="External"/><Relationship Id="rId140" Type="http://schemas.openxmlformats.org/officeDocument/2006/relationships/hyperlink" Target="mailto:kmcdonnell@smithbucklin.com" TargetMode="External"/><Relationship Id="rId161" Type="http://schemas.openxmlformats.org/officeDocument/2006/relationships/hyperlink" Target="https://45453426.hs-sites.com/your-next-evs-leads-are-already-here-" TargetMode="External"/><Relationship Id="rId182" Type="http://schemas.openxmlformats.org/officeDocument/2006/relationships/hyperlink" Target="https://45453426.hs-sites.com/expand-your-reach-with-ahe-advertising-opportunities" TargetMode="External"/><Relationship Id="rId6" Type="http://schemas.openxmlformats.org/officeDocument/2006/relationships/hyperlink" Target="mailto:dcooksey@smithbucklin.com" TargetMode="External"/><Relationship Id="rId23" Type="http://schemas.openxmlformats.org/officeDocument/2006/relationships/hyperlink" Target="mailto:nschuette@smithbucklin.com" TargetMode="External"/><Relationship Id="rId119" Type="http://schemas.openxmlformats.org/officeDocument/2006/relationships/hyperlink" Target="mailto:kmcdonnell@smithbucklin.com" TargetMode="External"/><Relationship Id="rId44" Type="http://schemas.openxmlformats.org/officeDocument/2006/relationships/hyperlink" Target="mailto:nschuette@smithbucklin.com" TargetMode="External"/><Relationship Id="rId65" Type="http://schemas.openxmlformats.org/officeDocument/2006/relationships/hyperlink" Target="http://45453426.hs-sites.com/secure-your-booth-at-exchange25" TargetMode="External"/><Relationship Id="rId86" Type="http://schemas.openxmlformats.org/officeDocument/2006/relationships/hyperlink" Target="http://45453426.hs-sites.com/exchange25-exhibitor-bulletin-1" TargetMode="External"/><Relationship Id="rId130" Type="http://schemas.openxmlformats.org/officeDocument/2006/relationships/hyperlink" Target="https://45453426.hs-sites.com/ahe-2025-exhibitor-survey-1" TargetMode="External"/><Relationship Id="rId151" Type="http://schemas.openxmlformats.org/officeDocument/2006/relationships/hyperlink" Target="mailto:kmcdonnell@smithbucklin.com" TargetMode="External"/><Relationship Id="rId172" Type="http://schemas.openxmlformats.org/officeDocument/2006/relationships/hyperlink" Target="https://www.ahemediakit.org/ahe-exchange/sponsorship-opportunities/speaking-and-engagement/" TargetMode="External"/><Relationship Id="rId193" Type="http://schemas.openxmlformats.org/officeDocument/2006/relationships/hyperlink" Target="mailto:kmcdonnell@smithbucklin.com" TargetMode="External"/><Relationship Id="rId207" Type="http://schemas.openxmlformats.org/officeDocument/2006/relationships/hyperlink" Target="mailto:kmcdonnell@smithbucklin.com" TargetMode="External"/><Relationship Id="rId13" Type="http://schemas.openxmlformats.org/officeDocument/2006/relationships/hyperlink" Target="mailto:jowens@smithbucklin.com" TargetMode="External"/><Relationship Id="rId109" Type="http://schemas.openxmlformats.org/officeDocument/2006/relationships/hyperlink" Target="http://45453426.hs-sites.com/maximize-your-reach-with-sponsored-webinars" TargetMode="External"/><Relationship Id="rId34" Type="http://schemas.openxmlformats.org/officeDocument/2006/relationships/hyperlink" Target="mailto:AHE@smithbucklin.com" TargetMode="External"/><Relationship Id="rId55" Type="http://schemas.openxmlformats.org/officeDocument/2006/relationships/hyperlink" Target="http://45453426.hs-sites.com/we-missed-you-last-year-secure-personalization_tokencontact.company-your-organization-s-booth-for-next-years-exchange25" TargetMode="External"/><Relationship Id="rId76" Type="http://schemas.openxmlformats.org/officeDocument/2006/relationships/hyperlink" Target="mailto:nschuette@smithbucklin.com" TargetMode="External"/><Relationship Id="rId97" Type="http://schemas.openxmlformats.org/officeDocument/2006/relationships/hyperlink" Target="http://45453426.hs-sites.com/exchange25-exhibitor-bulletin-2" TargetMode="External"/><Relationship Id="rId120" Type="http://schemas.openxmlformats.org/officeDocument/2006/relationships/hyperlink" Target="mailto:kmcdonnell@smithbucklin.com" TargetMode="External"/><Relationship Id="rId141" Type="http://schemas.openxmlformats.org/officeDocument/2006/relationships/hyperlink" Target="https://45453426.hs-sites.com/will-we-see-you-next-year" TargetMode="External"/><Relationship Id="rId7" Type="http://schemas.openxmlformats.org/officeDocument/2006/relationships/hyperlink" Target="https://app.markup.io/invite/accept/1eWeDQgD" TargetMode="External"/><Relationship Id="rId162" Type="http://schemas.openxmlformats.org/officeDocument/2006/relationships/hyperlink" Target="mailto:kmcdonnell@smithbucklin.com" TargetMode="External"/><Relationship Id="rId183" Type="http://schemas.openxmlformats.org/officeDocument/2006/relationships/hyperlink" Target="https://www.ahemediakit.org/advertise/evs-week/" TargetMode="External"/><Relationship Id="rId24" Type="http://schemas.openxmlformats.org/officeDocument/2006/relationships/hyperlink" Target="mailto:nschuette@smithbucklin.com" TargetMode="External"/><Relationship Id="rId45" Type="http://schemas.openxmlformats.org/officeDocument/2006/relationships/hyperlink" Target="mailto:nschuette@smithbucklin.com" TargetMode="External"/><Relationship Id="rId66" Type="http://schemas.openxmlformats.org/officeDocument/2006/relationships/hyperlink" Target="http://45453426.hs-sites.com/elevate-your-brand-discover-exclusive-sponsorships-at-exchange25-1" TargetMode="External"/><Relationship Id="rId87" Type="http://schemas.openxmlformats.org/officeDocument/2006/relationships/hyperlink" Target="http://45453426.hs-sites.com/expand-your-presence-at-exchange25-with-ahes-pre-conference-advertising" TargetMode="External"/><Relationship Id="rId110" Type="http://schemas.openxmlformats.org/officeDocument/2006/relationships/hyperlink" Target="http://45453426.hs-sites.com/reminder-register-now-for-the-exchange25-logistics-webinar-1" TargetMode="External"/><Relationship Id="rId131" Type="http://schemas.openxmlformats.org/officeDocument/2006/relationships/hyperlink" Target="https://45453426.hs-sites.com/act-now-hot-ahe-opportunities-you-need" TargetMode="External"/><Relationship Id="rId152" Type="http://schemas.openxmlformats.org/officeDocument/2006/relationships/hyperlink" Target="https://45453426.hs-sites.com/your-early-access-to-ahe-exchange-2026" TargetMode="External"/><Relationship Id="rId173" Type="http://schemas.openxmlformats.org/officeDocument/2006/relationships/hyperlink" Target="mailto:kmcdonnell@smithbucklin.com" TargetMode="External"/><Relationship Id="rId194" Type="http://schemas.openxmlformats.org/officeDocument/2006/relationships/hyperlink" Target="https://45453426.hs-sites.com/claim-your-stage-at-exchange26" TargetMode="External"/><Relationship Id="rId208" Type="http://schemas.openxmlformats.org/officeDocument/2006/relationships/hyperlink" Target="mailto:kmcdonnell@smithbucklin.com" TargetMode="External"/><Relationship Id="rId19" Type="http://schemas.openxmlformats.org/officeDocument/2006/relationships/hyperlink" Target="mailto:nschuette@smithbucklin.com" TargetMode="External"/><Relationship Id="rId14" Type="http://schemas.openxmlformats.org/officeDocument/2006/relationships/hyperlink" Target="mailto:jowens@smithbucklin.com" TargetMode="External"/><Relationship Id="rId30" Type="http://schemas.openxmlformats.org/officeDocument/2006/relationships/hyperlink" Target="mailto:jowens@smithbucklin.com" TargetMode="External"/><Relationship Id="rId35" Type="http://schemas.openxmlformats.org/officeDocument/2006/relationships/hyperlink" Target="mailto:AHE@smithbucklin.com" TargetMode="External"/><Relationship Id="rId56" Type="http://schemas.openxmlformats.org/officeDocument/2006/relationships/hyperlink" Target="http://45453426.hs-sites.com/elevate-your-brand-discover-exclusive-sponsorships-at-exchange25" TargetMode="External"/><Relationship Id="rId77" Type="http://schemas.openxmlformats.org/officeDocument/2006/relationships/hyperlink" Target="mailto:nschuette@smithbucklin.com" TargetMode="External"/><Relationship Id="rId100" Type="http://schemas.openxmlformats.org/officeDocument/2006/relationships/hyperlink" Target="http://45453426.hs-sites.com/start-your-day-right-prep-for-exchange25-with-this-morning-routine" TargetMode="External"/><Relationship Id="rId105" Type="http://schemas.openxmlformats.org/officeDocument/2006/relationships/hyperlink" Target="mailto:ahe@smithbucklin.com" TargetMode="External"/><Relationship Id="rId126" Type="http://schemas.openxmlformats.org/officeDocument/2006/relationships/hyperlink" Target="https://45453426.hs-sites.com/exchange25-exhibitor-bulletin-4" TargetMode="External"/><Relationship Id="rId147" Type="http://schemas.openxmlformats.org/officeDocument/2006/relationships/hyperlink" Target="mailto:kmcdonnell@smithbucklin.com" TargetMode="External"/><Relationship Id="rId168" Type="http://schemas.openxmlformats.org/officeDocument/2006/relationships/hyperlink" Target="https://45453426.hs-sites.com/put-your-message-in-every-inbox-ahe-dedicated-emails" TargetMode="External"/><Relationship Id="rId8" Type="http://schemas.openxmlformats.org/officeDocument/2006/relationships/hyperlink" Target="mailto:nschuette@smithbucklin.com" TargetMode="External"/><Relationship Id="rId51" Type="http://schemas.openxmlformats.org/officeDocument/2006/relationships/hyperlink" Target="http://45453426.hs-sites.com/ahe-digital-ad-reminder" TargetMode="External"/><Relationship Id="rId72" Type="http://schemas.openxmlformats.org/officeDocument/2006/relationships/hyperlink" Target="mailto:nschuette@smithbucklin.com" TargetMode="External"/><Relationship Id="rId93" Type="http://schemas.openxmlformats.org/officeDocument/2006/relationships/hyperlink" Target="mailto:nschuette@smithbucklin.com" TargetMode="External"/><Relationship Id="rId98" Type="http://schemas.openxmlformats.org/officeDocument/2006/relationships/hyperlink" Target="http://45453426.hs-sites.com/send-content-directly-to-ahe-members-inboxes" TargetMode="External"/><Relationship Id="rId121" Type="http://schemas.openxmlformats.org/officeDocument/2006/relationships/hyperlink" Target="mailto:kmcdonnell@smithbucklin.com" TargetMode="External"/><Relationship Id="rId142" Type="http://schemas.openxmlformats.org/officeDocument/2006/relationships/hyperlink" Target="mailto:kmcdonnell@smithbucklin.com" TargetMode="External"/><Relationship Id="rId163" Type="http://schemas.openxmlformats.org/officeDocument/2006/relationships/hyperlink" Target="https://45453426.hs-sites.com/your-next-best-lead-source-ahe-webinars" TargetMode="External"/><Relationship Id="rId184" Type="http://schemas.openxmlformats.org/officeDocument/2006/relationships/hyperlink" Target="https://45453426.hs-sites.com/ahe-venue-branding-just-dropped" TargetMode="External"/><Relationship Id="rId189" Type="http://schemas.openxmlformats.org/officeDocument/2006/relationships/hyperlink" Target="https://45453426.hs-sites.com/put-your-brand-in-every-attendees-hands-at-exchange26" TargetMode="External"/><Relationship Id="rId3" Type="http://schemas.openxmlformats.org/officeDocument/2006/relationships/hyperlink" Target="mailto:AHE@smithbucklin.com" TargetMode="External"/><Relationship Id="rId25" Type="http://schemas.openxmlformats.org/officeDocument/2006/relationships/hyperlink" Target="mailto:nschuette@smithbucklin.com" TargetMode="External"/><Relationship Id="rId46" Type="http://schemas.openxmlformats.org/officeDocument/2006/relationships/hyperlink" Target="mailto:AHE@smithbucklin.com" TargetMode="External"/><Relationship Id="rId67" Type="http://schemas.openxmlformats.org/officeDocument/2006/relationships/hyperlink" Target="http://45453426.hs-sites.com/happy-holidays-from-ahe" TargetMode="External"/><Relationship Id="rId116" Type="http://schemas.openxmlformats.org/officeDocument/2006/relationships/hyperlink" Target="mailto:kmcdonnell@smithbucklin.com" TargetMode="External"/><Relationship Id="rId137" Type="http://schemas.openxmlformats.org/officeDocument/2006/relationships/hyperlink" Target="mailto:kmcdonnell@smithbucklin.com" TargetMode="External"/><Relationship Id="rId158" Type="http://schemas.openxmlformats.org/officeDocument/2006/relationships/hyperlink" Target="mailto:kmcdonnell@smithbucklin.com" TargetMode="External"/><Relationship Id="rId20" Type="http://schemas.openxmlformats.org/officeDocument/2006/relationships/hyperlink" Target="mailto:nschuette@smithbucklin.com" TargetMode="External"/><Relationship Id="rId41" Type="http://schemas.openxmlformats.org/officeDocument/2006/relationships/hyperlink" Target="mailto:AHE@smithbucklin.com" TargetMode="External"/><Relationship Id="rId62" Type="http://schemas.openxmlformats.org/officeDocument/2006/relationships/hyperlink" Target="https://www.ahemediakit.org/ahe-exchange/become-an-exhibitor/" TargetMode="External"/><Relationship Id="rId83" Type="http://schemas.openxmlformats.org/officeDocument/2006/relationships/hyperlink" Target="http://45453426.hs-sites.com/dont-miss-out-elevate-your-brand-at-exchange25" TargetMode="External"/><Relationship Id="rId88" Type="http://schemas.openxmlformats.org/officeDocument/2006/relationships/hyperlink" Target="mailto:nschuette@smithbucklin.com" TargetMode="External"/><Relationship Id="rId111" Type="http://schemas.openxmlformats.org/officeDocument/2006/relationships/hyperlink" Target="mailto:kmcdonnell@smithbucklin.com" TargetMode="External"/><Relationship Id="rId132" Type="http://schemas.openxmlformats.org/officeDocument/2006/relationships/hyperlink" Target="https://45453426.hs-sites.com/keep-the-exchange25-buzz-going" TargetMode="External"/><Relationship Id="rId153" Type="http://schemas.openxmlformats.org/officeDocument/2006/relationships/hyperlink" Target="https://45453426.hs-sites.com/ahe-year-round-final-2025-push" TargetMode="External"/><Relationship Id="rId174" Type="http://schemas.openxmlformats.org/officeDocument/2006/relationships/hyperlink" Target="mailto:kmcdonnell@smithbucklin.com" TargetMode="External"/><Relationship Id="rId179" Type="http://schemas.openxmlformats.org/officeDocument/2006/relationships/hyperlink" Target="https://www.ahemediakit.org/advertise/" TargetMode="External"/><Relationship Id="rId195" Type="http://schemas.openxmlformats.org/officeDocument/2006/relationships/hyperlink" Target="https://45453426.hs-sites.com/exchange26-exhibitor-bulletin-3" TargetMode="External"/><Relationship Id="rId209" Type="http://schemas.openxmlformats.org/officeDocument/2006/relationships/printerSettings" Target="../printerSettings/printerSettings6.bin"/><Relationship Id="rId190" Type="http://schemas.openxmlformats.org/officeDocument/2006/relationships/hyperlink" Target="https://45453426.hs-sites.com/put-your-brand-behind-evs-week-recognition" TargetMode="External"/><Relationship Id="rId204" Type="http://schemas.openxmlformats.org/officeDocument/2006/relationships/hyperlink" Target="mailto:kmcdonnell@smithbucklin.com" TargetMode="External"/><Relationship Id="rId15" Type="http://schemas.openxmlformats.org/officeDocument/2006/relationships/hyperlink" Target="mailto:nschuette@smithbucklin.com" TargetMode="External"/><Relationship Id="rId36" Type="http://schemas.openxmlformats.org/officeDocument/2006/relationships/hyperlink" Target="mailto:AHE@smithbucklin.com" TargetMode="External"/><Relationship Id="rId57" Type="http://schemas.openxmlformats.org/officeDocument/2006/relationships/hyperlink" Target="mailto:nschuette@smithbucklin.com" TargetMode="External"/><Relationship Id="rId106" Type="http://schemas.openxmlformats.org/officeDocument/2006/relationships/hyperlink" Target="mailto:ahe@smithbucklin.com" TargetMode="External"/><Relationship Id="rId127" Type="http://schemas.openxmlformats.org/officeDocument/2006/relationships/hyperlink" Target="http://45453426.hs-sites.com/your-space-selection-appointment-date-time-at-exchange25-reminder" TargetMode="External"/><Relationship Id="rId10" Type="http://schemas.openxmlformats.org/officeDocument/2006/relationships/hyperlink" Target="mailto:nschuette@smithbucklin.com" TargetMode="External"/><Relationship Id="rId31" Type="http://schemas.openxmlformats.org/officeDocument/2006/relationships/hyperlink" Target="http://45453426.hs-sites.com/ahe-website-advertising?hs_preview=JWYvyBnX-164759979533" TargetMode="External"/><Relationship Id="rId52" Type="http://schemas.openxmlformats.org/officeDocument/2006/relationships/hyperlink" Target="https://www.ahemediakit.org/advertise/" TargetMode="External"/><Relationship Id="rId73" Type="http://schemas.openxmlformats.org/officeDocument/2006/relationships/hyperlink" Target="mailto:nschuette@smithbucklin.com" TargetMode="External"/><Relationship Id="rId78" Type="http://schemas.openxmlformats.org/officeDocument/2006/relationships/hyperlink" Target="mailto:nschuette@smithbucklin.com" TargetMode="External"/><Relationship Id="rId94" Type="http://schemas.openxmlformats.org/officeDocument/2006/relationships/hyperlink" Target="mailto:nschuette@smithbucklin.com" TargetMode="External"/><Relationship Id="rId99" Type="http://schemas.openxmlformats.org/officeDocument/2006/relationships/hyperlink" Target="https://www.ahemediakit.org/corporate-champion-program/" TargetMode="External"/><Relationship Id="rId101" Type="http://schemas.openxmlformats.org/officeDocument/2006/relationships/hyperlink" Target="https://45453426.hs-sites.com/stand-out-as-an-ahe-corporate-champion" TargetMode="External"/><Relationship Id="rId122" Type="http://schemas.openxmlformats.org/officeDocument/2006/relationships/hyperlink" Target="mailto:kmcdonnell@smithbucklin.com" TargetMode="External"/><Relationship Id="rId143" Type="http://schemas.openxmlformats.org/officeDocument/2006/relationships/hyperlink" Target="https://45453426.hs-sites.com/target-the-audience-this-fall" TargetMode="External"/><Relationship Id="rId148" Type="http://schemas.openxmlformats.org/officeDocument/2006/relationships/hyperlink" Target="mailto:kmcdonnell@smithbucklin.com" TargetMode="External"/><Relationship Id="rId164" Type="http://schemas.openxmlformats.org/officeDocument/2006/relationships/hyperlink" Target="https://45453426.hs-sites.com/first-look-2026-sponsorships-just-launched" TargetMode="External"/><Relationship Id="rId169" Type="http://schemas.openxmlformats.org/officeDocument/2006/relationships/hyperlink" Target="https://45453426.hs-sites.com/sponsorship-madness-stand-out-in-new-orleans" TargetMode="External"/><Relationship Id="rId185" Type="http://schemas.openxmlformats.org/officeDocument/2006/relationships/hyperlink" Target="https://www.ahemediakit.org/ahe-exchange/sponsorship-opportunities/branding-and-advertising/" TargetMode="External"/><Relationship Id="rId4" Type="http://schemas.openxmlformats.org/officeDocument/2006/relationships/hyperlink" Target="mailto:dcooksey@smithbucklin.com" TargetMode="External"/><Relationship Id="rId9" Type="http://schemas.openxmlformats.org/officeDocument/2006/relationships/hyperlink" Target="mailto:nschuette@smithbucklin.com" TargetMode="External"/><Relationship Id="rId180" Type="http://schemas.openxmlformats.org/officeDocument/2006/relationships/hyperlink" Target="https://www.ahemediakit.org/advertise/webinars/" TargetMode="External"/><Relationship Id="rId210" Type="http://schemas.openxmlformats.org/officeDocument/2006/relationships/drawing" Target="../drawings/drawing6.xml"/><Relationship Id="rId26" Type="http://schemas.openxmlformats.org/officeDocument/2006/relationships/hyperlink" Target="mailto:jowens@smithbucklin.com" TargetMode="External"/><Relationship Id="rId47" Type="http://schemas.openxmlformats.org/officeDocument/2006/relationships/hyperlink" Target="mailto:nschuette@smithbucklin.com" TargetMode="External"/><Relationship Id="rId68" Type="http://schemas.openxmlformats.org/officeDocument/2006/relationships/hyperlink" Target="mailto:nschuette@smithbucklin.com" TargetMode="External"/><Relationship Id="rId89" Type="http://schemas.openxmlformats.org/officeDocument/2006/relationships/hyperlink" Target="http://45453426.hs-sites.com/maximize-your-impact-at-exchange25-with-exclusive-opportunities" TargetMode="External"/><Relationship Id="rId112" Type="http://schemas.openxmlformats.org/officeDocument/2006/relationships/hyperlink" Target="https://45453426.hs-sites.com/boost-visibility-with-ahe-sponsorships.-act-now" TargetMode="External"/><Relationship Id="rId133" Type="http://schemas.openxmlformats.org/officeDocument/2006/relationships/hyperlink" Target="https://45453426.hs-sites.com/ahe-2025-exhibitor-survey-2" TargetMode="External"/><Relationship Id="rId154" Type="http://schemas.openxmlformats.org/officeDocument/2006/relationships/hyperlink" Target="http://45453426.hs-sites.com/ahe-digest-december-edition-webinar-opportunities" TargetMode="External"/><Relationship Id="rId175" Type="http://schemas.openxmlformats.org/officeDocument/2006/relationships/hyperlink" Target="https://www.ahemediakit.org/ahe-exchange/sponsorship-opportunities/venue-branding-and-meeting-space/" TargetMode="External"/><Relationship Id="rId196" Type="http://schemas.openxmlformats.org/officeDocument/2006/relationships/hyperlink" Target="mailto:kmcdonnell@smithbucklin.com" TargetMode="External"/><Relationship Id="rId200" Type="http://schemas.openxmlformats.org/officeDocument/2006/relationships/hyperlink" Target="mailto:kmcdonnell@smithbucklin.com" TargetMode="External"/><Relationship Id="rId16" Type="http://schemas.openxmlformats.org/officeDocument/2006/relationships/hyperlink" Target="mailto:nschuette@smithbucklin.com" TargetMode="External"/><Relationship Id="rId37" Type="http://schemas.openxmlformats.org/officeDocument/2006/relationships/hyperlink" Target="mailto:AHE@smithbucklin.com" TargetMode="External"/><Relationship Id="rId58" Type="http://schemas.openxmlformats.org/officeDocument/2006/relationships/hyperlink" Target="mailto:nschuette@smithbucklin.com" TargetMode="External"/><Relationship Id="rId79" Type="http://schemas.openxmlformats.org/officeDocument/2006/relationships/hyperlink" Target="https://www.ahemediakit.org/advertise/" TargetMode="External"/><Relationship Id="rId102" Type="http://schemas.openxmlformats.org/officeDocument/2006/relationships/hyperlink" Target="https://45453426.hs-sites.com/exchange25-exhibitor-bulletin-3" TargetMode="External"/><Relationship Id="rId123" Type="http://schemas.openxmlformats.org/officeDocument/2006/relationships/hyperlink" Target="mailto:kmcdonnell@smithbucklin.com" TargetMode="External"/><Relationship Id="rId144" Type="http://schemas.openxmlformats.org/officeDocument/2006/relationships/hyperlink" Target="https://45453426.hs-sites.com/dont-let-your-brand-collect-dust-stay-top-of-mind-year-round" TargetMode="External"/><Relationship Id="rId90" Type="http://schemas.openxmlformats.org/officeDocument/2006/relationships/hyperlink" Target="https://www.ahemediakit.org/advertise/dedicated-emails/" TargetMode="External"/><Relationship Id="rId165" Type="http://schemas.openxmlformats.org/officeDocument/2006/relationships/hyperlink" Target="https://45453426.hs-sites.com/stay-visible-on-ahe.org-year-round" TargetMode="External"/><Relationship Id="rId186" Type="http://schemas.openxmlformats.org/officeDocument/2006/relationships/hyperlink" Target="https://www.ahemediakit.org/ahe-exchange/sponsorship-opportunities/branding-and-advertising/" TargetMode="External"/><Relationship Id="rId211" Type="http://schemas.openxmlformats.org/officeDocument/2006/relationships/vmlDrawing" Target="../drawings/vmlDrawing4.vml"/><Relationship Id="rId27" Type="http://schemas.openxmlformats.org/officeDocument/2006/relationships/hyperlink" Target="mailto:jowens@smithbucklin.com" TargetMode="External"/><Relationship Id="rId48" Type="http://schemas.openxmlformats.org/officeDocument/2006/relationships/hyperlink" Target="mailto:nschuette@smithbucklin.com" TargetMode="External"/><Relationship Id="rId69" Type="http://schemas.openxmlformats.org/officeDocument/2006/relationships/hyperlink" Target="http://45453426.hs-sites.com/2025-ahe-advertising" TargetMode="External"/><Relationship Id="rId113" Type="http://schemas.openxmlformats.org/officeDocument/2006/relationships/hyperlink" Target="http://45453426.hs-sites.com/space-selection-save-the-date" TargetMode="External"/><Relationship Id="rId134" Type="http://schemas.openxmlformats.org/officeDocument/2006/relationships/hyperlink" Target="http://45453426.hs-sites.com/get-seen-by-evs-pros-where-it-matters-most" TargetMode="External"/><Relationship Id="rId80" Type="http://schemas.openxmlformats.org/officeDocument/2006/relationships/hyperlink" Target="http://45453426.hs-sites.com/reach-16300-evs-professionals-directly" TargetMode="External"/><Relationship Id="rId155" Type="http://schemas.openxmlformats.org/officeDocument/2006/relationships/hyperlink" Target="https://45453426.hs-sites.com/celebrating-the-season-with-ahe" TargetMode="External"/><Relationship Id="rId176" Type="http://schemas.openxmlformats.org/officeDocument/2006/relationships/hyperlink" Target="https://45453426.hs-sites.com/exchange26-exhibitor-bulletin-1" TargetMode="External"/><Relationship Id="rId197" Type="http://schemas.openxmlformats.org/officeDocument/2006/relationships/hyperlink" Target="mailto:kmcdonnell@smithbucklin.com" TargetMode="External"/><Relationship Id="rId201" Type="http://schemas.openxmlformats.org/officeDocument/2006/relationships/hyperlink" Target="mailto:kmcdonnell@smithbucklin.com" TargetMode="External"/><Relationship Id="rId17" Type="http://schemas.openxmlformats.org/officeDocument/2006/relationships/hyperlink" Target="mailto:nschuette@smithbucklin.com" TargetMode="External"/><Relationship Id="rId38" Type="http://schemas.openxmlformats.org/officeDocument/2006/relationships/hyperlink" Target="mailto:nschuette@smithbucklin.com" TargetMode="External"/><Relationship Id="rId59" Type="http://schemas.openxmlformats.org/officeDocument/2006/relationships/hyperlink" Target="mailto:nschuette@smithbucklin.com" TargetMode="External"/><Relationship Id="rId103" Type="http://schemas.openxmlformats.org/officeDocument/2006/relationships/hyperlink" Target="http://45453426.hs-sites.com/connect-with-attendees-before-exchange25" TargetMode="External"/><Relationship Id="rId124" Type="http://schemas.openxmlformats.org/officeDocument/2006/relationships/hyperlink" Target="http://45453426.hs-sites.com/exchange25-space-selection-appointments" TargetMode="External"/><Relationship Id="rId70" Type="http://schemas.openxmlformats.org/officeDocument/2006/relationships/hyperlink" Target="mailto:nschuette@smithbucklin.com" TargetMode="External"/><Relationship Id="rId91" Type="http://schemas.openxmlformats.org/officeDocument/2006/relationships/hyperlink" Target="http://45453426.hs-sites.com/explore-unique-ways-to-boost-your-brand-at-exchange25" TargetMode="External"/><Relationship Id="rId145" Type="http://schemas.openxmlformats.org/officeDocument/2006/relationships/hyperlink" Target="mailto:kmcdonnell@smithbucklin.com" TargetMode="External"/><Relationship Id="rId166" Type="http://schemas.openxmlformats.org/officeDocument/2006/relationships/hyperlink" Target="https://45453426.hs-sites.com/boost-booth-traffic-at-ahe-exchange" TargetMode="External"/><Relationship Id="rId187" Type="http://schemas.openxmlformats.org/officeDocument/2006/relationships/hyperlink" Target="https://www.ahemediakit.org/ahe-exchange/sponsorship-opportunities/speaking-and-engagement/" TargetMode="External"/><Relationship Id="rId1" Type="http://schemas.openxmlformats.org/officeDocument/2006/relationships/hyperlink" Target="mailto:AHE@smithbucklin.com" TargetMode="External"/><Relationship Id="rId212" Type="http://schemas.openxmlformats.org/officeDocument/2006/relationships/comments" Target="../comments3.xml"/><Relationship Id="rId28" Type="http://schemas.openxmlformats.org/officeDocument/2006/relationships/hyperlink" Target="mailto:jowens@smithbucklin.com" TargetMode="External"/><Relationship Id="rId49" Type="http://schemas.openxmlformats.org/officeDocument/2006/relationships/hyperlink" Target="mailto:nschuette@smithbucklin.com" TargetMode="External"/><Relationship Id="rId114" Type="http://schemas.openxmlformats.org/officeDocument/2006/relationships/hyperlink" Target="mailto:ahe@smithbucklin.com" TargetMode="External"/><Relationship Id="rId60" Type="http://schemas.openxmlformats.org/officeDocument/2006/relationships/hyperlink" Target="mailto:nschuette@smithbucklin.com" TargetMode="External"/><Relationship Id="rId81" Type="http://schemas.openxmlformats.org/officeDocument/2006/relationships/hyperlink" Target="https://www.ahemediakit.org/ahe-exchange/sponsorship-opportunities/" TargetMode="External"/><Relationship Id="rId135" Type="http://schemas.openxmlformats.org/officeDocument/2006/relationships/hyperlink" Target="https://45453426.hs-sites.com/engage-16000-evs-professionals" TargetMode="External"/><Relationship Id="rId156" Type="http://schemas.openxmlformats.org/officeDocument/2006/relationships/hyperlink" Target="mailto:kmcdonnell@smithbucklin.com" TargetMode="External"/><Relationship Id="rId177" Type="http://schemas.openxmlformats.org/officeDocument/2006/relationships/hyperlink" Target="mailto:kmcdonnell@smithbucklin.com" TargetMode="External"/><Relationship Id="rId198" Type="http://schemas.openxmlformats.org/officeDocument/2006/relationships/hyperlink" Target="mailto:kmcdonnell@smithbucklin.com" TargetMode="External"/><Relationship Id="rId202" Type="http://schemas.openxmlformats.org/officeDocument/2006/relationships/hyperlink" Target="mailto:kmcdonnell@smithbucklin.com" TargetMode="External"/><Relationship Id="rId18" Type="http://schemas.openxmlformats.org/officeDocument/2006/relationships/hyperlink" Target="mailto:nschuette@smithbucklin.com" TargetMode="External"/><Relationship Id="rId39" Type="http://schemas.openxmlformats.org/officeDocument/2006/relationships/hyperlink" Target="mailto:nschuette@smithbucklin.com" TargetMode="External"/><Relationship Id="rId50" Type="http://schemas.openxmlformats.org/officeDocument/2006/relationships/hyperlink" Target="mailto:nschuette@smithbucklin.com" TargetMode="External"/><Relationship Id="rId104" Type="http://schemas.openxmlformats.org/officeDocument/2006/relationships/hyperlink" Target="mailto:nschuette@smithbucklin.com" TargetMode="External"/><Relationship Id="rId125" Type="http://schemas.openxmlformats.org/officeDocument/2006/relationships/hyperlink" Target="https://45453426.hs-sites.com/reach-evs-professionals-with-dedicated-emails-webinars" TargetMode="External"/><Relationship Id="rId146" Type="http://schemas.openxmlformats.org/officeDocument/2006/relationships/hyperlink" Target="https://45453426.hs-sites.com/2026-sponsorships-coming-soon" TargetMode="External"/><Relationship Id="rId167" Type="http://schemas.openxmlformats.org/officeDocument/2006/relationships/hyperlink" Target="mailto:kmcdonnell@smithbucklin.com" TargetMode="External"/><Relationship Id="rId188" Type="http://schemas.openxmlformats.org/officeDocument/2006/relationships/hyperlink" Target="https://45453426.hs-sites.com/exchange26-exhibitor-bulletin-2" TargetMode="External"/><Relationship Id="rId71" Type="http://schemas.openxmlformats.org/officeDocument/2006/relationships/hyperlink" Target="mailto:nschuette@smithbucklin.com" TargetMode="External"/><Relationship Id="rId92" Type="http://schemas.openxmlformats.org/officeDocument/2006/relationships/hyperlink" Target="https://www.ahemediakit.org/partner/" TargetMode="External"/><Relationship Id="rId213" Type="http://schemas.microsoft.com/office/2017/10/relationships/threadedComment" Target="../threadedComments/threadedComment3.xml"/><Relationship Id="rId2" Type="http://schemas.openxmlformats.org/officeDocument/2006/relationships/hyperlink" Target="mailto:AHE@smithbucklin.com" TargetMode="External"/><Relationship Id="rId29" Type="http://schemas.openxmlformats.org/officeDocument/2006/relationships/hyperlink" Target="mailto:jowens@smithbucklin.com" TargetMode="External"/><Relationship Id="rId40" Type="http://schemas.openxmlformats.org/officeDocument/2006/relationships/hyperlink" Target="mailto:AHE@smithbucklin.com" TargetMode="External"/><Relationship Id="rId115" Type="http://schemas.openxmlformats.org/officeDocument/2006/relationships/hyperlink" Target="mailto:kmcdonnell@smithbucklin.com" TargetMode="External"/><Relationship Id="rId136" Type="http://schemas.openxmlformats.org/officeDocument/2006/relationships/hyperlink" Target="https://45453426.hs-sites.com/get-seen-by-evs-pros-where-it-matters-most-ahe.org" TargetMode="External"/><Relationship Id="rId157" Type="http://schemas.openxmlformats.org/officeDocument/2006/relationships/hyperlink" Target="mailto:kmcdonnell@smithbucklin.com" TargetMode="External"/><Relationship Id="rId178" Type="http://schemas.openxmlformats.org/officeDocument/2006/relationships/hyperlink" Target="mailto:kmcdonnell@smithbucklin.com" TargetMode="External"/><Relationship Id="rId61" Type="http://schemas.openxmlformats.org/officeDocument/2006/relationships/hyperlink" Target="http://45453426.hs-sites.com/jumpstart-your-2025-marketing-with-ahe-advertising-opportunities-2" TargetMode="External"/><Relationship Id="rId82" Type="http://schemas.openxmlformats.org/officeDocument/2006/relationships/hyperlink" Target="http://45453426.hs-sites.com/exchange-25-sponsorships-venue-branding" TargetMode="External"/><Relationship Id="rId199" Type="http://schemas.openxmlformats.org/officeDocument/2006/relationships/hyperlink" Target="mailto:kmcdonnell@smithbucklin.com" TargetMode="External"/><Relationship Id="rId203" Type="http://schemas.openxmlformats.org/officeDocument/2006/relationships/hyperlink" Target="mailto:kmcdonnell@smithbucklin.com"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45453527.hs-sites.com/boost-personalization_tokencontact.company-s-impact-at-ahrmm25" TargetMode="External"/><Relationship Id="rId21" Type="http://schemas.openxmlformats.org/officeDocument/2006/relationships/hyperlink" Target="https://app.markup.io/invite/accept/QztUL-bd" TargetMode="External"/><Relationship Id="rId42" Type="http://schemas.openxmlformats.org/officeDocument/2006/relationships/hyperlink" Target="mailto:krking@smithbucklin.com" TargetMode="External"/><Relationship Id="rId63" Type="http://schemas.openxmlformats.org/officeDocument/2006/relationships/hyperlink" Target="http://45453527.hs-sites.com/end-of-the-year-digital-advertising-opportunities" TargetMode="External"/><Relationship Id="rId84" Type="http://schemas.openxmlformats.org/officeDocument/2006/relationships/hyperlink" Target="mailto:AHRMM@Smithbucklin.com" TargetMode="External"/><Relationship Id="rId138" Type="http://schemas.openxmlformats.org/officeDocument/2006/relationships/hyperlink" Target="mailto:AHRMM@Smithbucklin.com" TargetMode="External"/><Relationship Id="rId159" Type="http://schemas.openxmlformats.org/officeDocument/2006/relationships/hyperlink" Target="https://45453527.hs-sites.com/save-the-date-ahrmm26-space-selection-in-denver" TargetMode="External"/><Relationship Id="rId170" Type="http://schemas.openxmlformats.org/officeDocument/2006/relationships/hyperlink" Target="mailto:AHRMM@Smithbucklin.com" TargetMode="External"/><Relationship Id="rId191" Type="http://schemas.openxmlformats.org/officeDocument/2006/relationships/hyperlink" Target="https://45453527.hs-sites.com/ahrmm25-sponsorships-are-live-claim-yours-today" TargetMode="External"/><Relationship Id="rId205" Type="http://schemas.openxmlformats.org/officeDocument/2006/relationships/hyperlink" Target="https://www.ahrmmmediakit.org/ahrmm26/sponsorship-opportunities/thought-leadership/" TargetMode="External"/><Relationship Id="rId226" Type="http://schemas.openxmlformats.org/officeDocument/2006/relationships/hyperlink" Target="mailto:jeiding@smithbucklin.com" TargetMode="External"/><Relationship Id="rId107" Type="http://schemas.openxmlformats.org/officeDocument/2006/relationships/hyperlink" Target="https://www.ahrmmmediakit.org/digital/" TargetMode="External"/><Relationship Id="rId11" Type="http://schemas.openxmlformats.org/officeDocument/2006/relationships/hyperlink" Target="https://app.markup.io/invite/accept/OTP3Fuw6" TargetMode="External"/><Relationship Id="rId32" Type="http://schemas.openxmlformats.org/officeDocument/2006/relationships/hyperlink" Target="mailto:AHRMM@Smithbucklin.com" TargetMode="External"/><Relationship Id="rId53" Type="http://schemas.openxmlformats.org/officeDocument/2006/relationships/hyperlink" Target="mailto:AHRMM@Smithbucklin.com" TargetMode="External"/><Relationship Id="rId74" Type="http://schemas.openxmlformats.org/officeDocument/2006/relationships/hyperlink" Target="http://45453527.hs-sites.com/happy-holidays-from-ahrmm" TargetMode="External"/><Relationship Id="rId128" Type="http://schemas.openxmlformats.org/officeDocument/2006/relationships/hyperlink" Target="mailto:AHRMM@Smithbucklin.com" TargetMode="External"/><Relationship Id="rId149" Type="http://schemas.openxmlformats.org/officeDocument/2006/relationships/hyperlink" Target="https://45453527.hs-sites.com/looking-to-crush-your-summer-goals-market-smarter-with-ahrmm-now" TargetMode="External"/><Relationship Id="rId5" Type="http://schemas.openxmlformats.org/officeDocument/2006/relationships/hyperlink" Target="mailto:Nschuette@smithbucklin.com" TargetMode="External"/><Relationship Id="rId95" Type="http://schemas.openxmlformats.org/officeDocument/2006/relationships/hyperlink" Target="mailto:jeiding@smithbucklin.com" TargetMode="External"/><Relationship Id="rId160" Type="http://schemas.openxmlformats.org/officeDocument/2006/relationships/hyperlink" Target="https://45453527.hs-sites.com/share-your-expertise-your-way" TargetMode="External"/><Relationship Id="rId181" Type="http://schemas.openxmlformats.org/officeDocument/2006/relationships/hyperlink" Target="mailto:jeiding@smithbucklin.com" TargetMode="External"/><Relationship Id="rId216" Type="http://schemas.openxmlformats.org/officeDocument/2006/relationships/hyperlink" Target="https://45453527.hs-sites.com/build-executive-level-connections-at-ahrmm26" TargetMode="External"/><Relationship Id="rId237" Type="http://schemas.openxmlformats.org/officeDocument/2006/relationships/hyperlink" Target="mailto:jeiding@smithbucklin.com" TargetMode="External"/><Relationship Id="rId22" Type="http://schemas.openxmlformats.org/officeDocument/2006/relationships/hyperlink" Target="https://app.markup.io/invite/accept/as9F8KiH" TargetMode="External"/><Relationship Id="rId43" Type="http://schemas.openxmlformats.org/officeDocument/2006/relationships/hyperlink" Target="mailto:AHRMM@smithbucklin.com" TargetMode="External"/><Relationship Id="rId64" Type="http://schemas.openxmlformats.org/officeDocument/2006/relationships/hyperlink" Target="http://45453527.hs-sites.com/ahrmm25-exhibit-opportunities-now-available-1" TargetMode="External"/><Relationship Id="rId118" Type="http://schemas.openxmlformats.org/officeDocument/2006/relationships/hyperlink" Target="http://45453527.hs-sites.com/exhibit-at-ahrmm25-secure-your-booth-today" TargetMode="External"/><Relationship Id="rId139" Type="http://schemas.openxmlformats.org/officeDocument/2006/relationships/hyperlink" Target="mailto:AHRMM@Smithbucklin.com" TargetMode="External"/><Relationship Id="rId85" Type="http://schemas.openxmlformats.org/officeDocument/2006/relationships/hyperlink" Target="mailto:AHRMM@Smithbucklin.com" TargetMode="External"/><Relationship Id="rId150" Type="http://schemas.openxmlformats.org/officeDocument/2006/relationships/hyperlink" Target="https://45453527.hs-sites.com/ahrmm25-space-selection-save-the-date" TargetMode="External"/><Relationship Id="rId171" Type="http://schemas.openxmlformats.org/officeDocument/2006/relationships/hyperlink" Target="mailto:AHRMM@Smithbucklin.com" TargetMode="External"/><Relationship Id="rId192" Type="http://schemas.openxmlformats.org/officeDocument/2006/relationships/hyperlink" Target="https://45453527.hs-sites.com/your-february-demand-generation-playbook-with-ahrmm" TargetMode="External"/><Relationship Id="rId206" Type="http://schemas.openxmlformats.org/officeDocument/2006/relationships/hyperlink" Target="mailto:jeiding@smithbucklin.com" TargetMode="External"/><Relationship Id="rId227" Type="http://schemas.openxmlformats.org/officeDocument/2006/relationships/hyperlink" Target="https://45453527.hs-sites.com/ahrmm26-exhibitor-bulletin-3" TargetMode="External"/><Relationship Id="rId12" Type="http://schemas.openxmlformats.org/officeDocument/2006/relationships/hyperlink" Target="https://app.markup.io/invite/accept/as9F8KiH" TargetMode="External"/><Relationship Id="rId33" Type="http://schemas.openxmlformats.org/officeDocument/2006/relationships/hyperlink" Target="mailto:AHRMM@Smithbucklin.com" TargetMode="External"/><Relationship Id="rId108" Type="http://schemas.openxmlformats.org/officeDocument/2006/relationships/hyperlink" Target="mailto:AHRMM@Smithbucklin.com" TargetMode="External"/><Relationship Id="rId129" Type="http://schemas.openxmlformats.org/officeDocument/2006/relationships/hyperlink" Target="mailto:AHRMM@Smithbucklin.com" TargetMode="External"/><Relationship Id="rId54" Type="http://schemas.openxmlformats.org/officeDocument/2006/relationships/hyperlink" Target="mailto:AHRMM@Smithbucklin.com" TargetMode="External"/><Relationship Id="rId75" Type="http://schemas.openxmlformats.org/officeDocument/2006/relationships/hyperlink" Target="http://45453527.hs-sites.com/ahrmm-2025-what-to-expect" TargetMode="External"/><Relationship Id="rId96" Type="http://schemas.openxmlformats.org/officeDocument/2006/relationships/hyperlink" Target="mailto:jeiding@smithbucklin.com" TargetMode="External"/><Relationship Id="rId140" Type="http://schemas.openxmlformats.org/officeDocument/2006/relationships/hyperlink" Target="mailto:jeiding@smithbucklin.com" TargetMode="External"/><Relationship Id="rId161" Type="http://schemas.openxmlformats.org/officeDocument/2006/relationships/hyperlink" Target="https://45453527.hs-sites.com/extend-your-ahrmm25-impact-beyond-the-event" TargetMode="External"/><Relationship Id="rId182" Type="http://schemas.openxmlformats.org/officeDocument/2006/relationships/hyperlink" Target="mailto:jeiding@smithbucklin.com" TargetMode="External"/><Relationship Id="rId217" Type="http://schemas.openxmlformats.org/officeDocument/2006/relationships/hyperlink" Target="https://45453527.hs-sites.com/ahrmm26-exhibitor-bulletin-2" TargetMode="External"/><Relationship Id="rId6" Type="http://schemas.openxmlformats.org/officeDocument/2006/relationships/hyperlink" Target="mailto:Nschuette@smithbucklin.com" TargetMode="External"/><Relationship Id="rId238" Type="http://schemas.openxmlformats.org/officeDocument/2006/relationships/hyperlink" Target="https://45453527.hs-sites.com/claim-your-ahrmm26-booth" TargetMode="External"/><Relationship Id="rId23" Type="http://schemas.openxmlformats.org/officeDocument/2006/relationships/hyperlink" Target="https://app.markup.io/invite/accept/as9F8KiH" TargetMode="External"/><Relationship Id="rId119" Type="http://schemas.openxmlformats.org/officeDocument/2006/relationships/hyperlink" Target="http://45453527.hs-sites.com/personalization_tokencontact.firstname-valued-partner-will-we-see-you-at-ahrmm25" TargetMode="External"/><Relationship Id="rId44" Type="http://schemas.openxmlformats.org/officeDocument/2006/relationships/hyperlink" Target="mailto:Nschuette@smithbucklin.com" TargetMode="External"/><Relationship Id="rId65" Type="http://schemas.openxmlformats.org/officeDocument/2006/relationships/hyperlink" Target="mailto:jeiding@smithbucklin.com" TargetMode="External"/><Relationship Id="rId86" Type="http://schemas.openxmlformats.org/officeDocument/2006/relationships/hyperlink" Target="http://45453527.hs-sites.com/prepare-your-2025-advertising-strategy-with-ahrmm" TargetMode="External"/><Relationship Id="rId130" Type="http://schemas.openxmlformats.org/officeDocument/2006/relationships/hyperlink" Target="mailto:AHRMM@Smithbucklin.com" TargetMode="External"/><Relationship Id="rId151" Type="http://schemas.openxmlformats.org/officeDocument/2006/relationships/hyperlink" Target="https://45453527.hs-sites.com/secure-prime-ahrmm25-floor-plan-placement-today" TargetMode="External"/><Relationship Id="rId172" Type="http://schemas.openxmlformats.org/officeDocument/2006/relationships/hyperlink" Target="mailto:jeiding@smithbucklin.com" TargetMode="External"/><Relationship Id="rId193" Type="http://schemas.openxmlformats.org/officeDocument/2006/relationships/hyperlink" Target="https://45453527.hs-sites.com/lock-in-a-thought-leadership-slot" TargetMode="External"/><Relationship Id="rId207" Type="http://schemas.openxmlformats.org/officeDocument/2006/relationships/hyperlink" Target="https://www.ahrmmmediakit.org/ahrmm26/ahrmm-executives-network-aen/" TargetMode="External"/><Relationship Id="rId228" Type="http://schemas.openxmlformats.org/officeDocument/2006/relationships/hyperlink" Target="https://www.ahrmmmediakit.org/ahrmm26/sponsorship-opportunities/branding-and-advertising/" TargetMode="External"/><Relationship Id="rId13" Type="http://schemas.openxmlformats.org/officeDocument/2006/relationships/hyperlink" Target="https://app.markup.io/invite/accept/1ni7akrJ" TargetMode="External"/><Relationship Id="rId109" Type="http://schemas.openxmlformats.org/officeDocument/2006/relationships/hyperlink" Target="mailto:AHRMM@Smithbucklin.com" TargetMode="External"/><Relationship Id="rId34" Type="http://schemas.openxmlformats.org/officeDocument/2006/relationships/hyperlink" Target="mailto:AHRMM@Smithbucklin.com" TargetMode="External"/><Relationship Id="rId55" Type="http://schemas.openxmlformats.org/officeDocument/2006/relationships/hyperlink" Target="mailto:AHRMM@Smithbucklin.com" TargetMode="External"/><Relationship Id="rId76" Type="http://schemas.openxmlformats.org/officeDocument/2006/relationships/hyperlink" Target="mailto:AHRMM@Smithbucklin.com" TargetMode="External"/><Relationship Id="rId97" Type="http://schemas.openxmlformats.org/officeDocument/2006/relationships/hyperlink" Target="http://45453527.hs-sites.com/secure-your-ad-in-scss-q2-magazine-today" TargetMode="External"/><Relationship Id="rId120" Type="http://schemas.openxmlformats.org/officeDocument/2006/relationships/hyperlink" Target="http://45453527.hs-sites.com/lead-the-conversation-in-healthcare-supply-chain" TargetMode="External"/><Relationship Id="rId141" Type="http://schemas.openxmlformats.org/officeDocument/2006/relationships/hyperlink" Target="mailto:AHRMM@Smithbucklin.com" TargetMode="External"/><Relationship Id="rId7" Type="http://schemas.openxmlformats.org/officeDocument/2006/relationships/hyperlink" Target="mailto:nschutte@smithbucklin.com" TargetMode="External"/><Relationship Id="rId162" Type="http://schemas.openxmlformats.org/officeDocument/2006/relationships/hyperlink" Target="mailto:jeiding@smithbucklin.com" TargetMode="External"/><Relationship Id="rId183" Type="http://schemas.openxmlformats.org/officeDocument/2006/relationships/hyperlink" Target="mailto:jeiding@smithbucklin.com" TargetMode="External"/><Relationship Id="rId218" Type="http://schemas.openxmlformats.org/officeDocument/2006/relationships/hyperlink" Target="https://45453527.hs-sites.com/ahrmm-demand-gen-digest-3-spring-visibility-that-converts-1" TargetMode="External"/><Relationship Id="rId239" Type="http://schemas.openxmlformats.org/officeDocument/2006/relationships/printerSettings" Target="../printerSettings/printerSettings7.bin"/><Relationship Id="rId24" Type="http://schemas.openxmlformats.org/officeDocument/2006/relationships/hyperlink" Target="mailto:nschuette@smithbucklin.com" TargetMode="External"/><Relationship Id="rId45" Type="http://schemas.openxmlformats.org/officeDocument/2006/relationships/hyperlink" Target="mailto:Nschuette@smithbucklin.com" TargetMode="External"/><Relationship Id="rId66" Type="http://schemas.openxmlformats.org/officeDocument/2006/relationships/hyperlink" Target="http://45453527.hs-sites.com/finish-the-year-strong-with-ahrmm-digital-advertising" TargetMode="External"/><Relationship Id="rId87" Type="http://schemas.openxmlformats.org/officeDocument/2006/relationships/hyperlink" Target="https://www.ahrmmmediakit.org/events/ahrmm25/sponsorship-opportunities/" TargetMode="External"/><Relationship Id="rId110" Type="http://schemas.openxmlformats.org/officeDocument/2006/relationships/hyperlink" Target="http://45453527.hs-sites.com/explore-new-horizons-in-healthcare-supply-chain-marketing" TargetMode="External"/><Relationship Id="rId131" Type="http://schemas.openxmlformats.org/officeDocument/2006/relationships/hyperlink" Target="mailto:AHRMM@Smithbucklin.com" TargetMode="External"/><Relationship Id="rId152" Type="http://schemas.openxmlformats.org/officeDocument/2006/relationships/hyperlink" Target="https://feedback.surveylab.com/pageTag/SurveyCampaign/cId/9c8bb3ee7063b16423ffe/" TargetMode="External"/><Relationship Id="rId173" Type="http://schemas.openxmlformats.org/officeDocument/2006/relationships/hyperlink" Target="mailto:AHRMM@Smithbucklin.com" TargetMode="External"/><Relationship Id="rId194" Type="http://schemas.openxmlformats.org/officeDocument/2006/relationships/hyperlink" Target="mailto:ahrmm@smithbucklin.com" TargetMode="External"/><Relationship Id="rId208" Type="http://schemas.openxmlformats.org/officeDocument/2006/relationships/hyperlink" Target="mailto:jeiding@smithbucklin.com" TargetMode="External"/><Relationship Id="rId229" Type="http://schemas.openxmlformats.org/officeDocument/2006/relationships/hyperlink" Target="https://45453527.hs-sites.com/deadline-approaching-exclusive-branding-opportunities-at-ahrmm26" TargetMode="External"/><Relationship Id="rId240" Type="http://schemas.openxmlformats.org/officeDocument/2006/relationships/drawing" Target="../drawings/drawing7.xml"/><Relationship Id="rId14" Type="http://schemas.openxmlformats.org/officeDocument/2006/relationships/hyperlink" Target="mailto:krking@smithbucklin.com" TargetMode="External"/><Relationship Id="rId35" Type="http://schemas.openxmlformats.org/officeDocument/2006/relationships/hyperlink" Target="mailto:AHRMM@Smithbucklin.com" TargetMode="External"/><Relationship Id="rId56" Type="http://schemas.openxmlformats.org/officeDocument/2006/relationships/hyperlink" Target="mailto:AHRMM@Smithbucklin.com" TargetMode="External"/><Relationship Id="rId77" Type="http://schemas.openxmlformats.org/officeDocument/2006/relationships/hyperlink" Target="mailto:jeiding@smithbucklin.com" TargetMode="External"/><Relationship Id="rId100" Type="http://schemas.openxmlformats.org/officeDocument/2006/relationships/hyperlink" Target="http://45453527.hs-sites.com/explore-ahrmm25-sponsorships-today" TargetMode="External"/><Relationship Id="rId8" Type="http://schemas.openxmlformats.org/officeDocument/2006/relationships/hyperlink" Target="https://app.markup.io/invite/accept/FzlZZCXv" TargetMode="External"/><Relationship Id="rId98" Type="http://schemas.openxmlformats.org/officeDocument/2006/relationships/hyperlink" Target="http://45453527.hs-sites.com/personalization_tokencontact.firstname-valued-partner-secure-your-ad-in-scss-q2-magazine-today" TargetMode="External"/><Relationship Id="rId121" Type="http://schemas.openxmlformats.org/officeDocument/2006/relationships/hyperlink" Target="https://45453527.hs-sites.com/ahrmm25-exhibitor-bulletin-2" TargetMode="External"/><Relationship Id="rId142" Type="http://schemas.openxmlformats.org/officeDocument/2006/relationships/hyperlink" Target="https://45453527.hs-sites.com/elevate-personalization_tokencontact.company-s-impact-at-ahrmm25" TargetMode="External"/><Relationship Id="rId163" Type="http://schemas.openxmlformats.org/officeDocument/2006/relationships/hyperlink" Target="mailto:jeiding@smithbucklin.com" TargetMode="External"/><Relationship Id="rId184" Type="http://schemas.openxmlformats.org/officeDocument/2006/relationships/hyperlink" Target="mailto:jeiding@smithbucklin.com" TargetMode="External"/><Relationship Id="rId219" Type="http://schemas.openxmlformats.org/officeDocument/2006/relationships/hyperlink" Target="https://45453527.hs-sites.com/spring-is-in-full-bloom.-is-your-brand-ing-advertising" TargetMode="External"/><Relationship Id="rId230" Type="http://schemas.openxmlformats.org/officeDocument/2006/relationships/hyperlink" Target="https://45453527.hs-sites.com/ahrmm-demand-gen-digest-5-become-the-expert-they-trust" TargetMode="External"/><Relationship Id="rId25" Type="http://schemas.openxmlformats.org/officeDocument/2006/relationships/hyperlink" Target="mailto:krking@smithbucklin.com" TargetMode="External"/><Relationship Id="rId46" Type="http://schemas.openxmlformats.org/officeDocument/2006/relationships/hyperlink" Target="mailto:krking@smithbucklin.com" TargetMode="External"/><Relationship Id="rId67" Type="http://schemas.openxmlformats.org/officeDocument/2006/relationships/hyperlink" Target="mailto:krking@smithbucklin.com" TargetMode="External"/><Relationship Id="rId88" Type="http://schemas.openxmlformats.org/officeDocument/2006/relationships/hyperlink" Target="http://45453527.hs-sites.com/secure-your-spot-at-ahrmm25" TargetMode="External"/><Relationship Id="rId111" Type="http://schemas.openxmlformats.org/officeDocument/2006/relationships/hyperlink" Target="mailto:AHRMM@Smithbucklin.com" TargetMode="External"/><Relationship Id="rId132" Type="http://schemas.openxmlformats.org/officeDocument/2006/relationships/hyperlink" Target="mailto:AHRMM@Smithbucklin.com" TargetMode="External"/><Relationship Id="rId153" Type="http://schemas.openxmlformats.org/officeDocument/2006/relationships/hyperlink" Target="https://45453527.hs-sites.com/get-in-front-of-ahrmm25-attendees-early" TargetMode="External"/><Relationship Id="rId174" Type="http://schemas.openxmlformats.org/officeDocument/2006/relationships/hyperlink" Target="https://45453527.hs-sites.com/ahrmm-udi-forum" TargetMode="External"/><Relationship Id="rId195" Type="http://schemas.openxmlformats.org/officeDocument/2006/relationships/hyperlink" Target="https://www.ahrmmmediakit.org/year-round-events/spring-summit/" TargetMode="External"/><Relationship Id="rId209" Type="http://schemas.openxmlformats.org/officeDocument/2006/relationships/hyperlink" Target="mailto:jeiding@smithbucklin.com" TargetMode="External"/><Relationship Id="rId190" Type="http://schemas.openxmlformats.org/officeDocument/2006/relationships/hyperlink" Target="https://45453527.hs-sites.com/now-available-secure-contact.company-s-ahrmm25-sponsorship-today" TargetMode="External"/><Relationship Id="rId204" Type="http://schemas.openxmlformats.org/officeDocument/2006/relationships/hyperlink" Target="mailto:jeiding@smithbucklin.com" TargetMode="External"/><Relationship Id="rId220" Type="http://schemas.openxmlformats.org/officeDocument/2006/relationships/hyperlink" Target="mailto:AHRMM@Smithbucklin.com" TargetMode="External"/><Relationship Id="rId225" Type="http://schemas.openxmlformats.org/officeDocument/2006/relationships/hyperlink" Target="mailto:jeiding@smithbucklin.com" TargetMode="External"/><Relationship Id="rId15" Type="http://schemas.openxmlformats.org/officeDocument/2006/relationships/hyperlink" Target="mailto:nschuette@smithbucklin.com" TargetMode="External"/><Relationship Id="rId36" Type="http://schemas.openxmlformats.org/officeDocument/2006/relationships/hyperlink" Target="http://45453527.hs-sites.com/scs&amp;s-q3-advertising?hs_preview=lqaFqlmv-165836090785" TargetMode="External"/><Relationship Id="rId57" Type="http://schemas.openxmlformats.org/officeDocument/2006/relationships/hyperlink" Target="mailto:AHRMM@Smithbucklin.com" TargetMode="External"/><Relationship Id="rId106" Type="http://schemas.openxmlformats.org/officeDocument/2006/relationships/hyperlink" Target="https://www.ahrmmmediakit.org/events/ahrmm25/sponsorship-opportunities/" TargetMode="External"/><Relationship Id="rId127" Type="http://schemas.openxmlformats.org/officeDocument/2006/relationships/hyperlink" Target="http://45453527.hs-sites.com/see-the-sponsorships-everyones-talking-about" TargetMode="External"/><Relationship Id="rId10" Type="http://schemas.openxmlformats.org/officeDocument/2006/relationships/hyperlink" Target="https://app.markup.io/invite/accept/1ni7akrJ" TargetMode="External"/><Relationship Id="rId31" Type="http://schemas.openxmlformats.org/officeDocument/2006/relationships/hyperlink" Target="mailto:AHRMM@Smithbucklin.com" TargetMode="External"/><Relationship Id="rId52" Type="http://schemas.openxmlformats.org/officeDocument/2006/relationships/hyperlink" Target="mailto:AHRMM@Smithbucklin.com" TargetMode="External"/><Relationship Id="rId73" Type="http://schemas.openxmlformats.org/officeDocument/2006/relationships/hyperlink" Target="http://45453527.hs-sites.com/reserve-your-booth-at-ahrmm25" TargetMode="External"/><Relationship Id="rId78" Type="http://schemas.openxmlformats.org/officeDocument/2006/relationships/hyperlink" Target="mailto:jeiding@smithbucklin.com" TargetMode="External"/><Relationship Id="rId94" Type="http://schemas.openxmlformats.org/officeDocument/2006/relationships/hyperlink" Target="mailto:AHRMM@Smithbucklin.com" TargetMode="External"/><Relationship Id="rId99" Type="http://schemas.openxmlformats.org/officeDocument/2006/relationships/hyperlink" Target="mailto:AHRMM@Smithbucklin.com" TargetMode="External"/><Relationship Id="rId101" Type="http://schemas.openxmlformats.org/officeDocument/2006/relationships/hyperlink" Target="http://45453527.hs-sites.com/showcase-your-brand-to-healthcare-leaders-today" TargetMode="External"/><Relationship Id="rId122" Type="http://schemas.openxmlformats.org/officeDocument/2006/relationships/hyperlink" Target="http://45453527.hs-sites.com/invest-in-impact-elevate-your-brand-at-ahrmm25" TargetMode="External"/><Relationship Id="rId143" Type="http://schemas.openxmlformats.org/officeDocument/2006/relationships/hyperlink" Target="https://45453527.hs-sites.com/stand-out-on-the-show-floor-with-aisle-signs-floor-decals-and-more" TargetMode="External"/><Relationship Id="rId148" Type="http://schemas.openxmlformats.org/officeDocument/2006/relationships/hyperlink" Target="mailto:jeiding@smithbucklin.com" TargetMode="External"/><Relationship Id="rId164" Type="http://schemas.openxmlformats.org/officeDocument/2006/relationships/hyperlink" Target="https://45453527.hs-sites.com/do-not-miss-the-final-issue-of-2025" TargetMode="External"/><Relationship Id="rId169" Type="http://schemas.openxmlformats.org/officeDocument/2006/relationships/hyperlink" Target="mailto:jeiding@smithbucklin.com" TargetMode="External"/><Relationship Id="rId185" Type="http://schemas.openxmlformats.org/officeDocument/2006/relationships/hyperlink" Target="mailto:jeiding@smithbucklin.com" TargetMode="External"/><Relationship Id="rId4" Type="http://schemas.openxmlformats.org/officeDocument/2006/relationships/hyperlink" Target="mailto:Nschuette@smithbucklin.com" TargetMode="External"/><Relationship Id="rId9" Type="http://schemas.openxmlformats.org/officeDocument/2006/relationships/hyperlink" Target="mailto:nschutte@smithbucklin.com" TargetMode="External"/><Relationship Id="rId180" Type="http://schemas.openxmlformats.org/officeDocument/2006/relationships/hyperlink" Target="mailto:jeiding@smithbucklin.com" TargetMode="External"/><Relationship Id="rId210" Type="http://schemas.openxmlformats.org/officeDocument/2006/relationships/hyperlink" Target="https://www.ahrmmmediakit.org/ahrmm26/sponsorship-opportunities/branding-and-advertising/" TargetMode="External"/><Relationship Id="rId215" Type="http://schemas.openxmlformats.org/officeDocument/2006/relationships/hyperlink" Target="https://www.ahrmmmediakit.org/ahrmm26/sponsorship-opportunities/branding-and-advertising/" TargetMode="External"/><Relationship Id="rId236" Type="http://schemas.openxmlformats.org/officeDocument/2006/relationships/hyperlink" Target="mailto:jeiding@smithbucklin.com" TargetMode="External"/><Relationship Id="rId26" Type="http://schemas.openxmlformats.org/officeDocument/2006/relationships/hyperlink" Target="https://app.markup.io/invite/accept/hJcQsXP9" TargetMode="External"/><Relationship Id="rId231" Type="http://schemas.openxmlformats.org/officeDocument/2006/relationships/hyperlink" Target="mailto:jeiding@smithbucklin.com" TargetMode="External"/><Relationship Id="rId47" Type="http://schemas.openxmlformats.org/officeDocument/2006/relationships/hyperlink" Target="mailto:Nschuette@smithbucklin.com" TargetMode="External"/><Relationship Id="rId68" Type="http://schemas.openxmlformats.org/officeDocument/2006/relationships/hyperlink" Target="mailto:AHRMM@Smithbucklin.com" TargetMode="External"/><Relationship Id="rId89" Type="http://schemas.openxmlformats.org/officeDocument/2006/relationships/hyperlink" Target="http://45453527.hs-sites.com/secure-your-ahrmm25-sponsorship" TargetMode="External"/><Relationship Id="rId112" Type="http://schemas.openxmlformats.org/officeDocument/2006/relationships/hyperlink" Target="https://www.ahrmmmediakit.org/events/udi-forum/" TargetMode="External"/><Relationship Id="rId133" Type="http://schemas.openxmlformats.org/officeDocument/2006/relationships/hyperlink" Target="mailto:AHRMM@Smithbucklin.com" TargetMode="External"/><Relationship Id="rId154" Type="http://schemas.openxmlformats.org/officeDocument/2006/relationships/hyperlink" Target="http://45453527.hs-sites.com/ahrmm26-space-selection-appointment" TargetMode="External"/><Relationship Id="rId175" Type="http://schemas.openxmlformats.org/officeDocument/2006/relationships/hyperlink" Target="mailto:jeiding@smithbucklin.com" TargetMode="External"/><Relationship Id="rId196" Type="http://schemas.openxmlformats.org/officeDocument/2006/relationships/hyperlink" Target="mailto:AHRMM@Smithbucklin.com" TargetMode="External"/><Relationship Id="rId200" Type="http://schemas.openxmlformats.org/officeDocument/2006/relationships/hyperlink" Target="https://45453527.hs-sites.com/your-demand-generation-playbook-ahrmm-digest-2" TargetMode="External"/><Relationship Id="rId16" Type="http://schemas.openxmlformats.org/officeDocument/2006/relationships/hyperlink" Target="https://app.markup.io/invite/accept/as9F8KiH" TargetMode="External"/><Relationship Id="rId221" Type="http://schemas.openxmlformats.org/officeDocument/2006/relationships/hyperlink" Target="https://www.ahrmmmediakit.org/ahrmm26/ahrmm-executives-network-aen/" TargetMode="External"/><Relationship Id="rId37" Type="http://schemas.openxmlformats.org/officeDocument/2006/relationships/hyperlink" Target="mailto:Nschuette@smithbucklin.com" TargetMode="External"/><Relationship Id="rId58" Type="http://schemas.openxmlformats.org/officeDocument/2006/relationships/hyperlink" Target="mailto:nschuette@smithbucklin.com" TargetMode="External"/><Relationship Id="rId79" Type="http://schemas.openxmlformats.org/officeDocument/2006/relationships/hyperlink" Target="mailto:AHRMM@Smithbucklin.com" TargetMode="External"/><Relationship Id="rId102" Type="http://schemas.openxmlformats.org/officeDocument/2006/relationships/hyperlink" Target="mailto:jeiding@smithbucklin.com" TargetMode="External"/><Relationship Id="rId123" Type="http://schemas.openxmlformats.org/officeDocument/2006/relationships/hyperlink" Target="http://45453527.hs-sites.com/reach-healthcare-leaders-by-advertising-in-scss-magazine" TargetMode="External"/><Relationship Id="rId144" Type="http://schemas.openxmlformats.org/officeDocument/2006/relationships/hyperlink" Target="mailto:jeiding@smithbucklin.com" TargetMode="External"/><Relationship Id="rId90" Type="http://schemas.openxmlformats.org/officeDocument/2006/relationships/hyperlink" Target="http://45453527.hs-sites.com/will-we-see-you-at-ahrmm25" TargetMode="External"/><Relationship Id="rId165" Type="http://schemas.openxmlformats.org/officeDocument/2006/relationships/hyperlink" Target="https://45453527.hs-sites.com/ahrmm-year-round-advertising" TargetMode="External"/><Relationship Id="rId186" Type="http://schemas.openxmlformats.org/officeDocument/2006/relationships/hyperlink" Target="mailto:AHRMM@Smithbucklin.com" TargetMode="External"/><Relationship Id="rId211" Type="http://schemas.openxmlformats.org/officeDocument/2006/relationships/hyperlink" Target="https://smithbucklin.expocad.com/Events/26ahrmm/index.html" TargetMode="External"/><Relationship Id="rId232" Type="http://schemas.openxmlformats.org/officeDocument/2006/relationships/hyperlink" Target="mailto:AHRMM@Smithbucklin.com" TargetMode="External"/><Relationship Id="rId27" Type="http://schemas.openxmlformats.org/officeDocument/2006/relationships/hyperlink" Target="mailto:AHRMM@Smithbucklin.com" TargetMode="External"/><Relationship Id="rId48" Type="http://schemas.openxmlformats.org/officeDocument/2006/relationships/hyperlink" Target="mailto:Nschuette@smithbucklin.com" TargetMode="External"/><Relationship Id="rId69" Type="http://schemas.openxmlformats.org/officeDocument/2006/relationships/hyperlink" Target="mailto:krking@smithbucklin.com" TargetMode="External"/><Relationship Id="rId113" Type="http://schemas.openxmlformats.org/officeDocument/2006/relationships/hyperlink" Target="https://www.ahrmmmediakit.org/digital/" TargetMode="External"/><Relationship Id="rId134" Type="http://schemas.openxmlformats.org/officeDocument/2006/relationships/hyperlink" Target="mailto:jeiding@smithbucklin.com" TargetMode="External"/><Relationship Id="rId80" Type="http://schemas.openxmlformats.org/officeDocument/2006/relationships/hyperlink" Target="mailto:AHRMM@Smithbucklin.com" TargetMode="External"/><Relationship Id="rId155" Type="http://schemas.openxmlformats.org/officeDocument/2006/relationships/hyperlink" Target="http://45453527.hs-sites.com/your-ahrmm26-space-selection-detail-reminder" TargetMode="External"/><Relationship Id="rId176" Type="http://schemas.openxmlformats.org/officeDocument/2006/relationships/hyperlink" Target="https://45453527.hs-sites.com/ahrmm-advertising-thatll-raise-the-dead" TargetMode="External"/><Relationship Id="rId197" Type="http://schemas.openxmlformats.org/officeDocument/2006/relationships/hyperlink" Target="https://45453527.hs-sites.com/ahrmm-visibility-in-two-clicks" TargetMode="External"/><Relationship Id="rId201" Type="http://schemas.openxmlformats.org/officeDocument/2006/relationships/hyperlink" Target="https://45453527.hs-sites.com/step-into-2026-with-new-branding-advertising-opportunities" TargetMode="External"/><Relationship Id="rId222" Type="http://schemas.openxmlformats.org/officeDocument/2006/relationships/hyperlink" Target="https://45453527.hs-sites.com/ahrmm26-is-getting-closer.-are-you-in" TargetMode="External"/><Relationship Id="rId17" Type="http://schemas.openxmlformats.org/officeDocument/2006/relationships/hyperlink" Target="mailto:nschuette@smithbucklin.com" TargetMode="External"/><Relationship Id="rId38" Type="http://schemas.openxmlformats.org/officeDocument/2006/relationships/hyperlink" Target="mailto:Nschuette@smithbucklin.com" TargetMode="External"/><Relationship Id="rId59" Type="http://schemas.openxmlformats.org/officeDocument/2006/relationships/hyperlink" Target="mailto:AHRMM@Smithbucklin.com" TargetMode="External"/><Relationship Id="rId103" Type="http://schemas.openxmlformats.org/officeDocument/2006/relationships/hyperlink" Target="mailto:AHRMM@Smithbucklin.com" TargetMode="External"/><Relationship Id="rId124" Type="http://schemas.openxmlformats.org/officeDocument/2006/relationships/hyperlink" Target="mailto:AHRMM@Smithbucklin.com" TargetMode="External"/><Relationship Id="rId70" Type="http://schemas.openxmlformats.org/officeDocument/2006/relationships/hyperlink" Target="http://45453527.hs-sites.com/secure-a-booth-for-contact.company-at-ahrmm25" TargetMode="External"/><Relationship Id="rId91" Type="http://schemas.openxmlformats.org/officeDocument/2006/relationships/hyperlink" Target="mailto:jeiding@smithbucklin.com" TargetMode="External"/><Relationship Id="rId145" Type="http://schemas.openxmlformats.org/officeDocument/2006/relationships/hyperlink" Target="mailto:AHRMM@Smithbucklin.com" TargetMode="External"/><Relationship Id="rId166" Type="http://schemas.openxmlformats.org/officeDocument/2006/relationships/hyperlink" Target="https://45453527.hs-sites.com/new-academy-sponsorship" TargetMode="External"/><Relationship Id="rId187" Type="http://schemas.openxmlformats.org/officeDocument/2006/relationships/hyperlink" Target="mailto:AHRMM@Smithbucklin.com" TargetMode="External"/><Relationship Id="rId1" Type="http://schemas.openxmlformats.org/officeDocument/2006/relationships/hyperlink" Target="mailto:AHRMM@Smithbucklin.com" TargetMode="External"/><Relationship Id="rId212" Type="http://schemas.openxmlformats.org/officeDocument/2006/relationships/hyperlink" Target="mailto:jeiding@smithbucklin.com" TargetMode="External"/><Relationship Id="rId233" Type="http://schemas.openxmlformats.org/officeDocument/2006/relationships/hyperlink" Target="mailto:AHRMM@Smithbucklin.com" TargetMode="External"/><Relationship Id="rId28" Type="http://schemas.openxmlformats.org/officeDocument/2006/relationships/hyperlink" Target="mailto:AHRMM@Smithbucklin.com" TargetMode="External"/><Relationship Id="rId49" Type="http://schemas.openxmlformats.org/officeDocument/2006/relationships/hyperlink" Target="mailto:krking@smithbucklin.com" TargetMode="External"/><Relationship Id="rId114" Type="http://schemas.openxmlformats.org/officeDocument/2006/relationships/hyperlink" Target="http://45453527.hs-sites.com/secure-sponsorships-to-shine-at-ahrmm25" TargetMode="External"/><Relationship Id="rId60" Type="http://schemas.openxmlformats.org/officeDocument/2006/relationships/hyperlink" Target="mailto:krking@smithbucklin.com" TargetMode="External"/><Relationship Id="rId81" Type="http://schemas.openxmlformats.org/officeDocument/2006/relationships/hyperlink" Target="mailto:jeiding@smithbucklin.com" TargetMode="External"/><Relationship Id="rId135" Type="http://schemas.openxmlformats.org/officeDocument/2006/relationships/hyperlink" Target="mailto:jeiding@smithbucklin.com" TargetMode="External"/><Relationship Id="rId156" Type="http://schemas.openxmlformats.org/officeDocument/2006/relationships/hyperlink" Target="https://45453527.hs-sites.com/dont-get-left-behind-ahrmm25-space-is-going-fast" TargetMode="External"/><Relationship Id="rId177" Type="http://schemas.openxmlformats.org/officeDocument/2006/relationships/hyperlink" Target="https://45453527.hs-sites.com/your-early-access-to-ahrmm-26-sponsorships-awaits" TargetMode="External"/><Relationship Id="rId198" Type="http://schemas.openxmlformats.org/officeDocument/2006/relationships/hyperlink" Target="https://45453527.hs-sites.com/ahrmm-steve-downey-letter" TargetMode="External"/><Relationship Id="rId202" Type="http://schemas.openxmlformats.org/officeDocument/2006/relationships/hyperlink" Target="https://45453527.hs-sites.com/ahrmm26-exhibitor-bulletin-1" TargetMode="External"/><Relationship Id="rId223" Type="http://schemas.openxmlformats.org/officeDocument/2006/relationships/hyperlink" Target="https://45453527.hs-sites.com/executive-access-at-ahrmm26-is-limited" TargetMode="External"/><Relationship Id="rId18" Type="http://schemas.openxmlformats.org/officeDocument/2006/relationships/hyperlink" Target="mailto:krking@smithbucklin.com" TargetMode="External"/><Relationship Id="rId39" Type="http://schemas.openxmlformats.org/officeDocument/2006/relationships/hyperlink" Target="mailto:Nschuette@smithbucklin.com" TargetMode="External"/><Relationship Id="rId50" Type="http://schemas.openxmlformats.org/officeDocument/2006/relationships/hyperlink" Target="mailto:Nschuette@smithbucklin.com" TargetMode="External"/><Relationship Id="rId104" Type="http://schemas.openxmlformats.org/officeDocument/2006/relationships/hyperlink" Target="http://45453527.hs-sites.com/ahrmm25-exhibitor-bulletin-1" TargetMode="External"/><Relationship Id="rId125" Type="http://schemas.openxmlformats.org/officeDocument/2006/relationships/hyperlink" Target="mailto:AHRMM@Smithbucklin.com" TargetMode="External"/><Relationship Id="rId146" Type="http://schemas.openxmlformats.org/officeDocument/2006/relationships/hyperlink" Target="mailto:jeiding@smithbucklin.com" TargetMode="External"/><Relationship Id="rId167" Type="http://schemas.openxmlformats.org/officeDocument/2006/relationships/hyperlink" Target="mailto:jeiding@smithbucklin.com" TargetMode="External"/><Relationship Id="rId188" Type="http://schemas.openxmlformats.org/officeDocument/2006/relationships/hyperlink" Target="https://45453527.hs-sites.com/be-seen-in-2026-by-health-care-supply-chain-leaders" TargetMode="External"/><Relationship Id="rId71" Type="http://schemas.openxmlformats.org/officeDocument/2006/relationships/hyperlink" Target="https://www.ahrmmmediakit.org/events/ahrmm25/become-an-exhibitor/" TargetMode="External"/><Relationship Id="rId92" Type="http://schemas.openxmlformats.org/officeDocument/2006/relationships/hyperlink" Target="mailto:AHRMM@Smithbucklin.com" TargetMode="External"/><Relationship Id="rId213" Type="http://schemas.openxmlformats.org/officeDocument/2006/relationships/hyperlink" Target="mailto:jeiding@smithbucklin.com" TargetMode="External"/><Relationship Id="rId234" Type="http://schemas.openxmlformats.org/officeDocument/2006/relationships/hyperlink" Target="mailto:AHRMM@Smithbucklin.com" TargetMode="External"/><Relationship Id="rId2" Type="http://schemas.openxmlformats.org/officeDocument/2006/relationships/hyperlink" Target="mailto:Nschuette@smithbucklin.com" TargetMode="External"/><Relationship Id="rId29" Type="http://schemas.openxmlformats.org/officeDocument/2006/relationships/hyperlink" Target="mailto:Nschuette@smithbucklin.com" TargetMode="External"/><Relationship Id="rId40" Type="http://schemas.openxmlformats.org/officeDocument/2006/relationships/hyperlink" Target="mailto:krking@smithbucklin.com" TargetMode="External"/><Relationship Id="rId115" Type="http://schemas.openxmlformats.org/officeDocument/2006/relationships/hyperlink" Target="http://45453527.hs-sites.com/sponsor-the-spring-summit-and-connect-with-key-health-care-leaders" TargetMode="External"/><Relationship Id="rId136" Type="http://schemas.openxmlformats.org/officeDocument/2006/relationships/hyperlink" Target="mailto:AHRMM@Smithbucklin.com" TargetMode="External"/><Relationship Id="rId157" Type="http://schemas.openxmlformats.org/officeDocument/2006/relationships/hyperlink" Target="http://45453527.hs-sites.com/ahrmm25-exhibitor-bulletin-4" TargetMode="External"/><Relationship Id="rId178" Type="http://schemas.openxmlformats.org/officeDocument/2006/relationships/hyperlink" Target="mailto:AHRMM@Smithbucklin.com" TargetMode="External"/><Relationship Id="rId61" Type="http://schemas.openxmlformats.org/officeDocument/2006/relationships/hyperlink" Target="mailto:jeiding@smithbucklin.com" TargetMode="External"/><Relationship Id="rId82" Type="http://schemas.openxmlformats.org/officeDocument/2006/relationships/hyperlink" Target="mailto:AHRMM@Smithbucklin.com" TargetMode="External"/><Relationship Id="rId199" Type="http://schemas.openxmlformats.org/officeDocument/2006/relationships/hyperlink" Target="https://45453527.hs-sites.com/own-the-ahrmm-spring-summit-spotlight" TargetMode="External"/><Relationship Id="rId203" Type="http://schemas.openxmlformats.org/officeDocument/2006/relationships/hyperlink" Target="https://45453527.hs-sites.com/ahrmm-demand-gen-digest-3-spring-visibility-that-converts" TargetMode="External"/><Relationship Id="rId19" Type="http://schemas.openxmlformats.org/officeDocument/2006/relationships/hyperlink" Target="mailto:nschuette@smithbucklin.com" TargetMode="External"/><Relationship Id="rId224" Type="http://schemas.openxmlformats.org/officeDocument/2006/relationships/hyperlink" Target="https://45453527.hs-sites.com/be-seen-at-the-ahrmm26-welcome-reception" TargetMode="External"/><Relationship Id="rId30" Type="http://schemas.openxmlformats.org/officeDocument/2006/relationships/hyperlink" Target="mailto:AHRMM@Smithbucklin.com" TargetMode="External"/><Relationship Id="rId105" Type="http://schemas.openxmlformats.org/officeDocument/2006/relationships/hyperlink" Target="mailto:jeiding@smithbucklin.com" TargetMode="External"/><Relationship Id="rId126" Type="http://schemas.openxmlformats.org/officeDocument/2006/relationships/hyperlink" Target="https://45453527.hs-sites.com/secure-your-ad-in-scss-q3-magazine-today" TargetMode="External"/><Relationship Id="rId147" Type="http://schemas.openxmlformats.org/officeDocument/2006/relationships/hyperlink" Target="https://45453527.hs-sites.com/last-chance-for-sponsorships" TargetMode="External"/><Relationship Id="rId168" Type="http://schemas.openxmlformats.org/officeDocument/2006/relationships/hyperlink" Target="https://45453527.hs-sites.com/prepare-for-fall-with-ahrmm-year-round-ads" TargetMode="External"/><Relationship Id="rId51" Type="http://schemas.openxmlformats.org/officeDocument/2006/relationships/hyperlink" Target="mailto:krking@smithbucklin.com" TargetMode="External"/><Relationship Id="rId72" Type="http://schemas.openxmlformats.org/officeDocument/2006/relationships/hyperlink" Target="http://45453527.hs-sites.com/2025-ahrmm-advertising" TargetMode="External"/><Relationship Id="rId93" Type="http://schemas.openxmlformats.org/officeDocument/2006/relationships/hyperlink" Target="mailto:jeiding@smithbucklin.com" TargetMode="External"/><Relationship Id="rId189" Type="http://schemas.openxmlformats.org/officeDocument/2006/relationships/hyperlink" Target="mailto:AHRMM@Smithbucklin.com" TargetMode="External"/><Relationship Id="rId3" Type="http://schemas.openxmlformats.org/officeDocument/2006/relationships/hyperlink" Target="mailto:Nschuette@smithbucklin.com" TargetMode="External"/><Relationship Id="rId214" Type="http://schemas.openxmlformats.org/officeDocument/2006/relationships/hyperlink" Target="https://www.ahrmmmediakit.org/content-marketing/" TargetMode="External"/><Relationship Id="rId235" Type="http://schemas.openxmlformats.org/officeDocument/2006/relationships/hyperlink" Target="mailto:jeiding@smithbucklin.com" TargetMode="External"/><Relationship Id="rId116" Type="http://schemas.openxmlformats.org/officeDocument/2006/relationships/hyperlink" Target="http://45453527.hs-sites.com/engage-healthcare-leaders-with-ahrmms-exclusive-content-opportunities" TargetMode="External"/><Relationship Id="rId137" Type="http://schemas.openxmlformats.org/officeDocument/2006/relationships/hyperlink" Target="mailto:AHRMM@Smithbucklin.com" TargetMode="External"/><Relationship Id="rId158" Type="http://schemas.openxmlformats.org/officeDocument/2006/relationships/hyperlink" Target="https://45453527.hs-sites.com/ahrmm25-exhibitor-survey" TargetMode="External"/><Relationship Id="rId20" Type="http://schemas.openxmlformats.org/officeDocument/2006/relationships/hyperlink" Target="mailto:krking@smithbucklin.com" TargetMode="External"/><Relationship Id="rId41" Type="http://schemas.openxmlformats.org/officeDocument/2006/relationships/hyperlink" Target="mailto:nschuette@smithbucklin.com" TargetMode="External"/><Relationship Id="rId62" Type="http://schemas.openxmlformats.org/officeDocument/2006/relationships/hyperlink" Target="mailto:AHRMM@Smithbucklin.com" TargetMode="External"/><Relationship Id="rId83" Type="http://schemas.openxmlformats.org/officeDocument/2006/relationships/hyperlink" Target="mailto:AHRMM@Smithbucklin.com" TargetMode="External"/><Relationship Id="rId179" Type="http://schemas.openxmlformats.org/officeDocument/2006/relationships/hyperlink" Target="https://45453527.hs-sites.com/ahrmm-media-kit-launch"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45453675.hs-sites.com/deliver-your-message-to-ashrm-members-via-webinars-podcasts" TargetMode="External"/><Relationship Id="rId21" Type="http://schemas.openxmlformats.org/officeDocument/2006/relationships/hyperlink" Target="mailto:nschuette@smithbucklin.com" TargetMode="External"/><Relationship Id="rId42" Type="http://schemas.openxmlformats.org/officeDocument/2006/relationships/hyperlink" Target="mailto:nschuette@smithbucklin.com" TargetMode="External"/><Relationship Id="rId63" Type="http://schemas.openxmlformats.org/officeDocument/2006/relationships/hyperlink" Target="http://45453675.hs-sites.com/ashrm-2025-sponsorship-opportunities" TargetMode="External"/><Relationship Id="rId84" Type="http://schemas.openxmlformats.org/officeDocument/2006/relationships/hyperlink" Target="mailto:nschuette@smithbucklin.com" TargetMode="External"/><Relationship Id="rId138" Type="http://schemas.openxmlformats.org/officeDocument/2006/relationships/hyperlink" Target="http://45453675.hs-sites.com/lead-a-powerful-ashrm-webinar" TargetMode="External"/><Relationship Id="rId159" Type="http://schemas.openxmlformats.org/officeDocument/2006/relationships/hyperlink" Target="mailto:kmcdonnell@smithbucklin.com" TargetMode="External"/><Relationship Id="rId170" Type="http://schemas.openxmlformats.org/officeDocument/2006/relationships/hyperlink" Target="https://45453675.hs-sites.com/ashrm-2026-sponsorships-are-live-secure-yours-now" TargetMode="External"/><Relationship Id="rId191" Type="http://schemas.openxmlformats.org/officeDocument/2006/relationships/hyperlink" Target="https://www.ashrmmediakit.org/your-webinar-ashrms-audience" TargetMode="External"/><Relationship Id="rId205" Type="http://schemas.openxmlformats.org/officeDocument/2006/relationships/hyperlink" Target="mailto:kmcdonnell@smithbucklin.com" TargetMode="External"/><Relationship Id="rId107" Type="http://schemas.openxmlformats.org/officeDocument/2006/relationships/hyperlink" Target="https://www.ashrmmediakit.org/conference-and-events/ashrm-express/" TargetMode="External"/><Relationship Id="rId11" Type="http://schemas.openxmlformats.org/officeDocument/2006/relationships/hyperlink" Target="https://app.markup.io/invite/accept/Z5wFTJ5M" TargetMode="External"/><Relationship Id="rId32" Type="http://schemas.openxmlformats.org/officeDocument/2006/relationships/hyperlink" Target="mailto:ASHRM@smithbucklin.com" TargetMode="External"/><Relationship Id="rId53" Type="http://schemas.openxmlformats.org/officeDocument/2006/relationships/hyperlink" Target="mailto:nschuette@smithbucklin.com" TargetMode="External"/><Relationship Id="rId74" Type="http://schemas.openxmlformats.org/officeDocument/2006/relationships/hyperlink" Target="https://www.ashrmmediakit.org/digital/" TargetMode="External"/><Relationship Id="rId128" Type="http://schemas.openxmlformats.org/officeDocument/2006/relationships/hyperlink" Target="mailto:kmcdonnell@smithbucklin.com" TargetMode="External"/><Relationship Id="rId149" Type="http://schemas.openxmlformats.org/officeDocument/2006/relationships/hyperlink" Target="https://45453675.hs-sites.com/-temporary-slug-c3b1a5c4-3b1c-4397-b6bb-30e43313db21?hs_preview=zndIKVGu-196071185179&amp;" TargetMode="External"/><Relationship Id="rId5" Type="http://schemas.openxmlformats.org/officeDocument/2006/relationships/hyperlink" Target="https://app.markup.io/invite/accept/MVSVxUVt" TargetMode="External"/><Relationship Id="rId95" Type="http://schemas.openxmlformats.org/officeDocument/2006/relationships/hyperlink" Target="mailto:pbrayley@smithbucklin.com" TargetMode="External"/><Relationship Id="rId160" Type="http://schemas.openxmlformats.org/officeDocument/2006/relationships/hyperlink" Target="https://45453675.hs-sites.com/turn-insights-into-impact-host-your-ashrm-webinar-today-1" TargetMode="External"/><Relationship Id="rId181" Type="http://schemas.openxmlformats.org/officeDocument/2006/relationships/hyperlink" Target="https://www.ashrmmediakit.org/reminder-reach-rising-risk-leaders-with-one-sponsorship" TargetMode="External"/><Relationship Id="rId22" Type="http://schemas.openxmlformats.org/officeDocument/2006/relationships/hyperlink" Target="mailto:nschuette@smithbucklin.com" TargetMode="External"/><Relationship Id="rId43" Type="http://schemas.openxmlformats.org/officeDocument/2006/relationships/hyperlink" Target="mailto:nschuette@smithbucklin.com" TargetMode="External"/><Relationship Id="rId64" Type="http://schemas.openxmlformats.org/officeDocument/2006/relationships/hyperlink" Target="mailto:ASHRM@smithbucklin.com" TargetMode="External"/><Relationship Id="rId118" Type="http://schemas.openxmlformats.org/officeDocument/2006/relationships/hyperlink" Target="mailto:kmcdonnell@smithbucklin.com" TargetMode="External"/><Relationship Id="rId139" Type="http://schemas.openxmlformats.org/officeDocument/2006/relationships/hyperlink" Target="http://45453675.hs-sites.com/ashrm-2025-annual-conference-exhibitor-bulletin-2" TargetMode="External"/><Relationship Id="rId85" Type="http://schemas.openxmlformats.org/officeDocument/2006/relationships/hyperlink" Target="mailto:nschuette@smithbucklin.com" TargetMode="External"/><Relationship Id="rId150" Type="http://schemas.openxmlformats.org/officeDocument/2006/relationships/hyperlink" Target="https://45453675.hs-sites.com/ashrm-2025-annual-conference-exhibitor-bulletin-4" TargetMode="External"/><Relationship Id="rId171" Type="http://schemas.openxmlformats.org/officeDocument/2006/relationships/hyperlink" Target="https://www.ashrmmediakit.org/nextgen-risk-leadership-sponsorship/" TargetMode="External"/><Relationship Id="rId192" Type="http://schemas.openxmlformats.org/officeDocument/2006/relationships/hyperlink" Target="https://www.ashrmmediakit.org/ashrm26-annual-conference-exhibitor-bulletin-1" TargetMode="External"/><Relationship Id="rId206" Type="http://schemas.openxmlformats.org/officeDocument/2006/relationships/hyperlink" Target="mailto:kmcdonnell@smithbucklin.com" TargetMode="External"/><Relationship Id="rId12" Type="http://schemas.openxmlformats.org/officeDocument/2006/relationships/hyperlink" Target="mailto:ASHRM@smithbucklin.com" TargetMode="External"/><Relationship Id="rId33" Type="http://schemas.openxmlformats.org/officeDocument/2006/relationships/hyperlink" Target="mailto:nschuette@smithbucklin.com" TargetMode="External"/><Relationship Id="rId108" Type="http://schemas.openxmlformats.org/officeDocument/2006/relationships/hyperlink" Target="mailto:nschuette@smithbucklin.com" TargetMode="External"/><Relationship Id="rId129" Type="http://schemas.openxmlformats.org/officeDocument/2006/relationships/hyperlink" Target="mailto:kmcdonnell@smithbucklin.com" TargetMode="External"/><Relationship Id="rId54" Type="http://schemas.openxmlformats.org/officeDocument/2006/relationships/hyperlink" Target="mailto:nschuette@smithbucklin.com" TargetMode="External"/><Relationship Id="rId75" Type="http://schemas.openxmlformats.org/officeDocument/2006/relationships/hyperlink" Target="https://www.ashrmmediakit.org/conference-and-events/" TargetMode="External"/><Relationship Id="rId96" Type="http://schemas.openxmlformats.org/officeDocument/2006/relationships/hyperlink" Target="mailto:nschuette@smithbucklin.com" TargetMode="External"/><Relationship Id="rId140" Type="http://schemas.openxmlformats.org/officeDocument/2006/relationships/hyperlink" Target="http://45453675.hs-sites.com/promote-your-brand-to-key-decision-makers-on-ashrm-platforms" TargetMode="External"/><Relationship Id="rId161" Type="http://schemas.openxmlformats.org/officeDocument/2006/relationships/hyperlink" Target="https://45453675.hs-sites.com/turn-insights-into-impact-host-your-ashrm-webinar-today" TargetMode="External"/><Relationship Id="rId182" Type="http://schemas.openxmlformats.org/officeDocument/2006/relationships/hyperlink" Target="mailto:kmcdonnell@smithbucklin.com" TargetMode="External"/><Relationship Id="rId6" Type="http://schemas.openxmlformats.org/officeDocument/2006/relationships/hyperlink" Target="mailto:jowens@smithbucklin.com" TargetMode="External"/><Relationship Id="rId23" Type="http://schemas.openxmlformats.org/officeDocument/2006/relationships/hyperlink" Target="mailto:nschuette@smithbucklin.com" TargetMode="External"/><Relationship Id="rId119" Type="http://schemas.openxmlformats.org/officeDocument/2006/relationships/hyperlink" Target="mailto:kmcdonnell@smithbucklin.com" TargetMode="External"/><Relationship Id="rId44" Type="http://schemas.openxmlformats.org/officeDocument/2006/relationships/hyperlink" Target="mailto:nschuette@smithbucklin.com" TargetMode="External"/><Relationship Id="rId65" Type="http://schemas.openxmlformats.org/officeDocument/2006/relationships/hyperlink" Target="mailto:nschuette@smithbucklin.com" TargetMode="External"/><Relationship Id="rId86" Type="http://schemas.openxmlformats.org/officeDocument/2006/relationships/hyperlink" Target="https://www.ashrmmediakit.org/conference-and-events/ashrm-annual-conference/sponsorship-opportunities/" TargetMode="External"/><Relationship Id="rId130" Type="http://schemas.openxmlformats.org/officeDocument/2006/relationships/hyperlink" Target="mailto:kmcdonnell@smithbucklin.com" TargetMode="External"/><Relationship Id="rId151" Type="http://schemas.openxmlformats.org/officeDocument/2006/relationships/hyperlink" Target="https://45453675.hs-sites.com/final-reminder-ashrm-2025-space-selection-date-time-assignments" TargetMode="External"/><Relationship Id="rId172" Type="http://schemas.openxmlformats.org/officeDocument/2006/relationships/hyperlink" Target="https://45453675.hs-sites.com/ashrm-visibility-digest-1-quick-wins-to-reach-risk-leaders" TargetMode="External"/><Relationship Id="rId193" Type="http://schemas.openxmlformats.org/officeDocument/2006/relationships/hyperlink" Target="https://www.ashrmmediakit.org/own-the-message.-reach-ashrm-members-directly" TargetMode="External"/><Relationship Id="rId207" Type="http://schemas.openxmlformats.org/officeDocument/2006/relationships/hyperlink" Target="mailto:kmcdonnell@smithbucklin.com" TargetMode="External"/><Relationship Id="rId13" Type="http://schemas.openxmlformats.org/officeDocument/2006/relationships/hyperlink" Target="mailto:jowens@smithbucklin.com" TargetMode="External"/><Relationship Id="rId109" Type="http://schemas.openxmlformats.org/officeDocument/2006/relationships/hyperlink" Target="https://www.ashrmmediakit.org/conference-and-events/ashrm-annual-conference/sponsorship-opportunities/" TargetMode="External"/><Relationship Id="rId34" Type="http://schemas.openxmlformats.org/officeDocument/2006/relationships/hyperlink" Target="mailto:nschuette@smithbucklin.com" TargetMode="External"/><Relationship Id="rId55" Type="http://schemas.openxmlformats.org/officeDocument/2006/relationships/hyperlink" Target="mailto:ASHRM@smithbucklin.com" TargetMode="External"/><Relationship Id="rId76" Type="http://schemas.openxmlformats.org/officeDocument/2006/relationships/hyperlink" Target="https://www.ashrmmediakit.org/conference-and-events/ashrm-annual-conference/become-an-exhibitor/" TargetMode="External"/><Relationship Id="rId97" Type="http://schemas.openxmlformats.org/officeDocument/2006/relationships/hyperlink" Target="mailto:nschuette@smithbucklin.com" TargetMode="External"/><Relationship Id="rId120" Type="http://schemas.openxmlformats.org/officeDocument/2006/relationships/hyperlink" Target="mailto:ashrm@smithbucklin.com" TargetMode="External"/><Relationship Id="rId141" Type="http://schemas.openxmlformats.org/officeDocument/2006/relationships/hyperlink" Target="https://www.ashrmmediakit.org/digital/" TargetMode="External"/><Relationship Id="rId7" Type="http://schemas.openxmlformats.org/officeDocument/2006/relationships/hyperlink" Target="mailto:jowens@smithbucklin.com" TargetMode="External"/><Relationship Id="rId162" Type="http://schemas.openxmlformats.org/officeDocument/2006/relationships/hyperlink" Target="https://45453675.hs-sites.com/they-saw-you-at-ashrm25-now-hit-their-inbox" TargetMode="External"/><Relationship Id="rId183" Type="http://schemas.openxmlformats.org/officeDocument/2006/relationships/hyperlink" Target="mailto:kmcdonnell@smithbucklin.com" TargetMode="External"/><Relationship Id="rId24" Type="http://schemas.openxmlformats.org/officeDocument/2006/relationships/hyperlink" Target="mailto:nschuette@smithbucklin.com" TargetMode="External"/><Relationship Id="rId45" Type="http://schemas.openxmlformats.org/officeDocument/2006/relationships/hyperlink" Target="mailto:nschuette@smithbucklin.com" TargetMode="External"/><Relationship Id="rId66" Type="http://schemas.openxmlformats.org/officeDocument/2006/relationships/hyperlink" Target="http://45453675.hs-sites.com/happy-holidays-from-ashrm" TargetMode="External"/><Relationship Id="rId87" Type="http://schemas.openxmlformats.org/officeDocument/2006/relationships/hyperlink" Target="http://45453675.hs-sites.com/drive-results-with-ad-solutions" TargetMode="External"/><Relationship Id="rId110" Type="http://schemas.openxmlformats.org/officeDocument/2006/relationships/hyperlink" Target="https://www.ashrmmediakit.org/conference-and-events/ashrm-annual-conference/sponsorship-opportunities/" TargetMode="External"/><Relationship Id="rId131" Type="http://schemas.openxmlformats.org/officeDocument/2006/relationships/hyperlink" Target="https://45453675.hs-sites.com/dont-miss-out-connect-with-risk-managers-at-ashrm-express" TargetMode="External"/><Relationship Id="rId61" Type="http://schemas.openxmlformats.org/officeDocument/2006/relationships/hyperlink" Target="mailto:nschuette@smithbucklin.com" TargetMode="External"/><Relationship Id="rId82" Type="http://schemas.openxmlformats.org/officeDocument/2006/relationships/hyperlink" Target="https://www.ashrmmediakit.org/conference-and-events/national-patient-safety-awareness-week/" TargetMode="External"/><Relationship Id="rId152" Type="http://schemas.openxmlformats.org/officeDocument/2006/relationships/hyperlink" Target="https://45453675.hs-sites.com/pack-your-bags-ashrm25-annual-conference-exhibition" TargetMode="External"/><Relationship Id="rId173" Type="http://schemas.openxmlformats.org/officeDocument/2006/relationships/hyperlink" Target="https://45453675.hs-sites.com/new-exclusive-bundle-nextgen-risk-leadership-sponsorship" TargetMode="External"/><Relationship Id="rId194" Type="http://schemas.openxmlformats.org/officeDocument/2006/relationships/hyperlink" Target="mailto:kmcdonnell@smithbucklin.com" TargetMode="External"/><Relationship Id="rId199" Type="http://schemas.openxmlformats.org/officeDocument/2006/relationships/hyperlink" Target="https://www.ashrmmediakit.org/your-buyers-are-all-in-one-room-this-october" TargetMode="External"/><Relationship Id="rId203" Type="http://schemas.openxmlformats.org/officeDocument/2006/relationships/hyperlink" Target="mailto:kmcdonnell@smithbucklin.com" TargetMode="External"/><Relationship Id="rId208" Type="http://schemas.openxmlformats.org/officeDocument/2006/relationships/hyperlink" Target="mailto:kmcdonnell@smithbucklin.com" TargetMode="External"/><Relationship Id="rId19" Type="http://schemas.openxmlformats.org/officeDocument/2006/relationships/hyperlink" Target="mailto:nschuette@smithbucklin.com" TargetMode="External"/><Relationship Id="rId14" Type="http://schemas.openxmlformats.org/officeDocument/2006/relationships/hyperlink" Target="mailto:nschuette@smithbucklin.com" TargetMode="External"/><Relationship Id="rId30" Type="http://schemas.openxmlformats.org/officeDocument/2006/relationships/hyperlink" Target="mailto:jowens@smithbucklin.com" TargetMode="External"/><Relationship Id="rId35" Type="http://schemas.openxmlformats.org/officeDocument/2006/relationships/hyperlink" Target="mailto:nschuette@smithbucklin.com" TargetMode="External"/><Relationship Id="rId56" Type="http://schemas.openxmlformats.org/officeDocument/2006/relationships/hyperlink" Target="http://45453675.hs-sites.com/maximize-2024-budget-ashrm-digital-opportunities" TargetMode="External"/><Relationship Id="rId77" Type="http://schemas.openxmlformats.org/officeDocument/2006/relationships/hyperlink" Target="https://www.ashrmmediakit.org/conference-and-events/ashrm-annual-conference/become-an-exhibitor/" TargetMode="External"/><Relationship Id="rId100" Type="http://schemas.openxmlformats.org/officeDocument/2006/relationships/hyperlink" Target="http://45453675.hs-sites.com/promote-your-brand-on-ashrms-platform" TargetMode="External"/><Relationship Id="rId105" Type="http://schemas.openxmlformats.org/officeDocument/2006/relationships/hyperlink" Target="http://45453675.hs-sites.com/http/45453675.hs-sites.com/take-advantage-of-ashrms-digital-platforms" TargetMode="External"/><Relationship Id="rId126" Type="http://schemas.openxmlformats.org/officeDocument/2006/relationships/hyperlink" Target="https://45453675.hs-sites.com/explore-sponsorships-to-promote-your-booth" TargetMode="External"/><Relationship Id="rId147" Type="http://schemas.openxmlformats.org/officeDocument/2006/relationships/hyperlink" Target="https://45453675.hs-sites.com/last-call-for-sponsorship-opportunities" TargetMode="External"/><Relationship Id="rId168" Type="http://schemas.openxmlformats.org/officeDocument/2006/relationships/hyperlink" Target="https://45453675.hs-sites.com/happy-new-year-from-ashrm" TargetMode="External"/><Relationship Id="rId8" Type="http://schemas.openxmlformats.org/officeDocument/2006/relationships/hyperlink" Target="mailto:jowens@smithbucklin.com" TargetMode="External"/><Relationship Id="rId51" Type="http://schemas.openxmlformats.org/officeDocument/2006/relationships/hyperlink" Target="mailto:ASHRM@smithbucklin.com" TargetMode="External"/><Relationship Id="rId72" Type="http://schemas.openxmlformats.org/officeDocument/2006/relationships/hyperlink" Target="mailto:nschuette@smithbucklin.com" TargetMode="External"/><Relationship Id="rId93" Type="http://schemas.openxmlformats.org/officeDocument/2006/relationships/hyperlink" Target="http://45453675.hs-sites.com/%F0%9F%8E%A2-take-your-ashrm-2025-involvement-a-step-further" TargetMode="External"/><Relationship Id="rId98" Type="http://schemas.openxmlformats.org/officeDocument/2006/relationships/hyperlink" Target="mailto:nschuette@smithbucklin.com" TargetMode="External"/><Relationship Id="rId121" Type="http://schemas.openxmlformats.org/officeDocument/2006/relationships/hyperlink" Target="https://45453675.hs-sites.com/-temporary-slug-7c7e8d39-7605-4bb3-b4d6-57eef5ce861a" TargetMode="External"/><Relationship Id="rId142" Type="http://schemas.openxmlformats.org/officeDocument/2006/relationships/hyperlink" Target="https://45453675.hs-sites.com/network-showcase-at-ashrm-2025-conference-1" TargetMode="External"/><Relationship Id="rId163" Type="http://schemas.openxmlformats.org/officeDocument/2006/relationships/hyperlink" Target="https://45453675.hs-sites.com/be-part-of-ashrm26-in-phoenix" TargetMode="External"/><Relationship Id="rId184" Type="http://schemas.openxmlformats.org/officeDocument/2006/relationships/hyperlink" Target="mailto:kmcdonnell@smithbucklin.com" TargetMode="External"/><Relationship Id="rId189" Type="http://schemas.openxmlformats.org/officeDocument/2006/relationships/hyperlink" Target="https://www.ashrmmediakit.org/put-your-brand-in-play-at-ashrm26" TargetMode="External"/><Relationship Id="rId3" Type="http://schemas.openxmlformats.org/officeDocument/2006/relationships/hyperlink" Target="mailto:nschuette@smithbucklin.com" TargetMode="External"/><Relationship Id="rId25" Type="http://schemas.openxmlformats.org/officeDocument/2006/relationships/hyperlink" Target="http://45453675.hs-sites.com/ashrm24-though-leadership-sponsorships?hs_preview=mhrwnCBp-165189287084" TargetMode="External"/><Relationship Id="rId46" Type="http://schemas.openxmlformats.org/officeDocument/2006/relationships/hyperlink" Target="mailto:nschuette@smithbucklin.com" TargetMode="External"/><Relationship Id="rId67" Type="http://schemas.openxmlformats.org/officeDocument/2006/relationships/hyperlink" Target="http://45453675.hs-sites.com/what-to-expect-from-ashrm-2025" TargetMode="External"/><Relationship Id="rId116" Type="http://schemas.openxmlformats.org/officeDocument/2006/relationships/hyperlink" Target="http://45453675.hs-sites.com/boost-your-visibility-at-ashrm-express-sponsorships-available" TargetMode="External"/><Relationship Id="rId137" Type="http://schemas.openxmlformats.org/officeDocument/2006/relationships/hyperlink" Target="https://45453675.hs-sites.com/have-you-checked-every-box-for-ashrm25" TargetMode="External"/><Relationship Id="rId158" Type="http://schemas.openxmlformats.org/officeDocument/2006/relationships/hyperlink" Target="mailto:kmcdonnell@smithbucklin.com" TargetMode="External"/><Relationship Id="rId20" Type="http://schemas.openxmlformats.org/officeDocument/2006/relationships/hyperlink" Target="mailto:nschuette@smithbucklin.com" TargetMode="External"/><Relationship Id="rId41" Type="http://schemas.openxmlformats.org/officeDocument/2006/relationships/hyperlink" Target="mailto:ASHRM@smithbucklin.com" TargetMode="External"/><Relationship Id="rId62" Type="http://schemas.openxmlformats.org/officeDocument/2006/relationships/hyperlink" Target="http://45453675.hs-sites.com/jumpstart-your-2025-marketing-with-ashrm-digital-ads" TargetMode="External"/><Relationship Id="rId83" Type="http://schemas.openxmlformats.org/officeDocument/2006/relationships/hyperlink" Target="https://www.ashrmmediakit.org/conference-and-events/ashrm-annual-conference/become-an-exhibitor/" TargetMode="External"/><Relationship Id="rId88" Type="http://schemas.openxmlformats.org/officeDocument/2006/relationships/hyperlink" Target="http://45453675.hs-sites.com/ashrmm-2025-event-lineup" TargetMode="External"/><Relationship Id="rId111" Type="http://schemas.openxmlformats.org/officeDocument/2006/relationships/hyperlink" Target="http://45453675.hs-sites.com/maximize-visibility-with-ashrm-venue-branding-opportunities" TargetMode="External"/><Relationship Id="rId132" Type="http://schemas.openxmlformats.org/officeDocument/2006/relationships/hyperlink" Target="https://45453675.hs-sites.com/boost-personalization_tokencontact.company-your-brand-with-ashrms-trusted-ads" TargetMode="External"/><Relationship Id="rId153" Type="http://schemas.openxmlformats.org/officeDocument/2006/relationships/hyperlink" Target="https://45453675.hs-sites.com/ashrm25-exhibitor-survey-thank-you" TargetMode="External"/><Relationship Id="rId174" Type="http://schemas.openxmlformats.org/officeDocument/2006/relationships/hyperlink" Target="https://45453675.hs-sites.com/put-your-expertise-on-the-virtual-stage-with-an-ashrm-webinar" TargetMode="External"/><Relationship Id="rId179" Type="http://schemas.openxmlformats.org/officeDocument/2006/relationships/hyperlink" Target="mailto:kmcdonnell@smithbucklin.com" TargetMode="External"/><Relationship Id="rId195" Type="http://schemas.openxmlformats.org/officeDocument/2006/relationships/hyperlink" Target="https://www.ashrmmediakit.org/get-5-minutes-with-every-ashrm-chapter-leader" TargetMode="External"/><Relationship Id="rId209" Type="http://schemas.openxmlformats.org/officeDocument/2006/relationships/hyperlink" Target="https://www.ashrmmediakit.org/booth-traffic-drivers" TargetMode="External"/><Relationship Id="rId190" Type="http://schemas.openxmlformats.org/officeDocument/2006/relationships/hyperlink" Target="https://www.ashrmmediakit.org/ashrm26-is-coming-sooner-than-you-think" TargetMode="External"/><Relationship Id="rId204" Type="http://schemas.openxmlformats.org/officeDocument/2006/relationships/hyperlink" Target="mailto:kmcdonnell@smithbucklin.com" TargetMode="External"/><Relationship Id="rId15" Type="http://schemas.openxmlformats.org/officeDocument/2006/relationships/hyperlink" Target="mailto:nschuette@smithbucklin.com" TargetMode="External"/><Relationship Id="rId36" Type="http://schemas.openxmlformats.org/officeDocument/2006/relationships/hyperlink" Target="mailto:nschuette@smithbucklin.com" TargetMode="External"/><Relationship Id="rId57" Type="http://schemas.openxmlformats.org/officeDocument/2006/relationships/hyperlink" Target="mailto:nschuette@smithbucklin.com" TargetMode="External"/><Relationship Id="rId106" Type="http://schemas.openxmlformats.org/officeDocument/2006/relationships/hyperlink" Target="mailto:nschuette@smithbucklin.com" TargetMode="External"/><Relationship Id="rId127" Type="http://schemas.openxmlformats.org/officeDocument/2006/relationships/hyperlink" Target="mailto:kmcdonnell@smithbucklin.com" TargetMode="External"/><Relationship Id="rId10" Type="http://schemas.openxmlformats.org/officeDocument/2006/relationships/hyperlink" Target="https://app.markup.io/invite/accept/P0g1Oipl" TargetMode="External"/><Relationship Id="rId31" Type="http://schemas.openxmlformats.org/officeDocument/2006/relationships/hyperlink" Target="mailto:jowens@smithbucklin.com" TargetMode="External"/><Relationship Id="rId52" Type="http://schemas.openxmlformats.org/officeDocument/2006/relationships/hyperlink" Target="mailto:ASHRM@smithbucklin.com" TargetMode="External"/><Relationship Id="rId73" Type="http://schemas.openxmlformats.org/officeDocument/2006/relationships/hyperlink" Target="mailto:nschuette@smithbucklin.com" TargetMode="External"/><Relationship Id="rId78" Type="http://schemas.openxmlformats.org/officeDocument/2006/relationships/hyperlink" Target="https://www.ashrmmediakit.org/content-marketing/" TargetMode="External"/><Relationship Id="rId94" Type="http://schemas.openxmlformats.org/officeDocument/2006/relationships/hyperlink" Target="mailto:nschuette@smithbucklin.com" TargetMode="External"/><Relationship Id="rId99" Type="http://schemas.openxmlformats.org/officeDocument/2006/relationships/hyperlink" Target="https://www.ashrmmediakit.org/conference-and-events/ashrm-academy/" TargetMode="External"/><Relationship Id="rId101" Type="http://schemas.openxmlformats.org/officeDocument/2006/relationships/hyperlink" Target="http://45453675.hs-sites.com/last-call-to-engage-with-top-health-care-risk-managers-at-ashrm-academy" TargetMode="External"/><Relationship Id="rId122" Type="http://schemas.openxmlformats.org/officeDocument/2006/relationships/hyperlink" Target="http://45453675.hs-sites.com/strategic-advertisements-that-deliver-real-roi" TargetMode="External"/><Relationship Id="rId143" Type="http://schemas.openxmlformats.org/officeDocument/2006/relationships/hyperlink" Target="https://45453675.hs-sites.com/ashrm-sponsorships-for-maximum-exposure" TargetMode="External"/><Relationship Id="rId148" Type="http://schemas.openxmlformats.org/officeDocument/2006/relationships/hyperlink" Target="https://45453675.hs-sites.com/dont-miss-out-on-networking-in-charlotte" TargetMode="External"/><Relationship Id="rId164" Type="http://schemas.openxmlformats.org/officeDocument/2006/relationships/hyperlink" Target="https://45453675.hs-sites.com/your-2026-ashrm-advertising" TargetMode="External"/><Relationship Id="rId169" Type="http://schemas.openxmlformats.org/officeDocument/2006/relationships/hyperlink" Target="https://45453675.hs-sites.com/new-year-new-pipeline" TargetMode="External"/><Relationship Id="rId185" Type="http://schemas.openxmlformats.org/officeDocument/2006/relationships/hyperlink" Target="mailto:kmcdonnell@smithbucklin.com" TargetMode="External"/><Relationship Id="rId4" Type="http://schemas.openxmlformats.org/officeDocument/2006/relationships/hyperlink" Target="https://app.markup.io/invite/accept/YGbyP5lx" TargetMode="External"/><Relationship Id="rId9" Type="http://schemas.openxmlformats.org/officeDocument/2006/relationships/hyperlink" Target="https://app.markup.io/invite/accept/P0g1Oipl" TargetMode="External"/><Relationship Id="rId180" Type="http://schemas.openxmlformats.org/officeDocument/2006/relationships/hyperlink" Target="mailto:kmcdonnell@smithbucklin.com" TargetMode="External"/><Relationship Id="rId210" Type="http://schemas.openxmlformats.org/officeDocument/2006/relationships/printerSettings" Target="../printerSettings/printerSettings8.bin"/><Relationship Id="rId26" Type="http://schemas.openxmlformats.org/officeDocument/2006/relationships/hyperlink" Target="http://45453675.hs-sites.com/reconnect-ashrm24-exhibit?hs_preview=MyzHurbr-165213033988" TargetMode="External"/><Relationship Id="rId47" Type="http://schemas.openxmlformats.org/officeDocument/2006/relationships/hyperlink" Target="mailto:nschuette@smithbucklin.com" TargetMode="External"/><Relationship Id="rId68" Type="http://schemas.openxmlformats.org/officeDocument/2006/relationships/hyperlink" Target="mailto:nschuette@smithbucklin.com" TargetMode="External"/><Relationship Id="rId89" Type="http://schemas.openxmlformats.org/officeDocument/2006/relationships/hyperlink" Target="http://45453675.hs-sites.com/sponsor-national-patient-safety-awareness-week-2025" TargetMode="External"/><Relationship Id="rId112" Type="http://schemas.openxmlformats.org/officeDocument/2006/relationships/hyperlink" Target="http://45453675.hs-sites.com/network-and-showcase-at-ashrms-premier-event" TargetMode="External"/><Relationship Id="rId133" Type="http://schemas.openxmlformats.org/officeDocument/2006/relationships/hyperlink" Target="https://45453675.hs-sites.com/dont-forget-to-register-for-ashrm25-in-charlotte" TargetMode="External"/><Relationship Id="rId154" Type="http://schemas.openxmlformats.org/officeDocument/2006/relationships/hyperlink" Target="mailto:ashrm@smithbucklin.com" TargetMode="External"/><Relationship Id="rId175" Type="http://schemas.openxmlformats.org/officeDocument/2006/relationships/hyperlink" Target="https://45453675.hs-sites.com/turn-ashrm26-momentum-into-more-meetings" TargetMode="External"/><Relationship Id="rId196" Type="http://schemas.openxmlformats.org/officeDocument/2006/relationships/hyperlink" Target="https://www.ashrmmediakit.org/your-brand.-ashrms-audience" TargetMode="External"/><Relationship Id="rId200" Type="http://schemas.openxmlformats.org/officeDocument/2006/relationships/hyperlink" Target="mailto:kmcdonnell@smithbucklin.com" TargetMode="External"/><Relationship Id="rId16" Type="http://schemas.openxmlformats.org/officeDocument/2006/relationships/hyperlink" Target="mailto:nschuette@smithbucklin.com" TargetMode="External"/><Relationship Id="rId37" Type="http://schemas.openxmlformats.org/officeDocument/2006/relationships/hyperlink" Target="mailto:nschuette@smithbucklin.com" TargetMode="External"/><Relationship Id="rId58" Type="http://schemas.openxmlformats.org/officeDocument/2006/relationships/hyperlink" Target="http://45453675.hs-sites.com/theres-still-time-to-maximize-your-remaining-2024-budget" TargetMode="External"/><Relationship Id="rId79" Type="http://schemas.openxmlformats.org/officeDocument/2006/relationships/hyperlink" Target="mailto:pbrayley@smithbucklin.com" TargetMode="External"/><Relationship Id="rId102" Type="http://schemas.openxmlformats.org/officeDocument/2006/relationships/hyperlink" Target="mailto:nschuette@smithbucklin.com" TargetMode="External"/><Relationship Id="rId123" Type="http://schemas.openxmlformats.org/officeDocument/2006/relationships/hyperlink" Target="https://45453675.hs-sites.com/connect-with-risk-managers-at-ashrm-express" TargetMode="External"/><Relationship Id="rId144" Type="http://schemas.openxmlformats.org/officeDocument/2006/relationships/hyperlink" Target="https://45453675.hs-sites.com/ensure-your-message-reaches-your-audience" TargetMode="External"/><Relationship Id="rId90" Type="http://schemas.openxmlformats.org/officeDocument/2006/relationships/hyperlink" Target="http://45453675.hs-sites.com/connect-at-ashrm-academy" TargetMode="External"/><Relationship Id="rId165" Type="http://schemas.openxmlformats.org/officeDocument/2006/relationships/hyperlink" Target="https://45453675.hs-sites.com/wishing-you-a-healthy-and-successful-year-ahead-from-ashrm" TargetMode="External"/><Relationship Id="rId186" Type="http://schemas.openxmlformats.org/officeDocument/2006/relationships/hyperlink" Target="https://www.ashrmmediakit.org/digital" TargetMode="External"/><Relationship Id="rId211" Type="http://schemas.openxmlformats.org/officeDocument/2006/relationships/drawing" Target="../drawings/drawing8.xml"/><Relationship Id="rId27" Type="http://schemas.openxmlformats.org/officeDocument/2006/relationships/hyperlink" Target="http://45453675.hs-sites.com/ashrm-2024-exhibit?hs_preview=TWNoPLCc-165201928850" TargetMode="External"/><Relationship Id="rId48" Type="http://schemas.openxmlformats.org/officeDocument/2006/relationships/hyperlink" Target="mailto:nschuette@smithbucklin.com" TargetMode="External"/><Relationship Id="rId69" Type="http://schemas.openxmlformats.org/officeDocument/2006/relationships/hyperlink" Target="mailto:nschuette@smithbucklin.com" TargetMode="External"/><Relationship Id="rId113" Type="http://schemas.openxmlformats.org/officeDocument/2006/relationships/hyperlink" Target="http://45453675.hs-sites.com/take-advantage-of-ashrms-digital-platforms" TargetMode="External"/><Relationship Id="rId134" Type="http://schemas.openxmlformats.org/officeDocument/2006/relationships/hyperlink" Target="https://45453675.hs-sites.com/invest-in-visibility.-connect-with-13500-health-care-risk-leaders" TargetMode="External"/><Relationship Id="rId80" Type="http://schemas.openxmlformats.org/officeDocument/2006/relationships/hyperlink" Target="https://www.ashrmmediakit.org/conference-and-events/ashrm-academy/" TargetMode="External"/><Relationship Id="rId155" Type="http://schemas.openxmlformats.org/officeDocument/2006/relationships/hyperlink" Target="mailto:kmcdonnell@smithbucklin.com" TargetMode="External"/><Relationship Id="rId176" Type="http://schemas.openxmlformats.org/officeDocument/2006/relationships/hyperlink" Target="https://www.ashrmmediakit.org/ashrm-visibility-digest-2-high-impact-visibility-for-risk-leaders" TargetMode="External"/><Relationship Id="rId197" Type="http://schemas.openxmlformats.org/officeDocument/2006/relationships/hyperlink" Target="mailto:kmcdonnell@smithbucklin.com" TargetMode="External"/><Relationship Id="rId201" Type="http://schemas.openxmlformats.org/officeDocument/2006/relationships/hyperlink" Target="mailto:kmcdonnell@smithbucklin.com" TargetMode="External"/><Relationship Id="rId17" Type="http://schemas.openxmlformats.org/officeDocument/2006/relationships/hyperlink" Target="mailto:nschuette@smithbucklin.com" TargetMode="External"/><Relationship Id="rId38" Type="http://schemas.openxmlformats.org/officeDocument/2006/relationships/hyperlink" Target="mailto:nschuette@smithbucklin.com" TargetMode="External"/><Relationship Id="rId59" Type="http://schemas.openxmlformats.org/officeDocument/2006/relationships/hyperlink" Target="http://45453675.hs-sites.com/secure-a-booth-at-ashrm-2025" TargetMode="External"/><Relationship Id="rId103" Type="http://schemas.openxmlformats.org/officeDocument/2006/relationships/hyperlink" Target="https://www.ashrmmediakit.org/conference-and-events/ashrm-annual-conference/sponsorship-opportunities/" TargetMode="External"/><Relationship Id="rId124" Type="http://schemas.openxmlformats.org/officeDocument/2006/relationships/hyperlink" Target="http://45453675.hs-sites.com/reconnect-with-the-risk-management-community-at-ashrms-premier-2025-events" TargetMode="External"/><Relationship Id="rId70" Type="http://schemas.openxmlformats.org/officeDocument/2006/relationships/hyperlink" Target="mailto:nschuette@smithbucklin.com" TargetMode="External"/><Relationship Id="rId91" Type="http://schemas.openxmlformats.org/officeDocument/2006/relationships/hyperlink" Target="http://45453675.hs-sites.com/boost-your-brand-with-ashrm-digital-ads-events" TargetMode="External"/><Relationship Id="rId145" Type="http://schemas.openxmlformats.org/officeDocument/2006/relationships/hyperlink" Target="https://45453675.hs-sites.com/ashrm-2025-annual-conference-exhibitor-bulletin-3" TargetMode="External"/><Relationship Id="rId166" Type="http://schemas.openxmlformats.org/officeDocument/2006/relationships/hyperlink" Target="mailto:kmcdonnell@smithbucklin.com" TargetMode="External"/><Relationship Id="rId187" Type="http://schemas.openxmlformats.org/officeDocument/2006/relationships/hyperlink" Target="https://www.ashrmmediakit.org/webinars" TargetMode="External"/><Relationship Id="rId1" Type="http://schemas.openxmlformats.org/officeDocument/2006/relationships/hyperlink" Target="mailto:ASHRM@smithbucklin.com" TargetMode="External"/><Relationship Id="rId28" Type="http://schemas.openxmlformats.org/officeDocument/2006/relationships/hyperlink" Target="mailto:nschuette@smithbucklin.com" TargetMode="External"/><Relationship Id="rId49" Type="http://schemas.openxmlformats.org/officeDocument/2006/relationships/hyperlink" Target="mailto:nschuette@smithbucklin.com" TargetMode="External"/><Relationship Id="rId114" Type="http://schemas.openxmlformats.org/officeDocument/2006/relationships/hyperlink" Target="https://45453675.hs-sites.com/dont-miss-out-join-us-again-in-charlotte" TargetMode="External"/><Relationship Id="rId60" Type="http://schemas.openxmlformats.org/officeDocument/2006/relationships/hyperlink" Target="mailto:nschuette@smithbucklin.com" TargetMode="External"/><Relationship Id="rId81" Type="http://schemas.openxmlformats.org/officeDocument/2006/relationships/hyperlink" Target="mailto:nschuette@smithbucklin.com" TargetMode="External"/><Relationship Id="rId135" Type="http://schemas.openxmlformats.org/officeDocument/2006/relationships/hyperlink" Target="https://45453675.hs-sites.com/boost-your-visibility-year-round-on-ashrm.org" TargetMode="External"/><Relationship Id="rId156" Type="http://schemas.openxmlformats.org/officeDocument/2006/relationships/hyperlink" Target="mailto:kmcdonnell@smithbucklin.com" TargetMode="External"/><Relationship Id="rId177" Type="http://schemas.openxmlformats.org/officeDocument/2006/relationships/hyperlink" Target="https://www.ashrmmediakit.org/a-message-from-evan-williams-on-ashrm-annual-2026" TargetMode="External"/><Relationship Id="rId198" Type="http://schemas.openxmlformats.org/officeDocument/2006/relationships/hyperlink" Target="https://us6.campaign-archive.com/?e=__test_email__&amp;u=97c5aa1f46&amp;id=3cda10a2d8" TargetMode="External"/><Relationship Id="rId202" Type="http://schemas.openxmlformats.org/officeDocument/2006/relationships/hyperlink" Target="mailto:kmcdonnell@smithbucklin.com" TargetMode="External"/><Relationship Id="rId18" Type="http://schemas.openxmlformats.org/officeDocument/2006/relationships/hyperlink" Target="mailto:nschuette@smithbucklin.com" TargetMode="External"/><Relationship Id="rId39" Type="http://schemas.openxmlformats.org/officeDocument/2006/relationships/hyperlink" Target="mailto:nschuette@smithbucklin.com" TargetMode="External"/><Relationship Id="rId50" Type="http://schemas.openxmlformats.org/officeDocument/2006/relationships/hyperlink" Target="mailto:ASHRM@smithbucklin.com" TargetMode="External"/><Relationship Id="rId104" Type="http://schemas.openxmlformats.org/officeDocument/2006/relationships/hyperlink" Target="http://45453675.hs-sites.com/explore-prime-sponsorships-at-ashrms-key-event" TargetMode="External"/><Relationship Id="rId125" Type="http://schemas.openxmlformats.org/officeDocument/2006/relationships/hyperlink" Target="mailto:kmcdonnell@smithbucklin.com" TargetMode="External"/><Relationship Id="rId146" Type="http://schemas.openxmlformats.org/officeDocument/2006/relationships/hyperlink" Target="https://45453675.hs-sites.com/be-the-buzz-without-breaking-the-bank" TargetMode="External"/><Relationship Id="rId167" Type="http://schemas.openxmlformats.org/officeDocument/2006/relationships/hyperlink" Target="mailto:kmcdonnell@smithbucklin.com" TargetMode="External"/><Relationship Id="rId188" Type="http://schemas.openxmlformats.org/officeDocument/2006/relationships/hyperlink" Target="https://www.ashrmmediakit.org/booth-traffic-drivers" TargetMode="External"/><Relationship Id="rId71" Type="http://schemas.openxmlformats.org/officeDocument/2006/relationships/hyperlink" Target="mailto:nschuette@smithbucklin.com" TargetMode="External"/><Relationship Id="rId92" Type="http://schemas.openxmlformats.org/officeDocument/2006/relationships/hyperlink" Target="http://45453675.hs-sites.com/exhibit-at-the-2025-ashrm-annual-conference" TargetMode="External"/><Relationship Id="rId2" Type="http://schemas.openxmlformats.org/officeDocument/2006/relationships/hyperlink" Target="mailto:ASHRM@smithbucklin.com" TargetMode="External"/><Relationship Id="rId29" Type="http://schemas.openxmlformats.org/officeDocument/2006/relationships/hyperlink" Target="mailto:nschuette@smithbucklin.com" TargetMode="External"/><Relationship Id="rId40" Type="http://schemas.openxmlformats.org/officeDocument/2006/relationships/hyperlink" Target="mailto:ASHRM@smithbucklin.com" TargetMode="External"/><Relationship Id="rId115" Type="http://schemas.openxmlformats.org/officeDocument/2006/relationships/hyperlink" Target="https://45453675.hs-sites.com/network-showcase-at-ashrm-2025-conference" TargetMode="External"/><Relationship Id="rId136" Type="http://schemas.openxmlformats.org/officeDocument/2006/relationships/hyperlink" Target="https://45453675.hs-sites.com/ready-to-stand-out-at-ahrmm25-boost-your-brand-with-big-visibility" TargetMode="External"/><Relationship Id="rId157" Type="http://schemas.openxmlformats.org/officeDocument/2006/relationships/hyperlink" Target="mailto:kmcdonnell@smithbucklin.com" TargetMode="External"/><Relationship Id="rId178" Type="http://schemas.openxmlformats.org/officeDocument/2006/relationships/hyperlink" Target="https://www.ashrmmediakit.org/a-bundled-way-to-reach-rising-risk-leaders"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45320799.hs-sites.com/dont-miss-atc-2026-in-boston-see-whos-coming" TargetMode="External"/><Relationship Id="rId18" Type="http://schemas.openxmlformats.org/officeDocument/2006/relationships/hyperlink" Target="https://45320799.hs-sites.com/join-the-transplant-community-in-boston" TargetMode="External"/><Relationship Id="rId26" Type="http://schemas.openxmlformats.org/officeDocument/2006/relationships/hyperlink" Target="http://45320799.hs-sites.com/happy-new-year-from-atc" TargetMode="External"/><Relationship Id="rId39" Type="http://schemas.openxmlformats.org/officeDocument/2006/relationships/hyperlink" Target="https://45320799.hs-sites.com/only-a-few-spots-left-claim-your-space-at-atc-2026" TargetMode="External"/><Relationship Id="rId21" Type="http://schemas.openxmlformats.org/officeDocument/2006/relationships/hyperlink" Target="http://45320799.hs-sites.com/atc-2026-exhibitor-newsletter-1" TargetMode="External"/><Relationship Id="rId34" Type="http://schemas.openxmlformats.org/officeDocument/2006/relationships/hyperlink" Target="https://45320799.hs-sites.com/see-you-in-boston-add-visibility-that-brings-buyers-to-your-booth" TargetMode="External"/><Relationship Id="rId42" Type="http://schemas.openxmlformats.org/officeDocument/2006/relationships/hyperlink" Target="https://45320799.hs-sites.com/atc-2026-exhibitor-newsletter-4" TargetMode="External"/><Relationship Id="rId47" Type="http://schemas.openxmlformats.org/officeDocument/2006/relationships/printerSettings" Target="../printerSettings/printerSettings9.bin"/><Relationship Id="rId7" Type="http://schemas.openxmlformats.org/officeDocument/2006/relationships/hyperlink" Target="http://45320799.hs-sites.com/atc-2026-intro?hs_preview=aWVyYusU-193673003448" TargetMode="External"/><Relationship Id="rId2" Type="http://schemas.openxmlformats.org/officeDocument/2006/relationships/hyperlink" Target="http://45320799.hs-sites.com/atc-2026-exhibit-sales-launch-3" TargetMode="External"/><Relationship Id="rId16" Type="http://schemas.openxmlformats.org/officeDocument/2006/relationships/hyperlink" Target="http://45320799.hs-sites.com/atc-2026-phase-2-sponsorships" TargetMode="External"/><Relationship Id="rId29" Type="http://schemas.openxmlformats.org/officeDocument/2006/relationships/hyperlink" Target="https://45320799.hs-sites.com/boston-is-calling-are-you-exhibiting-at-atc-2026" TargetMode="External"/><Relationship Id="rId1" Type="http://schemas.openxmlformats.org/officeDocument/2006/relationships/hyperlink" Target="http://45320799.hs-sites.com/atc-2026-exhibit-sales-launch-1" TargetMode="External"/><Relationship Id="rId6" Type="http://schemas.openxmlformats.org/officeDocument/2006/relationships/hyperlink" Target="http://45320799.hs-sites.com/icymi-atc-2026-booth-appointment" TargetMode="External"/><Relationship Id="rId11" Type="http://schemas.openxmlformats.org/officeDocument/2006/relationships/hyperlink" Target="http://45320799.hs-sites.com/atc-2026-sponsorship-early-access" TargetMode="External"/><Relationship Id="rId24" Type="http://schemas.openxmlformats.org/officeDocument/2006/relationships/hyperlink" Target="http://45320799.hs-sites.com/be-part-of-whats-next-in-transplantation-at-atc-2026" TargetMode="External"/><Relationship Id="rId32" Type="http://schemas.openxmlformats.org/officeDocument/2006/relationships/hyperlink" Target="https://45320799.hs-sites.com/atc-2026-is-around-the-corner-join-us-in-boston-%EF%B8%8F" TargetMode="External"/><Relationship Id="rId37" Type="http://schemas.openxmlformats.org/officeDocument/2006/relationships/hyperlink" Target="https://45320799.hs-sites.com/put-your-brand-in-the-middle-of-the-atc-experience" TargetMode="External"/><Relationship Id="rId40" Type="http://schemas.openxmlformats.org/officeDocument/2006/relationships/hyperlink" Target="https://45320799.hs-sites.com/final-call-to-stand-out-at-atc-2026" TargetMode="External"/><Relationship Id="rId45" Type="http://schemas.openxmlformats.org/officeDocument/2006/relationships/hyperlink" Target="https://45320799.hs-sites.com/reminder-focus-group-at-atc-2026" TargetMode="External"/><Relationship Id="rId5" Type="http://schemas.openxmlformats.org/officeDocument/2006/relationships/hyperlink" Target="http://45320799.hs-sites.com/atc-2026-space-selection-appointment" TargetMode="External"/><Relationship Id="rId15" Type="http://schemas.openxmlformats.org/officeDocument/2006/relationships/hyperlink" Target="https://www.atcsponsorships.org/present/" TargetMode="External"/><Relationship Id="rId23" Type="http://schemas.openxmlformats.org/officeDocument/2006/relationships/hyperlink" Target="http://45320799.hs-sites.com/warm-holiday-wishes-from-atc" TargetMode="External"/><Relationship Id="rId28" Type="http://schemas.openxmlformats.org/officeDocument/2006/relationships/hyperlink" Target="https://45320799.hs-sites.com/two-fast-ways-to-win-attention-at-atc-2026" TargetMode="External"/><Relationship Id="rId36" Type="http://schemas.openxmlformats.org/officeDocument/2006/relationships/hyperlink" Target="https://45320799.hs-sites.com/boston-atc-2026-your-brand-a-smart-move" TargetMode="External"/><Relationship Id="rId10" Type="http://schemas.openxmlformats.org/officeDocument/2006/relationships/hyperlink" Target="http://45320799.hs-sites.com/atc-2026-sponsorship-launch" TargetMode="External"/><Relationship Id="rId19" Type="http://schemas.openxmlformats.org/officeDocument/2006/relationships/hyperlink" Target="https://45320799.hs-sites.com/get-seen-at-atc-2026" TargetMode="External"/><Relationship Id="rId31" Type="http://schemas.openxmlformats.org/officeDocument/2006/relationships/hyperlink" Target="https://45320799.hs-sites.com/limited-availability-ancillary-meeting-space-at-atc-2026" TargetMode="External"/><Relationship Id="rId44" Type="http://schemas.openxmlformats.org/officeDocument/2006/relationships/hyperlink" Target="https://45320799.hs-sites.com/atc-2027-booth-space-selection-appointment" TargetMode="External"/><Relationship Id="rId4" Type="http://schemas.openxmlformats.org/officeDocument/2006/relationships/hyperlink" Target="http://45320799.hs-sites.com/atc-2026-space-selection-webinar-thank-you" TargetMode="External"/><Relationship Id="rId9" Type="http://schemas.openxmlformats.org/officeDocument/2006/relationships/hyperlink" Target="http://45320799.hs-sites.com/exhibit-at-american-transplant-congress-atc-2026" TargetMode="External"/><Relationship Id="rId14" Type="http://schemas.openxmlformats.org/officeDocument/2006/relationships/hyperlink" Target="https://45320799.hs-sites.com/see-whos-coming-wtc" TargetMode="External"/><Relationship Id="rId22" Type="http://schemas.openxmlformats.org/officeDocument/2006/relationships/hyperlink" Target="http://45320799.hs-sites.com/two-high-impact-placements" TargetMode="External"/><Relationship Id="rId27" Type="http://schemas.openxmlformats.org/officeDocument/2006/relationships/hyperlink" Target="http://45320799.hs-sites.com/atc-2026-exhibitor-newsletter-2" TargetMode="External"/><Relationship Id="rId30" Type="http://schemas.openxmlformats.org/officeDocument/2006/relationships/hyperlink" Target="https://45320799.hs-sites.com/place-your-branding-where-attendees-will-see-it" TargetMode="External"/><Relationship Id="rId35" Type="http://schemas.openxmlformats.org/officeDocument/2006/relationships/hyperlink" Target="https://45320799.hs-sites.com/atc-2026-exhibitor-newsletter-3" TargetMode="External"/><Relationship Id="rId43" Type="http://schemas.openxmlformats.org/officeDocument/2006/relationships/hyperlink" Target="https://45320799.hs-sites.com/save-the-date-atc-2027-booth-space-selection" TargetMode="External"/><Relationship Id="rId8" Type="http://schemas.openxmlformats.org/officeDocument/2006/relationships/hyperlink" Target="http://45320799.hs-sites.com/act-2026-sponsorship-first-look" TargetMode="External"/><Relationship Id="rId3" Type="http://schemas.openxmlformats.org/officeDocument/2006/relationships/hyperlink" Target="http://45320799.hs-sites.com/icymi-reserve-your-booth-for-atc-2026-in-boston" TargetMode="External"/><Relationship Id="rId12" Type="http://schemas.openxmlformats.org/officeDocument/2006/relationships/hyperlink" Target="http://45320799.hs-sites.com/atc-2026-sponsorships-icymi" TargetMode="External"/><Relationship Id="rId17" Type="http://schemas.openxmlformats.org/officeDocument/2006/relationships/hyperlink" Target="http://45320799.hs-sites.com/atc-2026-phase-2-sponsorship-launch" TargetMode="External"/><Relationship Id="rId25" Type="http://schemas.openxmlformats.org/officeDocument/2006/relationships/hyperlink" Target="https://www.atcsponsorships.org/sponsor/events/" TargetMode="External"/><Relationship Id="rId33" Type="http://schemas.openxmlformats.org/officeDocument/2006/relationships/hyperlink" Target="https://45320799.hs-sites.com/atc-2026-promotional-items-lock-in-your-item-before-its-gone" TargetMode="External"/><Relationship Id="rId38" Type="http://schemas.openxmlformats.org/officeDocument/2006/relationships/hyperlink" Target="https://45320799.hs-sites.com/spring-into-smarter-atc-visibility" TargetMode="External"/><Relationship Id="rId46" Type="http://schemas.openxmlformats.org/officeDocument/2006/relationships/hyperlink" Target="https://45320799.hs-sites.com/final-reminder-atc-2027-space-selection-appointment-time" TargetMode="External"/><Relationship Id="rId20" Type="http://schemas.openxmlformats.org/officeDocument/2006/relationships/hyperlink" Target="https://45320799.hs-sites.com/present-at-atc-the-premier-life-sciences-event" TargetMode="External"/><Relationship Id="rId41" Type="http://schemas.openxmlformats.org/officeDocument/2006/relationships/hyperlink" Target="https://45320799.hs-sites.com/reach-atc-attendees-before-during-the-conferenc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hcmcmarketingsolutions.org/hcmc-february-opportunities" TargetMode="External"/><Relationship Id="rId13" Type="http://schemas.openxmlformats.org/officeDocument/2006/relationships/hyperlink" Target="https://www.hcmcmarketingsolutions.org/hcmc-partner-briefing-keep-your-brand-in-the-capacity-conversation" TargetMode="External"/><Relationship Id="rId3" Type="http://schemas.openxmlformats.org/officeDocument/2006/relationships/hyperlink" Target="mailto:krking@smithbucklin.com" TargetMode="External"/><Relationship Id="rId7" Type="http://schemas.openxmlformats.org/officeDocument/2006/relationships/hyperlink" Target="mailto:krking@smithbucklin.com" TargetMode="External"/><Relationship Id="rId12" Type="http://schemas.openxmlformats.org/officeDocument/2006/relationships/hyperlink" Target="mailto:krking@smithbucklin.com" TargetMode="External"/><Relationship Id="rId2" Type="http://schemas.openxmlformats.org/officeDocument/2006/relationships/hyperlink" Target="mailto:krking@smithbucklin.com" TargetMode="External"/><Relationship Id="rId1" Type="http://schemas.openxmlformats.org/officeDocument/2006/relationships/hyperlink" Target="mailto:krking@smithbucklin.com" TargetMode="External"/><Relationship Id="rId6" Type="http://schemas.openxmlformats.org/officeDocument/2006/relationships/hyperlink" Target="mailto:krking@smithbucklin.com" TargetMode="External"/><Relationship Id="rId11" Type="http://schemas.openxmlformats.org/officeDocument/2006/relationships/hyperlink" Target="https://www.hcmcmarketingsolutions.org/partner-with-hcmc-to-reach-health-care-leaders" TargetMode="External"/><Relationship Id="rId5" Type="http://schemas.openxmlformats.org/officeDocument/2006/relationships/hyperlink" Target="mailto:krking@smithbucklin.com" TargetMode="External"/><Relationship Id="rId10" Type="http://schemas.openxmlformats.org/officeDocument/2006/relationships/hyperlink" Target="mailto:krking@smithbucklin.com" TargetMode="External"/><Relationship Id="rId4" Type="http://schemas.openxmlformats.org/officeDocument/2006/relationships/hyperlink" Target="https://www.hcmcmarketingsolutions.org/hello-from-hcmc-sales-lets-connect" TargetMode="External"/><Relationship Id="rId9" Type="http://schemas.openxmlformats.org/officeDocument/2006/relationships/hyperlink" Target="https://www.hcmcmarketingsolutions.org/hcmc-spring-symposiu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pp.markup.io/invite/accept/MECec_jG" TargetMode="External"/><Relationship Id="rId3" Type="http://schemas.openxmlformats.org/officeDocument/2006/relationships/hyperlink" Target="https://app.markup.io/invite/accept/7moQGQEh" TargetMode="External"/><Relationship Id="rId7" Type="http://schemas.openxmlformats.org/officeDocument/2006/relationships/hyperlink" Target="https://app.markup.io/invite/accept/Z234fNZc" TargetMode="External"/><Relationship Id="rId2" Type="http://schemas.openxmlformats.org/officeDocument/2006/relationships/hyperlink" Target="https://app.markup.io/invite/accept/n0G-kxF-" TargetMode="External"/><Relationship Id="rId1" Type="http://schemas.openxmlformats.org/officeDocument/2006/relationships/hyperlink" Target="https://www.ashrm.org/resources/patient-safety-week" TargetMode="External"/><Relationship Id="rId6" Type="http://schemas.openxmlformats.org/officeDocument/2006/relationships/hyperlink" Target="https://app.markup.io/invite/accept/18WxXj1C" TargetMode="External"/><Relationship Id="rId5" Type="http://schemas.openxmlformats.org/officeDocument/2006/relationships/hyperlink" Target="https://app.markup.io/invite/accept/EgVscLhO" TargetMode="External"/><Relationship Id="rId10" Type="http://schemas.openxmlformats.org/officeDocument/2006/relationships/drawing" Target="../drawings/drawing9.xml"/><Relationship Id="rId4" Type="http://schemas.openxmlformats.org/officeDocument/2006/relationships/hyperlink" Target="https://app.markup.io/invite/accept/1jdYnN7U" TargetMode="External"/><Relationship Id="rId9"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3" Type="http://schemas.openxmlformats.org/officeDocument/2006/relationships/hyperlink" Target="https://mailchi.mp/smithbucklin/ahe-exchange-23-nonexh4" TargetMode="External"/><Relationship Id="rId18" Type="http://schemas.openxmlformats.org/officeDocument/2006/relationships/hyperlink" Target="https://mailchi.mp/smithbucklin/ahe-yr-evsweek" TargetMode="External"/><Relationship Id="rId26" Type="http://schemas.openxmlformats.org/officeDocument/2006/relationships/hyperlink" Target="https://mailchi.mp/smithbucklin/ahe-yr_evsweek" TargetMode="External"/><Relationship Id="rId3" Type="http://schemas.openxmlformats.org/officeDocument/2006/relationships/hyperlink" Target="https://us1.campaign-archive.com/?u=497a0d5835783eef306666ab0&amp;id=a9327efe72" TargetMode="External"/><Relationship Id="rId21" Type="http://schemas.openxmlformats.org/officeDocument/2006/relationships/hyperlink" Target="https://mailchi.mp/smithbucklin/ahe-save-the-date-10384907?e=%5bUNIQID" TargetMode="External"/><Relationship Id="rId34" Type="http://schemas.openxmlformats.org/officeDocument/2006/relationships/printerSettings" Target="../printerSettings/printerSettings11.bin"/><Relationship Id="rId7" Type="http://schemas.openxmlformats.org/officeDocument/2006/relationships/hyperlink" Target="https://us1.campaign-archive.com/?u=497a0d5835783eef306666ab0&amp;id=94b8efadb4" TargetMode="External"/><Relationship Id="rId12" Type="http://schemas.openxmlformats.org/officeDocument/2006/relationships/hyperlink" Target="https://mailchi.mp/smithbucklin/ahe-exchange-23-exh-spons-new-coffee?e=%5bUNIQID" TargetMode="External"/><Relationship Id="rId17" Type="http://schemas.openxmlformats.org/officeDocument/2006/relationships/hyperlink" Target="https://mailchi.mp/smithbucklin/ahe-exchange-23-spons-available" TargetMode="External"/><Relationship Id="rId25" Type="http://schemas.openxmlformats.org/officeDocument/2006/relationships/hyperlink" Target="https://mailchi.mp/smithbucklin/ahe-evsweek-webinars-10390555" TargetMode="External"/><Relationship Id="rId33" Type="http://schemas.openxmlformats.org/officeDocument/2006/relationships/hyperlink" Target="https://app.markup.io/invite/accept/vKtNZcF6" TargetMode="External"/><Relationship Id="rId2" Type="http://schemas.openxmlformats.org/officeDocument/2006/relationships/hyperlink" Target="https://us1.campaign-archive.com/?u=497a0d5835783eef306666ab0&amp;id=9b43c567f4" TargetMode="External"/><Relationship Id="rId16" Type="http://schemas.openxmlformats.org/officeDocument/2006/relationships/hyperlink" Target="https://mailchi.mp/smithbucklin/ahe-yr_evsweek" TargetMode="External"/><Relationship Id="rId20" Type="http://schemas.openxmlformats.org/officeDocument/2006/relationships/hyperlink" Target="https://mailchi.mp/smithbucklin/ahe-save-the-date-10383283?e=%5bUNIQID" TargetMode="External"/><Relationship Id="rId29" Type="http://schemas.openxmlformats.org/officeDocument/2006/relationships/hyperlink" Target="https://mailchi.mp/smithbucklin/2024_exchange_renewals" TargetMode="External"/><Relationship Id="rId1" Type="http://schemas.openxmlformats.org/officeDocument/2006/relationships/hyperlink" Target="https://us1.campaign-archive.com/?u=497a0d5835783eef306666ab0&amp;id=80911038a4" TargetMode="External"/><Relationship Id="rId6" Type="http://schemas.openxmlformats.org/officeDocument/2006/relationships/hyperlink" Target="https://us1.campaign-archive.com/?u=497a0d5835783eef306666ab0&amp;id=9a5dcc04ec" TargetMode="External"/><Relationship Id="rId11" Type="http://schemas.openxmlformats.org/officeDocument/2006/relationships/hyperlink" Target="https://mailchi.mp/smithbucklin/ahe-yr-evsnews_emails" TargetMode="External"/><Relationship Id="rId24" Type="http://schemas.openxmlformats.org/officeDocument/2006/relationships/hyperlink" Target="https://mailchi.mp/smithbucklin/ahe-evsweek-webinars" TargetMode="External"/><Relationship Id="rId32" Type="http://schemas.openxmlformats.org/officeDocument/2006/relationships/hyperlink" Target="https://app.markup.io/invite/accept/HTOxHZps" TargetMode="External"/><Relationship Id="rId5" Type="http://schemas.openxmlformats.org/officeDocument/2006/relationships/hyperlink" Target="https://us1.campaign-archive.com/?u=497a0d5835783eef306666ab0&amp;id=81d77f1e0b" TargetMode="External"/><Relationship Id="rId15" Type="http://schemas.openxmlformats.org/officeDocument/2006/relationships/hyperlink" Target="https://mailchi.mp/smithbucklin/ahe-exchange-23-nonexh5-redo" TargetMode="External"/><Relationship Id="rId23" Type="http://schemas.openxmlformats.org/officeDocument/2006/relationships/hyperlink" Target="https://us1.admin.mailchimp.com/campaigns/show?id=10386087" TargetMode="External"/><Relationship Id="rId28" Type="http://schemas.openxmlformats.org/officeDocument/2006/relationships/hyperlink" Target="https://mailchi.mp/smithbucklin/ahe-exchange-appointments-10388439" TargetMode="External"/><Relationship Id="rId10" Type="http://schemas.openxmlformats.org/officeDocument/2006/relationships/hyperlink" Target="https://us1.campaign-archive.com/?u=497a0d5835783eef306666ab0&amp;id=03a4a3281f" TargetMode="External"/><Relationship Id="rId19" Type="http://schemas.openxmlformats.org/officeDocument/2006/relationships/hyperlink" Target="https://mailchi.mp/smithbucklin/ahe-exchange-23-few_booths" TargetMode="External"/><Relationship Id="rId31" Type="http://schemas.openxmlformats.org/officeDocument/2006/relationships/hyperlink" Target="https://app.markup.io/invite/accept/XPX83R0I" TargetMode="External"/><Relationship Id="rId4" Type="http://schemas.openxmlformats.org/officeDocument/2006/relationships/hyperlink" Target="https://us1.campaign-archive.com/?u=497a0d5835783eef306666ab0&amp;id=d25c0ca194" TargetMode="External"/><Relationship Id="rId9" Type="http://schemas.openxmlformats.org/officeDocument/2006/relationships/hyperlink" Target="https://us1.campaign-archive.com/?u=497a0d5835783eef306666ab0&amp;id=d80bd0c0b3" TargetMode="External"/><Relationship Id="rId14" Type="http://schemas.openxmlformats.org/officeDocument/2006/relationships/hyperlink" Target="https://mailchi.mp/smithbucklin/ahe-yr-evsweek-eblast-webinar" TargetMode="External"/><Relationship Id="rId22" Type="http://schemas.openxmlformats.org/officeDocument/2006/relationships/hyperlink" Target="https://us1.admin.mailchimp.com/campaigns/show?id=10387035" TargetMode="External"/><Relationship Id="rId27" Type="http://schemas.openxmlformats.org/officeDocument/2006/relationships/hyperlink" Target="https://mailchi.mp/smithbucklin/ahe-yr_evsweek-news?e=%5bUNIQID" TargetMode="External"/><Relationship Id="rId30" Type="http://schemas.openxmlformats.org/officeDocument/2006/relationships/hyperlink" Target="https://app.markup.io/invite/accept/qQC0QNyO" TargetMode="External"/><Relationship Id="rId35" Type="http://schemas.openxmlformats.org/officeDocument/2006/relationships/drawing" Target="../drawings/drawing10.xml"/><Relationship Id="rId8" Type="http://schemas.openxmlformats.org/officeDocument/2006/relationships/hyperlink" Target="https://mailchi.mp/smithbucklin/ahe-2023evsweek"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45453675.hs-sites.com/reconnect-ashrm24-exhibit?hs_preview=MyzHurbr-165213033988" TargetMode="External"/><Relationship Id="rId21" Type="http://schemas.openxmlformats.org/officeDocument/2006/relationships/hyperlink" Target="mailto:nschuette@smithbucklin.com" TargetMode="External"/><Relationship Id="rId42" Type="http://schemas.openxmlformats.org/officeDocument/2006/relationships/hyperlink" Target="mailto:nschuette@smithbucklin.com" TargetMode="External"/><Relationship Id="rId47" Type="http://schemas.openxmlformats.org/officeDocument/2006/relationships/hyperlink" Target="mailto:nschuette@smithbucklin.com" TargetMode="External"/><Relationship Id="rId63" Type="http://schemas.openxmlformats.org/officeDocument/2006/relationships/hyperlink" Target="http://45453675.hs-sites.com/ashrm-2025-sponsorship-opportunities" TargetMode="External"/><Relationship Id="rId68" Type="http://schemas.openxmlformats.org/officeDocument/2006/relationships/hyperlink" Target="mailto:nschuette@smithbucklin.com" TargetMode="External"/><Relationship Id="rId84" Type="http://schemas.openxmlformats.org/officeDocument/2006/relationships/hyperlink" Target="https://www.ashrmmediakit.org/conference-and-events/national-patient-safety-awareness-week/" TargetMode="External"/><Relationship Id="rId89" Type="http://schemas.openxmlformats.org/officeDocument/2006/relationships/hyperlink" Target="http://45453675.hs-sites.com/drive-results-with-ad-solutions" TargetMode="External"/><Relationship Id="rId16" Type="http://schemas.openxmlformats.org/officeDocument/2006/relationships/hyperlink" Target="mailto:nschuette@smithbucklin.com" TargetMode="External"/><Relationship Id="rId11" Type="http://schemas.openxmlformats.org/officeDocument/2006/relationships/hyperlink" Target="https://app.markup.io/invite/accept/Z5wFTJ5M" TargetMode="External"/><Relationship Id="rId32" Type="http://schemas.openxmlformats.org/officeDocument/2006/relationships/hyperlink" Target="mailto:ASHRM@smithbucklin.com" TargetMode="External"/><Relationship Id="rId37" Type="http://schemas.openxmlformats.org/officeDocument/2006/relationships/hyperlink" Target="mailto:nschuette@smithbucklin.com" TargetMode="External"/><Relationship Id="rId53" Type="http://schemas.openxmlformats.org/officeDocument/2006/relationships/hyperlink" Target="mailto:nschuette@smithbucklin.com" TargetMode="External"/><Relationship Id="rId58" Type="http://schemas.openxmlformats.org/officeDocument/2006/relationships/hyperlink" Target="http://45453675.hs-sites.com/theres-still-time-to-maximize-your-remaining-2024-budget" TargetMode="External"/><Relationship Id="rId74" Type="http://schemas.openxmlformats.org/officeDocument/2006/relationships/hyperlink" Target="mailto:nschuette@smithbucklin.com" TargetMode="External"/><Relationship Id="rId79" Type="http://schemas.openxmlformats.org/officeDocument/2006/relationships/hyperlink" Target="https://www.ashrmmediakit.org/conference-and-events/ashrm-annual-conference/become-an-exhibitor/" TargetMode="External"/><Relationship Id="rId5" Type="http://schemas.openxmlformats.org/officeDocument/2006/relationships/hyperlink" Target="https://app.markup.io/invite/accept/MVSVxUVt" TargetMode="External"/><Relationship Id="rId90" Type="http://schemas.openxmlformats.org/officeDocument/2006/relationships/hyperlink" Target="http://45453675.hs-sites.com/ashrmm-2025-event-lineup" TargetMode="External"/><Relationship Id="rId14" Type="http://schemas.openxmlformats.org/officeDocument/2006/relationships/hyperlink" Target="mailto:nschuette@smithbucklin.com" TargetMode="External"/><Relationship Id="rId22" Type="http://schemas.openxmlformats.org/officeDocument/2006/relationships/hyperlink" Target="mailto:nschuette@smithbucklin.com" TargetMode="External"/><Relationship Id="rId27" Type="http://schemas.openxmlformats.org/officeDocument/2006/relationships/hyperlink" Target="http://45453675.hs-sites.com/ashrm-2024-exhibit?hs_preview=TWNoPLCc-165201928850" TargetMode="External"/><Relationship Id="rId30" Type="http://schemas.openxmlformats.org/officeDocument/2006/relationships/hyperlink" Target="mailto:jowens@smithbucklin.com" TargetMode="External"/><Relationship Id="rId35" Type="http://schemas.openxmlformats.org/officeDocument/2006/relationships/hyperlink" Target="mailto:nschuette@smithbucklin.com" TargetMode="External"/><Relationship Id="rId43" Type="http://schemas.openxmlformats.org/officeDocument/2006/relationships/hyperlink" Target="mailto:nschuette@smithbucklin.com" TargetMode="External"/><Relationship Id="rId48" Type="http://schemas.openxmlformats.org/officeDocument/2006/relationships/hyperlink" Target="mailto:nschuette@smithbucklin.com" TargetMode="External"/><Relationship Id="rId56" Type="http://schemas.openxmlformats.org/officeDocument/2006/relationships/hyperlink" Target="http://45453675.hs-sites.com/maximize-2024-budget-ashrm-digital-opportunities" TargetMode="External"/><Relationship Id="rId64" Type="http://schemas.openxmlformats.org/officeDocument/2006/relationships/hyperlink" Target="mailto:ASHRM@smithbucklin.com" TargetMode="External"/><Relationship Id="rId69" Type="http://schemas.openxmlformats.org/officeDocument/2006/relationships/hyperlink" Target="mailto:nschuette@smithbucklin.com" TargetMode="External"/><Relationship Id="rId77" Type="http://schemas.openxmlformats.org/officeDocument/2006/relationships/hyperlink" Target="https://www.ashrmmediakit.org/conference-and-events/" TargetMode="External"/><Relationship Id="rId8" Type="http://schemas.openxmlformats.org/officeDocument/2006/relationships/hyperlink" Target="mailto:jowens@smithbucklin.com" TargetMode="External"/><Relationship Id="rId51" Type="http://schemas.openxmlformats.org/officeDocument/2006/relationships/hyperlink" Target="mailto:ASHRM@smithbucklin.com" TargetMode="External"/><Relationship Id="rId72" Type="http://schemas.openxmlformats.org/officeDocument/2006/relationships/hyperlink" Target="mailto:nschuette@smithbucklin.com" TargetMode="External"/><Relationship Id="rId80" Type="http://schemas.openxmlformats.org/officeDocument/2006/relationships/hyperlink" Target="https://www.ashrmmediakit.org/content-marketing/" TargetMode="External"/><Relationship Id="rId85" Type="http://schemas.openxmlformats.org/officeDocument/2006/relationships/hyperlink" Target="https://www.ashrmmediakit.org/conference-and-events/ashrm-annual-conference/become-an-exhibitor/" TargetMode="External"/><Relationship Id="rId3" Type="http://schemas.openxmlformats.org/officeDocument/2006/relationships/hyperlink" Target="mailto:nschuette@smithbucklin.com" TargetMode="External"/><Relationship Id="rId12" Type="http://schemas.openxmlformats.org/officeDocument/2006/relationships/hyperlink" Target="mailto:ASHRM@smithbucklin.com" TargetMode="External"/><Relationship Id="rId17" Type="http://schemas.openxmlformats.org/officeDocument/2006/relationships/hyperlink" Target="mailto:nschuette@smithbucklin.com" TargetMode="External"/><Relationship Id="rId25" Type="http://schemas.openxmlformats.org/officeDocument/2006/relationships/hyperlink" Target="http://45453675.hs-sites.com/ashrm24-though-leadership-sponsorships?hs_preview=mhrwnCBp-165189287084" TargetMode="External"/><Relationship Id="rId33" Type="http://schemas.openxmlformats.org/officeDocument/2006/relationships/hyperlink" Target="mailto:nschuette@smithbucklin.com" TargetMode="External"/><Relationship Id="rId38" Type="http://schemas.openxmlformats.org/officeDocument/2006/relationships/hyperlink" Target="mailto:nschuette@smithbucklin.com" TargetMode="External"/><Relationship Id="rId46" Type="http://schemas.openxmlformats.org/officeDocument/2006/relationships/hyperlink" Target="mailto:nschuette@smithbucklin.com" TargetMode="External"/><Relationship Id="rId59" Type="http://schemas.openxmlformats.org/officeDocument/2006/relationships/hyperlink" Target="http://45453675.hs-sites.com/secure-a-booth-at-ashrm-2025" TargetMode="External"/><Relationship Id="rId67" Type="http://schemas.openxmlformats.org/officeDocument/2006/relationships/hyperlink" Target="http://45453675.hs-sites.com/what-to-expect-from-ashrm-2025" TargetMode="External"/><Relationship Id="rId20" Type="http://schemas.openxmlformats.org/officeDocument/2006/relationships/hyperlink" Target="mailto:nschuette@smithbucklin.com" TargetMode="External"/><Relationship Id="rId41" Type="http://schemas.openxmlformats.org/officeDocument/2006/relationships/hyperlink" Target="mailto:ASHRM@smithbucklin.com" TargetMode="External"/><Relationship Id="rId54" Type="http://schemas.openxmlformats.org/officeDocument/2006/relationships/hyperlink" Target="mailto:nschuette@smithbucklin.com" TargetMode="External"/><Relationship Id="rId62" Type="http://schemas.openxmlformats.org/officeDocument/2006/relationships/hyperlink" Target="http://45453675.hs-sites.com/jumpstart-your-2025-marketing-with-ashrm-digital-ads" TargetMode="External"/><Relationship Id="rId70" Type="http://schemas.openxmlformats.org/officeDocument/2006/relationships/hyperlink" Target="mailto:nschuette@smithbucklin.com" TargetMode="External"/><Relationship Id="rId75" Type="http://schemas.openxmlformats.org/officeDocument/2006/relationships/hyperlink" Target="mailto:nschuette@smithbucklin.com" TargetMode="External"/><Relationship Id="rId83" Type="http://schemas.openxmlformats.org/officeDocument/2006/relationships/hyperlink" Target="mailto:nschuette@smithbucklin.com" TargetMode="External"/><Relationship Id="rId88" Type="http://schemas.openxmlformats.org/officeDocument/2006/relationships/hyperlink" Target="https://www.ashrmmediakit.org/conference-and-events/ashrm-annual-conference/sponsorship-opportunities/" TargetMode="External"/><Relationship Id="rId91" Type="http://schemas.openxmlformats.org/officeDocument/2006/relationships/printerSettings" Target="../printerSettings/printerSettings12.bin"/><Relationship Id="rId1" Type="http://schemas.openxmlformats.org/officeDocument/2006/relationships/hyperlink" Target="mailto:ASHRM@smithbucklin.com" TargetMode="External"/><Relationship Id="rId6" Type="http://schemas.openxmlformats.org/officeDocument/2006/relationships/hyperlink" Target="mailto:jowens@smithbucklin.com" TargetMode="External"/><Relationship Id="rId15" Type="http://schemas.openxmlformats.org/officeDocument/2006/relationships/hyperlink" Target="mailto:nschuette@smithbucklin.com" TargetMode="External"/><Relationship Id="rId23" Type="http://schemas.openxmlformats.org/officeDocument/2006/relationships/hyperlink" Target="mailto:nschuette@smithbucklin.com" TargetMode="External"/><Relationship Id="rId28" Type="http://schemas.openxmlformats.org/officeDocument/2006/relationships/hyperlink" Target="mailto:nschuette@smithbucklin.com" TargetMode="External"/><Relationship Id="rId36" Type="http://schemas.openxmlformats.org/officeDocument/2006/relationships/hyperlink" Target="mailto:nschuette@smithbucklin.com" TargetMode="External"/><Relationship Id="rId49" Type="http://schemas.openxmlformats.org/officeDocument/2006/relationships/hyperlink" Target="mailto:nschuette@smithbucklin.com" TargetMode="External"/><Relationship Id="rId57" Type="http://schemas.openxmlformats.org/officeDocument/2006/relationships/hyperlink" Target="mailto:nschuette@smithbucklin.com" TargetMode="External"/><Relationship Id="rId10" Type="http://schemas.openxmlformats.org/officeDocument/2006/relationships/hyperlink" Target="https://app.markup.io/invite/accept/P0g1Oipl" TargetMode="External"/><Relationship Id="rId31" Type="http://schemas.openxmlformats.org/officeDocument/2006/relationships/hyperlink" Target="mailto:jowens@smithbucklin.com" TargetMode="External"/><Relationship Id="rId44" Type="http://schemas.openxmlformats.org/officeDocument/2006/relationships/hyperlink" Target="mailto:nschuette@smithbucklin.com" TargetMode="External"/><Relationship Id="rId52" Type="http://schemas.openxmlformats.org/officeDocument/2006/relationships/hyperlink" Target="mailto:ASHRM@smithbucklin.com" TargetMode="External"/><Relationship Id="rId60" Type="http://schemas.openxmlformats.org/officeDocument/2006/relationships/hyperlink" Target="mailto:nschuette@smithbucklin.com" TargetMode="External"/><Relationship Id="rId65" Type="http://schemas.openxmlformats.org/officeDocument/2006/relationships/hyperlink" Target="mailto:nschuette@smithbucklin.com" TargetMode="External"/><Relationship Id="rId73" Type="http://schemas.openxmlformats.org/officeDocument/2006/relationships/hyperlink" Target="mailto:nschuette@smithbucklin.com" TargetMode="External"/><Relationship Id="rId78" Type="http://schemas.openxmlformats.org/officeDocument/2006/relationships/hyperlink" Target="https://www.ashrmmediakit.org/conference-and-events/ashrm-annual-conference/become-an-exhibitor/" TargetMode="External"/><Relationship Id="rId81" Type="http://schemas.openxmlformats.org/officeDocument/2006/relationships/hyperlink" Target="mailto:pbrayley@smithbucklin.com" TargetMode="External"/><Relationship Id="rId86" Type="http://schemas.openxmlformats.org/officeDocument/2006/relationships/hyperlink" Target="mailto:nschuette@smithbucklin.com" TargetMode="External"/><Relationship Id="rId4" Type="http://schemas.openxmlformats.org/officeDocument/2006/relationships/hyperlink" Target="https://app.markup.io/invite/accept/YGbyP5lx" TargetMode="External"/><Relationship Id="rId9" Type="http://schemas.openxmlformats.org/officeDocument/2006/relationships/hyperlink" Target="https://app.markup.io/invite/accept/P0g1Oipl" TargetMode="External"/><Relationship Id="rId13" Type="http://schemas.openxmlformats.org/officeDocument/2006/relationships/hyperlink" Target="mailto:jowens@smithbucklin.com" TargetMode="External"/><Relationship Id="rId18" Type="http://schemas.openxmlformats.org/officeDocument/2006/relationships/hyperlink" Target="mailto:nschuette@smithbucklin.com" TargetMode="External"/><Relationship Id="rId39" Type="http://schemas.openxmlformats.org/officeDocument/2006/relationships/hyperlink" Target="mailto:nschuette@smithbucklin.com" TargetMode="External"/><Relationship Id="rId34" Type="http://schemas.openxmlformats.org/officeDocument/2006/relationships/hyperlink" Target="mailto:nschuette@smithbucklin.com" TargetMode="External"/><Relationship Id="rId50" Type="http://schemas.openxmlformats.org/officeDocument/2006/relationships/hyperlink" Target="mailto:ASHRM@smithbucklin.com" TargetMode="External"/><Relationship Id="rId55" Type="http://schemas.openxmlformats.org/officeDocument/2006/relationships/hyperlink" Target="mailto:ASHRM@smithbucklin.com" TargetMode="External"/><Relationship Id="rId76" Type="http://schemas.openxmlformats.org/officeDocument/2006/relationships/hyperlink" Target="https://www.ashrmmediakit.org/digital/" TargetMode="External"/><Relationship Id="rId7" Type="http://schemas.openxmlformats.org/officeDocument/2006/relationships/hyperlink" Target="mailto:jowens@smithbucklin.com" TargetMode="External"/><Relationship Id="rId71" Type="http://schemas.openxmlformats.org/officeDocument/2006/relationships/hyperlink" Target="mailto:nschuette@smithbucklin.com" TargetMode="External"/><Relationship Id="rId2" Type="http://schemas.openxmlformats.org/officeDocument/2006/relationships/hyperlink" Target="mailto:ASHRM@smithbucklin.com" TargetMode="External"/><Relationship Id="rId29" Type="http://schemas.openxmlformats.org/officeDocument/2006/relationships/hyperlink" Target="mailto:nschuette@smithbucklin.com" TargetMode="External"/><Relationship Id="rId24" Type="http://schemas.openxmlformats.org/officeDocument/2006/relationships/hyperlink" Target="mailto:nschuette@smithbucklin.com" TargetMode="External"/><Relationship Id="rId40" Type="http://schemas.openxmlformats.org/officeDocument/2006/relationships/hyperlink" Target="mailto:ASHRM@smithbucklin.com" TargetMode="External"/><Relationship Id="rId45" Type="http://schemas.openxmlformats.org/officeDocument/2006/relationships/hyperlink" Target="mailto:nschuette@smithbucklin.com" TargetMode="External"/><Relationship Id="rId66" Type="http://schemas.openxmlformats.org/officeDocument/2006/relationships/hyperlink" Target="http://45453675.hs-sites.com/happy-holidays-from-ashrm" TargetMode="External"/><Relationship Id="rId87" Type="http://schemas.openxmlformats.org/officeDocument/2006/relationships/hyperlink" Target="mailto:nschuette@smithbucklin.com" TargetMode="External"/><Relationship Id="rId61" Type="http://schemas.openxmlformats.org/officeDocument/2006/relationships/hyperlink" Target="mailto:nschuette@smithbucklin.com" TargetMode="External"/><Relationship Id="rId82" Type="http://schemas.openxmlformats.org/officeDocument/2006/relationships/hyperlink" Target="https://www.ashrmmediakit.org/conference-and-events/ashrm-academy/" TargetMode="External"/><Relationship Id="rId19" Type="http://schemas.openxmlformats.org/officeDocument/2006/relationships/hyperlink" Target="mailto:nschuette@smithbucklin.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swang@360livemedia.com" TargetMode="External"/><Relationship Id="rId1" Type="http://schemas.openxmlformats.org/officeDocument/2006/relationships/hyperlink" Target="mailto:swang@360livemed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N123"/>
  <sheetViews>
    <sheetView zoomScale="130" zoomScaleNormal="130" workbookViewId="0">
      <pane ySplit="2" topLeftCell="A100" activePane="bottomLeft" state="frozen"/>
      <selection pane="bottomLeft" activeCell="F100" sqref="F100"/>
    </sheetView>
  </sheetViews>
  <sheetFormatPr defaultColWidth="8.7265625" defaultRowHeight="12.5" x14ac:dyDescent="0.25"/>
  <cols>
    <col min="1" max="2" width="24.7265625" style="15" customWidth="1"/>
    <col min="3" max="3" width="42.81640625" style="15" customWidth="1"/>
    <col min="4" max="4" width="25.7265625" style="15" customWidth="1"/>
    <col min="5" max="5" width="48.26953125" style="13" customWidth="1"/>
    <col min="6" max="7" width="44.453125" style="14" customWidth="1"/>
    <col min="8" max="9" width="32.26953125" style="14" customWidth="1"/>
    <col min="10" max="10" width="8.7265625" style="598" customWidth="1"/>
    <col min="11" max="11" width="8.7265625" style="598"/>
    <col min="12" max="12" width="8.7265625" style="599"/>
    <col min="13" max="13" width="8.7265625" style="598"/>
    <col min="14" max="14" width="26.26953125" style="598" customWidth="1"/>
    <col min="15" max="16384" width="8.7265625" style="12"/>
  </cols>
  <sheetData>
    <row r="1" spans="1:14" s="7" customFormat="1" ht="81.650000000000006" customHeight="1" x14ac:dyDescent="0.3">
      <c r="B1" s="1990" t="s">
        <v>0</v>
      </c>
      <c r="C1" s="1990"/>
      <c r="D1" s="244"/>
      <c r="F1" s="8"/>
      <c r="G1" s="8"/>
      <c r="H1" s="8"/>
      <c r="I1" s="8"/>
      <c r="J1" s="598"/>
      <c r="K1" s="598"/>
      <c r="L1" s="599"/>
      <c r="M1" s="598"/>
      <c r="N1" s="598"/>
    </row>
    <row r="2" spans="1:14" s="9" customFormat="1" ht="32.5" customHeight="1" x14ac:dyDescent="0.35">
      <c r="A2" s="303" t="s">
        <v>1</v>
      </c>
      <c r="B2" s="303" t="s">
        <v>2</v>
      </c>
      <c r="C2" s="101" t="s">
        <v>3</v>
      </c>
      <c r="D2" s="101" t="s">
        <v>4</v>
      </c>
      <c r="E2" s="101" t="s">
        <v>5</v>
      </c>
      <c r="F2" s="101" t="s">
        <v>6</v>
      </c>
      <c r="G2" s="101" t="s">
        <v>7</v>
      </c>
      <c r="H2" s="101" t="s">
        <v>8</v>
      </c>
      <c r="I2" s="101" t="s">
        <v>9</v>
      </c>
      <c r="J2" s="101" t="s">
        <v>9</v>
      </c>
      <c r="K2" s="101" t="s">
        <v>10</v>
      </c>
      <c r="L2" s="178" t="s">
        <v>11</v>
      </c>
      <c r="M2" s="101" t="s">
        <v>12</v>
      </c>
      <c r="N2" s="101" t="s">
        <v>13</v>
      </c>
    </row>
    <row r="3" spans="1:14" s="9" customFormat="1" ht="43.9" customHeight="1" x14ac:dyDescent="0.35">
      <c r="A3" s="289" t="s">
        <v>14</v>
      </c>
      <c r="B3" s="289" t="s">
        <v>14</v>
      </c>
      <c r="C3" s="289" t="s">
        <v>15</v>
      </c>
      <c r="D3" s="289"/>
      <c r="E3" s="290" t="s">
        <v>16</v>
      </c>
      <c r="F3" s="290" t="s">
        <v>17</v>
      </c>
      <c r="G3" s="290"/>
      <c r="H3" s="274"/>
      <c r="I3" s="274" t="s">
        <v>18</v>
      </c>
      <c r="J3" s="79"/>
      <c r="K3" s="79"/>
      <c r="L3" s="580"/>
      <c r="M3" s="79"/>
      <c r="N3" s="79"/>
    </row>
    <row r="4" spans="1:14" s="9" customFormat="1" ht="43.9" customHeight="1" x14ac:dyDescent="0.35">
      <c r="A4" s="158" t="s">
        <v>19</v>
      </c>
      <c r="B4" s="158" t="s">
        <v>19</v>
      </c>
      <c r="C4" s="158" t="s">
        <v>20</v>
      </c>
      <c r="D4" s="158"/>
      <c r="E4" s="98" t="s">
        <v>21</v>
      </c>
      <c r="F4" s="98" t="s">
        <v>22</v>
      </c>
      <c r="G4" s="98"/>
      <c r="H4" s="274"/>
      <c r="I4" s="274" t="s">
        <v>23</v>
      </c>
      <c r="J4" s="79">
        <v>2756</v>
      </c>
      <c r="K4" s="79">
        <v>1099</v>
      </c>
      <c r="L4" s="580">
        <f>K4/J4</f>
        <v>0.39876632801161105</v>
      </c>
      <c r="M4" s="79">
        <v>35</v>
      </c>
      <c r="N4" s="79">
        <v>35</v>
      </c>
    </row>
    <row r="5" spans="1:14" s="9" customFormat="1" ht="43.9" customHeight="1" x14ac:dyDescent="0.35">
      <c r="A5" s="158" t="s">
        <v>24</v>
      </c>
      <c r="B5" s="158" t="s">
        <v>24</v>
      </c>
      <c r="C5" s="158" t="s">
        <v>25</v>
      </c>
      <c r="D5" s="158"/>
      <c r="E5" s="98" t="s">
        <v>26</v>
      </c>
      <c r="F5" s="98" t="s">
        <v>27</v>
      </c>
      <c r="G5" s="98"/>
      <c r="H5" s="98"/>
      <c r="I5" s="98" t="s">
        <v>28</v>
      </c>
      <c r="J5" s="79">
        <v>7147</v>
      </c>
      <c r="K5" s="79">
        <v>1507</v>
      </c>
      <c r="L5" s="580">
        <f t="shared" ref="L5:L11" si="0">K5/J5</f>
        <v>0.21085770253253114</v>
      </c>
      <c r="M5" s="79">
        <v>76</v>
      </c>
      <c r="N5" s="79">
        <v>76</v>
      </c>
    </row>
    <row r="6" spans="1:14" s="9" customFormat="1" ht="43.9" customHeight="1" x14ac:dyDescent="0.35">
      <c r="A6" s="158" t="s">
        <v>24</v>
      </c>
      <c r="B6" s="158" t="s">
        <v>24</v>
      </c>
      <c r="C6" s="158" t="s">
        <v>29</v>
      </c>
      <c r="D6" s="158"/>
      <c r="E6" s="98" t="s">
        <v>30</v>
      </c>
      <c r="F6" s="98" t="s">
        <v>22</v>
      </c>
      <c r="G6" s="98"/>
      <c r="H6" s="98"/>
      <c r="I6" s="98" t="s">
        <v>31</v>
      </c>
      <c r="J6" s="79">
        <v>1638</v>
      </c>
      <c r="K6" s="79">
        <v>227</v>
      </c>
      <c r="L6" s="580">
        <f t="shared" si="0"/>
        <v>0.13858363858363859</v>
      </c>
      <c r="M6" s="79">
        <v>8</v>
      </c>
      <c r="N6" s="79">
        <v>8</v>
      </c>
    </row>
    <row r="7" spans="1:14" s="9" customFormat="1" ht="43.9" customHeight="1" x14ac:dyDescent="0.35">
      <c r="A7" s="158" t="s">
        <v>24</v>
      </c>
      <c r="B7" s="158" t="s">
        <v>24</v>
      </c>
      <c r="C7" s="158" t="s">
        <v>32</v>
      </c>
      <c r="D7" s="158"/>
      <c r="E7" s="98" t="s">
        <v>33</v>
      </c>
      <c r="F7" s="98" t="s">
        <v>34</v>
      </c>
      <c r="G7" s="98"/>
      <c r="H7" s="98"/>
      <c r="I7" s="98" t="s">
        <v>28</v>
      </c>
      <c r="J7" s="79">
        <v>95</v>
      </c>
      <c r="K7" s="79">
        <v>29</v>
      </c>
      <c r="L7" s="580">
        <f t="shared" si="0"/>
        <v>0.30526315789473685</v>
      </c>
      <c r="M7" s="79">
        <v>2</v>
      </c>
      <c r="N7" s="79">
        <v>2</v>
      </c>
    </row>
    <row r="8" spans="1:14" s="9" customFormat="1" ht="43.9" customHeight="1" x14ac:dyDescent="0.35">
      <c r="A8" s="158" t="s">
        <v>24</v>
      </c>
      <c r="B8" s="158" t="s">
        <v>24</v>
      </c>
      <c r="C8" s="158" t="s">
        <v>35</v>
      </c>
      <c r="D8" s="158"/>
      <c r="E8" s="98" t="s">
        <v>36</v>
      </c>
      <c r="F8" s="98" t="s">
        <v>37</v>
      </c>
      <c r="G8" s="98"/>
      <c r="H8" s="98"/>
      <c r="I8" s="98" t="s">
        <v>28</v>
      </c>
      <c r="J8" s="79">
        <v>214</v>
      </c>
      <c r="K8" s="79">
        <v>78</v>
      </c>
      <c r="L8" s="580">
        <f t="shared" si="0"/>
        <v>0.3644859813084112</v>
      </c>
      <c r="M8" s="79">
        <v>5</v>
      </c>
      <c r="N8" s="79">
        <v>5</v>
      </c>
    </row>
    <row r="9" spans="1:14" s="9" customFormat="1" ht="43.9" customHeight="1" x14ac:dyDescent="0.35">
      <c r="A9" s="158" t="s">
        <v>38</v>
      </c>
      <c r="B9" s="158" t="s">
        <v>38</v>
      </c>
      <c r="C9" s="158" t="s">
        <v>35</v>
      </c>
      <c r="D9" s="158"/>
      <c r="E9" s="98" t="s">
        <v>36</v>
      </c>
      <c r="F9" s="98" t="s">
        <v>39</v>
      </c>
      <c r="G9" s="98"/>
      <c r="H9" s="127"/>
      <c r="I9" s="127" t="s">
        <v>40</v>
      </c>
      <c r="J9" s="79">
        <v>213</v>
      </c>
      <c r="K9" s="79">
        <v>75</v>
      </c>
      <c r="L9" s="580">
        <f t="shared" si="0"/>
        <v>0.352112676056338</v>
      </c>
      <c r="M9" s="79">
        <v>6</v>
      </c>
      <c r="N9" s="79">
        <v>6</v>
      </c>
    </row>
    <row r="10" spans="1:14" s="9" customFormat="1" ht="43.9" customHeight="1" x14ac:dyDescent="0.35">
      <c r="A10" s="158" t="s">
        <v>38</v>
      </c>
      <c r="B10" s="158" t="s">
        <v>38</v>
      </c>
      <c r="C10" s="158" t="s">
        <v>41</v>
      </c>
      <c r="D10" s="158"/>
      <c r="E10" s="98" t="s">
        <v>42</v>
      </c>
      <c r="F10" s="98" t="s">
        <v>43</v>
      </c>
      <c r="G10" s="98"/>
      <c r="H10" s="127"/>
      <c r="I10" s="127" t="s">
        <v>44</v>
      </c>
      <c r="J10" s="79">
        <v>7055</v>
      </c>
      <c r="K10" s="79">
        <v>1367</v>
      </c>
      <c r="L10" s="580">
        <f t="shared" si="0"/>
        <v>0.19376328844790927</v>
      </c>
      <c r="M10" s="79">
        <v>64</v>
      </c>
      <c r="N10" s="79">
        <v>64</v>
      </c>
    </row>
    <row r="11" spans="1:14" s="9" customFormat="1" ht="43.9" customHeight="1" x14ac:dyDescent="0.35">
      <c r="A11" s="158" t="s">
        <v>38</v>
      </c>
      <c r="B11" s="158" t="s">
        <v>38</v>
      </c>
      <c r="C11" s="158" t="s">
        <v>45</v>
      </c>
      <c r="D11" s="158"/>
      <c r="E11" s="98" t="s">
        <v>46</v>
      </c>
      <c r="F11" s="98" t="s">
        <v>47</v>
      </c>
      <c r="G11" s="98"/>
      <c r="H11" s="127"/>
      <c r="I11" s="127" t="s">
        <v>40</v>
      </c>
      <c r="J11" s="79">
        <v>7037</v>
      </c>
      <c r="K11" s="79">
        <v>1510</v>
      </c>
      <c r="L11" s="580">
        <f t="shared" si="0"/>
        <v>0.21458007673724599</v>
      </c>
      <c r="M11" s="79">
        <v>84</v>
      </c>
      <c r="N11" s="79">
        <v>84</v>
      </c>
    </row>
    <row r="12" spans="1:14" s="9" customFormat="1" ht="43.9" customHeight="1" x14ac:dyDescent="0.35">
      <c r="A12" s="291">
        <v>44581</v>
      </c>
      <c r="B12" s="291">
        <v>44581</v>
      </c>
      <c r="C12" s="291"/>
      <c r="D12" s="291"/>
      <c r="E12" s="1991" t="s">
        <v>48</v>
      </c>
      <c r="F12" s="1991"/>
      <c r="G12" s="275"/>
      <c r="H12" s="275"/>
      <c r="I12" s="275"/>
      <c r="J12" s="79"/>
      <c r="K12" s="79"/>
      <c r="L12" s="580"/>
      <c r="M12" s="79"/>
      <c r="N12" s="79"/>
    </row>
    <row r="13" spans="1:14" s="31" customFormat="1" ht="43.9" customHeight="1" x14ac:dyDescent="0.25">
      <c r="A13" s="292">
        <v>44953</v>
      </c>
      <c r="B13" s="292">
        <v>44953</v>
      </c>
      <c r="C13" s="292"/>
      <c r="D13" s="292"/>
      <c r="E13" s="1983" t="s">
        <v>49</v>
      </c>
      <c r="F13" s="1983"/>
      <c r="G13" s="276"/>
      <c r="H13" s="276"/>
      <c r="I13" s="276"/>
      <c r="J13" s="600"/>
      <c r="K13" s="600"/>
      <c r="L13" s="601"/>
      <c r="M13" s="600"/>
      <c r="N13" s="600"/>
    </row>
    <row r="14" spans="1:14" s="9" customFormat="1" ht="43.9" customHeight="1" x14ac:dyDescent="0.35">
      <c r="A14" s="293">
        <v>44953</v>
      </c>
      <c r="B14" s="293">
        <v>44953</v>
      </c>
      <c r="C14" s="293"/>
      <c r="D14" s="293"/>
      <c r="E14" s="1984" t="s">
        <v>50</v>
      </c>
      <c r="F14" s="1984"/>
      <c r="G14" s="277"/>
      <c r="H14" s="277"/>
      <c r="I14" s="277"/>
      <c r="J14" s="79"/>
      <c r="K14" s="79"/>
      <c r="L14" s="580"/>
      <c r="M14" s="79"/>
      <c r="N14" s="79"/>
    </row>
    <row r="15" spans="1:14" s="9" customFormat="1" ht="43.9" customHeight="1" x14ac:dyDescent="0.35">
      <c r="A15" s="143" t="s">
        <v>51</v>
      </c>
      <c r="B15" s="143" t="s">
        <v>51</v>
      </c>
      <c r="C15" s="158" t="s">
        <v>52</v>
      </c>
      <c r="D15" s="158"/>
      <c r="E15" s="98" t="s">
        <v>53</v>
      </c>
      <c r="F15" s="98" t="s">
        <v>54</v>
      </c>
      <c r="G15" s="98"/>
      <c r="H15" s="98"/>
      <c r="I15" s="98" t="s">
        <v>55</v>
      </c>
      <c r="J15" s="79">
        <v>3517</v>
      </c>
      <c r="K15" s="79">
        <v>959</v>
      </c>
      <c r="L15" s="580">
        <f>K15/J15</f>
        <v>0.27267557577480805</v>
      </c>
      <c r="M15" s="79">
        <v>155</v>
      </c>
      <c r="N15" s="79">
        <v>155</v>
      </c>
    </row>
    <row r="16" spans="1:14" s="9" customFormat="1" ht="43.9" customHeight="1" x14ac:dyDescent="0.35">
      <c r="A16" s="143" t="s">
        <v>51</v>
      </c>
      <c r="B16" s="143" t="s">
        <v>51</v>
      </c>
      <c r="C16" s="158" t="s">
        <v>56</v>
      </c>
      <c r="D16" s="158"/>
      <c r="E16" s="98" t="s">
        <v>53</v>
      </c>
      <c r="F16" s="98" t="s">
        <v>54</v>
      </c>
      <c r="G16" s="98"/>
      <c r="H16" s="98"/>
      <c r="I16" s="98" t="s">
        <v>55</v>
      </c>
      <c r="J16" s="79">
        <v>1949</v>
      </c>
      <c r="K16" s="79">
        <v>526</v>
      </c>
      <c r="L16" s="580">
        <f t="shared" ref="L16:L33" si="1">K16/J16</f>
        <v>0.26988199076449459</v>
      </c>
      <c r="M16" s="79">
        <v>79</v>
      </c>
      <c r="N16" s="79">
        <v>79</v>
      </c>
    </row>
    <row r="17" spans="1:14" s="9" customFormat="1" ht="43.9" customHeight="1" x14ac:dyDescent="0.35">
      <c r="A17" s="158" t="s">
        <v>57</v>
      </c>
      <c r="B17" s="158" t="s">
        <v>57</v>
      </c>
      <c r="C17" s="158" t="s">
        <v>58</v>
      </c>
      <c r="D17" s="158"/>
      <c r="E17" s="84" t="s">
        <v>59</v>
      </c>
      <c r="F17" s="98" t="s">
        <v>60</v>
      </c>
      <c r="G17" s="98"/>
      <c r="H17" s="98"/>
      <c r="I17" s="98" t="s">
        <v>61</v>
      </c>
      <c r="J17" s="79">
        <v>147</v>
      </c>
      <c r="K17" s="79">
        <v>89</v>
      </c>
      <c r="L17" s="580">
        <f t="shared" si="1"/>
        <v>0.60544217687074831</v>
      </c>
      <c r="M17" s="79">
        <v>39</v>
      </c>
      <c r="N17" s="79">
        <v>39</v>
      </c>
    </row>
    <row r="18" spans="1:14" s="9" customFormat="1" ht="43.9" customHeight="1" x14ac:dyDescent="0.35">
      <c r="A18" s="158" t="s">
        <v>57</v>
      </c>
      <c r="B18" s="158" t="s">
        <v>57</v>
      </c>
      <c r="C18" s="158" t="s">
        <v>62</v>
      </c>
      <c r="D18" s="158"/>
      <c r="E18" s="84" t="s">
        <v>59</v>
      </c>
      <c r="F18" s="98" t="s">
        <v>60</v>
      </c>
      <c r="G18" s="98"/>
      <c r="H18" s="98"/>
      <c r="I18" s="98" t="s">
        <v>61</v>
      </c>
      <c r="J18" s="79">
        <v>94</v>
      </c>
      <c r="K18" s="79">
        <v>47</v>
      </c>
      <c r="L18" s="580">
        <f t="shared" si="1"/>
        <v>0.5</v>
      </c>
      <c r="M18" s="79">
        <v>25</v>
      </c>
      <c r="N18" s="79">
        <v>25</v>
      </c>
    </row>
    <row r="19" spans="1:14" s="9" customFormat="1" ht="43.9" customHeight="1" x14ac:dyDescent="0.35">
      <c r="A19" s="158" t="s">
        <v>57</v>
      </c>
      <c r="B19" s="158" t="s">
        <v>57</v>
      </c>
      <c r="C19" s="158" t="s">
        <v>63</v>
      </c>
      <c r="D19" s="158"/>
      <c r="E19" s="84" t="s">
        <v>64</v>
      </c>
      <c r="F19" s="98" t="s">
        <v>65</v>
      </c>
      <c r="G19" s="98"/>
      <c r="H19" s="127"/>
      <c r="I19" s="127" t="s">
        <v>66</v>
      </c>
      <c r="J19" s="79">
        <v>126</v>
      </c>
      <c r="K19" s="79">
        <v>81</v>
      </c>
      <c r="L19" s="580">
        <f t="shared" si="1"/>
        <v>0.6428571428571429</v>
      </c>
      <c r="M19" s="79">
        <v>27</v>
      </c>
      <c r="N19" s="79">
        <v>27</v>
      </c>
    </row>
    <row r="20" spans="1:14" s="9" customFormat="1" ht="43.9" customHeight="1" x14ac:dyDescent="0.35">
      <c r="A20" s="158" t="s">
        <v>57</v>
      </c>
      <c r="B20" s="158" t="s">
        <v>57</v>
      </c>
      <c r="C20" s="158" t="s">
        <v>67</v>
      </c>
      <c r="D20" s="158"/>
      <c r="E20" s="84" t="s">
        <v>64</v>
      </c>
      <c r="F20" s="98" t="s">
        <v>65</v>
      </c>
      <c r="G20" s="98"/>
      <c r="H20" s="127"/>
      <c r="I20" s="127" t="s">
        <v>66</v>
      </c>
      <c r="J20" s="79">
        <v>71</v>
      </c>
      <c r="K20" s="79">
        <v>47</v>
      </c>
      <c r="L20" s="580">
        <f t="shared" si="1"/>
        <v>0.6619718309859155</v>
      </c>
      <c r="M20" s="79">
        <v>16</v>
      </c>
      <c r="N20" s="79">
        <v>16</v>
      </c>
    </row>
    <row r="21" spans="1:14" s="9" customFormat="1" ht="43.9" customHeight="1" x14ac:dyDescent="0.35">
      <c r="A21" s="158" t="s">
        <v>57</v>
      </c>
      <c r="B21" s="158" t="s">
        <v>57</v>
      </c>
      <c r="C21" s="158" t="s">
        <v>68</v>
      </c>
      <c r="D21" s="158"/>
      <c r="E21" s="98" t="s">
        <v>69</v>
      </c>
      <c r="F21" s="98" t="s">
        <v>70</v>
      </c>
      <c r="G21" s="98"/>
      <c r="H21" s="98"/>
      <c r="I21" s="98" t="s">
        <v>61</v>
      </c>
      <c r="J21" s="79">
        <v>64</v>
      </c>
      <c r="K21" s="79">
        <v>18</v>
      </c>
      <c r="L21" s="580">
        <f t="shared" si="1"/>
        <v>0.28125</v>
      </c>
      <c r="M21" s="79">
        <v>5</v>
      </c>
      <c r="N21" s="79">
        <v>5</v>
      </c>
    </row>
    <row r="22" spans="1:14" s="9" customFormat="1" ht="43.9" customHeight="1" x14ac:dyDescent="0.35">
      <c r="A22" s="158" t="s">
        <v>57</v>
      </c>
      <c r="B22" s="158" t="s">
        <v>57</v>
      </c>
      <c r="C22" s="158" t="s">
        <v>71</v>
      </c>
      <c r="D22" s="158"/>
      <c r="E22" s="98" t="s">
        <v>69</v>
      </c>
      <c r="F22" s="98" t="s">
        <v>70</v>
      </c>
      <c r="G22" s="98"/>
      <c r="H22" s="98"/>
      <c r="I22" s="98" t="s">
        <v>61</v>
      </c>
      <c r="J22" s="79">
        <v>12</v>
      </c>
      <c r="K22" s="79">
        <v>3</v>
      </c>
      <c r="L22" s="580">
        <f t="shared" si="1"/>
        <v>0.25</v>
      </c>
      <c r="M22" s="79">
        <v>0</v>
      </c>
      <c r="N22" s="79">
        <v>0</v>
      </c>
    </row>
    <row r="23" spans="1:14" s="9" customFormat="1" ht="43.9" customHeight="1" x14ac:dyDescent="0.35">
      <c r="A23" s="187" t="s">
        <v>72</v>
      </c>
      <c r="B23" s="187" t="s">
        <v>72</v>
      </c>
      <c r="C23" s="158" t="s">
        <v>73</v>
      </c>
      <c r="D23" s="158"/>
      <c r="E23" s="98" t="s">
        <v>74</v>
      </c>
      <c r="F23" s="98" t="s">
        <v>75</v>
      </c>
      <c r="G23" s="98"/>
      <c r="H23" s="98"/>
      <c r="I23" s="98" t="s">
        <v>76</v>
      </c>
      <c r="J23" s="79">
        <v>115</v>
      </c>
      <c r="K23" s="79">
        <v>68</v>
      </c>
      <c r="L23" s="580">
        <f t="shared" si="1"/>
        <v>0.59130434782608698</v>
      </c>
      <c r="M23" s="79">
        <v>26</v>
      </c>
      <c r="N23" s="79">
        <v>26</v>
      </c>
    </row>
    <row r="24" spans="1:14" s="9" customFormat="1" ht="43.9" customHeight="1" x14ac:dyDescent="0.35">
      <c r="A24" s="187" t="s">
        <v>72</v>
      </c>
      <c r="B24" s="187" t="s">
        <v>72</v>
      </c>
      <c r="C24" s="158" t="s">
        <v>73</v>
      </c>
      <c r="D24" s="158"/>
      <c r="E24" s="98" t="s">
        <v>77</v>
      </c>
      <c r="F24" s="98" t="s">
        <v>75</v>
      </c>
      <c r="G24" s="98"/>
      <c r="H24" s="98"/>
      <c r="I24" s="98" t="s">
        <v>76</v>
      </c>
      <c r="J24" s="79">
        <v>106</v>
      </c>
      <c r="K24" s="79">
        <v>59</v>
      </c>
      <c r="L24" s="580">
        <f t="shared" si="1"/>
        <v>0.55660377358490565</v>
      </c>
      <c r="M24" s="79">
        <v>19</v>
      </c>
      <c r="N24" s="79">
        <v>19</v>
      </c>
    </row>
    <row r="25" spans="1:14" s="9" customFormat="1" ht="43.9" customHeight="1" x14ac:dyDescent="0.35">
      <c r="A25" s="158" t="s">
        <v>72</v>
      </c>
      <c r="B25" s="158" t="s">
        <v>72</v>
      </c>
      <c r="C25" s="158" t="s">
        <v>15</v>
      </c>
      <c r="D25" s="158"/>
      <c r="E25" s="98" t="s">
        <v>78</v>
      </c>
      <c r="F25" s="98" t="s">
        <v>79</v>
      </c>
      <c r="G25" s="98"/>
      <c r="H25" s="98"/>
      <c r="I25" s="98" t="s">
        <v>80</v>
      </c>
      <c r="J25" s="79">
        <v>7007</v>
      </c>
      <c r="K25" s="79">
        <v>1599</v>
      </c>
      <c r="L25" s="580">
        <f t="shared" si="1"/>
        <v>0.22820037105751392</v>
      </c>
      <c r="M25" s="79">
        <v>62</v>
      </c>
      <c r="N25" s="79">
        <v>62</v>
      </c>
    </row>
    <row r="26" spans="1:14" s="9" customFormat="1" ht="43.9" customHeight="1" x14ac:dyDescent="0.35">
      <c r="A26" s="187" t="s">
        <v>81</v>
      </c>
      <c r="B26" s="187" t="s">
        <v>81</v>
      </c>
      <c r="C26" s="158" t="s">
        <v>63</v>
      </c>
      <c r="D26" s="158"/>
      <c r="E26" s="98" t="s">
        <v>64</v>
      </c>
      <c r="F26" s="98" t="s">
        <v>75</v>
      </c>
      <c r="G26" s="98"/>
      <c r="H26" s="127"/>
      <c r="I26" s="127" t="s">
        <v>82</v>
      </c>
      <c r="J26" s="79">
        <v>114</v>
      </c>
      <c r="K26" s="79">
        <v>65</v>
      </c>
      <c r="L26" s="580">
        <f t="shared" si="1"/>
        <v>0.57017543859649122</v>
      </c>
      <c r="M26" s="79">
        <v>19</v>
      </c>
      <c r="N26" s="79">
        <v>19</v>
      </c>
    </row>
    <row r="27" spans="1:14" s="9" customFormat="1" ht="43.9" customHeight="1" x14ac:dyDescent="0.35">
      <c r="A27" s="187" t="s">
        <v>81</v>
      </c>
      <c r="B27" s="187" t="s">
        <v>81</v>
      </c>
      <c r="C27" s="158" t="s">
        <v>67</v>
      </c>
      <c r="D27" s="158"/>
      <c r="E27" s="98" t="s">
        <v>64</v>
      </c>
      <c r="F27" s="98" t="s">
        <v>75</v>
      </c>
      <c r="G27" s="98"/>
      <c r="H27" s="127"/>
      <c r="I27" s="127" t="s">
        <v>82</v>
      </c>
      <c r="J27" s="79">
        <v>58</v>
      </c>
      <c r="K27" s="79">
        <v>33</v>
      </c>
      <c r="L27" s="580">
        <f t="shared" si="1"/>
        <v>0.56896551724137934</v>
      </c>
      <c r="M27" s="79">
        <v>9</v>
      </c>
      <c r="N27" s="79">
        <v>9</v>
      </c>
    </row>
    <row r="28" spans="1:14" s="9" customFormat="1" ht="43.9" customHeight="1" x14ac:dyDescent="0.35">
      <c r="A28" s="187" t="s">
        <v>83</v>
      </c>
      <c r="B28" s="187" t="s">
        <v>83</v>
      </c>
      <c r="C28" s="158" t="s">
        <v>63</v>
      </c>
      <c r="D28" s="158"/>
      <c r="E28" s="98" t="s">
        <v>64</v>
      </c>
      <c r="F28" s="98" t="s">
        <v>84</v>
      </c>
      <c r="G28" s="98"/>
      <c r="H28" s="274"/>
      <c r="I28" s="274" t="s">
        <v>85</v>
      </c>
      <c r="J28" s="79">
        <v>101</v>
      </c>
      <c r="K28" s="79">
        <v>49</v>
      </c>
      <c r="L28" s="580">
        <f t="shared" si="1"/>
        <v>0.48514851485148514</v>
      </c>
      <c r="M28" s="79">
        <v>14</v>
      </c>
      <c r="N28" s="79">
        <v>14</v>
      </c>
    </row>
    <row r="29" spans="1:14" s="9" customFormat="1" ht="43.9" customHeight="1" x14ac:dyDescent="0.35">
      <c r="A29" s="187" t="s">
        <v>83</v>
      </c>
      <c r="B29" s="187" t="s">
        <v>83</v>
      </c>
      <c r="C29" s="158" t="s">
        <v>67</v>
      </c>
      <c r="D29" s="158"/>
      <c r="E29" s="98" t="s">
        <v>64</v>
      </c>
      <c r="F29" s="98" t="s">
        <v>84</v>
      </c>
      <c r="G29" s="98"/>
      <c r="H29" s="274"/>
      <c r="I29" s="274" t="s">
        <v>85</v>
      </c>
      <c r="J29" s="79">
        <v>48</v>
      </c>
      <c r="K29" s="79">
        <v>23</v>
      </c>
      <c r="L29" s="580">
        <f t="shared" si="1"/>
        <v>0.47916666666666669</v>
      </c>
      <c r="M29" s="79">
        <v>5</v>
      </c>
      <c r="N29" s="79">
        <v>5</v>
      </c>
    </row>
    <row r="30" spans="1:14" s="9" customFormat="1" ht="43.9" customHeight="1" x14ac:dyDescent="0.35">
      <c r="A30" s="187" t="s">
        <v>83</v>
      </c>
      <c r="B30" s="187" t="s">
        <v>83</v>
      </c>
      <c r="C30" s="158" t="s">
        <v>86</v>
      </c>
      <c r="D30" s="158"/>
      <c r="E30" s="98" t="s">
        <v>87</v>
      </c>
      <c r="F30" s="98" t="s">
        <v>88</v>
      </c>
      <c r="G30" s="98"/>
      <c r="H30" s="278"/>
      <c r="I30" s="278" t="s">
        <v>89</v>
      </c>
      <c r="J30" s="79">
        <v>6947</v>
      </c>
      <c r="K30" s="79">
        <v>1466</v>
      </c>
      <c r="L30" s="580">
        <f t="shared" si="1"/>
        <v>0.21102634230603137</v>
      </c>
      <c r="M30" s="79">
        <v>62</v>
      </c>
      <c r="N30" s="79">
        <v>62</v>
      </c>
    </row>
    <row r="31" spans="1:14" s="9" customFormat="1" ht="43.9" customHeight="1" x14ac:dyDescent="0.35">
      <c r="A31" s="294">
        <v>44988</v>
      </c>
      <c r="B31" s="294">
        <v>44988</v>
      </c>
      <c r="C31" s="294"/>
      <c r="D31" s="294"/>
      <c r="E31" s="1992" t="s">
        <v>90</v>
      </c>
      <c r="F31" s="1992"/>
      <c r="G31" s="279"/>
      <c r="H31" s="279"/>
      <c r="I31" s="279"/>
      <c r="J31" s="79"/>
      <c r="K31" s="79"/>
      <c r="L31" s="580"/>
      <c r="M31" s="79"/>
      <c r="N31" s="79"/>
    </row>
    <row r="32" spans="1:14" s="9" customFormat="1" ht="43.9" customHeight="1" x14ac:dyDescent="0.35">
      <c r="A32" s="293">
        <v>44988</v>
      </c>
      <c r="B32" s="293">
        <v>44988</v>
      </c>
      <c r="C32" s="293"/>
      <c r="D32" s="293"/>
      <c r="E32" s="1984" t="s">
        <v>91</v>
      </c>
      <c r="F32" s="1984"/>
      <c r="G32" s="277"/>
      <c r="H32" s="277"/>
      <c r="I32" s="277"/>
      <c r="J32" s="79"/>
      <c r="K32" s="79"/>
      <c r="L32" s="580"/>
      <c r="M32" s="79"/>
      <c r="N32" s="79"/>
    </row>
    <row r="33" spans="1:14" s="80" customFormat="1" ht="43.9" customHeight="1" x14ac:dyDescent="0.35">
      <c r="A33" s="158" t="s">
        <v>92</v>
      </c>
      <c r="B33" s="158" t="s">
        <v>92</v>
      </c>
      <c r="C33" s="158" t="s">
        <v>93</v>
      </c>
      <c r="D33" s="158"/>
      <c r="E33" s="98" t="s">
        <v>94</v>
      </c>
      <c r="F33" s="98" t="s">
        <v>95</v>
      </c>
      <c r="G33" s="98"/>
      <c r="H33" s="98"/>
      <c r="I33" s="98" t="s">
        <v>96</v>
      </c>
      <c r="J33" s="581">
        <v>188</v>
      </c>
      <c r="K33" s="581">
        <v>138</v>
      </c>
      <c r="L33" s="580">
        <f t="shared" si="1"/>
        <v>0.73404255319148937</v>
      </c>
      <c r="M33" s="581">
        <v>67</v>
      </c>
      <c r="N33" s="581">
        <v>67</v>
      </c>
    </row>
    <row r="34" spans="1:14" s="80" customFormat="1" ht="43.9" customHeight="1" x14ac:dyDescent="0.35">
      <c r="A34" s="295" t="s">
        <v>92</v>
      </c>
      <c r="B34" s="295" t="s">
        <v>92</v>
      </c>
      <c r="C34" s="295" t="s">
        <v>93</v>
      </c>
      <c r="D34" s="295"/>
      <c r="E34" s="280" t="s">
        <v>97</v>
      </c>
      <c r="F34" s="280" t="s">
        <v>95</v>
      </c>
      <c r="G34" s="280"/>
      <c r="H34" s="280"/>
      <c r="I34" s="280" t="s">
        <v>98</v>
      </c>
      <c r="J34" s="581"/>
      <c r="K34" s="581"/>
      <c r="L34" s="582"/>
      <c r="M34" s="581"/>
      <c r="N34" s="581"/>
    </row>
    <row r="35" spans="1:14" s="9" customFormat="1" ht="43.9" customHeight="1" x14ac:dyDescent="0.35">
      <c r="A35" s="295" t="s">
        <v>92</v>
      </c>
      <c r="B35" s="295" t="s">
        <v>92</v>
      </c>
      <c r="C35" s="295" t="s">
        <v>99</v>
      </c>
      <c r="D35" s="295"/>
      <c r="E35" s="280" t="s">
        <v>100</v>
      </c>
      <c r="F35" s="280" t="s">
        <v>101</v>
      </c>
      <c r="G35" s="280"/>
      <c r="H35" s="281"/>
      <c r="I35" s="281" t="s">
        <v>102</v>
      </c>
      <c r="J35" s="79"/>
      <c r="K35" s="79"/>
      <c r="L35" s="580"/>
      <c r="M35" s="79"/>
      <c r="N35" s="79"/>
    </row>
    <row r="36" spans="1:14" s="9" customFormat="1" ht="43.9" customHeight="1" x14ac:dyDescent="0.35">
      <c r="A36" s="296" t="s">
        <v>103</v>
      </c>
      <c r="B36" s="296" t="s">
        <v>103</v>
      </c>
      <c r="C36" s="296"/>
      <c r="D36" s="296"/>
      <c r="E36" s="1989" t="s">
        <v>104</v>
      </c>
      <c r="F36" s="1989"/>
      <c r="G36" s="282"/>
      <c r="H36" s="282"/>
      <c r="I36" s="282"/>
      <c r="J36" s="282"/>
      <c r="K36" s="282"/>
      <c r="L36" s="297"/>
      <c r="M36" s="282"/>
      <c r="N36" s="282"/>
    </row>
    <row r="37" spans="1:14" s="9" customFormat="1" ht="43.9" customHeight="1" x14ac:dyDescent="0.35">
      <c r="A37" s="143" t="s">
        <v>105</v>
      </c>
      <c r="B37" s="143" t="s">
        <v>105</v>
      </c>
      <c r="C37" s="1985" t="s">
        <v>106</v>
      </c>
      <c r="D37" s="1985"/>
      <c r="E37" s="1985"/>
      <c r="F37" s="1985"/>
      <c r="G37" s="1985"/>
      <c r="H37" s="1985"/>
      <c r="I37" s="1985"/>
      <c r="J37" s="1985"/>
      <c r="K37" s="1985"/>
      <c r="L37" s="1985"/>
      <c r="M37" s="1985"/>
      <c r="N37" s="1985"/>
    </row>
    <row r="38" spans="1:14" s="9" customFormat="1" ht="43.9" customHeight="1" x14ac:dyDescent="0.35">
      <c r="A38" s="187" t="s">
        <v>107</v>
      </c>
      <c r="B38" s="187" t="s">
        <v>107</v>
      </c>
      <c r="C38" s="158" t="s">
        <v>41</v>
      </c>
      <c r="D38" s="158"/>
      <c r="E38" s="98" t="s">
        <v>108</v>
      </c>
      <c r="F38" s="98" t="s">
        <v>109</v>
      </c>
      <c r="G38" s="98"/>
      <c r="H38" s="98"/>
      <c r="I38" s="98" t="s">
        <v>110</v>
      </c>
      <c r="J38" s="79">
        <v>6941</v>
      </c>
      <c r="K38" s="79">
        <v>1282</v>
      </c>
      <c r="L38" s="580">
        <f>K38/J38</f>
        <v>0.18469961100705951</v>
      </c>
      <c r="M38" s="79">
        <v>64</v>
      </c>
      <c r="N38" s="79">
        <v>64</v>
      </c>
    </row>
    <row r="39" spans="1:14" s="9" customFormat="1" ht="43.9" customHeight="1" x14ac:dyDescent="0.35">
      <c r="A39" s="158" t="s">
        <v>111</v>
      </c>
      <c r="B39" s="158" t="s">
        <v>111</v>
      </c>
      <c r="C39" s="158" t="s">
        <v>112</v>
      </c>
      <c r="D39" s="158"/>
      <c r="E39" s="98" t="s">
        <v>113</v>
      </c>
      <c r="F39" s="98" t="s">
        <v>114</v>
      </c>
      <c r="G39" s="98"/>
      <c r="H39" s="180"/>
      <c r="I39" s="180" t="s">
        <v>115</v>
      </c>
      <c r="J39" s="79">
        <v>6869</v>
      </c>
      <c r="K39" s="79">
        <v>1285</v>
      </c>
      <c r="L39" s="580">
        <f t="shared" ref="L39:L55" si="2">K39/J39</f>
        <v>0.18707235405444753</v>
      </c>
      <c r="M39" s="79">
        <v>59</v>
      </c>
      <c r="N39" s="79">
        <v>59</v>
      </c>
    </row>
    <row r="40" spans="1:14" s="9" customFormat="1" ht="43.9" customHeight="1" x14ac:dyDescent="0.35">
      <c r="A40" s="187" t="s">
        <v>111</v>
      </c>
      <c r="B40" s="187" t="s">
        <v>111</v>
      </c>
      <c r="C40" s="158" t="s">
        <v>86</v>
      </c>
      <c r="D40" s="158"/>
      <c r="E40" s="98" t="s">
        <v>46</v>
      </c>
      <c r="F40" s="98" t="s">
        <v>116</v>
      </c>
      <c r="G40" s="98"/>
      <c r="H40" s="180"/>
      <c r="I40" s="180" t="s">
        <v>117</v>
      </c>
      <c r="J40" s="79">
        <v>6823</v>
      </c>
      <c r="K40" s="79">
        <v>1442</v>
      </c>
      <c r="L40" s="580">
        <f t="shared" si="2"/>
        <v>0.21134398358493331</v>
      </c>
      <c r="M40" s="79">
        <v>90</v>
      </c>
      <c r="N40" s="79">
        <v>90</v>
      </c>
    </row>
    <row r="41" spans="1:14" s="9" customFormat="1" ht="43.9" customHeight="1" x14ac:dyDescent="0.35">
      <c r="A41" s="295" t="s">
        <v>111</v>
      </c>
      <c r="B41" s="295" t="s">
        <v>111</v>
      </c>
      <c r="C41" s="295" t="s">
        <v>118</v>
      </c>
      <c r="D41" s="295"/>
      <c r="E41" s="280" t="s">
        <v>119</v>
      </c>
      <c r="F41" s="280"/>
      <c r="G41" s="280"/>
      <c r="H41" s="283"/>
      <c r="I41" s="283" t="s">
        <v>120</v>
      </c>
      <c r="J41" s="79"/>
      <c r="K41" s="79"/>
      <c r="L41" s="79"/>
      <c r="M41" s="79"/>
      <c r="N41" s="79"/>
    </row>
    <row r="42" spans="1:14" s="9" customFormat="1" ht="43.9" customHeight="1" x14ac:dyDescent="0.35">
      <c r="A42" s="187" t="s">
        <v>111</v>
      </c>
      <c r="B42" s="187" t="s">
        <v>111</v>
      </c>
      <c r="C42" s="158" t="s">
        <v>121</v>
      </c>
      <c r="D42" s="158"/>
      <c r="E42" s="98" t="s">
        <v>122</v>
      </c>
      <c r="F42" s="98"/>
      <c r="G42" s="98"/>
      <c r="H42" s="180"/>
      <c r="I42" s="180" t="s">
        <v>115</v>
      </c>
      <c r="J42" s="79">
        <v>52</v>
      </c>
      <c r="K42" s="79">
        <v>23</v>
      </c>
      <c r="L42" s="580">
        <f t="shared" si="2"/>
        <v>0.44230769230769229</v>
      </c>
      <c r="M42" s="79">
        <v>4</v>
      </c>
      <c r="N42" s="79">
        <v>4</v>
      </c>
    </row>
    <row r="43" spans="1:14" s="9" customFormat="1" ht="43.9" customHeight="1" x14ac:dyDescent="0.35">
      <c r="A43" s="187" t="s">
        <v>111</v>
      </c>
      <c r="B43" s="187" t="s">
        <v>111</v>
      </c>
      <c r="C43" s="158" t="s">
        <v>123</v>
      </c>
      <c r="D43" s="158"/>
      <c r="E43" s="98" t="s">
        <v>122</v>
      </c>
      <c r="F43" s="98"/>
      <c r="G43" s="98"/>
      <c r="H43" s="180"/>
      <c r="I43" s="180" t="s">
        <v>115</v>
      </c>
      <c r="J43" s="79">
        <v>45</v>
      </c>
      <c r="K43" s="79">
        <v>21</v>
      </c>
      <c r="L43" s="580">
        <f t="shared" si="2"/>
        <v>0.46666666666666667</v>
      </c>
      <c r="M43" s="79">
        <v>3</v>
      </c>
      <c r="N43" s="79">
        <v>3</v>
      </c>
    </row>
    <row r="44" spans="1:14" s="9" customFormat="1" ht="43.9" customHeight="1" x14ac:dyDescent="0.35">
      <c r="A44" s="158" t="s">
        <v>124</v>
      </c>
      <c r="B44" s="158" t="s">
        <v>124</v>
      </c>
      <c r="C44" s="158" t="s">
        <v>125</v>
      </c>
      <c r="D44" s="158"/>
      <c r="E44" s="98" t="s">
        <v>126</v>
      </c>
      <c r="F44" s="98" t="s">
        <v>127</v>
      </c>
      <c r="G44" s="98"/>
      <c r="H44" s="180"/>
      <c r="I44" s="180" t="s">
        <v>128</v>
      </c>
      <c r="J44" s="79">
        <v>152</v>
      </c>
      <c r="K44" s="79">
        <v>75</v>
      </c>
      <c r="L44" s="580">
        <f t="shared" si="2"/>
        <v>0.49342105263157893</v>
      </c>
      <c r="M44" s="79">
        <v>15</v>
      </c>
      <c r="N44" s="79">
        <v>15</v>
      </c>
    </row>
    <row r="45" spans="1:14" s="9" customFormat="1" ht="43.9" customHeight="1" x14ac:dyDescent="0.35">
      <c r="A45" s="158" t="s">
        <v>124</v>
      </c>
      <c r="B45" s="158" t="s">
        <v>124</v>
      </c>
      <c r="C45" s="158" t="s">
        <v>129</v>
      </c>
      <c r="D45" s="158"/>
      <c r="E45" s="98" t="s">
        <v>126</v>
      </c>
      <c r="F45" s="98" t="s">
        <v>127</v>
      </c>
      <c r="G45" s="98"/>
      <c r="H45" s="180"/>
      <c r="I45" s="180" t="s">
        <v>128</v>
      </c>
      <c r="J45" s="79">
        <v>115</v>
      </c>
      <c r="K45" s="79">
        <v>46</v>
      </c>
      <c r="L45" s="580">
        <f t="shared" si="2"/>
        <v>0.4</v>
      </c>
      <c r="M45" s="79">
        <v>9</v>
      </c>
      <c r="N45" s="79">
        <v>9</v>
      </c>
    </row>
    <row r="46" spans="1:14" s="9" customFormat="1" ht="43.9" customHeight="1" x14ac:dyDescent="0.35">
      <c r="A46" s="158" t="s">
        <v>124</v>
      </c>
      <c r="B46" s="158" t="s">
        <v>124</v>
      </c>
      <c r="C46" s="158" t="s">
        <v>41</v>
      </c>
      <c r="D46" s="158"/>
      <c r="E46" s="98" t="s">
        <v>130</v>
      </c>
      <c r="F46" s="98" t="s">
        <v>131</v>
      </c>
      <c r="G46" s="98"/>
      <c r="H46" s="180"/>
      <c r="I46" s="180" t="s">
        <v>132</v>
      </c>
      <c r="J46" s="79">
        <v>6916</v>
      </c>
      <c r="K46" s="79">
        <v>2117</v>
      </c>
      <c r="L46" s="580">
        <f t="shared" si="2"/>
        <v>0.30610179294389822</v>
      </c>
      <c r="M46" s="79">
        <v>885</v>
      </c>
      <c r="N46" s="79">
        <v>885</v>
      </c>
    </row>
    <row r="47" spans="1:14" s="9" customFormat="1" ht="43.9" customHeight="1" x14ac:dyDescent="0.35">
      <c r="A47" s="293">
        <v>45019</v>
      </c>
      <c r="B47" s="293">
        <v>45019</v>
      </c>
      <c r="C47" s="293"/>
      <c r="D47" s="293"/>
      <c r="E47" s="1984" t="s">
        <v>133</v>
      </c>
      <c r="F47" s="1984"/>
      <c r="G47" s="277"/>
      <c r="H47" s="277"/>
      <c r="I47" s="277"/>
      <c r="J47" s="277"/>
      <c r="K47" s="277"/>
      <c r="L47" s="277"/>
      <c r="M47" s="277"/>
      <c r="N47" s="277"/>
    </row>
    <row r="48" spans="1:14" s="9" customFormat="1" ht="43.9" customHeight="1" x14ac:dyDescent="0.35">
      <c r="A48" s="187" t="s">
        <v>134</v>
      </c>
      <c r="B48" s="187" t="s">
        <v>134</v>
      </c>
      <c r="C48" s="158" t="s">
        <v>41</v>
      </c>
      <c r="D48" s="158"/>
      <c r="E48" s="98" t="s">
        <v>135</v>
      </c>
      <c r="F48" s="98" t="s">
        <v>136</v>
      </c>
      <c r="G48" s="98"/>
      <c r="H48" s="273"/>
      <c r="I48" s="273" t="s">
        <v>137</v>
      </c>
      <c r="J48" s="79">
        <v>6814</v>
      </c>
      <c r="K48" s="79">
        <v>1291</v>
      </c>
      <c r="L48" s="580">
        <f t="shared" si="2"/>
        <v>0.18946287056061051</v>
      </c>
      <c r="M48" s="79">
        <v>71</v>
      </c>
      <c r="N48" s="79">
        <v>71</v>
      </c>
    </row>
    <row r="49" spans="1:14" s="9" customFormat="1" ht="43.9" customHeight="1" x14ac:dyDescent="0.35">
      <c r="A49" s="158" t="s">
        <v>134</v>
      </c>
      <c r="B49" s="158" t="s">
        <v>134</v>
      </c>
      <c r="C49" s="158" t="s">
        <v>41</v>
      </c>
      <c r="D49" s="158"/>
      <c r="E49" s="98" t="s">
        <v>46</v>
      </c>
      <c r="F49" s="98" t="s">
        <v>138</v>
      </c>
      <c r="G49" s="98"/>
      <c r="H49" s="180"/>
      <c r="I49" s="180" t="s">
        <v>139</v>
      </c>
      <c r="J49" s="79">
        <v>6737</v>
      </c>
      <c r="K49" s="79">
        <v>1399</v>
      </c>
      <c r="L49" s="580">
        <f t="shared" si="2"/>
        <v>0.20765919548760575</v>
      </c>
      <c r="M49" s="79">
        <v>64</v>
      </c>
      <c r="N49" s="79">
        <v>64</v>
      </c>
    </row>
    <row r="50" spans="1:14" s="9" customFormat="1" ht="43.9" customHeight="1" x14ac:dyDescent="0.35">
      <c r="A50" s="158" t="s">
        <v>134</v>
      </c>
      <c r="B50" s="158" t="s">
        <v>134</v>
      </c>
      <c r="C50" s="158" t="s">
        <v>140</v>
      </c>
      <c r="D50" s="158"/>
      <c r="E50" s="98" t="s">
        <v>141</v>
      </c>
      <c r="F50" s="98" t="s">
        <v>142</v>
      </c>
      <c r="G50" s="98"/>
      <c r="H50" s="180"/>
      <c r="I50" s="180" t="s">
        <v>143</v>
      </c>
      <c r="J50" s="79">
        <v>26</v>
      </c>
      <c r="K50" s="79">
        <v>8</v>
      </c>
      <c r="L50" s="580">
        <f t="shared" si="2"/>
        <v>0.30769230769230771</v>
      </c>
      <c r="M50" s="79">
        <v>3</v>
      </c>
      <c r="N50" s="79">
        <v>3</v>
      </c>
    </row>
    <row r="51" spans="1:14" s="9" customFormat="1" ht="43.9" customHeight="1" x14ac:dyDescent="0.35">
      <c r="A51" s="298" t="s">
        <v>144</v>
      </c>
      <c r="B51" s="298" t="s">
        <v>144</v>
      </c>
      <c r="C51" s="298" t="s">
        <v>145</v>
      </c>
      <c r="D51" s="298"/>
      <c r="E51" s="141" t="s">
        <v>126</v>
      </c>
      <c r="F51" s="141" t="s">
        <v>146</v>
      </c>
      <c r="G51" s="141"/>
      <c r="H51" s="141"/>
      <c r="I51" s="141" t="s">
        <v>147</v>
      </c>
      <c r="J51" s="583"/>
      <c r="K51" s="583"/>
      <c r="L51" s="583"/>
      <c r="M51" s="583"/>
      <c r="N51" s="583"/>
    </row>
    <row r="52" spans="1:14" s="9" customFormat="1" ht="43.9" customHeight="1" x14ac:dyDescent="0.35">
      <c r="A52" s="187" t="s">
        <v>144</v>
      </c>
      <c r="B52" s="187" t="s">
        <v>144</v>
      </c>
      <c r="C52" s="158" t="s">
        <v>41</v>
      </c>
      <c r="D52" s="158"/>
      <c r="E52" s="98" t="s">
        <v>148</v>
      </c>
      <c r="F52" s="98" t="s">
        <v>149</v>
      </c>
      <c r="G52" s="98"/>
      <c r="H52" s="180"/>
      <c r="I52" s="180" t="s">
        <v>150</v>
      </c>
      <c r="J52" s="79">
        <v>6832</v>
      </c>
      <c r="K52" s="79">
        <v>1627</v>
      </c>
      <c r="L52" s="580">
        <f t="shared" si="2"/>
        <v>0.2381440281030445</v>
      </c>
      <c r="M52" s="79">
        <v>450</v>
      </c>
      <c r="N52" s="79">
        <v>450</v>
      </c>
    </row>
    <row r="53" spans="1:14" s="9" customFormat="1" ht="53.25" customHeight="1" x14ac:dyDescent="0.35">
      <c r="A53" s="187" t="s">
        <v>151</v>
      </c>
      <c r="B53" s="187" t="s">
        <v>151</v>
      </c>
      <c r="C53" s="158" t="s">
        <v>41</v>
      </c>
      <c r="D53" s="158"/>
      <c r="E53" s="98" t="s">
        <v>152</v>
      </c>
      <c r="F53" s="98" t="s">
        <v>153</v>
      </c>
      <c r="G53" s="98"/>
      <c r="H53" s="180"/>
      <c r="I53" s="180" t="s">
        <v>154</v>
      </c>
      <c r="J53" s="79">
        <v>6750</v>
      </c>
      <c r="K53" s="79">
        <v>1169</v>
      </c>
      <c r="L53" s="580">
        <f t="shared" si="2"/>
        <v>0.17318518518518519</v>
      </c>
      <c r="M53" s="79">
        <v>52</v>
      </c>
      <c r="N53" s="79">
        <v>52</v>
      </c>
    </row>
    <row r="54" spans="1:14" s="9" customFormat="1" ht="43.9" customHeight="1" x14ac:dyDescent="0.35">
      <c r="A54" s="187" t="s">
        <v>151</v>
      </c>
      <c r="B54" s="187" t="s">
        <v>151</v>
      </c>
      <c r="C54" s="158" t="s">
        <v>125</v>
      </c>
      <c r="D54" s="158"/>
      <c r="E54" s="98" t="s">
        <v>155</v>
      </c>
      <c r="F54" s="98" t="s">
        <v>156</v>
      </c>
      <c r="G54" s="98"/>
      <c r="H54" s="180"/>
      <c r="I54" s="180" t="s">
        <v>157</v>
      </c>
      <c r="J54" s="79">
        <v>66</v>
      </c>
      <c r="K54" s="79">
        <v>31</v>
      </c>
      <c r="L54" s="580">
        <f t="shared" si="2"/>
        <v>0.46969696969696972</v>
      </c>
      <c r="M54" s="79">
        <v>5</v>
      </c>
      <c r="N54" s="79">
        <v>5</v>
      </c>
    </row>
    <row r="55" spans="1:14" s="9" customFormat="1" ht="43.9" customHeight="1" x14ac:dyDescent="0.35">
      <c r="A55" s="187" t="s">
        <v>151</v>
      </c>
      <c r="B55" s="187" t="s">
        <v>151</v>
      </c>
      <c r="C55" s="158" t="s">
        <v>129</v>
      </c>
      <c r="D55" s="158"/>
      <c r="E55" s="98" t="s">
        <v>155</v>
      </c>
      <c r="F55" s="98" t="s">
        <v>156</v>
      </c>
      <c r="G55" s="98"/>
      <c r="H55" s="180"/>
      <c r="I55" s="180" t="s">
        <v>157</v>
      </c>
      <c r="J55" s="79">
        <v>127</v>
      </c>
      <c r="K55" s="79">
        <v>38</v>
      </c>
      <c r="L55" s="580">
        <f t="shared" si="2"/>
        <v>0.29921259842519687</v>
      </c>
      <c r="M55" s="79">
        <v>4</v>
      </c>
      <c r="N55" s="79">
        <v>4</v>
      </c>
    </row>
    <row r="56" spans="1:14" s="9" customFormat="1" ht="43.9" customHeight="1" x14ac:dyDescent="0.35">
      <c r="A56" s="158" t="s">
        <v>158</v>
      </c>
      <c r="B56" s="158" t="s">
        <v>158</v>
      </c>
      <c r="C56" s="296"/>
      <c r="D56" s="296"/>
      <c r="E56" s="1989" t="s">
        <v>159</v>
      </c>
      <c r="F56" s="1989"/>
      <c r="G56" s="282"/>
      <c r="H56" s="282"/>
      <c r="I56" s="282"/>
      <c r="J56" s="79"/>
      <c r="K56" s="79"/>
      <c r="L56" s="580"/>
      <c r="M56" s="79"/>
      <c r="N56" s="79"/>
    </row>
    <row r="57" spans="1:14" s="80" customFormat="1" ht="43.9" customHeight="1" x14ac:dyDescent="0.35">
      <c r="A57" s="299" t="s">
        <v>160</v>
      </c>
      <c r="B57" s="299" t="s">
        <v>160</v>
      </c>
      <c r="C57" s="223" t="s">
        <v>161</v>
      </c>
      <c r="D57" s="223"/>
      <c r="E57" s="224" t="s">
        <v>162</v>
      </c>
      <c r="F57" s="224"/>
      <c r="G57" s="224"/>
      <c r="H57" s="224"/>
      <c r="I57" s="224" t="s">
        <v>163</v>
      </c>
      <c r="J57" s="581"/>
      <c r="K57" s="581"/>
      <c r="L57" s="582"/>
      <c r="M57" s="581"/>
      <c r="N57" s="581"/>
    </row>
    <row r="58" spans="1:14" s="9" customFormat="1" ht="43.9" customHeight="1" x14ac:dyDescent="0.35">
      <c r="A58" s="187" t="s">
        <v>160</v>
      </c>
      <c r="B58" s="187" t="s">
        <v>160</v>
      </c>
      <c r="C58" s="158" t="s">
        <v>164</v>
      </c>
      <c r="D58" s="158"/>
      <c r="E58" s="98" t="s">
        <v>165</v>
      </c>
      <c r="F58" s="98" t="s">
        <v>166</v>
      </c>
      <c r="G58" s="98"/>
      <c r="H58" s="180"/>
      <c r="I58" s="180" t="s">
        <v>167</v>
      </c>
      <c r="J58" s="79">
        <v>6787</v>
      </c>
      <c r="K58" s="79">
        <v>1844</v>
      </c>
      <c r="L58" s="580">
        <f>K58/J58</f>
        <v>0.27169588919994109</v>
      </c>
      <c r="M58" s="79">
        <v>664</v>
      </c>
      <c r="N58" s="79">
        <v>664</v>
      </c>
    </row>
    <row r="59" spans="1:14" s="9" customFormat="1" ht="43.9" customHeight="1" x14ac:dyDescent="0.35">
      <c r="A59" s="293">
        <v>45050</v>
      </c>
      <c r="B59" s="293">
        <v>45050</v>
      </c>
      <c r="C59" s="293"/>
      <c r="D59" s="293"/>
      <c r="E59" s="1984" t="s">
        <v>168</v>
      </c>
      <c r="F59" s="1984"/>
      <c r="G59" s="277"/>
      <c r="H59" s="277"/>
      <c r="I59" s="277"/>
      <c r="J59" s="79"/>
      <c r="K59" s="79"/>
      <c r="L59" s="580" t="e">
        <f t="shared" ref="L59:L62" si="3">K59/J59</f>
        <v>#DIV/0!</v>
      </c>
      <c r="M59" s="79"/>
      <c r="N59" s="79"/>
    </row>
    <row r="60" spans="1:14" s="9" customFormat="1" ht="43.9" customHeight="1" x14ac:dyDescent="0.35">
      <c r="A60" s="187" t="s">
        <v>169</v>
      </c>
      <c r="B60" s="187" t="s">
        <v>169</v>
      </c>
      <c r="C60" s="158" t="s">
        <v>170</v>
      </c>
      <c r="D60" s="158"/>
      <c r="E60" s="98" t="s">
        <v>171</v>
      </c>
      <c r="F60" s="98" t="s">
        <v>172</v>
      </c>
      <c r="G60" s="98"/>
      <c r="H60" s="273"/>
      <c r="I60" s="273" t="s">
        <v>173</v>
      </c>
      <c r="J60" s="79" t="s">
        <v>174</v>
      </c>
      <c r="K60" s="79" t="s">
        <v>175</v>
      </c>
      <c r="L60" s="580" t="e">
        <f t="shared" si="3"/>
        <v>#VALUE!</v>
      </c>
      <c r="M60" s="584" t="s">
        <v>176</v>
      </c>
      <c r="N60" s="584" t="s">
        <v>176</v>
      </c>
    </row>
    <row r="61" spans="1:14" s="9" customFormat="1" ht="43.9" customHeight="1" x14ac:dyDescent="0.35">
      <c r="A61" s="158" t="s">
        <v>169</v>
      </c>
      <c r="B61" s="158" t="s">
        <v>169</v>
      </c>
      <c r="C61" s="158" t="s">
        <v>41</v>
      </c>
      <c r="D61" s="158"/>
      <c r="E61" s="98" t="s">
        <v>177</v>
      </c>
      <c r="F61" s="98" t="s">
        <v>178</v>
      </c>
      <c r="G61" s="98"/>
      <c r="H61" s="180"/>
      <c r="I61" s="180" t="s">
        <v>179</v>
      </c>
      <c r="J61" s="79">
        <v>6000</v>
      </c>
      <c r="K61" s="79">
        <v>1102</v>
      </c>
      <c r="L61" s="580">
        <f t="shared" si="3"/>
        <v>0.18366666666666667</v>
      </c>
      <c r="M61" s="79">
        <v>58</v>
      </c>
      <c r="N61" s="79">
        <v>58</v>
      </c>
    </row>
    <row r="62" spans="1:14" s="9" customFormat="1" ht="43.9" customHeight="1" x14ac:dyDescent="0.35">
      <c r="A62" s="187" t="s">
        <v>180</v>
      </c>
      <c r="B62" s="187" t="s">
        <v>180</v>
      </c>
      <c r="C62" s="158" t="s">
        <v>41</v>
      </c>
      <c r="D62" s="158"/>
      <c r="E62" s="98" t="s">
        <v>181</v>
      </c>
      <c r="F62" s="98" t="s">
        <v>182</v>
      </c>
      <c r="G62" s="98"/>
      <c r="H62" s="127"/>
      <c r="I62" s="127" t="s">
        <v>183</v>
      </c>
      <c r="J62" s="79">
        <v>6706</v>
      </c>
      <c r="K62" s="79">
        <v>1151</v>
      </c>
      <c r="L62" s="580">
        <f t="shared" si="3"/>
        <v>0.17163733969579481</v>
      </c>
      <c r="M62" s="79">
        <v>60</v>
      </c>
      <c r="N62" s="79">
        <v>60</v>
      </c>
    </row>
    <row r="63" spans="1:14" s="126" customFormat="1" ht="43.9" customHeight="1" x14ac:dyDescent="0.35">
      <c r="A63" s="300" t="s">
        <v>180</v>
      </c>
      <c r="B63" s="300" t="s">
        <v>180</v>
      </c>
      <c r="C63" s="124" t="s">
        <v>184</v>
      </c>
      <c r="D63" s="124"/>
      <c r="E63" s="125" t="s">
        <v>185</v>
      </c>
      <c r="F63" s="125" t="s">
        <v>186</v>
      </c>
      <c r="G63" s="125"/>
      <c r="H63" s="123"/>
      <c r="I63" s="123"/>
      <c r="J63" s="236"/>
      <c r="K63" s="236"/>
      <c r="L63" s="585"/>
      <c r="M63" s="236"/>
      <c r="N63" s="236"/>
    </row>
    <row r="64" spans="1:14" s="9" customFormat="1" ht="43.9" customHeight="1" x14ac:dyDescent="0.35">
      <c r="A64" s="293" t="s">
        <v>187</v>
      </c>
      <c r="B64" s="293" t="s">
        <v>187</v>
      </c>
      <c r="C64" s="293"/>
      <c r="D64" s="293"/>
      <c r="E64" s="1984" t="s">
        <v>188</v>
      </c>
      <c r="F64" s="1984"/>
      <c r="G64" s="277"/>
      <c r="H64" s="277"/>
      <c r="I64" s="277"/>
      <c r="J64" s="79"/>
      <c r="K64" s="79"/>
      <c r="L64" s="580"/>
      <c r="M64" s="79"/>
      <c r="N64" s="79"/>
    </row>
    <row r="65" spans="1:14" s="9" customFormat="1" ht="43.9" customHeight="1" x14ac:dyDescent="0.35">
      <c r="A65" s="301" t="s">
        <v>189</v>
      </c>
      <c r="B65" s="301" t="s">
        <v>189</v>
      </c>
      <c r="C65" s="158" t="s">
        <v>41</v>
      </c>
      <c r="D65" s="158"/>
      <c r="E65" s="98" t="s">
        <v>190</v>
      </c>
      <c r="F65" s="98" t="s">
        <v>191</v>
      </c>
      <c r="G65" s="98"/>
      <c r="H65" s="127"/>
      <c r="I65" s="127" t="s">
        <v>192</v>
      </c>
      <c r="J65" s="79">
        <v>6402</v>
      </c>
      <c r="K65" s="79">
        <v>727</v>
      </c>
      <c r="L65" s="580"/>
      <c r="M65" s="79">
        <v>51</v>
      </c>
      <c r="N65" s="79">
        <v>51</v>
      </c>
    </row>
    <row r="66" spans="1:14" s="9" customFormat="1" ht="43.9" customHeight="1" x14ac:dyDescent="0.35">
      <c r="A66" s="147">
        <v>45078</v>
      </c>
      <c r="B66" s="147">
        <v>45078</v>
      </c>
      <c r="C66" s="148"/>
      <c r="D66" s="148"/>
      <c r="E66" s="1986" t="s">
        <v>193</v>
      </c>
      <c r="F66" s="1986"/>
      <c r="G66" s="217"/>
      <c r="H66" s="148"/>
      <c r="I66" s="148"/>
      <c r="J66" s="79"/>
      <c r="K66" s="79"/>
      <c r="L66" s="580"/>
      <c r="M66" s="79"/>
      <c r="N66" s="79"/>
    </row>
    <row r="67" spans="1:14" s="9" customFormat="1" ht="43.9" customHeight="1" x14ac:dyDescent="0.35">
      <c r="A67" s="187" t="s">
        <v>194</v>
      </c>
      <c r="B67" s="187" t="s">
        <v>194</v>
      </c>
      <c r="C67" s="158" t="s">
        <v>184</v>
      </c>
      <c r="D67" s="158"/>
      <c r="E67" s="98" t="s">
        <v>195</v>
      </c>
      <c r="F67" s="98" t="s">
        <v>196</v>
      </c>
      <c r="G67" s="98"/>
      <c r="H67" s="127"/>
      <c r="I67" s="127" t="s">
        <v>197</v>
      </c>
      <c r="J67" s="261" t="s">
        <v>198</v>
      </c>
      <c r="K67" s="254" t="s">
        <v>199</v>
      </c>
      <c r="L67" s="580"/>
      <c r="M67" s="254" t="s">
        <v>200</v>
      </c>
      <c r="N67" s="254" t="s">
        <v>200</v>
      </c>
    </row>
    <row r="68" spans="1:14" s="9" customFormat="1" ht="48" hidden="1" customHeight="1" x14ac:dyDescent="0.35">
      <c r="A68" s="298" t="s">
        <v>201</v>
      </c>
      <c r="B68" s="298" t="s">
        <v>201</v>
      </c>
      <c r="C68" s="298" t="s">
        <v>202</v>
      </c>
      <c r="D68" s="298"/>
      <c r="E68" s="298" t="s">
        <v>202</v>
      </c>
      <c r="F68" s="141" t="s">
        <v>203</v>
      </c>
      <c r="G68" s="141"/>
      <c r="H68" s="274"/>
      <c r="I68" s="274" t="s">
        <v>204</v>
      </c>
      <c r="J68" s="79"/>
      <c r="K68" s="79"/>
      <c r="L68" s="580" t="e">
        <f t="shared" ref="L68:L72" si="4">K68/J68</f>
        <v>#DIV/0!</v>
      </c>
      <c r="M68" s="79"/>
      <c r="N68" s="79"/>
    </row>
    <row r="69" spans="1:14" s="9" customFormat="1" ht="78" customHeight="1" x14ac:dyDescent="0.35">
      <c r="A69" s="298" t="s">
        <v>205</v>
      </c>
      <c r="B69" s="298" t="s">
        <v>205</v>
      </c>
      <c r="C69" s="298" t="s">
        <v>206</v>
      </c>
      <c r="D69" s="298"/>
      <c r="E69" s="141" t="s">
        <v>207</v>
      </c>
      <c r="F69" s="141" t="s">
        <v>208</v>
      </c>
      <c r="G69" s="141"/>
      <c r="H69" s="284"/>
      <c r="I69" s="284" t="s">
        <v>209</v>
      </c>
      <c r="J69" s="583"/>
      <c r="K69" s="583"/>
      <c r="L69" s="583"/>
      <c r="M69" s="583"/>
      <c r="N69" s="583"/>
    </row>
    <row r="70" spans="1:14" s="9" customFormat="1" ht="43.9" customHeight="1" x14ac:dyDescent="0.35">
      <c r="A70" s="158" t="s">
        <v>205</v>
      </c>
      <c r="B70" s="158" t="s">
        <v>205</v>
      </c>
      <c r="C70" s="158" t="s">
        <v>41</v>
      </c>
      <c r="D70" s="158"/>
      <c r="E70" s="98" t="s">
        <v>210</v>
      </c>
      <c r="F70" s="98"/>
      <c r="G70" s="98"/>
      <c r="H70" s="180"/>
      <c r="I70" s="180" t="s">
        <v>211</v>
      </c>
      <c r="J70" s="79">
        <v>6689</v>
      </c>
      <c r="K70" s="79">
        <v>1171</v>
      </c>
      <c r="L70" s="580">
        <f t="shared" si="4"/>
        <v>0.17506353715054568</v>
      </c>
      <c r="M70" s="79">
        <v>62</v>
      </c>
      <c r="N70" s="79">
        <v>62</v>
      </c>
    </row>
    <row r="71" spans="1:14" s="9" customFormat="1" ht="43.9" customHeight="1" x14ac:dyDescent="0.35">
      <c r="A71" s="292">
        <v>45091</v>
      </c>
      <c r="B71" s="292">
        <v>45091</v>
      </c>
      <c r="C71" s="292"/>
      <c r="D71" s="292"/>
      <c r="E71" s="1983" t="s">
        <v>212</v>
      </c>
      <c r="F71" s="1983"/>
      <c r="G71" s="276"/>
      <c r="H71" s="276"/>
      <c r="I71" s="276"/>
      <c r="J71" s="79"/>
      <c r="K71" s="79"/>
      <c r="L71" s="580"/>
      <c r="M71" s="79"/>
      <c r="N71" s="79"/>
    </row>
    <row r="72" spans="1:14" s="9" customFormat="1" ht="43.9" customHeight="1" x14ac:dyDescent="0.35">
      <c r="A72" s="158" t="s">
        <v>213</v>
      </c>
      <c r="B72" s="158" t="s">
        <v>213</v>
      </c>
      <c r="C72" s="158" t="s">
        <v>41</v>
      </c>
      <c r="D72" s="158"/>
      <c r="E72" s="98" t="s">
        <v>214</v>
      </c>
      <c r="F72" s="98" t="s">
        <v>215</v>
      </c>
      <c r="G72" s="98"/>
      <c r="H72" s="180"/>
      <c r="I72" s="180" t="s">
        <v>216</v>
      </c>
      <c r="J72" s="79">
        <v>6677</v>
      </c>
      <c r="K72" s="79">
        <v>1715</v>
      </c>
      <c r="L72" s="580">
        <f t="shared" si="4"/>
        <v>0.25685187958664069</v>
      </c>
      <c r="M72" s="79">
        <v>658</v>
      </c>
      <c r="N72" s="79">
        <v>658</v>
      </c>
    </row>
    <row r="73" spans="1:14" s="9" customFormat="1" ht="43.9" customHeight="1" x14ac:dyDescent="0.35">
      <c r="A73" s="158" t="s">
        <v>213</v>
      </c>
      <c r="B73" s="158" t="s">
        <v>213</v>
      </c>
      <c r="C73" s="158" t="s">
        <v>161</v>
      </c>
      <c r="D73" s="158"/>
      <c r="E73" s="98" t="s">
        <v>162</v>
      </c>
      <c r="F73" s="98" t="s">
        <v>217</v>
      </c>
      <c r="G73" s="98"/>
      <c r="H73" s="180"/>
      <c r="I73" s="180" t="s">
        <v>216</v>
      </c>
      <c r="J73" s="131" t="s">
        <v>218</v>
      </c>
      <c r="K73" s="131" t="s">
        <v>219</v>
      </c>
      <c r="L73" s="580"/>
      <c r="M73" s="131" t="s">
        <v>220</v>
      </c>
      <c r="N73" s="131" t="s">
        <v>220</v>
      </c>
    </row>
    <row r="74" spans="1:14" s="9" customFormat="1" ht="43.9" customHeight="1" x14ac:dyDescent="0.35">
      <c r="A74" s="158" t="s">
        <v>221</v>
      </c>
      <c r="B74" s="158" t="s">
        <v>221</v>
      </c>
      <c r="C74" s="158" t="s">
        <v>41</v>
      </c>
      <c r="D74" s="158"/>
      <c r="E74" s="98" t="s">
        <v>222</v>
      </c>
      <c r="F74" s="98"/>
      <c r="G74" s="98"/>
      <c r="H74" s="180"/>
      <c r="I74" s="180" t="s">
        <v>223</v>
      </c>
      <c r="J74" s="79">
        <v>6615</v>
      </c>
      <c r="K74" s="79">
        <v>1053</v>
      </c>
      <c r="L74" s="580">
        <f>K74/J74</f>
        <v>0.15918367346938775</v>
      </c>
      <c r="M74" s="79">
        <v>57</v>
      </c>
      <c r="N74" s="79">
        <v>57</v>
      </c>
    </row>
    <row r="75" spans="1:14" s="9" customFormat="1" ht="43.9" customHeight="1" x14ac:dyDescent="0.35">
      <c r="A75" s="97">
        <v>45105</v>
      </c>
      <c r="B75" s="97">
        <v>45105</v>
      </c>
      <c r="C75" s="158" t="s">
        <v>224</v>
      </c>
      <c r="D75" s="158"/>
      <c r="E75" s="98" t="s">
        <v>225</v>
      </c>
      <c r="F75" s="98" t="s">
        <v>226</v>
      </c>
      <c r="G75" s="98"/>
      <c r="H75" s="180"/>
      <c r="I75" s="180" t="s">
        <v>227</v>
      </c>
      <c r="J75" s="79">
        <v>343</v>
      </c>
      <c r="K75" s="79">
        <v>154</v>
      </c>
      <c r="L75" s="580">
        <f>K75/J75</f>
        <v>0.44897959183673469</v>
      </c>
      <c r="M75" s="79">
        <v>52</v>
      </c>
      <c r="N75" s="79">
        <v>52</v>
      </c>
    </row>
    <row r="76" spans="1:14" s="9" customFormat="1" ht="43.9" customHeight="1" x14ac:dyDescent="0.35">
      <c r="A76" s="293">
        <v>45105</v>
      </c>
      <c r="B76" s="293">
        <v>45105</v>
      </c>
      <c r="C76" s="293"/>
      <c r="D76" s="293"/>
      <c r="E76" s="1984" t="s">
        <v>228</v>
      </c>
      <c r="F76" s="1984"/>
      <c r="G76" s="277"/>
      <c r="H76" s="277"/>
      <c r="I76" s="277"/>
      <c r="J76" s="79"/>
      <c r="K76" s="79"/>
      <c r="L76" s="580"/>
      <c r="M76" s="79"/>
      <c r="N76" s="79"/>
    </row>
    <row r="77" spans="1:14" s="113" customFormat="1" ht="43.9" customHeight="1" x14ac:dyDescent="0.35">
      <c r="B77" s="1987" t="s">
        <v>229</v>
      </c>
      <c r="C77" s="1987"/>
      <c r="D77" s="1987"/>
      <c r="E77" s="1987"/>
      <c r="F77" s="1987"/>
      <c r="G77" s="1987"/>
      <c r="H77" s="1987"/>
      <c r="I77" s="1987"/>
      <c r="J77" s="586"/>
      <c r="K77" s="586"/>
      <c r="L77" s="587"/>
      <c r="M77" s="586"/>
      <c r="N77" s="586"/>
    </row>
    <row r="78" spans="1:14" s="9" customFormat="1" ht="43.9" customHeight="1" x14ac:dyDescent="0.35">
      <c r="A78" s="143" t="s">
        <v>230</v>
      </c>
      <c r="B78" s="143"/>
      <c r="C78" s="158" t="s">
        <v>231</v>
      </c>
      <c r="D78" s="158"/>
      <c r="E78" s="98" t="s">
        <v>232</v>
      </c>
      <c r="F78" s="98" t="s">
        <v>226</v>
      </c>
      <c r="G78" s="98"/>
      <c r="H78" s="98"/>
      <c r="I78" s="98" t="s">
        <v>233</v>
      </c>
      <c r="J78" s="79">
        <v>292</v>
      </c>
      <c r="K78" s="79">
        <v>150</v>
      </c>
      <c r="L78" s="580">
        <f>K78/J78</f>
        <v>0.51369863013698636</v>
      </c>
      <c r="M78" s="79">
        <v>49</v>
      </c>
      <c r="N78" s="79">
        <v>49</v>
      </c>
    </row>
    <row r="79" spans="1:14" s="9" customFormat="1" ht="43.9" customHeight="1" x14ac:dyDescent="0.35">
      <c r="A79" s="143" t="s">
        <v>230</v>
      </c>
      <c r="B79" s="143"/>
      <c r="C79" s="143" t="s">
        <v>41</v>
      </c>
      <c r="D79" s="143"/>
      <c r="E79" s="98" t="s">
        <v>234</v>
      </c>
      <c r="F79" s="98"/>
      <c r="G79" s="98"/>
      <c r="H79" s="98"/>
      <c r="I79" s="98" t="s">
        <v>235</v>
      </c>
      <c r="J79" s="79">
        <v>6575</v>
      </c>
      <c r="K79" s="79">
        <v>1232</v>
      </c>
      <c r="L79" s="580">
        <f>K79/J79</f>
        <v>0.18737642585551331</v>
      </c>
      <c r="M79" s="79">
        <v>92</v>
      </c>
      <c r="N79" s="79">
        <v>92</v>
      </c>
    </row>
    <row r="80" spans="1:14" s="9" customFormat="1" ht="43.9" customHeight="1" x14ac:dyDescent="0.35">
      <c r="A80" s="143" t="s">
        <v>236</v>
      </c>
      <c r="B80" s="143"/>
      <c r="C80" s="158" t="s">
        <v>231</v>
      </c>
      <c r="D80" s="158"/>
      <c r="E80" s="98" t="s">
        <v>237</v>
      </c>
      <c r="F80" s="98" t="s">
        <v>238</v>
      </c>
      <c r="G80" s="98"/>
      <c r="H80" s="98"/>
      <c r="I80" s="98" t="s">
        <v>239</v>
      </c>
      <c r="J80" s="79">
        <v>245</v>
      </c>
      <c r="K80" s="79">
        <v>111</v>
      </c>
      <c r="L80" s="580">
        <f>K80/J80</f>
        <v>0.45306122448979591</v>
      </c>
      <c r="M80" s="79">
        <v>18</v>
      </c>
      <c r="N80" s="79">
        <v>18</v>
      </c>
    </row>
    <row r="81" spans="1:14" s="9" customFormat="1" ht="43.9" customHeight="1" x14ac:dyDescent="0.35">
      <c r="A81" s="143" t="s">
        <v>236</v>
      </c>
      <c r="B81" s="143"/>
      <c r="C81" s="143" t="s">
        <v>41</v>
      </c>
      <c r="D81" s="143"/>
      <c r="E81" s="98" t="s">
        <v>240</v>
      </c>
      <c r="F81" s="98"/>
      <c r="G81" s="98"/>
      <c r="H81" s="98"/>
      <c r="I81" s="98" t="s">
        <v>241</v>
      </c>
      <c r="J81" s="79">
        <v>6645</v>
      </c>
      <c r="K81" s="79">
        <v>1349</v>
      </c>
      <c r="L81" s="580">
        <v>0.20599999999999999</v>
      </c>
      <c r="M81" s="79">
        <v>102</v>
      </c>
      <c r="N81" s="79">
        <v>102</v>
      </c>
    </row>
    <row r="82" spans="1:14" s="9" customFormat="1" ht="43.9" customHeight="1" x14ac:dyDescent="0.35">
      <c r="A82" s="143" t="s">
        <v>242</v>
      </c>
      <c r="B82" s="143"/>
      <c r="C82" s="158" t="s">
        <v>41</v>
      </c>
      <c r="D82" s="158"/>
      <c r="E82" s="98" t="s">
        <v>243</v>
      </c>
      <c r="F82" s="98" t="s">
        <v>244</v>
      </c>
      <c r="G82" s="98"/>
      <c r="H82" s="98"/>
      <c r="I82" s="98" t="s">
        <v>245</v>
      </c>
      <c r="J82" s="79">
        <v>6615</v>
      </c>
      <c r="K82" s="79">
        <v>1802</v>
      </c>
      <c r="L82" s="580">
        <v>0.27500000000000002</v>
      </c>
      <c r="M82" s="79">
        <v>662</v>
      </c>
      <c r="N82" s="79">
        <v>662</v>
      </c>
    </row>
    <row r="83" spans="1:14" s="9" customFormat="1" ht="43.9" customHeight="1" x14ac:dyDescent="0.35">
      <c r="A83" s="143" t="s">
        <v>242</v>
      </c>
      <c r="B83" s="143"/>
      <c r="C83" s="158" t="s">
        <v>246</v>
      </c>
      <c r="D83" s="158"/>
      <c r="E83" s="98" t="s">
        <v>247</v>
      </c>
      <c r="F83" s="98" t="s">
        <v>248</v>
      </c>
      <c r="G83" s="98"/>
      <c r="H83" s="285"/>
      <c r="I83" s="285" t="s">
        <v>249</v>
      </c>
      <c r="J83" s="131" t="s">
        <v>250</v>
      </c>
      <c r="K83" s="131" t="s">
        <v>251</v>
      </c>
      <c r="L83" s="588" t="s">
        <v>252</v>
      </c>
      <c r="M83" s="131" t="s">
        <v>253</v>
      </c>
      <c r="N83" s="131" t="s">
        <v>253</v>
      </c>
    </row>
    <row r="84" spans="1:14" s="9" customFormat="1" ht="43.9" customHeight="1" x14ac:dyDescent="0.35">
      <c r="A84" s="143" t="s">
        <v>254</v>
      </c>
      <c r="B84" s="143"/>
      <c r="C84" s="158" t="s">
        <v>255</v>
      </c>
      <c r="D84" s="158"/>
      <c r="E84" s="98" t="s">
        <v>256</v>
      </c>
      <c r="F84" s="98" t="s">
        <v>257</v>
      </c>
      <c r="G84" s="98"/>
      <c r="H84" s="274"/>
      <c r="I84" s="274" t="s">
        <v>258</v>
      </c>
      <c r="J84" s="79"/>
      <c r="K84" s="79"/>
      <c r="L84" s="580"/>
      <c r="M84" s="79"/>
      <c r="N84" s="79"/>
    </row>
    <row r="85" spans="1:14" s="9" customFormat="1" ht="43.9" customHeight="1" x14ac:dyDescent="0.35">
      <c r="A85" s="143" t="s">
        <v>254</v>
      </c>
      <c r="B85" s="143"/>
      <c r="C85" s="158" t="s">
        <v>259</v>
      </c>
      <c r="D85" s="158"/>
      <c r="E85" s="98" t="s">
        <v>256</v>
      </c>
      <c r="F85" s="98" t="s">
        <v>257</v>
      </c>
      <c r="G85" s="98"/>
      <c r="H85" s="274"/>
      <c r="I85" s="274" t="s">
        <v>258</v>
      </c>
      <c r="J85" s="79"/>
      <c r="K85" s="79"/>
      <c r="L85" s="580"/>
      <c r="M85" s="79"/>
      <c r="N85" s="79"/>
    </row>
    <row r="86" spans="1:14" s="9" customFormat="1" ht="43.9" customHeight="1" x14ac:dyDescent="0.35">
      <c r="A86" s="143" t="s">
        <v>254</v>
      </c>
      <c r="B86" s="143"/>
      <c r="C86" s="143" t="s">
        <v>41</v>
      </c>
      <c r="D86" s="143"/>
      <c r="E86" s="98" t="s">
        <v>260</v>
      </c>
      <c r="F86" s="98"/>
      <c r="G86" s="98"/>
      <c r="H86" s="98"/>
      <c r="I86" s="98" t="s">
        <v>261</v>
      </c>
      <c r="J86" s="79">
        <v>6490</v>
      </c>
      <c r="K86" s="79">
        <v>1148</v>
      </c>
      <c r="L86" s="580">
        <v>0.17799999999999999</v>
      </c>
      <c r="M86" s="79">
        <v>81</v>
      </c>
      <c r="N86" s="79">
        <v>81</v>
      </c>
    </row>
    <row r="87" spans="1:14" s="9" customFormat="1" ht="43.9" customHeight="1" x14ac:dyDescent="0.35">
      <c r="A87" s="293">
        <v>45141</v>
      </c>
      <c r="B87" s="293"/>
      <c r="C87" s="293"/>
      <c r="D87" s="293"/>
      <c r="E87" s="1984" t="s">
        <v>262</v>
      </c>
      <c r="F87" s="1984"/>
      <c r="G87" s="277"/>
      <c r="H87" s="277"/>
      <c r="I87" s="277"/>
      <c r="J87" s="79"/>
      <c r="K87" s="79"/>
      <c r="L87" s="580"/>
      <c r="M87" s="79"/>
      <c r="N87" s="79"/>
    </row>
    <row r="88" spans="1:14" s="9" customFormat="1" ht="43.9" customHeight="1" x14ac:dyDescent="0.35">
      <c r="A88" s="296" t="s">
        <v>263</v>
      </c>
      <c r="B88" s="296"/>
      <c r="C88" s="296"/>
      <c r="D88" s="296"/>
      <c r="E88" s="1989" t="s">
        <v>53</v>
      </c>
      <c r="F88" s="1989"/>
      <c r="G88" s="282"/>
      <c r="H88" s="282"/>
      <c r="I88" s="282"/>
      <c r="J88" s="79"/>
      <c r="K88" s="79"/>
      <c r="L88" s="580"/>
      <c r="M88" s="79"/>
      <c r="N88" s="79"/>
    </row>
    <row r="89" spans="1:14" s="9" customFormat="1" ht="43.9" customHeight="1" x14ac:dyDescent="0.35">
      <c r="A89" s="143" t="s">
        <v>264</v>
      </c>
      <c r="B89" s="143"/>
      <c r="C89" s="143" t="s">
        <v>265</v>
      </c>
      <c r="D89" s="143"/>
      <c r="E89" s="98" t="s">
        <v>266</v>
      </c>
      <c r="F89" s="98"/>
      <c r="G89" s="98"/>
      <c r="H89" s="98"/>
      <c r="I89" s="98" t="s">
        <v>267</v>
      </c>
      <c r="J89" s="79">
        <v>302</v>
      </c>
      <c r="K89" s="79">
        <v>163</v>
      </c>
      <c r="L89" s="580">
        <f>K89/J89</f>
        <v>0.53973509933774833</v>
      </c>
      <c r="M89" s="79">
        <v>14</v>
      </c>
      <c r="N89" s="79">
        <v>14</v>
      </c>
    </row>
    <row r="90" spans="1:14" s="9" customFormat="1" ht="43.9" customHeight="1" x14ac:dyDescent="0.35">
      <c r="A90" s="143" t="s">
        <v>268</v>
      </c>
      <c r="B90" s="143"/>
      <c r="C90" s="143" t="s">
        <v>41</v>
      </c>
      <c r="D90" s="143"/>
      <c r="E90" s="98" t="s">
        <v>269</v>
      </c>
      <c r="F90" s="98"/>
      <c r="G90" s="98"/>
      <c r="H90" s="98"/>
      <c r="I90" s="98" t="s">
        <v>270</v>
      </c>
      <c r="J90" s="79">
        <v>6107</v>
      </c>
      <c r="K90" s="79">
        <v>1085</v>
      </c>
      <c r="L90" s="580">
        <f>K90/J90</f>
        <v>0.17766497461928935</v>
      </c>
      <c r="M90" s="79">
        <v>62</v>
      </c>
      <c r="N90" s="79">
        <v>62</v>
      </c>
    </row>
    <row r="91" spans="1:14" s="9" customFormat="1" ht="43.9" customHeight="1" x14ac:dyDescent="0.35">
      <c r="A91" s="143" t="s">
        <v>268</v>
      </c>
      <c r="B91" s="143"/>
      <c r="C91" s="143" t="s">
        <v>271</v>
      </c>
      <c r="D91" s="143"/>
      <c r="E91" s="98" t="s">
        <v>272</v>
      </c>
      <c r="F91" s="98"/>
      <c r="G91" s="98"/>
      <c r="H91" s="98"/>
      <c r="I91" s="98" t="s">
        <v>273</v>
      </c>
      <c r="J91" s="79">
        <v>302</v>
      </c>
      <c r="K91" s="79">
        <v>169</v>
      </c>
      <c r="L91" s="580">
        <f>K91/J91</f>
        <v>0.55960264900662249</v>
      </c>
      <c r="M91" s="79">
        <v>57</v>
      </c>
      <c r="N91" s="79">
        <v>57</v>
      </c>
    </row>
    <row r="92" spans="1:14" s="9" customFormat="1" ht="43.9" customHeight="1" x14ac:dyDescent="0.35">
      <c r="A92" s="143" t="s">
        <v>268</v>
      </c>
      <c r="B92" s="143"/>
      <c r="C92" s="143" t="s">
        <v>271</v>
      </c>
      <c r="D92" s="143"/>
      <c r="E92" s="98" t="s">
        <v>274</v>
      </c>
      <c r="F92" s="98"/>
      <c r="G92" s="98"/>
      <c r="H92" s="98"/>
      <c r="I92" s="98" t="s">
        <v>275</v>
      </c>
      <c r="J92" s="79">
        <v>136</v>
      </c>
      <c r="K92" s="79">
        <v>37</v>
      </c>
      <c r="L92" s="580">
        <f>K92/J92</f>
        <v>0.27205882352941174</v>
      </c>
      <c r="M92" s="79">
        <v>16</v>
      </c>
      <c r="N92" s="79">
        <v>16</v>
      </c>
    </row>
    <row r="93" spans="1:14" s="9" customFormat="1" ht="43.9" customHeight="1" x14ac:dyDescent="0.35">
      <c r="A93" s="143" t="s">
        <v>276</v>
      </c>
      <c r="B93" s="143"/>
      <c r="C93" s="143" t="s">
        <v>41</v>
      </c>
      <c r="D93" s="143"/>
      <c r="E93" s="98" t="s">
        <v>240</v>
      </c>
      <c r="F93" s="98"/>
      <c r="G93" s="98"/>
      <c r="H93" s="98"/>
      <c r="I93" s="98" t="s">
        <v>277</v>
      </c>
      <c r="J93" s="79">
        <v>6578</v>
      </c>
      <c r="K93" s="79">
        <v>1217</v>
      </c>
      <c r="L93" s="580">
        <v>6.4000000000000001E-2</v>
      </c>
      <c r="M93" s="79">
        <v>78</v>
      </c>
      <c r="N93" s="79">
        <v>78</v>
      </c>
    </row>
    <row r="94" spans="1:14" s="9" customFormat="1" ht="43.9" customHeight="1" x14ac:dyDescent="0.35">
      <c r="A94" s="143" t="s">
        <v>276</v>
      </c>
      <c r="B94" s="143"/>
      <c r="C94" s="97" t="s">
        <v>278</v>
      </c>
      <c r="D94" s="97"/>
      <c r="E94" s="98" t="s">
        <v>279</v>
      </c>
      <c r="F94" s="98"/>
      <c r="G94" s="98"/>
      <c r="H94" s="98"/>
      <c r="I94" s="98"/>
      <c r="J94" s="79"/>
      <c r="K94" s="79"/>
      <c r="L94" s="580"/>
      <c r="M94" s="79"/>
      <c r="N94" s="79"/>
    </row>
    <row r="95" spans="1:14" s="9" customFormat="1" ht="43.9" customHeight="1" x14ac:dyDescent="0.35">
      <c r="A95" s="143" t="s">
        <v>280</v>
      </c>
      <c r="B95" s="143"/>
      <c r="C95" s="187" t="s">
        <v>281</v>
      </c>
      <c r="D95" s="187"/>
      <c r="E95" s="84" t="s">
        <v>162</v>
      </c>
      <c r="F95" s="84" t="s">
        <v>282</v>
      </c>
      <c r="G95" s="84"/>
      <c r="H95" s="273"/>
      <c r="I95" s="273" t="s">
        <v>283</v>
      </c>
      <c r="J95" s="131" t="s">
        <v>284</v>
      </c>
      <c r="K95" s="131" t="s">
        <v>285</v>
      </c>
      <c r="L95" s="588" t="s">
        <v>286</v>
      </c>
      <c r="M95" s="131" t="s">
        <v>287</v>
      </c>
      <c r="N95" s="131" t="s">
        <v>287</v>
      </c>
    </row>
    <row r="96" spans="1:14" s="9" customFormat="1" ht="43.9" customHeight="1" x14ac:dyDescent="0.35">
      <c r="A96" s="293">
        <v>45170</v>
      </c>
      <c r="B96" s="293"/>
      <c r="C96" s="293"/>
      <c r="D96" s="293"/>
      <c r="E96" s="1984" t="s">
        <v>288</v>
      </c>
      <c r="F96" s="1984"/>
      <c r="G96" s="277"/>
      <c r="H96" s="277"/>
      <c r="I96" s="277"/>
      <c r="J96" s="79"/>
      <c r="K96" s="79"/>
      <c r="L96" s="580"/>
      <c r="M96" s="79"/>
      <c r="N96" s="79"/>
    </row>
    <row r="97" spans="1:14" s="2" customFormat="1" ht="45.75" customHeight="1" x14ac:dyDescent="0.35">
      <c r="A97" s="206" t="s">
        <v>289</v>
      </c>
      <c r="B97" s="206"/>
      <c r="C97" s="1988" t="s">
        <v>290</v>
      </c>
      <c r="D97" s="1988"/>
      <c r="E97" s="1988"/>
      <c r="F97" s="1988"/>
      <c r="G97" s="229"/>
      <c r="H97" s="229"/>
      <c r="I97" s="229"/>
      <c r="J97" s="229"/>
      <c r="K97" s="589"/>
      <c r="L97" s="250"/>
      <c r="M97" s="250"/>
      <c r="N97" s="250"/>
    </row>
    <row r="98" spans="1:14" s="9" customFormat="1" ht="43.9" customHeight="1" x14ac:dyDescent="0.35">
      <c r="A98" s="143" t="s">
        <v>291</v>
      </c>
      <c r="B98" s="143"/>
      <c r="C98" s="143" t="s">
        <v>41</v>
      </c>
      <c r="D98" s="143"/>
      <c r="E98" s="98" t="s">
        <v>292</v>
      </c>
      <c r="F98" s="98"/>
      <c r="G98" s="98"/>
      <c r="H98" s="98"/>
      <c r="I98" s="98" t="s">
        <v>293</v>
      </c>
      <c r="J98" s="590">
        <v>6569</v>
      </c>
      <c r="K98" s="79">
        <v>3049</v>
      </c>
      <c r="L98" s="580">
        <v>0.46899999999999997</v>
      </c>
      <c r="M98" s="79">
        <v>2230</v>
      </c>
      <c r="N98" s="79">
        <v>2230</v>
      </c>
    </row>
    <row r="99" spans="1:14" s="80" customFormat="1" ht="57" customHeight="1" x14ac:dyDescent="0.35">
      <c r="A99" s="223" t="s">
        <v>291</v>
      </c>
      <c r="B99" s="223"/>
      <c r="C99" s="223" t="s">
        <v>294</v>
      </c>
      <c r="D99" s="223"/>
      <c r="E99" s="224" t="s">
        <v>295</v>
      </c>
      <c r="F99" s="224" t="s">
        <v>296</v>
      </c>
      <c r="G99" s="224" t="s">
        <v>297</v>
      </c>
      <c r="H99" s="98"/>
      <c r="I99" s="98"/>
      <c r="J99" s="131"/>
      <c r="K99" s="131"/>
      <c r="L99" s="588"/>
      <c r="M99" s="131"/>
      <c r="N99" s="131"/>
    </row>
    <row r="100" spans="1:14" s="80" customFormat="1" ht="52" x14ac:dyDescent="0.35">
      <c r="A100" s="219" t="s">
        <v>298</v>
      </c>
      <c r="B100" s="219"/>
      <c r="C100" s="143" t="s">
        <v>299</v>
      </c>
      <c r="D100" s="202" t="s">
        <v>300</v>
      </c>
      <c r="E100" s="98" t="s">
        <v>301</v>
      </c>
      <c r="F100" s="141" t="s">
        <v>302</v>
      </c>
      <c r="G100" s="141" t="s">
        <v>303</v>
      </c>
      <c r="H100" s="98"/>
      <c r="I100" s="98" t="s">
        <v>304</v>
      </c>
      <c r="J100" s="131" t="s">
        <v>305</v>
      </c>
      <c r="K100" s="131" t="s">
        <v>306</v>
      </c>
      <c r="L100" s="588" t="s">
        <v>307</v>
      </c>
      <c r="M100" s="131" t="s">
        <v>253</v>
      </c>
      <c r="N100" s="131" t="s">
        <v>253</v>
      </c>
    </row>
    <row r="101" spans="1:14" s="80" customFormat="1" ht="43.9" customHeight="1" x14ac:dyDescent="0.35">
      <c r="A101" s="143" t="s">
        <v>308</v>
      </c>
      <c r="B101" s="143"/>
      <c r="C101" s="143" t="s">
        <v>41</v>
      </c>
      <c r="D101" s="143"/>
      <c r="E101" s="98" t="s">
        <v>309</v>
      </c>
      <c r="F101" s="98"/>
      <c r="G101" s="272" t="s">
        <v>310</v>
      </c>
      <c r="H101" s="98"/>
      <c r="I101" s="98" t="s">
        <v>311</v>
      </c>
      <c r="J101" s="581">
        <v>6537</v>
      </c>
      <c r="K101" s="581">
        <v>2906</v>
      </c>
      <c r="L101" s="582">
        <f>K101/J101</f>
        <v>0.44454642802508798</v>
      </c>
      <c r="M101" s="581">
        <v>2175</v>
      </c>
      <c r="N101" s="581">
        <v>2175</v>
      </c>
    </row>
    <row r="102" spans="1:14" s="80" customFormat="1" ht="52" x14ac:dyDescent="0.35">
      <c r="A102" s="143" t="s">
        <v>308</v>
      </c>
      <c r="B102" s="143"/>
      <c r="C102" s="143" t="s">
        <v>312</v>
      </c>
      <c r="D102" s="143"/>
      <c r="E102" s="98"/>
      <c r="F102" s="98" t="s">
        <v>313</v>
      </c>
      <c r="G102" s="98"/>
      <c r="H102" s="98"/>
      <c r="I102" s="98"/>
      <c r="J102" s="131" t="s">
        <v>314</v>
      </c>
      <c r="K102" s="131" t="s">
        <v>315</v>
      </c>
      <c r="L102" s="588" t="s">
        <v>316</v>
      </c>
      <c r="M102" s="131" t="s">
        <v>317</v>
      </c>
      <c r="N102" s="131" t="s">
        <v>317</v>
      </c>
    </row>
    <row r="103" spans="1:14" s="2" customFormat="1" ht="45.75" customHeight="1" x14ac:dyDescent="0.35">
      <c r="A103" s="109" t="s">
        <v>318</v>
      </c>
      <c r="B103" s="109"/>
      <c r="C103" s="64" t="s">
        <v>319</v>
      </c>
      <c r="D103" s="64"/>
      <c r="E103" s="64" t="s">
        <v>320</v>
      </c>
      <c r="F103" s="64"/>
      <c r="G103" s="64"/>
      <c r="H103" s="286" t="s">
        <v>321</v>
      </c>
      <c r="I103" s="64" t="s">
        <v>322</v>
      </c>
      <c r="J103" s="131" t="s">
        <v>323</v>
      </c>
      <c r="K103" s="131" t="s">
        <v>324</v>
      </c>
      <c r="L103" s="588" t="s">
        <v>325</v>
      </c>
      <c r="M103" s="131" t="s">
        <v>326</v>
      </c>
      <c r="N103" s="131" t="s">
        <v>326</v>
      </c>
    </row>
    <row r="104" spans="1:14" s="9" customFormat="1" ht="43.9" customHeight="1" x14ac:dyDescent="0.35">
      <c r="A104" s="292">
        <v>45204</v>
      </c>
      <c r="B104" s="292"/>
      <c r="C104" s="292"/>
      <c r="D104" s="292"/>
      <c r="E104" s="1983" t="s">
        <v>327</v>
      </c>
      <c r="F104" s="1983"/>
      <c r="G104" s="276"/>
      <c r="H104" s="276"/>
      <c r="I104" s="276"/>
      <c r="J104" s="79"/>
      <c r="K104" s="79"/>
      <c r="L104" s="580"/>
      <c r="M104" s="79"/>
      <c r="N104" s="79"/>
    </row>
    <row r="105" spans="1:14" s="9" customFormat="1" ht="43.9" customHeight="1" x14ac:dyDescent="0.35">
      <c r="A105" s="293">
        <v>45204</v>
      </c>
      <c r="B105" s="293"/>
      <c r="C105" s="293"/>
      <c r="D105" s="293"/>
      <c r="E105" s="1984" t="s">
        <v>328</v>
      </c>
      <c r="F105" s="1984"/>
      <c r="G105" s="277"/>
      <c r="H105" s="277"/>
      <c r="I105" s="277"/>
      <c r="J105" s="79"/>
      <c r="K105" s="79"/>
      <c r="L105" s="580"/>
      <c r="M105" s="79"/>
      <c r="N105" s="79"/>
    </row>
    <row r="106" spans="1:14" s="2" customFormat="1" ht="45.75" customHeight="1" x14ac:dyDescent="0.35">
      <c r="A106" s="437" t="s">
        <v>329</v>
      </c>
      <c r="B106" s="437"/>
      <c r="C106" s="351" t="s">
        <v>330</v>
      </c>
      <c r="D106" s="351"/>
      <c r="E106" s="351" t="s">
        <v>331</v>
      </c>
      <c r="F106" s="351" t="s">
        <v>217</v>
      </c>
      <c r="G106" s="351"/>
      <c r="H106" s="438" t="s">
        <v>332</v>
      </c>
      <c r="I106" s="351" t="s">
        <v>333</v>
      </c>
      <c r="J106" s="419" t="s">
        <v>334</v>
      </c>
      <c r="K106" s="419" t="s">
        <v>335</v>
      </c>
      <c r="L106" s="591" t="s">
        <v>336</v>
      </c>
      <c r="M106" s="419" t="s">
        <v>337</v>
      </c>
      <c r="N106" s="419" t="s">
        <v>337</v>
      </c>
    </row>
    <row r="107" spans="1:14" s="2" customFormat="1" ht="45.75" customHeight="1" x14ac:dyDescent="0.35">
      <c r="A107" s="437" t="s">
        <v>338</v>
      </c>
      <c r="B107" s="437"/>
      <c r="C107" s="351" t="s">
        <v>86</v>
      </c>
      <c r="D107" s="351"/>
      <c r="E107" s="351" t="s">
        <v>339</v>
      </c>
      <c r="F107" s="351" t="s">
        <v>340</v>
      </c>
      <c r="G107" s="351"/>
      <c r="H107" s="438" t="s">
        <v>341</v>
      </c>
      <c r="I107" s="351" t="s">
        <v>342</v>
      </c>
      <c r="J107" s="440">
        <v>6579</v>
      </c>
      <c r="K107" s="440">
        <v>3142</v>
      </c>
      <c r="L107" s="441">
        <f>K107/J107</f>
        <v>0.47758017935856512</v>
      </c>
      <c r="M107" s="442">
        <v>2268</v>
      </c>
      <c r="N107" s="442">
        <v>2268</v>
      </c>
    </row>
    <row r="108" spans="1:14" s="2" customFormat="1" ht="45.75" customHeight="1" x14ac:dyDescent="0.35">
      <c r="A108" s="437" t="s">
        <v>338</v>
      </c>
      <c r="B108" s="437"/>
      <c r="C108" s="351" t="s">
        <v>343</v>
      </c>
      <c r="D108" s="351"/>
      <c r="E108" s="351" t="s">
        <v>344</v>
      </c>
      <c r="F108" s="351"/>
      <c r="G108" s="351"/>
      <c r="H108" s="438" t="s">
        <v>345</v>
      </c>
      <c r="I108" s="351" t="s">
        <v>346</v>
      </c>
      <c r="J108" s="443">
        <v>6603</v>
      </c>
      <c r="K108" s="443">
        <v>3358</v>
      </c>
      <c r="L108" s="441">
        <f>K108/J108</f>
        <v>0.50855671664394975</v>
      </c>
      <c r="M108" s="442">
        <v>2410</v>
      </c>
      <c r="N108" s="442">
        <v>2410</v>
      </c>
    </row>
    <row r="109" spans="1:14" s="9" customFormat="1" ht="43.9" customHeight="1" x14ac:dyDescent="0.35">
      <c r="A109" s="292" t="s">
        <v>347</v>
      </c>
      <c r="B109" s="292"/>
      <c r="C109" s="292"/>
      <c r="D109" s="292"/>
      <c r="E109" s="1983" t="s">
        <v>348</v>
      </c>
      <c r="F109" s="1983"/>
      <c r="G109" s="276"/>
      <c r="H109" s="276"/>
      <c r="I109" s="276"/>
      <c r="J109" s="79"/>
      <c r="K109" s="79"/>
      <c r="L109" s="580"/>
      <c r="M109" s="79"/>
      <c r="N109" s="79"/>
    </row>
    <row r="110" spans="1:14" s="2" customFormat="1" ht="45.75" customHeight="1" x14ac:dyDescent="0.35">
      <c r="A110" s="437" t="s">
        <v>349</v>
      </c>
      <c r="B110" s="351" t="s">
        <v>350</v>
      </c>
      <c r="C110" s="351" t="s">
        <v>351</v>
      </c>
      <c r="D110" s="351" t="s">
        <v>352</v>
      </c>
      <c r="E110" s="351" t="s">
        <v>353</v>
      </c>
      <c r="F110" s="351" t="s">
        <v>354</v>
      </c>
      <c r="G110" s="351"/>
      <c r="H110" s="438" t="s">
        <v>345</v>
      </c>
      <c r="I110" s="481" t="s">
        <v>355</v>
      </c>
      <c r="J110" s="419" t="s">
        <v>356</v>
      </c>
      <c r="K110" s="419" t="s">
        <v>357</v>
      </c>
      <c r="L110" s="591" t="s">
        <v>358</v>
      </c>
      <c r="M110" s="419" t="s">
        <v>359</v>
      </c>
      <c r="N110" s="419" t="s">
        <v>359</v>
      </c>
    </row>
    <row r="111" spans="1:14" s="2" customFormat="1" ht="45.75" customHeight="1" x14ac:dyDescent="0.35">
      <c r="A111" s="437" t="s">
        <v>360</v>
      </c>
      <c r="B111" s="351" t="s">
        <v>361</v>
      </c>
      <c r="C111" s="351" t="s">
        <v>362</v>
      </c>
      <c r="D111" s="351" t="s">
        <v>363</v>
      </c>
      <c r="E111" s="351" t="s">
        <v>364</v>
      </c>
      <c r="F111" s="351" t="s">
        <v>365</v>
      </c>
      <c r="G111" s="351"/>
      <c r="H111" s="438" t="s">
        <v>366</v>
      </c>
      <c r="I111" s="481" t="s">
        <v>367</v>
      </c>
      <c r="J111" s="377">
        <v>34</v>
      </c>
      <c r="K111" s="440">
        <v>21</v>
      </c>
      <c r="L111" s="441">
        <f>K111/J111</f>
        <v>0.61764705882352944</v>
      </c>
      <c r="M111" s="379">
        <v>1</v>
      </c>
      <c r="N111" s="379">
        <v>1</v>
      </c>
    </row>
    <row r="112" spans="1:14" s="2" customFormat="1" ht="60.75" customHeight="1" x14ac:dyDescent="0.35">
      <c r="A112" s="437" t="s">
        <v>360</v>
      </c>
      <c r="B112" s="351" t="s">
        <v>368</v>
      </c>
      <c r="C112" s="351" t="s">
        <v>369</v>
      </c>
      <c r="D112" s="351" t="s">
        <v>370</v>
      </c>
      <c r="E112" s="351" t="s">
        <v>371</v>
      </c>
      <c r="F112" s="351" t="s">
        <v>372</v>
      </c>
      <c r="G112" s="351" t="s">
        <v>373</v>
      </c>
      <c r="H112" s="438" t="s">
        <v>374</v>
      </c>
      <c r="I112" s="481" t="s">
        <v>375</v>
      </c>
      <c r="J112" s="377">
        <v>6559</v>
      </c>
      <c r="K112" s="440">
        <v>2823</v>
      </c>
      <c r="L112" s="441">
        <f>K112/J112</f>
        <v>0.43040097575849978</v>
      </c>
      <c r="M112" s="379">
        <v>86</v>
      </c>
      <c r="N112" s="379">
        <v>86</v>
      </c>
    </row>
    <row r="113" spans="1:14" s="2" customFormat="1" ht="45.75" customHeight="1" x14ac:dyDescent="0.35">
      <c r="A113" s="437" t="s">
        <v>376</v>
      </c>
      <c r="B113" s="351" t="s">
        <v>377</v>
      </c>
      <c r="C113" s="351" t="s">
        <v>378</v>
      </c>
      <c r="D113" s="438" t="s">
        <v>379</v>
      </c>
      <c r="E113" s="351" t="s">
        <v>380</v>
      </c>
      <c r="F113" s="351" t="s">
        <v>381</v>
      </c>
      <c r="G113" s="351" t="s">
        <v>382</v>
      </c>
      <c r="H113" s="438" t="s">
        <v>383</v>
      </c>
      <c r="I113" s="481" t="s">
        <v>384</v>
      </c>
      <c r="J113" s="377">
        <v>454</v>
      </c>
      <c r="K113" s="440">
        <v>153</v>
      </c>
      <c r="L113" s="441">
        <f>K113/J113</f>
        <v>0.33700440528634362</v>
      </c>
      <c r="M113" s="379">
        <v>0</v>
      </c>
      <c r="N113" s="379">
        <v>0</v>
      </c>
    </row>
    <row r="114" spans="1:14" s="2" customFormat="1" ht="45.75" customHeight="1" x14ac:dyDescent="0.35">
      <c r="A114" s="437" t="s">
        <v>376</v>
      </c>
      <c r="B114" s="351" t="s">
        <v>385</v>
      </c>
      <c r="C114" s="351" t="s">
        <v>343</v>
      </c>
      <c r="D114" s="351"/>
      <c r="E114" s="351" t="s">
        <v>386</v>
      </c>
      <c r="F114" s="351"/>
      <c r="G114" s="351"/>
      <c r="H114" s="438" t="s">
        <v>387</v>
      </c>
      <c r="I114" s="481" t="s">
        <v>388</v>
      </c>
      <c r="J114" s="377">
        <v>6493</v>
      </c>
      <c r="K114" s="440">
        <v>3203</v>
      </c>
      <c r="L114" s="441">
        <f>K114/J114</f>
        <v>0.49330047743724009</v>
      </c>
      <c r="M114" s="379">
        <v>95</v>
      </c>
      <c r="N114" s="379">
        <v>95</v>
      </c>
    </row>
    <row r="115" spans="1:14" s="2" customFormat="1" ht="45.75" customHeight="1" x14ac:dyDescent="0.35">
      <c r="A115" s="302" t="s">
        <v>389</v>
      </c>
      <c r="B115" s="302"/>
      <c r="C115" s="1979" t="s">
        <v>390</v>
      </c>
      <c r="D115" s="1979"/>
      <c r="E115" s="1979"/>
      <c r="F115" s="1979"/>
      <c r="G115" s="287"/>
      <c r="H115" s="287"/>
      <c r="I115" s="287"/>
      <c r="J115" s="589"/>
      <c r="K115" s="589"/>
      <c r="L115" s="592"/>
      <c r="M115" s="250"/>
      <c r="N115" s="250"/>
    </row>
    <row r="116" spans="1:14" s="2" customFormat="1" ht="45.75" customHeight="1" x14ac:dyDescent="0.35">
      <c r="A116" s="437" t="s">
        <v>391</v>
      </c>
      <c r="B116" s="437"/>
      <c r="C116" s="351" t="s">
        <v>369</v>
      </c>
      <c r="D116" s="351" t="s">
        <v>370</v>
      </c>
      <c r="E116" s="351" t="s">
        <v>392</v>
      </c>
      <c r="F116" s="351" t="s">
        <v>372</v>
      </c>
      <c r="G116" s="351" t="s">
        <v>373</v>
      </c>
      <c r="H116" s="438" t="s">
        <v>393</v>
      </c>
      <c r="I116" s="481" t="s">
        <v>394</v>
      </c>
      <c r="J116" s="377">
        <v>6498</v>
      </c>
      <c r="K116" s="440">
        <v>2778</v>
      </c>
      <c r="L116" s="441">
        <f>K116/J116</f>
        <v>0.4275161588180979</v>
      </c>
      <c r="M116" s="379">
        <v>159</v>
      </c>
      <c r="N116" s="379"/>
    </row>
    <row r="117" spans="1:14" s="2" customFormat="1" ht="45.75" customHeight="1" x14ac:dyDescent="0.35">
      <c r="A117" s="351" t="s">
        <v>395</v>
      </c>
      <c r="B117" s="351" t="s">
        <v>396</v>
      </c>
      <c r="C117" s="351" t="s">
        <v>397</v>
      </c>
      <c r="D117" s="351"/>
      <c r="E117" s="351" t="s">
        <v>386</v>
      </c>
      <c r="F117" s="351"/>
      <c r="G117" s="351" t="s">
        <v>398</v>
      </c>
      <c r="H117" s="438" t="s">
        <v>387</v>
      </c>
      <c r="I117" s="481" t="s">
        <v>399</v>
      </c>
      <c r="J117" s="377">
        <v>6341</v>
      </c>
      <c r="K117" s="440">
        <v>2942</v>
      </c>
      <c r="L117" s="441">
        <f>K117/J117</f>
        <v>0.4639646743415865</v>
      </c>
      <c r="M117" s="379">
        <v>166</v>
      </c>
      <c r="N117" s="379"/>
    </row>
    <row r="118" spans="1:14" s="2" customFormat="1" ht="62.25" customHeight="1" x14ac:dyDescent="0.35">
      <c r="A118" s="351" t="s">
        <v>395</v>
      </c>
      <c r="B118" s="437" t="s">
        <v>400</v>
      </c>
      <c r="C118" s="351" t="s">
        <v>351</v>
      </c>
      <c r="D118" s="351" t="s">
        <v>401</v>
      </c>
      <c r="E118" s="351" t="s">
        <v>402</v>
      </c>
      <c r="F118" s="351" t="s">
        <v>403</v>
      </c>
      <c r="G118" s="351" t="s">
        <v>404</v>
      </c>
      <c r="H118" s="438" t="s">
        <v>405</v>
      </c>
      <c r="I118" s="481" t="s">
        <v>406</v>
      </c>
      <c r="J118" s="377">
        <v>124</v>
      </c>
      <c r="K118" s="440">
        <v>45</v>
      </c>
      <c r="L118" s="441">
        <f>K118/J118</f>
        <v>0.36290322580645162</v>
      </c>
      <c r="M118" s="379">
        <v>6</v>
      </c>
      <c r="N118" s="379"/>
    </row>
    <row r="119" spans="1:14" s="2" customFormat="1" ht="45.75" customHeight="1" x14ac:dyDescent="0.35">
      <c r="A119" s="561" t="s">
        <v>407</v>
      </c>
      <c r="B119" s="561" t="s">
        <v>408</v>
      </c>
      <c r="C119" s="196" t="s">
        <v>409</v>
      </c>
      <c r="D119" s="196"/>
      <c r="E119" s="196" t="s">
        <v>410</v>
      </c>
      <c r="F119" s="196"/>
      <c r="G119" s="196"/>
      <c r="H119" s="518" t="s">
        <v>411</v>
      </c>
      <c r="I119" s="196"/>
      <c r="J119" s="562"/>
      <c r="K119" s="593"/>
      <c r="L119" s="594"/>
      <c r="M119" s="595"/>
      <c r="N119" s="595"/>
    </row>
    <row r="120" spans="1:14" s="2" customFormat="1" ht="58" x14ac:dyDescent="0.35">
      <c r="A120" s="437" t="s">
        <v>407</v>
      </c>
      <c r="B120" s="437" t="s">
        <v>412</v>
      </c>
      <c r="C120" s="351" t="s">
        <v>343</v>
      </c>
      <c r="D120" s="438" t="s">
        <v>413</v>
      </c>
      <c r="E120" s="351" t="s">
        <v>414</v>
      </c>
      <c r="F120" s="351"/>
      <c r="G120" s="351" t="s">
        <v>415</v>
      </c>
      <c r="H120" s="438" t="s">
        <v>416</v>
      </c>
      <c r="I120" s="481" t="s">
        <v>417</v>
      </c>
      <c r="J120" s="377">
        <v>835</v>
      </c>
      <c r="K120" s="440">
        <v>478</v>
      </c>
      <c r="L120" s="441">
        <f>K120/J120</f>
        <v>0.57245508982035931</v>
      </c>
      <c r="M120" s="379">
        <v>54</v>
      </c>
      <c r="N120" s="602" t="s">
        <v>418</v>
      </c>
    </row>
    <row r="121" spans="1:14" s="2" customFormat="1" ht="45.75" customHeight="1" x14ac:dyDescent="0.35">
      <c r="A121" s="109" t="s">
        <v>419</v>
      </c>
      <c r="B121" s="109" t="s">
        <v>420</v>
      </c>
      <c r="C121" s="64" t="s">
        <v>378</v>
      </c>
      <c r="D121" s="286" t="s">
        <v>421</v>
      </c>
      <c r="E121" s="64" t="s">
        <v>422</v>
      </c>
      <c r="F121" s="64"/>
      <c r="G121" s="64"/>
      <c r="H121" s="286" t="s">
        <v>423</v>
      </c>
      <c r="I121" s="64"/>
      <c r="J121" s="439"/>
      <c r="K121" s="589"/>
      <c r="L121" s="592"/>
      <c r="M121" s="250"/>
      <c r="N121" s="250"/>
    </row>
    <row r="122" spans="1:14" s="2" customFormat="1" ht="45.75" customHeight="1" x14ac:dyDescent="0.35">
      <c r="A122" s="32" t="s">
        <v>424</v>
      </c>
      <c r="B122" s="32"/>
      <c r="C122" s="1980" t="s">
        <v>425</v>
      </c>
      <c r="D122" s="1981"/>
      <c r="E122" s="1981"/>
      <c r="F122" s="1982"/>
      <c r="G122" s="216"/>
      <c r="H122" s="288"/>
      <c r="I122" s="142"/>
      <c r="J122" s="596"/>
      <c r="K122" s="252"/>
      <c r="L122" s="597"/>
      <c r="M122" s="253"/>
      <c r="N122" s="253"/>
    </row>
    <row r="123" spans="1:14" s="2" customFormat="1" ht="45.75" customHeight="1" x14ac:dyDescent="0.35">
      <c r="A123" s="109" t="s">
        <v>426</v>
      </c>
      <c r="B123" s="109"/>
      <c r="C123" s="482" t="s">
        <v>427</v>
      </c>
      <c r="D123" s="482"/>
      <c r="E123" s="482" t="s">
        <v>428</v>
      </c>
      <c r="F123" s="64"/>
      <c r="G123" s="64"/>
      <c r="H123" s="286" t="s">
        <v>429</v>
      </c>
      <c r="I123" s="64"/>
      <c r="J123" s="439"/>
      <c r="K123" s="589"/>
      <c r="L123" s="592"/>
      <c r="M123" s="250"/>
      <c r="N123" s="250"/>
    </row>
  </sheetData>
  <autoFilter ref="B2:F2" xr:uid="{00000000-0009-0000-0000-000002000000}"/>
  <mergeCells count="25">
    <mergeCell ref="E13:F13"/>
    <mergeCell ref="B1:C1"/>
    <mergeCell ref="E12:F12"/>
    <mergeCell ref="E31:F31"/>
    <mergeCell ref="E32:F32"/>
    <mergeCell ref="E14:F14"/>
    <mergeCell ref="E36:F36"/>
    <mergeCell ref="E88:F88"/>
    <mergeCell ref="E96:F96"/>
    <mergeCell ref="E71:F71"/>
    <mergeCell ref="E76:F76"/>
    <mergeCell ref="E87:F87"/>
    <mergeCell ref="E47:F47"/>
    <mergeCell ref="E59:F59"/>
    <mergeCell ref="E64:F64"/>
    <mergeCell ref="E56:F56"/>
    <mergeCell ref="C115:F115"/>
    <mergeCell ref="C122:F122"/>
    <mergeCell ref="E104:F104"/>
    <mergeCell ref="E105:F105"/>
    <mergeCell ref="C37:N37"/>
    <mergeCell ref="E109:F109"/>
    <mergeCell ref="E66:F66"/>
    <mergeCell ref="B77:I77"/>
    <mergeCell ref="C97:F97"/>
  </mergeCells>
  <hyperlinks>
    <hyperlink ref="D113" r:id="rId1" xr:uid="{DEC7BA1E-5527-4CEE-9652-732641E44068}"/>
    <hyperlink ref="H103" r:id="rId2" xr:uid="{F1906512-332B-4971-BF48-5A45BDA1006B}"/>
    <hyperlink ref="H106" r:id="rId3" xr:uid="{87F29A29-3C33-4133-8AB7-42EB0B42FCE6}"/>
    <hyperlink ref="H107" r:id="rId4" xr:uid="{430955D0-FEC5-4896-B09E-821379B5983F}"/>
    <hyperlink ref="H108" r:id="rId5" xr:uid="{ED1848C3-801A-4C37-A013-613B8D550D20}"/>
    <hyperlink ref="H110" r:id="rId6" xr:uid="{FF9646EA-0CBA-4228-92BB-ADCE75CE7893}"/>
    <hyperlink ref="H113" r:id="rId7" xr:uid="{CA688652-A392-4433-BB1A-2F8E79650B7A}"/>
    <hyperlink ref="H112" r:id="rId8" xr:uid="{A632D68F-4086-48A7-9427-6975D6EACDF7}"/>
    <hyperlink ref="H120" r:id="rId9" xr:uid="{A205F99E-3FF6-487A-A427-D358EA7F8DB6}"/>
    <hyperlink ref="H116" r:id="rId10" xr:uid="{34EEEBDD-1BB0-4E18-ADE3-AE829E1EBFA4}"/>
    <hyperlink ref="H111" r:id="rId11" xr:uid="{E29D0196-9845-4AD5-BEF0-7D9F33C70130}"/>
    <hyperlink ref="H114" r:id="rId12" xr:uid="{2F31D6B7-8A22-48E5-93A7-72F3C52D8511}"/>
    <hyperlink ref="H123" r:id="rId13" xr:uid="{E3A9B940-791A-4EE6-9A5C-6EEF2330BBD7}"/>
    <hyperlink ref="D121" r:id="rId14" xr:uid="{149DAFF1-D2F1-4520-BE0F-01BD5CD509EF}"/>
    <hyperlink ref="D120" r:id="rId15" xr:uid="{4E7BB0E0-5F45-4A56-8ABC-0848F6337E31}"/>
    <hyperlink ref="H118" r:id="rId16" xr:uid="{14279C24-E20A-4631-9A31-949D9D1B3E9C}"/>
    <hyperlink ref="H119" r:id="rId17" xr:uid="{66401034-BCB8-49D8-8A01-055663740984}"/>
    <hyperlink ref="H121" r:id="rId18" xr:uid="{A58BE3C9-0DBB-4695-87B6-B64B47CE4BA5}"/>
    <hyperlink ref="H117" r:id="rId19" xr:uid="{936DCF05-41FF-4A3E-9BFE-0A77843231E1}"/>
    <hyperlink ref="N120" r:id="rId20" xr:uid="{26B1DF69-B78F-4880-B068-4C1B8A23BB3F}"/>
  </hyperlinks>
  <pageMargins left="0.7" right="0.7" top="0.75" bottom="0.75" header="0.3" footer="0.3"/>
  <pageSetup scale="47" orientation="portrait" r:id="rId21"/>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76"/>
  <sheetViews>
    <sheetView zoomScale="120" zoomScaleNormal="120" zoomScaleSheetLayoutView="100" workbookViewId="0">
      <pane ySplit="10" topLeftCell="A53" activePane="bottomLeft" state="frozen"/>
      <selection activeCell="C71" sqref="C71:G71"/>
      <selection pane="bottomLeft" activeCell="C71" sqref="C71:G71"/>
    </sheetView>
  </sheetViews>
  <sheetFormatPr defaultColWidth="12.1796875" defaultRowHeight="12.75" customHeight="1" x14ac:dyDescent="0.35"/>
  <cols>
    <col min="1" max="1" width="48.7265625" style="5" customWidth="1"/>
    <col min="2" max="2" width="21.54296875" style="5" customWidth="1"/>
    <col min="3" max="3" width="38.54296875" style="6" customWidth="1"/>
    <col min="4" max="4" width="36.7265625" style="6" customWidth="1"/>
    <col min="5" max="5" width="55.54296875" style="6" customWidth="1"/>
    <col min="6" max="7" width="31.81640625" style="6" customWidth="1"/>
    <col min="8" max="11" width="12.1796875" style="259"/>
    <col min="12" max="16384" width="12.1796875" style="2"/>
  </cols>
  <sheetData>
    <row r="1" spans="1:11" ht="78" x14ac:dyDescent="0.35">
      <c r="A1" s="307" t="s">
        <v>430</v>
      </c>
      <c r="B1" s="307"/>
      <c r="C1" s="307"/>
      <c r="D1"/>
      <c r="E1"/>
      <c r="F1" s="1"/>
      <c r="G1" s="1"/>
    </row>
    <row r="2" spans="1:11" s="3" customFormat="1" ht="31.15" customHeight="1" x14ac:dyDescent="0.35">
      <c r="A2" s="18" t="s">
        <v>1</v>
      </c>
      <c r="B2" s="18" t="s">
        <v>431</v>
      </c>
      <c r="C2" s="19" t="s">
        <v>3</v>
      </c>
      <c r="D2" s="19" t="s">
        <v>5</v>
      </c>
      <c r="E2" s="19" t="s">
        <v>6</v>
      </c>
      <c r="F2" s="114" t="s">
        <v>432</v>
      </c>
      <c r="G2" s="42" t="s">
        <v>9</v>
      </c>
      <c r="H2" s="115" t="s">
        <v>9</v>
      </c>
      <c r="I2" s="115" t="s">
        <v>10</v>
      </c>
      <c r="J2" s="115" t="s">
        <v>433</v>
      </c>
      <c r="K2" s="115" t="s">
        <v>434</v>
      </c>
    </row>
    <row r="3" spans="1:11" s="3" customFormat="1" ht="45.75" hidden="1" customHeight="1" x14ac:dyDescent="0.35">
      <c r="A3" s="20" t="s">
        <v>435</v>
      </c>
      <c r="B3" s="20"/>
      <c r="C3" s="21" t="s">
        <v>41</v>
      </c>
      <c r="D3" s="21" t="s">
        <v>436</v>
      </c>
      <c r="E3" s="21" t="s">
        <v>437</v>
      </c>
      <c r="F3" s="43"/>
      <c r="G3" s="43"/>
      <c r="H3" s="259"/>
      <c r="I3" s="259"/>
      <c r="J3" s="259"/>
      <c r="K3" s="259"/>
    </row>
    <row r="4" spans="1:11" ht="45.75" hidden="1" customHeight="1" x14ac:dyDescent="0.35">
      <c r="A4" s="20" t="s">
        <v>438</v>
      </c>
      <c r="B4" s="20"/>
      <c r="C4" s="21" t="s">
        <v>439</v>
      </c>
      <c r="D4" s="21" t="s">
        <v>440</v>
      </c>
      <c r="E4" s="21" t="s">
        <v>437</v>
      </c>
      <c r="F4" s="43"/>
      <c r="G4" s="43"/>
    </row>
    <row r="5" spans="1:11" ht="45.75" hidden="1" customHeight="1" x14ac:dyDescent="0.35">
      <c r="A5" s="23" t="s">
        <v>441</v>
      </c>
      <c r="B5" s="23"/>
      <c r="C5" s="24" t="s">
        <v>32</v>
      </c>
      <c r="D5" s="24" t="s">
        <v>442</v>
      </c>
      <c r="E5" s="24" t="s">
        <v>443</v>
      </c>
      <c r="F5" s="44"/>
      <c r="G5" s="44"/>
      <c r="H5" s="260"/>
    </row>
    <row r="6" spans="1:11" ht="45.75" hidden="1" customHeight="1" x14ac:dyDescent="0.35">
      <c r="A6" s="23" t="s">
        <v>441</v>
      </c>
      <c r="B6" s="23"/>
      <c r="C6" s="24" t="s">
        <v>35</v>
      </c>
      <c r="D6" s="24" t="s">
        <v>444</v>
      </c>
      <c r="E6" s="24" t="s">
        <v>445</v>
      </c>
      <c r="F6" s="44"/>
      <c r="G6" s="44"/>
      <c r="H6" s="260"/>
    </row>
    <row r="7" spans="1:11" ht="45.75" hidden="1" customHeight="1" x14ac:dyDescent="0.35">
      <c r="A7" s="23" t="s">
        <v>446</v>
      </c>
      <c r="B7" s="23"/>
      <c r="C7" s="24" t="s">
        <v>41</v>
      </c>
      <c r="D7" s="24" t="s">
        <v>447</v>
      </c>
      <c r="E7" s="24" t="s">
        <v>448</v>
      </c>
      <c r="F7" s="44"/>
      <c r="G7" s="44"/>
      <c r="H7" s="260"/>
    </row>
    <row r="8" spans="1:11" ht="45.75" hidden="1" customHeight="1" x14ac:dyDescent="0.35">
      <c r="A8" s="23" t="s">
        <v>449</v>
      </c>
      <c r="B8" s="23"/>
      <c r="C8" s="24" t="s">
        <v>32</v>
      </c>
      <c r="D8" s="24" t="s">
        <v>450</v>
      </c>
      <c r="E8" s="24" t="s">
        <v>451</v>
      </c>
      <c r="F8" s="44"/>
      <c r="G8" s="44"/>
      <c r="H8" s="260"/>
    </row>
    <row r="9" spans="1:11" ht="45.75" hidden="1" customHeight="1" x14ac:dyDescent="0.35">
      <c r="A9" s="23" t="s">
        <v>449</v>
      </c>
      <c r="B9" s="23"/>
      <c r="C9" s="24" t="s">
        <v>35</v>
      </c>
      <c r="D9" s="24" t="s">
        <v>452</v>
      </c>
      <c r="E9" s="24" t="s">
        <v>453</v>
      </c>
      <c r="F9" s="44"/>
      <c r="G9" s="44"/>
      <c r="H9" s="260"/>
    </row>
    <row r="10" spans="1:11" ht="45.75" hidden="1" customHeight="1" x14ac:dyDescent="0.35">
      <c r="A10" s="23" t="s">
        <v>454</v>
      </c>
      <c r="B10" s="23"/>
      <c r="C10" s="24" t="s">
        <v>41</v>
      </c>
      <c r="D10" s="24" t="s">
        <v>455</v>
      </c>
      <c r="E10" s="24" t="s">
        <v>456</v>
      </c>
      <c r="F10" s="44"/>
      <c r="G10" s="44"/>
      <c r="H10" s="260"/>
    </row>
    <row r="11" spans="1:11" ht="45.75" customHeight="1" x14ac:dyDescent="0.35">
      <c r="A11" s="59" t="s">
        <v>19</v>
      </c>
      <c r="B11" s="59"/>
      <c r="C11" s="52" t="s">
        <v>86</v>
      </c>
      <c r="D11" s="52" t="s">
        <v>457</v>
      </c>
      <c r="E11" s="52" t="s">
        <v>458</v>
      </c>
      <c r="F11" s="118"/>
      <c r="G11" s="46" t="s">
        <v>18</v>
      </c>
      <c r="H11" s="261"/>
      <c r="I11" s="254"/>
      <c r="J11" s="254"/>
      <c r="K11" s="254"/>
    </row>
    <row r="12" spans="1:11" ht="45.75" customHeight="1" x14ac:dyDescent="0.35">
      <c r="A12" s="60" t="s">
        <v>24</v>
      </c>
      <c r="B12" s="60"/>
      <c r="C12" s="52" t="s">
        <v>86</v>
      </c>
      <c r="D12" s="52" t="s">
        <v>459</v>
      </c>
      <c r="E12" s="52" t="s">
        <v>460</v>
      </c>
      <c r="F12" s="118"/>
      <c r="G12" s="55" t="s">
        <v>461</v>
      </c>
      <c r="H12" s="261"/>
      <c r="I12" s="254"/>
      <c r="J12" s="254"/>
      <c r="K12" s="254"/>
    </row>
    <row r="13" spans="1:11" ht="45.75" customHeight="1" x14ac:dyDescent="0.35">
      <c r="A13" s="58" t="s">
        <v>38</v>
      </c>
      <c r="B13" s="58"/>
      <c r="C13" s="17" t="s">
        <v>86</v>
      </c>
      <c r="D13" s="17" t="s">
        <v>459</v>
      </c>
      <c r="E13" s="17" t="s">
        <v>460</v>
      </c>
      <c r="F13" s="119" t="s">
        <v>462</v>
      </c>
      <c r="G13" s="57" t="s">
        <v>463</v>
      </c>
      <c r="H13" s="261"/>
      <c r="I13" s="254"/>
      <c r="J13" s="254"/>
      <c r="K13" s="254"/>
    </row>
    <row r="14" spans="1:11" ht="45.75" customHeight="1" x14ac:dyDescent="0.35">
      <c r="A14" s="58" t="s">
        <v>38</v>
      </c>
      <c r="B14" s="58"/>
      <c r="C14" s="17" t="s">
        <v>35</v>
      </c>
      <c r="D14" s="17" t="s">
        <v>464</v>
      </c>
      <c r="E14" s="17" t="s">
        <v>465</v>
      </c>
      <c r="F14" s="119" t="s">
        <v>466</v>
      </c>
      <c r="G14" s="57" t="s">
        <v>40</v>
      </c>
      <c r="H14" s="261"/>
      <c r="I14" s="254"/>
      <c r="J14" s="254"/>
      <c r="K14" s="254"/>
    </row>
    <row r="15" spans="1:11" ht="45.75" customHeight="1" x14ac:dyDescent="0.35">
      <c r="A15" s="58" t="s">
        <v>51</v>
      </c>
      <c r="B15" s="58"/>
      <c r="C15" s="17" t="s">
        <v>32</v>
      </c>
      <c r="D15" s="17" t="s">
        <v>467</v>
      </c>
      <c r="E15" s="17" t="s">
        <v>468</v>
      </c>
      <c r="F15" s="104" t="s">
        <v>469</v>
      </c>
      <c r="G15" s="57" t="s">
        <v>55</v>
      </c>
      <c r="H15" s="261"/>
      <c r="I15" s="254"/>
      <c r="J15" s="254"/>
      <c r="K15" s="254"/>
    </row>
    <row r="16" spans="1:11" ht="45.75" customHeight="1" x14ac:dyDescent="0.35">
      <c r="A16" s="58" t="s">
        <v>57</v>
      </c>
      <c r="B16" s="465"/>
      <c r="C16" s="17" t="s">
        <v>86</v>
      </c>
      <c r="D16" s="17" t="s">
        <v>470</v>
      </c>
      <c r="E16" s="17" t="s">
        <v>471</v>
      </c>
      <c r="F16" s="104" t="s">
        <v>472</v>
      </c>
      <c r="G16" s="57" t="s">
        <v>473</v>
      </c>
      <c r="H16" s="261"/>
      <c r="I16" s="254"/>
      <c r="J16" s="254"/>
      <c r="K16" s="254"/>
    </row>
    <row r="17" spans="1:11" ht="45.75" customHeight="1" x14ac:dyDescent="0.35">
      <c r="A17" s="70" t="s">
        <v>72</v>
      </c>
      <c r="B17" s="109"/>
      <c r="C17" s="186" t="s">
        <v>35</v>
      </c>
      <c r="D17" s="63" t="s">
        <v>474</v>
      </c>
      <c r="E17" s="17" t="s">
        <v>475</v>
      </c>
      <c r="F17" s="104" t="s">
        <v>476</v>
      </c>
      <c r="G17" s="17" t="s">
        <v>76</v>
      </c>
      <c r="H17" s="261"/>
      <c r="I17" s="254"/>
      <c r="J17" s="254"/>
      <c r="K17" s="254"/>
    </row>
    <row r="18" spans="1:11" ht="45.75" customHeight="1" x14ac:dyDescent="0.35">
      <c r="A18" s="70" t="s">
        <v>477</v>
      </c>
      <c r="B18" s="109"/>
      <c r="C18" s="111" t="s">
        <v>32</v>
      </c>
      <c r="D18" s="62" t="s">
        <v>478</v>
      </c>
      <c r="E18" s="62" t="s">
        <v>479</v>
      </c>
      <c r="F18" s="104"/>
      <c r="G18" s="65" t="s">
        <v>480</v>
      </c>
      <c r="H18" s="261"/>
      <c r="I18" s="254"/>
      <c r="J18" s="254"/>
      <c r="K18" s="254"/>
    </row>
    <row r="19" spans="1:11" ht="45.75" customHeight="1" x14ac:dyDescent="0.35">
      <c r="A19" s="70">
        <v>44972</v>
      </c>
      <c r="B19" s="109"/>
      <c r="C19" s="464" t="s">
        <v>481</v>
      </c>
      <c r="D19" s="312"/>
      <c r="E19" s="49"/>
      <c r="F19" s="104"/>
      <c r="G19" s="17"/>
      <c r="H19" s="261"/>
      <c r="I19" s="254"/>
      <c r="J19" s="254"/>
      <c r="K19" s="254"/>
    </row>
    <row r="20" spans="1:11" ht="45.75" customHeight="1" x14ac:dyDescent="0.35">
      <c r="A20" s="16" t="s">
        <v>81</v>
      </c>
      <c r="B20" s="16"/>
      <c r="C20" s="17" t="s">
        <v>86</v>
      </c>
      <c r="D20" s="17" t="s">
        <v>482</v>
      </c>
      <c r="E20" s="17" t="s">
        <v>483</v>
      </c>
      <c r="F20" s="104" t="s">
        <v>484</v>
      </c>
      <c r="G20" s="17" t="s">
        <v>485</v>
      </c>
      <c r="H20" s="261"/>
      <c r="I20" s="254"/>
      <c r="J20" s="254"/>
      <c r="K20" s="254"/>
    </row>
    <row r="21" spans="1:11" ht="45.75" customHeight="1" x14ac:dyDescent="0.35">
      <c r="A21" s="16">
        <v>44978</v>
      </c>
      <c r="B21" s="70"/>
      <c r="C21" s="48"/>
      <c r="D21" s="53" t="s">
        <v>486</v>
      </c>
      <c r="E21" s="49"/>
      <c r="F21" s="104"/>
      <c r="G21" s="17"/>
      <c r="H21" s="261"/>
      <c r="I21" s="254"/>
      <c r="J21" s="254"/>
      <c r="K21" s="254"/>
    </row>
    <row r="22" spans="1:11" ht="45.75" customHeight="1" x14ac:dyDescent="0.35">
      <c r="A22" s="16" t="s">
        <v>83</v>
      </c>
      <c r="B22" s="16"/>
      <c r="C22" s="17" t="s">
        <v>487</v>
      </c>
      <c r="D22" s="17" t="s">
        <v>488</v>
      </c>
      <c r="E22" s="17" t="s">
        <v>489</v>
      </c>
      <c r="F22" s="104" t="s">
        <v>490</v>
      </c>
      <c r="G22" s="17" t="s">
        <v>491</v>
      </c>
      <c r="H22" s="261"/>
      <c r="I22" s="254"/>
      <c r="J22" s="254"/>
      <c r="K22" s="254"/>
    </row>
    <row r="23" spans="1:11" ht="45.75" customHeight="1" x14ac:dyDescent="0.35">
      <c r="A23" s="16" t="s">
        <v>92</v>
      </c>
      <c r="B23" s="16"/>
      <c r="C23" s="17" t="s">
        <v>86</v>
      </c>
      <c r="D23" s="17" t="s">
        <v>492</v>
      </c>
      <c r="E23" s="17" t="s">
        <v>493</v>
      </c>
      <c r="F23" s="104" t="s">
        <v>96</v>
      </c>
      <c r="G23" s="17" t="s">
        <v>494</v>
      </c>
      <c r="H23" s="261"/>
      <c r="I23" s="254"/>
      <c r="J23" s="254"/>
      <c r="K23" s="254"/>
    </row>
    <row r="24" spans="1:11" ht="45.75" customHeight="1" x14ac:dyDescent="0.35">
      <c r="A24" s="58" t="s">
        <v>105</v>
      </c>
      <c r="B24" s="58"/>
      <c r="C24" s="17" t="s">
        <v>86</v>
      </c>
      <c r="D24" s="17" t="s">
        <v>492</v>
      </c>
      <c r="E24" s="17" t="s">
        <v>495</v>
      </c>
      <c r="F24" s="104" t="s">
        <v>496</v>
      </c>
      <c r="G24" s="57" t="s">
        <v>497</v>
      </c>
      <c r="H24" s="261"/>
      <c r="I24" s="254"/>
      <c r="J24" s="254"/>
      <c r="K24" s="254"/>
    </row>
    <row r="25" spans="1:11" ht="45.75" customHeight="1" x14ac:dyDescent="0.35">
      <c r="A25" s="32">
        <v>45002</v>
      </c>
      <c r="B25" s="454"/>
      <c r="C25" s="87" t="s">
        <v>498</v>
      </c>
      <c r="D25" s="313"/>
      <c r="E25" s="88"/>
      <c r="F25" s="120"/>
      <c r="G25" s="82"/>
      <c r="H25" s="261"/>
      <c r="I25" s="254"/>
      <c r="J25" s="254"/>
      <c r="K25" s="254"/>
    </row>
    <row r="26" spans="1:11" ht="45.75" customHeight="1" x14ac:dyDescent="0.35">
      <c r="A26" s="58" t="s">
        <v>107</v>
      </c>
      <c r="B26" s="455"/>
      <c r="C26" s="87"/>
      <c r="D26" s="89" t="s">
        <v>106</v>
      </c>
      <c r="E26" s="88"/>
      <c r="F26" s="120"/>
      <c r="G26" s="82"/>
      <c r="H26" s="261"/>
      <c r="I26" s="254"/>
      <c r="J26" s="254"/>
      <c r="K26" s="254"/>
    </row>
    <row r="27" spans="1:11" ht="45.75" customHeight="1" x14ac:dyDescent="0.35">
      <c r="A27" s="16" t="s">
        <v>111</v>
      </c>
      <c r="B27" s="16"/>
      <c r="C27" s="17" t="s">
        <v>35</v>
      </c>
      <c r="D27" s="4" t="s">
        <v>499</v>
      </c>
      <c r="E27" s="4" t="s">
        <v>500</v>
      </c>
      <c r="F27" s="121"/>
      <c r="G27" s="17" t="s">
        <v>117</v>
      </c>
      <c r="H27" s="261"/>
      <c r="I27" s="254"/>
      <c r="J27" s="254"/>
      <c r="K27" s="254"/>
    </row>
    <row r="28" spans="1:11" ht="45.75" customHeight="1" x14ac:dyDescent="0.35">
      <c r="A28" s="58" t="s">
        <v>111</v>
      </c>
      <c r="B28" s="58"/>
      <c r="C28" s="17" t="s">
        <v>32</v>
      </c>
      <c r="D28" s="90" t="s">
        <v>501</v>
      </c>
      <c r="E28" s="4" t="s">
        <v>502</v>
      </c>
      <c r="F28" s="118" t="s">
        <v>503</v>
      </c>
      <c r="G28" s="17" t="s">
        <v>115</v>
      </c>
      <c r="H28" s="261"/>
      <c r="I28" s="254"/>
      <c r="J28" s="254"/>
      <c r="K28" s="254"/>
    </row>
    <row r="29" spans="1:11" ht="45.75" customHeight="1" x14ac:dyDescent="0.35">
      <c r="A29" s="16" t="s">
        <v>504</v>
      </c>
      <c r="B29" s="16"/>
      <c r="C29" s="17" t="s">
        <v>86</v>
      </c>
      <c r="D29" s="4" t="s">
        <v>505</v>
      </c>
      <c r="E29" s="4" t="s">
        <v>506</v>
      </c>
      <c r="F29" s="121"/>
      <c r="G29" s="4" t="s">
        <v>507</v>
      </c>
      <c r="H29" s="261"/>
      <c r="I29" s="254"/>
      <c r="J29" s="254"/>
      <c r="K29" s="254"/>
    </row>
    <row r="30" spans="1:11" ht="45.75" customHeight="1" x14ac:dyDescent="0.35">
      <c r="A30" s="16" t="s">
        <v>134</v>
      </c>
      <c r="B30" s="16"/>
      <c r="C30" s="17" t="s">
        <v>86</v>
      </c>
      <c r="D30" s="17" t="s">
        <v>470</v>
      </c>
      <c r="E30" s="17" t="s">
        <v>508</v>
      </c>
      <c r="F30" s="118" t="s">
        <v>509</v>
      </c>
      <c r="G30" s="17" t="s">
        <v>510</v>
      </c>
      <c r="H30" s="261"/>
      <c r="I30" s="254"/>
      <c r="J30" s="254"/>
      <c r="K30" s="254"/>
    </row>
    <row r="31" spans="1:11" ht="45.75" customHeight="1" x14ac:dyDescent="0.35">
      <c r="A31" s="58" t="s">
        <v>134</v>
      </c>
      <c r="B31" s="58"/>
      <c r="C31" s="17" t="s">
        <v>140</v>
      </c>
      <c r="D31" s="17" t="s">
        <v>511</v>
      </c>
      <c r="E31" s="17" t="s">
        <v>512</v>
      </c>
      <c r="F31" s="104" t="s">
        <v>509</v>
      </c>
      <c r="G31" s="17" t="s">
        <v>513</v>
      </c>
      <c r="H31" s="261"/>
      <c r="I31" s="254"/>
      <c r="J31" s="254"/>
      <c r="K31" s="254"/>
    </row>
    <row r="32" spans="1:11" ht="45.75" customHeight="1" x14ac:dyDescent="0.35">
      <c r="A32" s="58" t="s">
        <v>134</v>
      </c>
      <c r="B32" s="58"/>
      <c r="C32" s="17" t="s">
        <v>35</v>
      </c>
      <c r="D32" s="17" t="s">
        <v>514</v>
      </c>
      <c r="E32" s="17" t="s">
        <v>515</v>
      </c>
      <c r="F32" s="104"/>
      <c r="G32" s="65" t="s">
        <v>516</v>
      </c>
      <c r="H32" s="261"/>
      <c r="I32" s="254"/>
      <c r="J32" s="254"/>
      <c r="K32" s="254"/>
    </row>
    <row r="33" spans="1:11" ht="45.75" customHeight="1" x14ac:dyDescent="0.35">
      <c r="A33" s="16" t="s">
        <v>144</v>
      </c>
      <c r="B33" s="16"/>
      <c r="C33" s="17" t="s">
        <v>32</v>
      </c>
      <c r="D33" s="17" t="s">
        <v>467</v>
      </c>
      <c r="E33" s="17" t="s">
        <v>517</v>
      </c>
      <c r="F33" s="104"/>
      <c r="G33" s="17" t="s">
        <v>518</v>
      </c>
      <c r="H33" s="261"/>
      <c r="I33" s="254"/>
      <c r="J33" s="254"/>
      <c r="K33" s="254"/>
    </row>
    <row r="34" spans="1:11" ht="45.75" customHeight="1" x14ac:dyDescent="0.35">
      <c r="A34" s="16" t="s">
        <v>151</v>
      </c>
      <c r="B34" s="16"/>
      <c r="C34" s="17" t="s">
        <v>35</v>
      </c>
      <c r="D34" s="17" t="s">
        <v>301</v>
      </c>
      <c r="E34" s="17" t="s">
        <v>519</v>
      </c>
      <c r="F34" s="104"/>
      <c r="G34" s="17" t="s">
        <v>520</v>
      </c>
      <c r="H34" s="261"/>
      <c r="I34" s="254"/>
      <c r="J34" s="254"/>
      <c r="K34" s="254"/>
    </row>
    <row r="35" spans="1:11" ht="45.75" customHeight="1" x14ac:dyDescent="0.35">
      <c r="A35" s="16" t="s">
        <v>160</v>
      </c>
      <c r="B35" s="16"/>
      <c r="C35" s="17" t="s">
        <v>86</v>
      </c>
      <c r="D35" s="17" t="s">
        <v>521</v>
      </c>
      <c r="E35" s="17" t="s">
        <v>522</v>
      </c>
      <c r="F35" s="104" t="s">
        <v>523</v>
      </c>
      <c r="G35" s="17" t="s">
        <v>524</v>
      </c>
      <c r="H35" s="261">
        <v>2073</v>
      </c>
      <c r="I35" s="254">
        <v>473</v>
      </c>
      <c r="J35" s="254"/>
      <c r="K35" s="254">
        <v>110</v>
      </c>
    </row>
    <row r="36" spans="1:11" ht="45.75" customHeight="1" x14ac:dyDescent="0.35">
      <c r="A36" s="16" t="s">
        <v>169</v>
      </c>
      <c r="B36" s="16"/>
      <c r="C36" s="17" t="s">
        <v>35</v>
      </c>
      <c r="D36" s="17" t="s">
        <v>525</v>
      </c>
      <c r="E36" s="17" t="s">
        <v>526</v>
      </c>
      <c r="F36" s="104" t="s">
        <v>527</v>
      </c>
      <c r="G36" s="17" t="s">
        <v>179</v>
      </c>
      <c r="H36" s="261" t="s">
        <v>528</v>
      </c>
      <c r="I36" s="254" t="s">
        <v>529</v>
      </c>
      <c r="J36" s="254"/>
      <c r="K36" s="254">
        <v>7.1</v>
      </c>
    </row>
    <row r="37" spans="1:11" ht="45.75" customHeight="1" x14ac:dyDescent="0.35">
      <c r="A37" s="58" t="s">
        <v>180</v>
      </c>
      <c r="B37" s="58"/>
      <c r="C37" s="17" t="s">
        <v>35</v>
      </c>
      <c r="D37" s="17" t="s">
        <v>514</v>
      </c>
      <c r="E37" s="128" t="s">
        <v>530</v>
      </c>
      <c r="F37" s="104"/>
      <c r="G37" s="65" t="s">
        <v>516</v>
      </c>
      <c r="H37" s="261">
        <v>93</v>
      </c>
      <c r="I37" s="254">
        <v>53</v>
      </c>
      <c r="J37" s="254"/>
      <c r="K37" s="254">
        <v>19</v>
      </c>
    </row>
    <row r="38" spans="1:11" ht="45.75" customHeight="1" x14ac:dyDescent="0.35">
      <c r="A38" s="16" t="s">
        <v>180</v>
      </c>
      <c r="B38" s="16"/>
      <c r="C38" s="17" t="s">
        <v>86</v>
      </c>
      <c r="D38" s="17" t="s">
        <v>521</v>
      </c>
      <c r="E38" s="17" t="s">
        <v>531</v>
      </c>
      <c r="F38" s="104" t="s">
        <v>532</v>
      </c>
      <c r="G38" s="17" t="s">
        <v>533</v>
      </c>
      <c r="H38" s="261">
        <v>2103</v>
      </c>
      <c r="I38" s="254">
        <v>462</v>
      </c>
      <c r="J38" s="254"/>
      <c r="K38" s="254">
        <v>103</v>
      </c>
    </row>
    <row r="39" spans="1:11" ht="45.75" customHeight="1" x14ac:dyDescent="0.35">
      <c r="A39" s="16" t="s">
        <v>180</v>
      </c>
      <c r="B39" s="16"/>
      <c r="C39" s="17" t="s">
        <v>32</v>
      </c>
      <c r="D39" s="17" t="s">
        <v>534</v>
      </c>
      <c r="E39" s="63" t="s">
        <v>535</v>
      </c>
      <c r="F39" s="104"/>
      <c r="G39" s="17"/>
      <c r="H39" s="261">
        <v>93</v>
      </c>
      <c r="I39" s="254">
        <v>28</v>
      </c>
      <c r="J39" s="254"/>
      <c r="K39" s="254">
        <v>7</v>
      </c>
    </row>
    <row r="40" spans="1:11" ht="45.75" customHeight="1" x14ac:dyDescent="0.35">
      <c r="A40" s="130" t="s">
        <v>189</v>
      </c>
      <c r="B40" s="130"/>
      <c r="C40" s="17" t="s">
        <v>86</v>
      </c>
      <c r="D40" s="104" t="s">
        <v>536</v>
      </c>
      <c r="E40" s="64" t="s">
        <v>537</v>
      </c>
      <c r="F40" s="104"/>
      <c r="G40" s="129" t="s">
        <v>192</v>
      </c>
      <c r="H40" s="261">
        <v>2107</v>
      </c>
      <c r="I40" s="254">
        <v>541</v>
      </c>
      <c r="J40" s="254"/>
      <c r="K40" s="254">
        <v>182</v>
      </c>
    </row>
    <row r="41" spans="1:11" ht="45.75" customHeight="1" x14ac:dyDescent="0.35">
      <c r="A41" s="16" t="s">
        <v>538</v>
      </c>
      <c r="B41" s="16"/>
      <c r="C41" s="17" t="s">
        <v>86</v>
      </c>
      <c r="D41" s="17" t="s">
        <v>539</v>
      </c>
      <c r="E41" s="105" t="s">
        <v>540</v>
      </c>
      <c r="F41" s="116" t="s">
        <v>541</v>
      </c>
      <c r="G41" s="63" t="s">
        <v>542</v>
      </c>
      <c r="H41" s="261" t="s">
        <v>543</v>
      </c>
      <c r="I41" s="254" t="s">
        <v>544</v>
      </c>
      <c r="J41" s="254"/>
      <c r="K41" s="254" t="s">
        <v>545</v>
      </c>
    </row>
    <row r="42" spans="1:11" ht="45.75" customHeight="1" x14ac:dyDescent="0.35">
      <c r="A42" s="16" t="s">
        <v>201</v>
      </c>
      <c r="B42" s="16"/>
      <c r="C42" s="17" t="s">
        <v>86</v>
      </c>
      <c r="D42" s="17" t="s">
        <v>546</v>
      </c>
      <c r="E42" s="117" t="s">
        <v>547</v>
      </c>
      <c r="F42" s="64"/>
      <c r="G42" s="154" t="s">
        <v>548</v>
      </c>
      <c r="H42" s="262">
        <v>2086</v>
      </c>
      <c r="I42" s="254">
        <v>547</v>
      </c>
      <c r="J42" s="254"/>
      <c r="K42" s="254">
        <v>140</v>
      </c>
    </row>
    <row r="43" spans="1:11" ht="45.75" customHeight="1" x14ac:dyDescent="0.35">
      <c r="A43" s="16" t="s">
        <v>205</v>
      </c>
      <c r="B43" s="453"/>
      <c r="C43" s="108" t="s">
        <v>86</v>
      </c>
      <c r="D43" s="108" t="s">
        <v>549</v>
      </c>
      <c r="E43" s="146" t="s">
        <v>550</v>
      </c>
      <c r="F43" s="64"/>
      <c r="G43" s="156" t="s">
        <v>551</v>
      </c>
      <c r="H43" s="262">
        <v>2085</v>
      </c>
      <c r="I43" s="254">
        <v>386</v>
      </c>
      <c r="J43" s="254"/>
      <c r="K43" s="254">
        <v>17</v>
      </c>
    </row>
    <row r="44" spans="1:11" ht="45.75" customHeight="1" x14ac:dyDescent="0.35">
      <c r="A44" s="16" t="s">
        <v>205</v>
      </c>
      <c r="B44" s="16"/>
      <c r="C44" s="17" t="s">
        <v>35</v>
      </c>
      <c r="D44" s="17" t="s">
        <v>552</v>
      </c>
      <c r="E44" s="155" t="s">
        <v>553</v>
      </c>
      <c r="F44" s="177" t="s">
        <v>554</v>
      </c>
      <c r="G44" s="105" t="s">
        <v>555</v>
      </c>
      <c r="H44" s="261" t="s">
        <v>556</v>
      </c>
      <c r="I44" s="254" t="s">
        <v>557</v>
      </c>
      <c r="J44" s="254"/>
      <c r="K44" s="254" t="s">
        <v>558</v>
      </c>
    </row>
    <row r="45" spans="1:11" ht="45.75" customHeight="1" x14ac:dyDescent="0.35">
      <c r="A45" s="16" t="s">
        <v>213</v>
      </c>
      <c r="B45" s="16"/>
      <c r="C45" s="17" t="s">
        <v>32</v>
      </c>
      <c r="D45" s="17" t="s">
        <v>559</v>
      </c>
      <c r="E45" s="17" t="s">
        <v>560</v>
      </c>
      <c r="F45" s="176" t="s">
        <v>561</v>
      </c>
      <c r="G45" s="17" t="s">
        <v>562</v>
      </c>
      <c r="H45" s="263" t="s">
        <v>563</v>
      </c>
      <c r="I45" s="264" t="s">
        <v>564</v>
      </c>
      <c r="J45" s="264"/>
      <c r="K45" s="264" t="s">
        <v>565</v>
      </c>
    </row>
    <row r="46" spans="1:11" ht="45.75" customHeight="1" x14ac:dyDescent="0.35">
      <c r="A46" s="16" t="s">
        <v>221</v>
      </c>
      <c r="B46" s="16"/>
      <c r="C46" s="17" t="s">
        <v>86</v>
      </c>
      <c r="D46" s="17" t="s">
        <v>521</v>
      </c>
      <c r="E46" s="17" t="s">
        <v>566</v>
      </c>
      <c r="F46" s="176" t="s">
        <v>567</v>
      </c>
      <c r="G46" s="17" t="s">
        <v>227</v>
      </c>
      <c r="H46" s="261">
        <v>2072</v>
      </c>
      <c r="I46" s="254">
        <v>552</v>
      </c>
      <c r="J46" s="254"/>
      <c r="K46" s="254">
        <v>212</v>
      </c>
    </row>
    <row r="47" spans="1:11" s="106" customFormat="1" ht="45.75" customHeight="1" x14ac:dyDescent="0.35">
      <c r="A47" s="314" t="s">
        <v>229</v>
      </c>
      <c r="B47" s="315"/>
      <c r="C47" s="315"/>
      <c r="D47" s="315"/>
      <c r="E47" s="315"/>
      <c r="F47" s="157"/>
      <c r="G47" s="316"/>
      <c r="H47" s="265"/>
      <c r="I47" s="266"/>
      <c r="J47" s="266"/>
      <c r="K47" s="266"/>
    </row>
    <row r="48" spans="1:11" ht="45.75" customHeight="1" x14ac:dyDescent="0.35">
      <c r="A48" s="38" t="s">
        <v>568</v>
      </c>
      <c r="B48" s="456"/>
      <c r="C48" s="112" t="s">
        <v>569</v>
      </c>
      <c r="D48" s="308"/>
      <c r="E48" s="309"/>
      <c r="F48" s="112"/>
      <c r="G48" s="45"/>
      <c r="H48" s="261"/>
      <c r="I48" s="254"/>
      <c r="J48" s="254"/>
      <c r="K48" s="254"/>
    </row>
    <row r="49" spans="1:11" ht="45.75" customHeight="1" x14ac:dyDescent="0.35">
      <c r="A49" s="16" t="s">
        <v>230</v>
      </c>
      <c r="B49" s="453"/>
      <c r="C49" s="108" t="s">
        <v>86</v>
      </c>
      <c r="D49" s="108" t="s">
        <v>549</v>
      </c>
      <c r="E49" s="108" t="s">
        <v>570</v>
      </c>
      <c r="F49" s="151"/>
      <c r="G49" s="150">
        <v>45119</v>
      </c>
      <c r="H49" s="261">
        <v>2072</v>
      </c>
      <c r="I49" s="254">
        <v>463</v>
      </c>
      <c r="J49" s="254"/>
      <c r="K49" s="254">
        <v>99</v>
      </c>
    </row>
    <row r="50" spans="1:11" ht="45.75" customHeight="1" x14ac:dyDescent="0.35">
      <c r="A50" s="70" t="s">
        <v>236</v>
      </c>
      <c r="B50" s="453"/>
      <c r="C50" s="108" t="s">
        <v>86</v>
      </c>
      <c r="D50" s="108" t="s">
        <v>571</v>
      </c>
      <c r="E50" s="108" t="s">
        <v>572</v>
      </c>
      <c r="F50" s="104" t="s">
        <v>573</v>
      </c>
      <c r="G50" s="186" t="s">
        <v>574</v>
      </c>
      <c r="H50" s="261">
        <v>2068</v>
      </c>
      <c r="I50" s="254">
        <v>496</v>
      </c>
      <c r="J50" s="254"/>
      <c r="K50" s="254">
        <v>89</v>
      </c>
    </row>
    <row r="51" spans="1:11" ht="45.75" customHeight="1" x14ac:dyDescent="0.35">
      <c r="A51" s="70" t="s">
        <v>242</v>
      </c>
      <c r="B51" s="453"/>
      <c r="C51" s="187" t="s">
        <v>224</v>
      </c>
      <c r="D51" s="108" t="s">
        <v>575</v>
      </c>
      <c r="E51" s="188" t="s">
        <v>576</v>
      </c>
      <c r="F51" s="152"/>
      <c r="G51" s="108" t="s">
        <v>577</v>
      </c>
      <c r="H51" s="261">
        <v>204</v>
      </c>
      <c r="I51" s="254">
        <v>104</v>
      </c>
      <c r="J51" s="254"/>
      <c r="K51" s="254">
        <v>31</v>
      </c>
    </row>
    <row r="52" spans="1:11" ht="45.75" customHeight="1" x14ac:dyDescent="0.35">
      <c r="A52" s="109" t="s">
        <v>254</v>
      </c>
      <c r="B52" s="109"/>
      <c r="C52" s="196" t="s">
        <v>578</v>
      </c>
      <c r="D52" s="197" t="s">
        <v>579</v>
      </c>
      <c r="E52" s="198" t="s">
        <v>580</v>
      </c>
      <c r="F52" s="116"/>
      <c r="G52" s="186" t="s">
        <v>581</v>
      </c>
      <c r="H52" s="261">
        <v>13</v>
      </c>
      <c r="I52" s="254">
        <v>5</v>
      </c>
      <c r="J52" s="254"/>
      <c r="K52" s="254">
        <v>3</v>
      </c>
    </row>
    <row r="53" spans="1:11" ht="45.75" customHeight="1" x14ac:dyDescent="0.35">
      <c r="A53" s="109" t="s">
        <v>254</v>
      </c>
      <c r="B53" s="204"/>
      <c r="C53" s="199" t="s">
        <v>582</v>
      </c>
      <c r="D53" s="196" t="s">
        <v>579</v>
      </c>
      <c r="E53" s="196" t="s">
        <v>580</v>
      </c>
      <c r="F53" s="64"/>
      <c r="G53" s="64" t="s">
        <v>581</v>
      </c>
      <c r="H53" s="262">
        <v>110</v>
      </c>
      <c r="I53" s="254">
        <v>73</v>
      </c>
      <c r="J53" s="254"/>
      <c r="K53" s="254">
        <v>33</v>
      </c>
    </row>
    <row r="54" spans="1:11" ht="45.75" customHeight="1" x14ac:dyDescent="0.35">
      <c r="A54" s="30" t="s">
        <v>583</v>
      </c>
      <c r="B54" s="457"/>
      <c r="C54" s="179" t="s">
        <v>584</v>
      </c>
      <c r="D54" s="310"/>
      <c r="E54" s="311"/>
      <c r="F54" s="179"/>
      <c r="G54" s="189"/>
      <c r="H54" s="258"/>
      <c r="I54" s="258"/>
      <c r="J54" s="258"/>
      <c r="K54" s="258"/>
    </row>
    <row r="55" spans="1:11" ht="45.75" customHeight="1" x14ac:dyDescent="0.35">
      <c r="A55" s="109" t="s">
        <v>264</v>
      </c>
      <c r="B55" s="109"/>
      <c r="C55" s="196" t="s">
        <v>578</v>
      </c>
      <c r="D55" s="197" t="s">
        <v>579</v>
      </c>
      <c r="E55" s="198" t="s">
        <v>585</v>
      </c>
      <c r="F55" s="116"/>
      <c r="G55" s="186" t="s">
        <v>586</v>
      </c>
      <c r="H55" s="261"/>
      <c r="I55" s="254"/>
      <c r="J55" s="254"/>
      <c r="K55" s="254"/>
    </row>
    <row r="56" spans="1:11" ht="45.75" customHeight="1" x14ac:dyDescent="0.35">
      <c r="A56" s="109" t="s">
        <v>264</v>
      </c>
      <c r="B56" s="204"/>
      <c r="C56" s="199" t="s">
        <v>582</v>
      </c>
      <c r="D56" s="196" t="s">
        <v>579</v>
      </c>
      <c r="E56" s="196" t="s">
        <v>585</v>
      </c>
      <c r="F56" s="64"/>
      <c r="G56" s="186" t="s">
        <v>586</v>
      </c>
      <c r="H56" s="262"/>
      <c r="I56" s="254"/>
      <c r="J56" s="254"/>
      <c r="K56" s="254"/>
    </row>
    <row r="57" spans="1:11" ht="45.75" customHeight="1" x14ac:dyDescent="0.35">
      <c r="A57" s="110" t="s">
        <v>587</v>
      </c>
      <c r="B57" s="110"/>
      <c r="C57" s="63" t="s">
        <v>588</v>
      </c>
      <c r="D57" s="63" t="s">
        <v>589</v>
      </c>
      <c r="E57" s="63" t="s">
        <v>590</v>
      </c>
      <c r="F57" s="116"/>
      <c r="G57" s="63"/>
      <c r="H57" s="261"/>
      <c r="I57" s="254"/>
      <c r="J57" s="254"/>
      <c r="K57" s="254"/>
    </row>
    <row r="58" spans="1:11" ht="45.75" customHeight="1" x14ac:dyDescent="0.35">
      <c r="A58" s="109" t="s">
        <v>587</v>
      </c>
      <c r="B58" s="458"/>
      <c r="C58" s="111" t="s">
        <v>86</v>
      </c>
      <c r="D58" s="64" t="s">
        <v>591</v>
      </c>
      <c r="E58" s="64" t="s">
        <v>592</v>
      </c>
      <c r="F58" s="117" t="s">
        <v>593</v>
      </c>
      <c r="G58" s="64" t="s">
        <v>594</v>
      </c>
      <c r="H58" s="261">
        <v>2039</v>
      </c>
      <c r="I58" s="254">
        <v>597</v>
      </c>
      <c r="J58" s="254"/>
      <c r="K58" s="254">
        <v>237</v>
      </c>
    </row>
    <row r="59" spans="1:11" ht="45.75" customHeight="1" x14ac:dyDescent="0.35">
      <c r="A59" s="109" t="s">
        <v>595</v>
      </c>
      <c r="B59" s="453"/>
      <c r="C59" s="17" t="s">
        <v>86</v>
      </c>
      <c r="D59" s="104" t="s">
        <v>521</v>
      </c>
      <c r="E59" s="64" t="s">
        <v>521</v>
      </c>
      <c r="F59" s="117" t="s">
        <v>596</v>
      </c>
      <c r="G59" s="111" t="s">
        <v>597</v>
      </c>
      <c r="H59" s="267">
        <v>2066</v>
      </c>
      <c r="I59" s="268">
        <v>778</v>
      </c>
      <c r="J59" s="268"/>
      <c r="K59" s="268">
        <v>474</v>
      </c>
    </row>
    <row r="60" spans="1:11" ht="45.75" customHeight="1" x14ac:dyDescent="0.35">
      <c r="A60" s="144" t="s">
        <v>598</v>
      </c>
      <c r="B60" s="453"/>
      <c r="C60" s="198" t="s">
        <v>32</v>
      </c>
      <c r="D60" s="198" t="s">
        <v>599</v>
      </c>
      <c r="E60" s="203" t="s">
        <v>600</v>
      </c>
      <c r="F60" s="64" t="s">
        <v>601</v>
      </c>
      <c r="G60" s="64" t="s">
        <v>602</v>
      </c>
      <c r="H60" s="261" t="s">
        <v>603</v>
      </c>
      <c r="I60" s="264" t="s">
        <v>604</v>
      </c>
      <c r="J60" s="264"/>
      <c r="K60" s="264" t="s">
        <v>605</v>
      </c>
    </row>
    <row r="61" spans="1:11" ht="45.75" customHeight="1" x14ac:dyDescent="0.35">
      <c r="A61" s="206" t="s">
        <v>289</v>
      </c>
      <c r="B61" s="459"/>
      <c r="C61" s="317" t="s">
        <v>290</v>
      </c>
      <c r="D61" s="318"/>
      <c r="E61" s="319"/>
      <c r="F61" s="207"/>
      <c r="G61" s="214"/>
      <c r="H61" s="269"/>
      <c r="I61" s="257"/>
      <c r="J61" s="257"/>
      <c r="K61" s="257"/>
    </row>
    <row r="62" spans="1:11" ht="45.75" customHeight="1" x14ac:dyDescent="0.35">
      <c r="A62" s="204" t="s">
        <v>289</v>
      </c>
      <c r="B62" s="204"/>
      <c r="C62" s="64" t="s">
        <v>86</v>
      </c>
      <c r="D62" s="64" t="s">
        <v>549</v>
      </c>
      <c r="E62" s="64" t="s">
        <v>606</v>
      </c>
      <c r="F62" s="111"/>
      <c r="G62" s="64" t="s">
        <v>607</v>
      </c>
      <c r="H62" s="261">
        <v>2051</v>
      </c>
      <c r="I62" s="254">
        <v>408</v>
      </c>
      <c r="J62" s="254"/>
      <c r="K62" s="254">
        <v>17</v>
      </c>
    </row>
    <row r="63" spans="1:11" ht="45.75" customHeight="1" x14ac:dyDescent="0.35">
      <c r="A63" s="204" t="s">
        <v>608</v>
      </c>
      <c r="B63" s="204"/>
      <c r="C63" s="64" t="s">
        <v>86</v>
      </c>
      <c r="D63" s="64" t="s">
        <v>521</v>
      </c>
      <c r="E63" s="64" t="s">
        <v>521</v>
      </c>
      <c r="F63" s="111"/>
      <c r="G63" s="64" t="s">
        <v>609</v>
      </c>
      <c r="H63" s="256">
        <v>2040</v>
      </c>
      <c r="I63" s="257">
        <v>384</v>
      </c>
      <c r="J63" s="257"/>
      <c r="K63" s="257">
        <v>21</v>
      </c>
    </row>
    <row r="64" spans="1:11" s="211" customFormat="1" ht="45.75" customHeight="1" x14ac:dyDescent="0.35">
      <c r="A64" s="212" t="s">
        <v>610</v>
      </c>
      <c r="B64" s="460"/>
      <c r="C64" s="320" t="s">
        <v>611</v>
      </c>
      <c r="D64" s="320"/>
      <c r="E64" s="320"/>
      <c r="F64" s="213"/>
      <c r="G64" s="215"/>
      <c r="H64" s="270"/>
      <c r="I64" s="271"/>
      <c r="J64" s="271"/>
      <c r="K64" s="271"/>
    </row>
    <row r="65" spans="1:11" ht="45.75" customHeight="1" x14ac:dyDescent="0.35">
      <c r="A65" s="32">
        <v>45198</v>
      </c>
      <c r="B65" s="454"/>
      <c r="C65" s="142" t="s">
        <v>612</v>
      </c>
      <c r="D65" s="306"/>
      <c r="E65" s="216"/>
      <c r="F65" s="142"/>
      <c r="G65" s="145"/>
      <c r="H65" s="269"/>
      <c r="I65" s="257"/>
      <c r="J65" s="257"/>
      <c r="K65" s="257"/>
    </row>
    <row r="66" spans="1:11" s="211" customFormat="1" ht="45.75" customHeight="1" x14ac:dyDescent="0.35">
      <c r="A66" s="208" t="s">
        <v>318</v>
      </c>
      <c r="B66" s="460"/>
      <c r="C66" s="321" t="s">
        <v>611</v>
      </c>
      <c r="D66" s="321"/>
      <c r="E66" s="321"/>
      <c r="F66" s="210"/>
      <c r="G66" s="209"/>
      <c r="H66" s="271"/>
      <c r="I66" s="271"/>
      <c r="J66" s="271"/>
      <c r="K66" s="271"/>
    </row>
    <row r="67" spans="1:11" ht="45.75" customHeight="1" x14ac:dyDescent="0.35">
      <c r="A67" s="444" t="s">
        <v>318</v>
      </c>
      <c r="B67" s="444"/>
      <c r="C67" s="351"/>
      <c r="D67" s="351"/>
      <c r="E67" s="351" t="s">
        <v>613</v>
      </c>
      <c r="F67" s="445" t="s">
        <v>614</v>
      </c>
      <c r="G67" s="354" t="s">
        <v>615</v>
      </c>
      <c r="H67" s="256"/>
      <c r="I67" s="257"/>
      <c r="J67" s="257"/>
      <c r="K67" s="257"/>
    </row>
    <row r="68" spans="1:11" ht="45.75" customHeight="1" x14ac:dyDescent="0.35">
      <c r="A68" s="554" t="s">
        <v>329</v>
      </c>
      <c r="B68" s="554"/>
      <c r="C68" s="351" t="s">
        <v>616</v>
      </c>
      <c r="D68" s="351" t="s">
        <v>617</v>
      </c>
      <c r="E68" s="353" t="s">
        <v>618</v>
      </c>
      <c r="F68" s="438" t="s">
        <v>619</v>
      </c>
      <c r="G68" s="351" t="s">
        <v>620</v>
      </c>
      <c r="H68" s="262" t="s">
        <v>621</v>
      </c>
      <c r="I68" s="261" t="s">
        <v>622</v>
      </c>
      <c r="J68" s="261"/>
      <c r="K68" s="261" t="s">
        <v>623</v>
      </c>
    </row>
    <row r="69" spans="1:11" ht="45.75" customHeight="1" x14ac:dyDescent="0.35">
      <c r="A69" s="437" t="s">
        <v>349</v>
      </c>
      <c r="B69" s="437"/>
      <c r="C69" s="365" t="s">
        <v>86</v>
      </c>
      <c r="D69" s="351" t="s">
        <v>505</v>
      </c>
      <c r="E69" s="353" t="s">
        <v>624</v>
      </c>
      <c r="F69" s="438" t="s">
        <v>625</v>
      </c>
      <c r="G69" s="351" t="s">
        <v>626</v>
      </c>
      <c r="H69" s="323"/>
      <c r="I69" s="322"/>
      <c r="J69" s="322"/>
      <c r="K69" s="254"/>
    </row>
    <row r="70" spans="1:11" ht="45.75" customHeight="1" x14ac:dyDescent="0.35">
      <c r="A70" s="610" t="s">
        <v>376</v>
      </c>
      <c r="B70" s="611" t="s">
        <v>627</v>
      </c>
      <c r="C70" s="351" t="s">
        <v>164</v>
      </c>
      <c r="D70" s="351" t="s">
        <v>628</v>
      </c>
      <c r="E70" s="351" t="s">
        <v>629</v>
      </c>
      <c r="F70" s="555" t="s">
        <v>630</v>
      </c>
      <c r="G70" s="349" t="s">
        <v>631</v>
      </c>
      <c r="H70" s="440">
        <v>108</v>
      </c>
      <c r="I70" s="379">
        <v>35</v>
      </c>
      <c r="J70" s="379"/>
      <c r="K70" s="379">
        <v>0</v>
      </c>
    </row>
    <row r="71" spans="1:11" ht="45.75" customHeight="1" x14ac:dyDescent="0.35">
      <c r="A71" s="454" t="s">
        <v>389</v>
      </c>
      <c r="B71" s="302"/>
      <c r="C71" s="1993" t="s">
        <v>390</v>
      </c>
      <c r="D71" s="1993"/>
      <c r="E71" s="1993"/>
      <c r="F71" s="1993"/>
      <c r="G71" s="1994"/>
      <c r="H71" s="261"/>
      <c r="I71" s="254"/>
      <c r="J71" s="254"/>
      <c r="K71" s="254"/>
    </row>
    <row r="72" spans="1:11" ht="45.75" customHeight="1" x14ac:dyDescent="0.35">
      <c r="A72" s="446" t="s">
        <v>391</v>
      </c>
      <c r="B72" s="437" t="s">
        <v>632</v>
      </c>
      <c r="C72" s="365" t="s">
        <v>86</v>
      </c>
      <c r="D72" s="351" t="s">
        <v>549</v>
      </c>
      <c r="E72" s="353" t="s">
        <v>606</v>
      </c>
      <c r="F72" s="354"/>
      <c r="G72" s="575" t="s">
        <v>633</v>
      </c>
      <c r="H72" s="556">
        <v>2034</v>
      </c>
      <c r="I72" s="379">
        <v>791</v>
      </c>
      <c r="J72" s="379"/>
      <c r="K72" s="379">
        <v>36</v>
      </c>
    </row>
    <row r="73" spans="1:11" ht="45.75" customHeight="1" x14ac:dyDescent="0.35">
      <c r="A73" s="444" t="s">
        <v>395</v>
      </c>
      <c r="B73" s="554">
        <v>45267</v>
      </c>
      <c r="C73" s="395" t="s">
        <v>164</v>
      </c>
      <c r="D73" s="354" t="s">
        <v>634</v>
      </c>
      <c r="E73" s="576" t="s">
        <v>635</v>
      </c>
      <c r="F73" s="577" t="s">
        <v>636</v>
      </c>
      <c r="G73" s="481" t="s">
        <v>637</v>
      </c>
      <c r="H73" s="556">
        <v>2030</v>
      </c>
      <c r="I73" s="379">
        <v>830</v>
      </c>
      <c r="J73" s="379"/>
      <c r="K73" s="379">
        <v>40</v>
      </c>
    </row>
    <row r="74" spans="1:11" ht="45.75" customHeight="1" x14ac:dyDescent="0.35">
      <c r="A74" s="444" t="s">
        <v>407</v>
      </c>
      <c r="B74" s="437"/>
      <c r="C74" s="351" t="s">
        <v>638</v>
      </c>
      <c r="D74" s="351" t="s">
        <v>634</v>
      </c>
      <c r="E74" s="351" t="s">
        <v>635</v>
      </c>
      <c r="F74" s="438" t="s">
        <v>636</v>
      </c>
      <c r="G74" s="605" t="s">
        <v>639</v>
      </c>
      <c r="H74" s="556">
        <v>1145</v>
      </c>
      <c r="I74" s="379">
        <v>114</v>
      </c>
      <c r="J74" s="608">
        <f>I74/H74</f>
        <v>9.9563318777292575E-2</v>
      </c>
      <c r="K74" s="379">
        <v>2</v>
      </c>
    </row>
    <row r="75" spans="1:11" s="568" customFormat="1" ht="45.75" customHeight="1" x14ac:dyDescent="0.35">
      <c r="A75" s="567" t="s">
        <v>419</v>
      </c>
      <c r="B75" s="109">
        <v>45279</v>
      </c>
      <c r="C75" s="482" t="s">
        <v>86</v>
      </c>
      <c r="D75" s="482" t="s">
        <v>640</v>
      </c>
      <c r="E75" s="482"/>
      <c r="F75" s="482"/>
      <c r="G75" s="569"/>
      <c r="H75" s="323"/>
      <c r="I75" s="322"/>
      <c r="J75" s="322"/>
      <c r="K75" s="322"/>
    </row>
    <row r="76" spans="1:11" ht="45.75" customHeight="1" x14ac:dyDescent="0.35">
      <c r="A76" s="454" t="s">
        <v>424</v>
      </c>
      <c r="B76" s="1995" t="s">
        <v>425</v>
      </c>
      <c r="C76" s="1995"/>
      <c r="D76" s="1995"/>
      <c r="E76" s="1995"/>
      <c r="F76" s="462"/>
      <c r="G76" s="463"/>
      <c r="H76" s="261"/>
      <c r="I76" s="254"/>
      <c r="J76" s="254"/>
      <c r="K76" s="254"/>
    </row>
  </sheetData>
  <autoFilter ref="A2:E2" xr:uid="{00000000-0009-0000-0000-000001000000}">
    <sortState xmlns:xlrd2="http://schemas.microsoft.com/office/spreadsheetml/2017/richdata2" ref="A3:E18">
      <sortCondition ref="A2"/>
    </sortState>
  </autoFilter>
  <mergeCells count="2">
    <mergeCell ref="C71:G71"/>
    <mergeCell ref="B76:E76"/>
  </mergeCells>
  <hyperlinks>
    <hyperlink ref="F45" r:id="rId1" xr:uid="{1EAAE36E-1E41-4D3B-B541-AC1FDBA144AB}"/>
    <hyperlink ref="F44" r:id="rId2" xr:uid="{93848F09-46F3-40BB-AB48-4CC26200ACC4}"/>
    <hyperlink ref="F46" r:id="rId3" xr:uid="{585CB83C-B016-4951-A27F-6CC1CFABD92D}"/>
    <hyperlink ref="F67" r:id="rId4" xr:uid="{E27211C7-50F2-410D-B2E1-C682F9778DA0}"/>
    <hyperlink ref="F68" r:id="rId5" xr:uid="{3E694499-2049-43BA-9DA5-D0A6F2D524A5}"/>
    <hyperlink ref="F69" r:id="rId6" xr:uid="{9027092A-2AE4-4379-BA49-85A1E95D2EAE}"/>
    <hyperlink ref="F70" r:id="rId7" xr:uid="{06B85CEE-AFE3-4E9D-877C-2C63621C67B2}"/>
    <hyperlink ref="F73" r:id="rId8" xr:uid="{1E06B5A9-47DE-46AF-98B5-44C714D980DB}"/>
    <hyperlink ref="F74" r:id="rId9" xr:uid="{4A402848-6200-471F-9D3A-7BC50F956136}"/>
  </hyperlinks>
  <printOptions horizontalCentered="1" verticalCentered="1"/>
  <pageMargins left="0.75" right="0.75" top="0.75" bottom="0.7" header="0.5" footer="0.5"/>
  <pageSetup scale="57" fitToWidth="0" fitToHeight="0" orientation="portrait" horizontalDpi="4294967292" verticalDpi="4294967292" r:id="rId10"/>
  <drawing r:id="rId11"/>
  <legacyDrawing r:id="rId12"/>
  <legacyDrawingHF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CCFC-BDA3-4B8E-A389-850F11F0FB36}">
  <sheetPr>
    <tabColor rgb="FFFFFF00"/>
  </sheetPr>
  <dimension ref="A1:U62"/>
  <sheetViews>
    <sheetView zoomScale="130" zoomScaleNormal="130" workbookViewId="0">
      <pane ySplit="2" topLeftCell="A47" activePane="bottomLeft" state="frozen"/>
      <selection pane="bottomLeft" activeCell="E34" sqref="E34"/>
    </sheetView>
  </sheetViews>
  <sheetFormatPr defaultColWidth="8.7265625" defaultRowHeight="13" x14ac:dyDescent="0.3"/>
  <cols>
    <col min="1" max="1" width="28.453125" style="15" customWidth="1"/>
    <col min="2" max="2" width="26.26953125" style="15" customWidth="1"/>
    <col min="3" max="3" width="24" style="15" customWidth="1"/>
    <col min="4" max="4" width="27.54296875" style="15" customWidth="1"/>
    <col min="5" max="5" width="26.81640625" style="13" customWidth="1"/>
    <col min="6" max="7" width="44.453125" style="14" customWidth="1"/>
    <col min="8" max="8" width="32.26953125" style="14" customWidth="1"/>
    <col min="9" max="9" width="22.26953125" style="612" bestFit="1" customWidth="1"/>
    <col min="10" max="11" width="22.26953125" style="612" customWidth="1"/>
    <col min="12" max="12" width="9.1796875" style="612"/>
    <col min="13" max="13" width="9.1796875" style="613"/>
    <col min="14" max="14" width="9.1796875" style="612"/>
    <col min="15" max="15" width="9.1796875" style="613"/>
    <col min="16" max="16" width="9.1796875" style="612"/>
    <col min="17" max="17" width="13.7265625" style="613" bestFit="1" customWidth="1"/>
    <col min="18" max="18" width="10" style="612" customWidth="1"/>
    <col min="19" max="19" width="8.7265625" style="613"/>
    <col min="20" max="16384" width="8.7265625" style="484"/>
  </cols>
  <sheetData>
    <row r="1" spans="1:21" ht="108" customHeight="1" x14ac:dyDescent="0.3">
      <c r="A1" s="484"/>
      <c r="B1" s="2012" t="s">
        <v>641</v>
      </c>
      <c r="C1" s="2012"/>
      <c r="D1" s="633" t="s">
        <v>642</v>
      </c>
      <c r="E1" s="563" t="s">
        <v>643</v>
      </c>
      <c r="F1" s="564" t="s">
        <v>644</v>
      </c>
      <c r="G1" s="564" t="s">
        <v>645</v>
      </c>
      <c r="H1" s="620"/>
    </row>
    <row r="2" spans="1:21" s="134" customFormat="1" ht="66" customHeight="1" x14ac:dyDescent="0.35">
      <c r="A2" s="645" t="s">
        <v>1</v>
      </c>
      <c r="B2" s="646" t="s">
        <v>646</v>
      </c>
      <c r="C2" s="647" t="s">
        <v>647</v>
      </c>
      <c r="D2" s="647" t="s">
        <v>648</v>
      </c>
      <c r="E2" s="647" t="s">
        <v>4</v>
      </c>
      <c r="F2" s="647" t="s">
        <v>5</v>
      </c>
      <c r="G2" s="647" t="s">
        <v>6</v>
      </c>
      <c r="H2" s="647" t="s">
        <v>7</v>
      </c>
      <c r="I2" s="647" t="s">
        <v>8</v>
      </c>
      <c r="J2" s="647" t="s">
        <v>649</v>
      </c>
      <c r="K2" s="647" t="s">
        <v>650</v>
      </c>
      <c r="L2" s="654" t="s">
        <v>651</v>
      </c>
      <c r="M2" s="647" t="s">
        <v>10</v>
      </c>
      <c r="N2" s="648" t="s">
        <v>11</v>
      </c>
      <c r="O2" s="647" t="s">
        <v>12</v>
      </c>
      <c r="P2" s="648" t="s">
        <v>652</v>
      </c>
      <c r="Q2" s="647" t="s">
        <v>653</v>
      </c>
      <c r="R2" s="648" t="s">
        <v>654</v>
      </c>
      <c r="S2" s="647" t="s">
        <v>655</v>
      </c>
      <c r="T2" s="648" t="s">
        <v>656</v>
      </c>
    </row>
    <row r="3" spans="1:21" s="134" customFormat="1" ht="66" customHeight="1" x14ac:dyDescent="0.35">
      <c r="A3" s="645"/>
      <c r="B3" s="646"/>
      <c r="C3" s="647"/>
      <c r="D3" s="647"/>
      <c r="E3" s="647"/>
      <c r="F3" s="647"/>
      <c r="G3" s="647"/>
      <c r="H3" s="647"/>
      <c r="I3" s="647"/>
      <c r="J3" s="647"/>
      <c r="K3" s="647"/>
      <c r="L3" s="657">
        <f>SUM(L4:L257)</f>
        <v>0</v>
      </c>
      <c r="M3" s="657">
        <f>SUM(M4:M207)</f>
        <v>0</v>
      </c>
      <c r="N3" s="648"/>
      <c r="O3" s="648">
        <f>SUM(O4:O207)</f>
        <v>0</v>
      </c>
      <c r="P3" s="648"/>
      <c r="Q3" s="648">
        <f>SUM(Q4:Q165)</f>
        <v>0</v>
      </c>
      <c r="R3" s="648"/>
      <c r="S3" s="648">
        <f>SUM(S4:S165)</f>
        <v>0</v>
      </c>
      <c r="T3" s="648"/>
    </row>
    <row r="4" spans="1:21" s="134" customFormat="1" ht="43.9" customHeight="1" x14ac:dyDescent="0.35">
      <c r="A4" s="483" t="s">
        <v>657</v>
      </c>
      <c r="B4" s="2008" t="s">
        <v>658</v>
      </c>
      <c r="C4" s="2009"/>
      <c r="D4" s="2009"/>
      <c r="E4" s="2009"/>
      <c r="F4" s="2009"/>
      <c r="G4" s="2010"/>
      <c r="H4" s="491"/>
      <c r="I4" s="492"/>
      <c r="J4" s="492"/>
      <c r="K4" s="492"/>
      <c r="L4" s="492"/>
      <c r="M4" s="614"/>
      <c r="N4" s="492"/>
      <c r="O4" s="614"/>
      <c r="P4" s="492"/>
      <c r="Q4" s="614"/>
      <c r="R4" s="492"/>
      <c r="S4" s="663"/>
      <c r="T4" s="663"/>
      <c r="U4" s="79"/>
    </row>
    <row r="5" spans="1:21" s="486" customFormat="1" ht="43.9" customHeight="1" x14ac:dyDescent="0.35">
      <c r="A5" s="487" t="s">
        <v>659</v>
      </c>
      <c r="B5" s="490"/>
      <c r="C5" s="490"/>
      <c r="D5" s="490"/>
      <c r="E5" s="127"/>
      <c r="F5" s="127"/>
      <c r="G5" s="127"/>
      <c r="H5" s="634"/>
      <c r="I5" s="489"/>
      <c r="J5" s="489"/>
      <c r="K5" s="489"/>
      <c r="L5" s="489"/>
      <c r="M5" s="615"/>
      <c r="N5" s="489"/>
      <c r="O5" s="615"/>
      <c r="P5" s="489"/>
      <c r="Q5" s="615"/>
      <c r="R5" s="489"/>
      <c r="S5" s="664"/>
      <c r="T5" s="581"/>
    </row>
    <row r="6" spans="1:21" s="486" customFormat="1" ht="43.9" customHeight="1" x14ac:dyDescent="0.35">
      <c r="A6" s="487" t="s">
        <v>660</v>
      </c>
      <c r="B6" s="490"/>
      <c r="C6" s="158"/>
      <c r="D6" s="635"/>
      <c r="E6" s="98"/>
      <c r="F6" s="98"/>
      <c r="G6" s="127"/>
      <c r="H6" s="661"/>
      <c r="I6" s="489"/>
      <c r="J6" s="489"/>
      <c r="K6" s="489"/>
      <c r="L6" s="489"/>
      <c r="M6" s="615"/>
      <c r="N6" s="489"/>
      <c r="O6" s="615"/>
      <c r="P6" s="489"/>
      <c r="Q6" s="615"/>
      <c r="R6" s="489"/>
      <c r="S6" s="664"/>
      <c r="T6" s="581"/>
    </row>
    <row r="7" spans="1:21" s="486" customFormat="1" ht="43.9" customHeight="1" x14ac:dyDescent="0.35">
      <c r="A7" s="487" t="s">
        <v>661</v>
      </c>
      <c r="B7" s="490"/>
      <c r="C7" s="490"/>
      <c r="D7" s="636"/>
      <c r="E7" s="127"/>
      <c r="F7" s="127"/>
      <c r="G7" s="660"/>
      <c r="H7" s="659"/>
      <c r="I7" s="630"/>
      <c r="J7" s="489"/>
      <c r="K7" s="489"/>
      <c r="L7" s="489"/>
      <c r="M7" s="615"/>
      <c r="N7" s="489"/>
      <c r="O7" s="615"/>
      <c r="P7" s="489"/>
      <c r="Q7" s="615"/>
      <c r="R7" s="489"/>
      <c r="S7" s="664"/>
      <c r="T7" s="581"/>
    </row>
    <row r="8" spans="1:21" s="134" customFormat="1" ht="43.9" customHeight="1" x14ac:dyDescent="0.35">
      <c r="A8" s="487" t="s">
        <v>662</v>
      </c>
      <c r="B8" s="490"/>
      <c r="C8" s="490"/>
      <c r="D8" s="636"/>
      <c r="E8" s="127"/>
      <c r="F8" s="127"/>
      <c r="G8" s="660"/>
      <c r="H8" s="659"/>
      <c r="I8" s="630"/>
      <c r="J8" s="489"/>
      <c r="K8" s="489"/>
      <c r="L8" s="489"/>
      <c r="M8" s="615"/>
      <c r="N8" s="489"/>
      <c r="O8" s="615"/>
      <c r="P8" s="489"/>
      <c r="Q8" s="615"/>
      <c r="R8" s="489"/>
      <c r="S8" s="664"/>
      <c r="T8" s="79"/>
    </row>
    <row r="9" spans="1:21" s="134" customFormat="1" ht="55.5" customHeight="1" x14ac:dyDescent="0.35">
      <c r="A9" s="502" t="s">
        <v>663</v>
      </c>
      <c r="B9" s="658">
        <v>45691</v>
      </c>
      <c r="C9" s="655" t="s">
        <v>247</v>
      </c>
      <c r="D9" s="655" t="s">
        <v>664</v>
      </c>
      <c r="E9" s="656" t="s">
        <v>665</v>
      </c>
      <c r="F9" s="127" t="s">
        <v>666</v>
      </c>
      <c r="G9" s="503"/>
      <c r="H9" s="503"/>
      <c r="I9" s="504"/>
      <c r="J9" s="505"/>
      <c r="K9" s="505"/>
      <c r="L9" s="623"/>
      <c r="M9" s="505"/>
      <c r="N9" s="616"/>
      <c r="O9" s="505"/>
      <c r="P9" s="616"/>
      <c r="Q9" s="505"/>
      <c r="R9" s="616"/>
      <c r="S9" s="665"/>
      <c r="T9" s="616"/>
      <c r="U9" s="485"/>
    </row>
    <row r="10" spans="1:21" s="134" customFormat="1" ht="55.5" customHeight="1" x14ac:dyDescent="0.35">
      <c r="A10" s="487" t="s">
        <v>667</v>
      </c>
      <c r="B10" s="490"/>
      <c r="C10" s="490"/>
      <c r="D10" s="636"/>
      <c r="E10" s="127"/>
      <c r="F10" s="127"/>
      <c r="G10" s="127"/>
      <c r="H10" s="634"/>
      <c r="I10" s="489"/>
      <c r="J10" s="489"/>
      <c r="K10" s="489"/>
      <c r="L10" s="489"/>
      <c r="M10" s="615"/>
      <c r="N10" s="489"/>
      <c r="O10" s="615"/>
      <c r="P10" s="489"/>
      <c r="Q10" s="615"/>
      <c r="R10" s="489"/>
      <c r="S10" s="664"/>
      <c r="T10" s="79"/>
    </row>
    <row r="11" spans="1:21" s="134" customFormat="1" ht="55.5" customHeight="1" x14ac:dyDescent="0.35">
      <c r="A11" s="487" t="s">
        <v>667</v>
      </c>
      <c r="B11" s="490">
        <v>45700</v>
      </c>
      <c r="C11" s="655" t="s">
        <v>247</v>
      </c>
      <c r="D11" s="655" t="s">
        <v>664</v>
      </c>
      <c r="E11" s="656" t="s">
        <v>665</v>
      </c>
      <c r="F11" s="127" t="s">
        <v>668</v>
      </c>
      <c r="G11" s="127"/>
      <c r="H11" s="127" t="s">
        <v>669</v>
      </c>
      <c r="I11" s="489"/>
      <c r="J11" s="489"/>
      <c r="K11" s="489"/>
      <c r="L11" s="489"/>
      <c r="M11" s="615"/>
      <c r="N11" s="489"/>
      <c r="O11" s="615"/>
      <c r="P11" s="489"/>
      <c r="Q11" s="615"/>
      <c r="R11" s="489"/>
      <c r="S11" s="664"/>
      <c r="T11" s="79"/>
    </row>
    <row r="12" spans="1:21" s="134" customFormat="1" ht="55.5" customHeight="1" x14ac:dyDescent="0.35">
      <c r="A12" s="676" t="s">
        <v>670</v>
      </c>
      <c r="B12" s="2019" t="s">
        <v>671</v>
      </c>
      <c r="C12" s="2020"/>
      <c r="D12" s="2020"/>
      <c r="E12" s="2020"/>
      <c r="F12" s="2020"/>
      <c r="G12" s="2020"/>
      <c r="H12" s="2020"/>
      <c r="I12" s="2021"/>
      <c r="J12" s="492"/>
      <c r="K12" s="492"/>
      <c r="L12" s="492"/>
      <c r="M12" s="614"/>
      <c r="N12" s="492"/>
      <c r="O12" s="614"/>
      <c r="P12" s="492"/>
      <c r="Q12" s="614"/>
      <c r="R12" s="492"/>
      <c r="S12" s="663"/>
      <c r="T12" s="677"/>
    </row>
    <row r="13" spans="1:21" s="134" customFormat="1" ht="51.75" customHeight="1" x14ac:dyDescent="0.35">
      <c r="A13" s="487" t="s">
        <v>670</v>
      </c>
      <c r="B13" s="490"/>
      <c r="C13" s="490"/>
      <c r="D13" s="490"/>
      <c r="E13" s="127"/>
      <c r="F13" s="127"/>
      <c r="G13" s="127"/>
      <c r="H13" s="127"/>
      <c r="I13" s="489"/>
      <c r="J13" s="489"/>
      <c r="K13" s="489"/>
      <c r="L13" s="489"/>
      <c r="M13" s="615"/>
      <c r="N13" s="489"/>
      <c r="O13" s="615"/>
      <c r="P13" s="489"/>
      <c r="Q13" s="615"/>
      <c r="R13" s="489"/>
      <c r="S13" s="664"/>
      <c r="T13" s="79"/>
    </row>
    <row r="14" spans="1:21" s="134" customFormat="1" ht="51.75" customHeight="1" x14ac:dyDescent="0.35">
      <c r="A14" s="487" t="s">
        <v>672</v>
      </c>
      <c r="B14" s="490"/>
      <c r="C14" s="490"/>
      <c r="D14" s="490"/>
      <c r="E14" s="127"/>
      <c r="F14" s="127"/>
      <c r="G14" s="127"/>
      <c r="H14" s="127"/>
      <c r="I14" s="489"/>
      <c r="J14" s="489"/>
      <c r="K14" s="489"/>
      <c r="L14" s="489"/>
      <c r="M14" s="615"/>
      <c r="N14" s="489"/>
      <c r="O14" s="615"/>
      <c r="P14" s="489"/>
      <c r="Q14" s="615"/>
      <c r="R14" s="489"/>
      <c r="S14" s="664"/>
      <c r="T14" s="79"/>
    </row>
    <row r="15" spans="1:21" s="134" customFormat="1" ht="52.5" customHeight="1" x14ac:dyDescent="0.35">
      <c r="A15" s="487" t="s">
        <v>672</v>
      </c>
      <c r="B15" s="490">
        <v>45712</v>
      </c>
      <c r="C15" s="655" t="s">
        <v>247</v>
      </c>
      <c r="D15" s="655" t="s">
        <v>664</v>
      </c>
      <c r="E15" s="656" t="s">
        <v>665</v>
      </c>
      <c r="F15" s="127" t="s">
        <v>673</v>
      </c>
      <c r="G15" s="127"/>
      <c r="H15" s="127" t="s">
        <v>669</v>
      </c>
      <c r="I15" s="489"/>
      <c r="J15" s="489"/>
      <c r="K15" s="489"/>
      <c r="L15" s="489"/>
      <c r="M15" s="615"/>
      <c r="N15" s="489"/>
      <c r="O15" s="615"/>
      <c r="P15" s="489"/>
      <c r="Q15" s="615"/>
      <c r="R15" s="489"/>
      <c r="S15" s="664"/>
      <c r="T15" s="79"/>
    </row>
    <row r="16" spans="1:21" s="134" customFormat="1" ht="49.5" customHeight="1" x14ac:dyDescent="0.35">
      <c r="A16" s="487" t="s">
        <v>674</v>
      </c>
      <c r="B16" s="490">
        <v>45719</v>
      </c>
      <c r="C16" s="655" t="s">
        <v>247</v>
      </c>
      <c r="D16" s="655" t="s">
        <v>664</v>
      </c>
      <c r="E16" s="656" t="s">
        <v>665</v>
      </c>
      <c r="F16" s="127" t="s">
        <v>666</v>
      </c>
      <c r="G16" s="127"/>
      <c r="H16" s="634"/>
      <c r="I16" s="489"/>
      <c r="J16" s="489"/>
      <c r="K16" s="498"/>
      <c r="L16" s="489"/>
      <c r="M16" s="615"/>
      <c r="N16" s="489"/>
      <c r="O16" s="615"/>
      <c r="P16" s="489"/>
      <c r="Q16" s="615"/>
      <c r="R16" s="489"/>
      <c r="S16" s="664"/>
      <c r="T16" s="79"/>
    </row>
    <row r="17" spans="1:20" s="134" customFormat="1" ht="49.5" customHeight="1" x14ac:dyDescent="0.35">
      <c r="A17" s="487" t="s">
        <v>674</v>
      </c>
      <c r="B17" s="490">
        <v>45721</v>
      </c>
      <c r="C17" s="655" t="s">
        <v>247</v>
      </c>
      <c r="D17" s="655" t="s">
        <v>664</v>
      </c>
      <c r="E17" s="656" t="s">
        <v>665</v>
      </c>
      <c r="F17" s="127" t="s">
        <v>675</v>
      </c>
      <c r="G17" s="127"/>
      <c r="H17" s="634"/>
      <c r="I17" s="489"/>
      <c r="J17" s="489"/>
      <c r="K17" s="498"/>
      <c r="L17" s="489"/>
      <c r="M17" s="615"/>
      <c r="N17" s="489"/>
      <c r="O17" s="615"/>
      <c r="P17" s="489"/>
      <c r="Q17" s="615"/>
      <c r="R17" s="489"/>
      <c r="S17" s="664"/>
      <c r="T17" s="79"/>
    </row>
    <row r="18" spans="1:20" s="134" customFormat="1" ht="49.5" customHeight="1" x14ac:dyDescent="0.35">
      <c r="A18" s="487" t="s">
        <v>674</v>
      </c>
      <c r="B18" s="490">
        <v>45723</v>
      </c>
      <c r="C18" s="655" t="s">
        <v>247</v>
      </c>
      <c r="D18" s="655" t="s">
        <v>664</v>
      </c>
      <c r="E18" s="656" t="s">
        <v>665</v>
      </c>
      <c r="F18" s="127" t="s">
        <v>676</v>
      </c>
      <c r="G18" s="127"/>
      <c r="H18" s="634"/>
      <c r="I18" s="489"/>
      <c r="J18" s="489"/>
      <c r="K18" s="498"/>
      <c r="L18" s="489"/>
      <c r="M18" s="615"/>
      <c r="N18" s="489"/>
      <c r="O18" s="615"/>
      <c r="P18" s="489"/>
      <c r="Q18" s="615"/>
      <c r="R18" s="489"/>
      <c r="S18" s="664"/>
      <c r="T18" s="79"/>
    </row>
    <row r="19" spans="1:20" s="134" customFormat="1" ht="55.5" customHeight="1" x14ac:dyDescent="0.35">
      <c r="A19" s="487" t="s">
        <v>677</v>
      </c>
      <c r="B19" s="490">
        <v>45726</v>
      </c>
      <c r="C19" s="655" t="s">
        <v>247</v>
      </c>
      <c r="D19" s="655" t="s">
        <v>664</v>
      </c>
      <c r="E19" s="656" t="s">
        <v>665</v>
      </c>
      <c r="F19" s="127" t="s">
        <v>678</v>
      </c>
      <c r="G19" s="127"/>
      <c r="H19" s="661"/>
      <c r="I19" s="489"/>
      <c r="J19" s="489"/>
      <c r="K19" s="489"/>
      <c r="L19" s="489"/>
      <c r="M19" s="615"/>
      <c r="N19" s="489"/>
      <c r="O19" s="615"/>
      <c r="P19" s="489"/>
      <c r="Q19" s="615"/>
      <c r="R19" s="489"/>
      <c r="S19" s="664"/>
      <c r="T19" s="79"/>
    </row>
    <row r="20" spans="1:20" s="134" customFormat="1" ht="55.5" customHeight="1" x14ac:dyDescent="0.35">
      <c r="A20" s="487" t="s">
        <v>677</v>
      </c>
      <c r="B20" s="490">
        <v>45728</v>
      </c>
      <c r="C20" s="655" t="s">
        <v>247</v>
      </c>
      <c r="D20" s="655" t="s">
        <v>664</v>
      </c>
      <c r="E20" s="656" t="s">
        <v>665</v>
      </c>
      <c r="F20" s="127" t="s">
        <v>679</v>
      </c>
      <c r="G20" s="660"/>
      <c r="H20" s="127" t="s">
        <v>680</v>
      </c>
      <c r="I20" s="630"/>
      <c r="J20" s="489"/>
      <c r="K20" s="489"/>
      <c r="L20" s="489"/>
      <c r="M20" s="615"/>
      <c r="N20" s="489"/>
      <c r="O20" s="615"/>
      <c r="P20" s="489"/>
      <c r="Q20" s="615"/>
      <c r="R20" s="489"/>
      <c r="S20" s="664"/>
      <c r="T20" s="79"/>
    </row>
    <row r="21" spans="1:20" s="134" customFormat="1" ht="43.9" customHeight="1" x14ac:dyDescent="0.35">
      <c r="A21" s="487" t="s">
        <v>681</v>
      </c>
      <c r="B21" s="490">
        <v>45733</v>
      </c>
      <c r="C21" s="655" t="s">
        <v>247</v>
      </c>
      <c r="D21" s="655" t="s">
        <v>682</v>
      </c>
      <c r="E21" s="656" t="s">
        <v>665</v>
      </c>
      <c r="F21" s="127" t="s">
        <v>683</v>
      </c>
      <c r="G21" s="660"/>
      <c r="H21" s="659"/>
      <c r="I21" s="630"/>
      <c r="J21" s="489"/>
      <c r="K21" s="489"/>
      <c r="L21" s="489"/>
      <c r="M21" s="615"/>
      <c r="N21" s="489"/>
      <c r="O21" s="615"/>
      <c r="P21" s="489"/>
      <c r="Q21" s="615"/>
      <c r="R21" s="489"/>
      <c r="S21" s="664"/>
      <c r="T21" s="79"/>
    </row>
    <row r="22" spans="1:20" s="134" customFormat="1" ht="43.9" customHeight="1" x14ac:dyDescent="0.35">
      <c r="A22" s="487" t="s">
        <v>684</v>
      </c>
      <c r="B22" s="490"/>
      <c r="C22" s="490"/>
      <c r="D22" s="636"/>
      <c r="E22" s="127"/>
      <c r="F22" s="127"/>
      <c r="G22" s="127"/>
      <c r="H22" s="541"/>
      <c r="I22" s="489"/>
      <c r="J22" s="489"/>
      <c r="K22" s="489"/>
      <c r="L22" s="489"/>
      <c r="M22" s="615"/>
      <c r="N22" s="489"/>
      <c r="O22" s="615"/>
      <c r="P22" s="489"/>
      <c r="Q22" s="615"/>
      <c r="R22" s="489"/>
      <c r="S22" s="664"/>
      <c r="T22" s="79"/>
    </row>
    <row r="23" spans="1:20" s="134" customFormat="1" ht="43.9" customHeight="1" x14ac:dyDescent="0.35">
      <c r="A23" s="487" t="s">
        <v>685</v>
      </c>
      <c r="B23" s="490"/>
      <c r="C23" s="490"/>
      <c r="D23" s="636"/>
      <c r="E23" s="127"/>
      <c r="F23" s="127"/>
      <c r="G23" s="127"/>
      <c r="H23" s="127"/>
      <c r="I23" s="489"/>
      <c r="J23" s="489"/>
      <c r="K23" s="489"/>
      <c r="L23" s="489"/>
      <c r="M23" s="615"/>
      <c r="N23" s="489"/>
      <c r="O23" s="615"/>
      <c r="P23" s="489"/>
      <c r="Q23" s="615"/>
      <c r="R23" s="489"/>
      <c r="S23" s="664"/>
      <c r="T23" s="79"/>
    </row>
    <row r="24" spans="1:20" s="134" customFormat="1" ht="43.9" customHeight="1" x14ac:dyDescent="0.35">
      <c r="A24" s="487" t="s">
        <v>686</v>
      </c>
      <c r="B24" s="490"/>
      <c r="C24" s="503"/>
      <c r="D24" s="636"/>
      <c r="E24" s="127"/>
      <c r="F24" s="127"/>
      <c r="G24" s="127"/>
      <c r="H24" s="634"/>
      <c r="I24" s="489"/>
      <c r="J24" s="489"/>
      <c r="K24" s="489"/>
      <c r="L24" s="489"/>
      <c r="M24" s="615"/>
      <c r="N24" s="489"/>
      <c r="O24" s="615"/>
      <c r="P24" s="489"/>
      <c r="Q24" s="615"/>
      <c r="R24" s="489"/>
      <c r="S24" s="664"/>
      <c r="T24" s="79"/>
    </row>
    <row r="25" spans="1:20" s="134" customFormat="1" ht="43.9" customHeight="1" x14ac:dyDescent="0.35">
      <c r="A25" s="487" t="s">
        <v>687</v>
      </c>
      <c r="B25" s="490"/>
      <c r="C25" s="490"/>
      <c r="D25" s="636"/>
      <c r="E25" s="127"/>
      <c r="F25" s="127"/>
      <c r="G25" s="127"/>
      <c r="H25" s="634"/>
      <c r="I25" s="489"/>
      <c r="J25" s="489"/>
      <c r="K25" s="489"/>
      <c r="L25" s="489"/>
      <c r="M25" s="615"/>
      <c r="N25" s="489"/>
      <c r="O25" s="615"/>
      <c r="P25" s="489"/>
      <c r="Q25" s="615"/>
      <c r="R25" s="489"/>
      <c r="S25" s="664"/>
      <c r="T25" s="79"/>
    </row>
    <row r="26" spans="1:20" s="486" customFormat="1" ht="43.9" customHeight="1" x14ac:dyDescent="0.35">
      <c r="A26" s="487" t="s">
        <v>688</v>
      </c>
      <c r="B26" s="631"/>
      <c r="C26" s="631"/>
      <c r="D26" s="650"/>
      <c r="E26" s="497"/>
      <c r="F26" s="497"/>
      <c r="G26" s="497"/>
      <c r="H26" s="497"/>
      <c r="I26" s="651"/>
      <c r="J26" s="651"/>
      <c r="K26" s="489"/>
      <c r="L26" s="489"/>
      <c r="M26" s="615"/>
      <c r="N26" s="489"/>
      <c r="O26" s="615"/>
      <c r="P26" s="489"/>
      <c r="Q26" s="615"/>
      <c r="R26" s="489"/>
      <c r="S26" s="664"/>
      <c r="T26" s="581"/>
    </row>
    <row r="27" spans="1:20" s="486" customFormat="1" ht="43.9" customHeight="1" x14ac:dyDescent="0.35">
      <c r="A27" s="487" t="s">
        <v>689</v>
      </c>
      <c r="B27" s="490"/>
      <c r="C27" s="490"/>
      <c r="D27" s="636"/>
      <c r="E27" s="127"/>
      <c r="F27" s="127"/>
      <c r="G27" s="127"/>
      <c r="H27" s="127"/>
      <c r="I27" s="489"/>
      <c r="J27" s="489"/>
      <c r="K27" s="630"/>
      <c r="L27" s="489"/>
      <c r="M27" s="615"/>
      <c r="N27" s="489"/>
      <c r="O27" s="615"/>
      <c r="P27" s="489"/>
      <c r="Q27" s="615"/>
      <c r="R27" s="489"/>
      <c r="S27" s="664"/>
      <c r="T27" s="581"/>
    </row>
    <row r="28" spans="1:20" s="134" customFormat="1" ht="43.9" customHeight="1" x14ac:dyDescent="0.35">
      <c r="A28" s="483"/>
      <c r="B28" s="2013" t="s">
        <v>690</v>
      </c>
      <c r="C28" s="2014"/>
      <c r="D28" s="2014"/>
      <c r="E28" s="2014"/>
      <c r="F28" s="2014"/>
      <c r="G28" s="2015"/>
      <c r="H28" s="632"/>
      <c r="I28" s="637"/>
      <c r="J28" s="637"/>
      <c r="K28" s="492"/>
      <c r="L28" s="492"/>
      <c r="M28" s="614"/>
      <c r="N28" s="492"/>
      <c r="O28" s="614"/>
      <c r="P28" s="492"/>
      <c r="Q28" s="614"/>
      <c r="R28" s="492"/>
      <c r="S28" s="663"/>
      <c r="T28" s="79"/>
    </row>
    <row r="29" spans="1:20" s="642" customFormat="1" ht="43.9" customHeight="1" x14ac:dyDescent="0.35">
      <c r="A29" s="487" t="s">
        <v>691</v>
      </c>
      <c r="B29" s="638"/>
      <c r="C29" s="638"/>
      <c r="D29" s="639"/>
      <c r="E29" s="499"/>
      <c r="F29" s="499"/>
      <c r="G29" s="499"/>
      <c r="H29" s="499"/>
      <c r="I29" s="640"/>
      <c r="J29" s="640"/>
      <c r="K29" s="640"/>
      <c r="L29" s="640"/>
      <c r="M29" s="641"/>
      <c r="N29" s="640"/>
      <c r="O29" s="641"/>
      <c r="P29" s="640"/>
      <c r="Q29" s="641"/>
      <c r="R29" s="640"/>
      <c r="S29" s="666"/>
      <c r="T29" s="662"/>
    </row>
    <row r="30" spans="1:20" s="486" customFormat="1" ht="43.9" customHeight="1" x14ac:dyDescent="0.35">
      <c r="A30" s="487" t="s">
        <v>692</v>
      </c>
      <c r="B30" s="490"/>
      <c r="C30" s="490"/>
      <c r="D30" s="636"/>
      <c r="E30" s="127"/>
      <c r="F30" s="127"/>
      <c r="G30" s="127"/>
      <c r="H30" s="634"/>
      <c r="I30" s="489"/>
      <c r="J30" s="489"/>
      <c r="K30" s="489"/>
      <c r="L30" s="489"/>
      <c r="M30" s="615"/>
      <c r="N30" s="489"/>
      <c r="O30" s="615"/>
      <c r="P30" s="489"/>
      <c r="Q30" s="615"/>
      <c r="R30" s="489"/>
      <c r="S30" s="664"/>
      <c r="T30" s="581"/>
    </row>
    <row r="31" spans="1:20" s="486" customFormat="1" ht="43.9" customHeight="1" x14ac:dyDescent="0.35">
      <c r="A31" s="487" t="s">
        <v>693</v>
      </c>
      <c r="B31" s="490"/>
      <c r="C31" s="490"/>
      <c r="D31" s="636"/>
      <c r="E31" s="127"/>
      <c r="F31" s="127"/>
      <c r="G31" s="127"/>
      <c r="H31" s="634"/>
      <c r="I31" s="489"/>
      <c r="J31" s="489"/>
      <c r="K31" s="489"/>
      <c r="L31" s="489"/>
      <c r="M31" s="615"/>
      <c r="N31" s="489"/>
      <c r="O31" s="615"/>
      <c r="P31" s="489"/>
      <c r="Q31" s="615"/>
      <c r="R31" s="489"/>
      <c r="S31" s="664"/>
      <c r="T31" s="581"/>
    </row>
    <row r="32" spans="1:20" s="486" customFormat="1" ht="43.9" customHeight="1" x14ac:dyDescent="0.35">
      <c r="A32" s="578"/>
      <c r="B32" s="2016" t="s">
        <v>694</v>
      </c>
      <c r="C32" s="2017"/>
      <c r="D32" s="2017"/>
      <c r="E32" s="2017"/>
      <c r="F32" s="2017"/>
      <c r="G32" s="2018"/>
      <c r="H32" s="628"/>
      <c r="I32" s="579"/>
      <c r="J32" s="579"/>
      <c r="K32" s="579"/>
      <c r="L32" s="579"/>
      <c r="M32" s="629"/>
      <c r="N32" s="579"/>
      <c r="O32" s="629"/>
      <c r="P32" s="579"/>
      <c r="Q32" s="629"/>
      <c r="R32" s="579"/>
      <c r="S32" s="667"/>
      <c r="T32" s="581"/>
    </row>
    <row r="33" spans="1:21" s="79" customFormat="1" ht="43.9" customHeight="1" x14ac:dyDescent="0.35">
      <c r="A33" s="625"/>
      <c r="B33" s="2011" t="s">
        <v>695</v>
      </c>
      <c r="C33" s="2011"/>
      <c r="D33" s="2011"/>
      <c r="E33" s="2011"/>
      <c r="F33" s="2011"/>
      <c r="G33" s="2011"/>
      <c r="H33" s="652"/>
      <c r="I33" s="652"/>
      <c r="J33" s="652"/>
      <c r="K33" s="652"/>
      <c r="L33" s="652"/>
      <c r="M33" s="653"/>
      <c r="N33" s="652"/>
      <c r="O33" s="652"/>
      <c r="P33" s="652"/>
      <c r="Q33" s="653"/>
      <c r="R33" s="652"/>
      <c r="S33" s="668"/>
      <c r="U33" s="675"/>
    </row>
    <row r="34" spans="1:21" s="486" customFormat="1" ht="43.9" customHeight="1" x14ac:dyDescent="0.35">
      <c r="A34" s="649" t="s">
        <v>696</v>
      </c>
      <c r="B34" s="516"/>
      <c r="C34" s="565"/>
      <c r="D34" s="626"/>
      <c r="E34" s="541"/>
      <c r="F34" s="541"/>
      <c r="G34" s="541"/>
      <c r="H34" s="627"/>
      <c r="I34" s="566"/>
      <c r="J34" s="566"/>
      <c r="K34" s="566"/>
      <c r="L34" s="566"/>
      <c r="M34" s="644"/>
      <c r="N34" s="566"/>
      <c r="O34" s="644"/>
      <c r="P34" s="566"/>
      <c r="Q34" s="644"/>
      <c r="R34" s="566"/>
      <c r="S34" s="669"/>
      <c r="T34" s="581"/>
    </row>
    <row r="35" spans="1:21" s="486" customFormat="1" ht="43.9" customHeight="1" x14ac:dyDescent="0.35">
      <c r="A35" s="228" t="s">
        <v>697</v>
      </c>
      <c r="B35" s="202"/>
      <c r="C35" s="490"/>
      <c r="D35" s="636"/>
      <c r="E35" s="127"/>
      <c r="F35" s="127"/>
      <c r="G35" s="127"/>
      <c r="H35" s="643"/>
      <c r="I35" s="489"/>
      <c r="J35" s="489"/>
      <c r="K35" s="489"/>
      <c r="L35" s="489"/>
      <c r="M35" s="615"/>
      <c r="N35" s="489"/>
      <c r="O35" s="615"/>
      <c r="P35" s="489"/>
      <c r="Q35" s="615"/>
      <c r="R35" s="489"/>
      <c r="S35" s="670"/>
      <c r="T35" s="581"/>
    </row>
    <row r="36" spans="1:21" s="486" customFormat="1" ht="43.9" customHeight="1" x14ac:dyDescent="0.35">
      <c r="A36" s="490" t="s">
        <v>698</v>
      </c>
      <c r="B36" s="490"/>
      <c r="C36" s="490"/>
      <c r="D36" s="636"/>
      <c r="E36" s="127"/>
      <c r="F36" s="127"/>
      <c r="G36" s="127"/>
      <c r="H36" s="634"/>
      <c r="I36" s="489"/>
      <c r="J36" s="489"/>
      <c r="K36" s="489"/>
      <c r="L36" s="489"/>
      <c r="M36" s="615"/>
      <c r="N36" s="489"/>
      <c r="O36" s="615"/>
      <c r="P36" s="489"/>
      <c r="Q36" s="615"/>
      <c r="R36" s="489"/>
      <c r="S36" s="664"/>
      <c r="T36" s="581"/>
    </row>
    <row r="37" spans="1:21" s="486" customFormat="1" ht="43.9" customHeight="1" x14ac:dyDescent="0.35">
      <c r="A37" s="490" t="s">
        <v>699</v>
      </c>
      <c r="B37" s="490"/>
      <c r="C37" s="503"/>
      <c r="D37" s="636"/>
      <c r="E37" s="127"/>
      <c r="F37" s="127"/>
      <c r="G37" s="127"/>
      <c r="H37" s="488"/>
      <c r="I37" s="489"/>
      <c r="J37" s="489"/>
      <c r="K37" s="489"/>
      <c r="L37" s="489"/>
      <c r="M37" s="615"/>
      <c r="N37" s="489"/>
      <c r="O37" s="615"/>
      <c r="P37" s="489"/>
      <c r="Q37" s="615"/>
      <c r="R37" s="489"/>
      <c r="S37" s="664"/>
      <c r="T37" s="581"/>
    </row>
    <row r="38" spans="1:21" s="486" customFormat="1" ht="51.75" customHeight="1" x14ac:dyDescent="0.35">
      <c r="A38" s="490" t="s">
        <v>700</v>
      </c>
      <c r="B38" s="490"/>
      <c r="C38" s="503"/>
      <c r="D38" s="636"/>
      <c r="E38" s="127"/>
      <c r="F38" s="127"/>
      <c r="G38" s="127"/>
      <c r="H38" s="488"/>
      <c r="I38" s="489"/>
      <c r="J38" s="489"/>
      <c r="K38" s="489"/>
      <c r="L38" s="489"/>
      <c r="M38" s="615"/>
      <c r="N38" s="489"/>
      <c r="O38" s="615"/>
      <c r="P38" s="489"/>
      <c r="Q38" s="615"/>
      <c r="R38" s="489"/>
      <c r="S38" s="664"/>
      <c r="T38" s="581"/>
    </row>
    <row r="39" spans="1:21" s="486" customFormat="1" ht="43.9" customHeight="1" x14ac:dyDescent="0.35">
      <c r="A39" s="625" t="s">
        <v>701</v>
      </c>
      <c r="B39" s="2011" t="s">
        <v>702</v>
      </c>
      <c r="C39" s="2011"/>
      <c r="D39" s="2011"/>
      <c r="E39" s="2011"/>
      <c r="F39" s="2011"/>
      <c r="G39" s="2011"/>
      <c r="H39" s="652"/>
      <c r="I39" s="652"/>
      <c r="J39" s="652"/>
      <c r="K39" s="652"/>
      <c r="L39" s="652"/>
      <c r="M39" s="653"/>
      <c r="N39" s="652"/>
      <c r="O39" s="652"/>
      <c r="P39" s="652"/>
      <c r="Q39" s="653"/>
      <c r="R39" s="652"/>
      <c r="S39" s="668"/>
      <c r="T39" s="581"/>
    </row>
    <row r="40" spans="1:21" s="486" customFormat="1" ht="43.9" customHeight="1" x14ac:dyDescent="0.35">
      <c r="A40" s="490" t="s">
        <v>703</v>
      </c>
      <c r="B40" s="490"/>
      <c r="C40" s="490"/>
      <c r="D40" s="565"/>
      <c r="E40" s="127"/>
      <c r="F40" s="127"/>
      <c r="G40" s="127"/>
      <c r="H40" s="634"/>
      <c r="I40" s="489"/>
      <c r="J40" s="489"/>
      <c r="K40" s="489"/>
      <c r="L40" s="489"/>
      <c r="M40" s="615"/>
      <c r="N40" s="489"/>
      <c r="O40" s="615"/>
      <c r="P40" s="489"/>
      <c r="Q40" s="615"/>
      <c r="R40" s="489"/>
      <c r="S40" s="664"/>
      <c r="T40" s="581"/>
    </row>
    <row r="41" spans="1:21" s="486" customFormat="1" ht="43.9" customHeight="1" x14ac:dyDescent="0.35">
      <c r="A41" s="490" t="s">
        <v>703</v>
      </c>
      <c r="B41" s="490"/>
      <c r="C41" s="490"/>
      <c r="D41" s="565"/>
      <c r="E41" s="127"/>
      <c r="F41" s="127"/>
      <c r="G41" s="127"/>
      <c r="H41" s="634"/>
      <c r="I41" s="489"/>
      <c r="J41" s="489"/>
      <c r="K41" s="489"/>
      <c r="L41" s="489"/>
      <c r="M41" s="615"/>
      <c r="N41" s="489"/>
      <c r="O41" s="615"/>
      <c r="P41" s="489"/>
      <c r="Q41" s="615"/>
      <c r="R41" s="489"/>
      <c r="S41" s="664"/>
      <c r="T41" s="581"/>
    </row>
    <row r="42" spans="1:21" s="134" customFormat="1" ht="43.9" customHeight="1" x14ac:dyDescent="0.35">
      <c r="A42" s="495" t="s">
        <v>704</v>
      </c>
      <c r="B42" s="202"/>
      <c r="C42" s="490"/>
      <c r="D42" s="490"/>
      <c r="E42" s="127"/>
      <c r="F42" s="127"/>
      <c r="G42" s="127"/>
      <c r="H42" s="127"/>
      <c r="I42" s="489"/>
      <c r="J42" s="489"/>
      <c r="K42" s="489"/>
      <c r="L42" s="489"/>
      <c r="M42" s="615"/>
      <c r="N42" s="489"/>
      <c r="O42" s="615"/>
      <c r="P42" s="489"/>
      <c r="Q42" s="615"/>
      <c r="R42" s="489"/>
      <c r="S42" s="664"/>
      <c r="T42" s="79"/>
    </row>
    <row r="43" spans="1:21" s="134" customFormat="1" ht="43.9" customHeight="1" x14ac:dyDescent="0.35">
      <c r="A43" s="495" t="s">
        <v>704</v>
      </c>
      <c r="B43" s="202"/>
      <c r="C43" s="490"/>
      <c r="D43" s="490"/>
      <c r="E43" s="127"/>
      <c r="F43" s="127"/>
      <c r="G43" s="127"/>
      <c r="H43" s="127"/>
      <c r="I43" s="489"/>
      <c r="J43" s="489"/>
      <c r="K43" s="489"/>
      <c r="L43" s="489"/>
      <c r="M43" s="615"/>
      <c r="N43" s="489"/>
      <c r="O43" s="615"/>
      <c r="P43" s="489"/>
      <c r="Q43" s="615"/>
      <c r="R43" s="489"/>
      <c r="S43" s="664"/>
      <c r="T43" s="79"/>
    </row>
    <row r="44" spans="1:21" s="134" customFormat="1" ht="43.9" customHeight="1" x14ac:dyDescent="0.35">
      <c r="A44" s="496"/>
      <c r="B44" s="2005" t="s">
        <v>319</v>
      </c>
      <c r="C44" s="2005"/>
      <c r="D44" s="2005"/>
      <c r="E44" s="2005"/>
      <c r="F44" s="2005"/>
      <c r="G44" s="2006"/>
      <c r="H44" s="491"/>
      <c r="I44" s="492"/>
      <c r="J44" s="492"/>
      <c r="K44" s="492"/>
      <c r="L44" s="492"/>
      <c r="M44" s="614"/>
      <c r="N44" s="492"/>
      <c r="O44" s="614"/>
      <c r="P44" s="492"/>
      <c r="Q44" s="614"/>
      <c r="R44" s="492"/>
      <c r="S44" s="663"/>
      <c r="T44" s="79"/>
    </row>
    <row r="45" spans="1:21" s="134" customFormat="1" ht="43.9" customHeight="1" x14ac:dyDescent="0.35">
      <c r="A45" s="495"/>
      <c r="B45" s="202"/>
      <c r="C45" s="490"/>
      <c r="D45" s="490"/>
      <c r="E45" s="127"/>
      <c r="F45" s="127"/>
      <c r="G45" s="127"/>
      <c r="H45" s="127"/>
      <c r="I45" s="489"/>
      <c r="J45" s="489"/>
      <c r="K45" s="489"/>
      <c r="L45" s="489"/>
      <c r="M45" s="615"/>
      <c r="N45" s="489"/>
      <c r="O45" s="615"/>
      <c r="P45" s="489"/>
      <c r="Q45" s="615"/>
      <c r="R45" s="489"/>
      <c r="S45" s="664"/>
      <c r="T45" s="79"/>
    </row>
    <row r="46" spans="1:21" s="134" customFormat="1" ht="43.9" customHeight="1" x14ac:dyDescent="0.35">
      <c r="A46" s="514" t="s">
        <v>705</v>
      </c>
      <c r="B46" s="2007" t="s">
        <v>290</v>
      </c>
      <c r="C46" s="2005"/>
      <c r="D46" s="2005"/>
      <c r="E46" s="2005"/>
      <c r="F46" s="2005"/>
      <c r="G46" s="2006"/>
      <c r="H46" s="491"/>
      <c r="I46" s="515"/>
      <c r="J46" s="515"/>
      <c r="K46" s="515"/>
      <c r="L46" s="492"/>
      <c r="M46" s="614"/>
      <c r="N46" s="492"/>
      <c r="O46" s="614"/>
      <c r="P46" s="492"/>
      <c r="Q46" s="614"/>
      <c r="R46" s="492"/>
      <c r="S46" s="663"/>
      <c r="T46" s="79"/>
    </row>
    <row r="47" spans="1:21" s="134" customFormat="1" ht="43.9" customHeight="1" x14ac:dyDescent="0.35">
      <c r="A47" s="501"/>
      <c r="B47" s="502"/>
      <c r="C47" s="503"/>
      <c r="D47" s="503"/>
      <c r="E47" s="503"/>
      <c r="F47" s="503"/>
      <c r="G47" s="503"/>
      <c r="H47" s="504"/>
      <c r="I47" s="500"/>
      <c r="J47" s="500"/>
      <c r="K47" s="500"/>
      <c r="L47" s="500"/>
      <c r="M47" s="617"/>
      <c r="N47" s="500"/>
      <c r="O47" s="617"/>
      <c r="P47" s="500"/>
      <c r="Q47" s="617"/>
      <c r="R47" s="500"/>
      <c r="S47" s="671"/>
      <c r="T47" s="79"/>
    </row>
    <row r="48" spans="1:21" s="485" customFormat="1" ht="45.75" customHeight="1" x14ac:dyDescent="0.35">
      <c r="A48" s="506" t="s">
        <v>706</v>
      </c>
      <c r="B48" s="2008" t="s">
        <v>707</v>
      </c>
      <c r="C48" s="2009"/>
      <c r="D48" s="2009"/>
      <c r="E48" s="2009"/>
      <c r="F48" s="2009"/>
      <c r="G48" s="2010"/>
      <c r="H48" s="507"/>
      <c r="I48" s="513"/>
      <c r="J48" s="513"/>
      <c r="K48" s="513"/>
      <c r="L48" s="513"/>
      <c r="M48" s="618"/>
      <c r="N48" s="513"/>
      <c r="O48" s="618"/>
      <c r="P48" s="513"/>
      <c r="Q48" s="618"/>
      <c r="R48" s="513"/>
      <c r="S48" s="672"/>
      <c r="T48" s="250"/>
    </row>
    <row r="49" spans="1:20" s="485" customFormat="1" ht="45.75" customHeight="1" x14ac:dyDescent="0.35">
      <c r="A49" s="501"/>
      <c r="B49" s="502"/>
      <c r="C49" s="503"/>
      <c r="D49" s="503"/>
      <c r="E49" s="503"/>
      <c r="F49" s="503"/>
      <c r="G49" s="503"/>
      <c r="H49" s="504"/>
      <c r="I49" s="500"/>
      <c r="J49" s="500"/>
      <c r="K49" s="500"/>
      <c r="L49" s="500"/>
      <c r="M49" s="617"/>
      <c r="N49" s="500"/>
      <c r="O49" s="617"/>
      <c r="P49" s="500"/>
      <c r="Q49" s="617"/>
      <c r="R49" s="500"/>
      <c r="S49" s="671"/>
      <c r="T49" s="250"/>
    </row>
    <row r="50" spans="1:20" s="485" customFormat="1" ht="45.75" customHeight="1" x14ac:dyDescent="0.35">
      <c r="A50" s="501"/>
      <c r="B50" s="502"/>
      <c r="C50" s="503"/>
      <c r="D50" s="503"/>
      <c r="E50" s="503"/>
      <c r="F50" s="503"/>
      <c r="G50" s="503"/>
      <c r="H50" s="504"/>
      <c r="I50" s="493"/>
      <c r="J50" s="493"/>
      <c r="K50" s="493"/>
      <c r="L50" s="493"/>
      <c r="M50" s="616"/>
      <c r="N50" s="505"/>
      <c r="O50" s="616"/>
      <c r="P50" s="493"/>
      <c r="Q50" s="616"/>
      <c r="R50" s="505"/>
      <c r="S50" s="673"/>
      <c r="T50" s="250"/>
    </row>
    <row r="51" spans="1:20" s="485" customFormat="1" ht="45.75" customHeight="1" x14ac:dyDescent="0.35">
      <c r="A51" s="506" t="s">
        <v>708</v>
      </c>
      <c r="B51" s="2002" t="s">
        <v>709</v>
      </c>
      <c r="C51" s="2003"/>
      <c r="D51" s="2003"/>
      <c r="E51" s="2003"/>
      <c r="F51" s="2003"/>
      <c r="G51" s="2004"/>
      <c r="H51" s="507"/>
      <c r="I51" s="508"/>
      <c r="J51" s="508"/>
      <c r="K51" s="508"/>
      <c r="L51" s="508"/>
      <c r="M51" s="619"/>
      <c r="N51" s="509"/>
      <c r="O51" s="619"/>
      <c r="P51" s="508"/>
      <c r="Q51" s="619"/>
      <c r="R51" s="509"/>
      <c r="S51" s="674"/>
      <c r="T51" s="250"/>
    </row>
    <row r="52" spans="1:20" s="485" customFormat="1" ht="45.75" customHeight="1" x14ac:dyDescent="0.35">
      <c r="A52" s="506" t="s">
        <v>708</v>
      </c>
      <c r="B52" s="2002" t="s">
        <v>710</v>
      </c>
      <c r="C52" s="2003"/>
      <c r="D52" s="2003"/>
      <c r="E52" s="2003"/>
      <c r="F52" s="2003"/>
      <c r="G52" s="2004"/>
      <c r="H52" s="507"/>
      <c r="I52" s="508"/>
      <c r="J52" s="508"/>
      <c r="K52" s="508"/>
      <c r="L52" s="508"/>
      <c r="M52" s="619"/>
      <c r="N52" s="509"/>
      <c r="O52" s="619"/>
      <c r="P52" s="508"/>
      <c r="Q52" s="619"/>
      <c r="R52" s="509"/>
      <c r="S52" s="674"/>
      <c r="T52" s="250"/>
    </row>
    <row r="53" spans="1:20" s="485" customFormat="1" ht="45.75" customHeight="1" x14ac:dyDescent="0.35">
      <c r="A53" s="506" t="s">
        <v>711</v>
      </c>
      <c r="B53" s="1999" t="s">
        <v>712</v>
      </c>
      <c r="C53" s="2000"/>
      <c r="D53" s="2000"/>
      <c r="E53" s="2000"/>
      <c r="F53" s="2000"/>
      <c r="G53" s="2001"/>
      <c r="H53" s="507"/>
      <c r="I53" s="508"/>
      <c r="J53" s="508"/>
      <c r="K53" s="508"/>
      <c r="L53" s="508"/>
      <c r="M53" s="619"/>
      <c r="N53" s="508"/>
      <c r="O53" s="619"/>
      <c r="P53" s="508"/>
      <c r="Q53" s="619"/>
      <c r="R53" s="508"/>
      <c r="S53" s="674"/>
      <c r="T53" s="250"/>
    </row>
    <row r="54" spans="1:20" s="485" customFormat="1" ht="45.75" customHeight="1" x14ac:dyDescent="0.35">
      <c r="A54" s="501" t="s">
        <v>711</v>
      </c>
      <c r="B54" s="503"/>
      <c r="C54" s="503"/>
      <c r="D54" s="504"/>
      <c r="E54" s="503"/>
      <c r="F54" s="503"/>
      <c r="G54" s="503"/>
      <c r="H54" s="504"/>
      <c r="I54" s="493"/>
      <c r="J54" s="493"/>
      <c r="K54" s="493"/>
      <c r="L54" s="493"/>
      <c r="M54" s="616"/>
      <c r="N54" s="493"/>
      <c r="O54" s="616"/>
      <c r="P54" s="493"/>
      <c r="Q54" s="616"/>
      <c r="R54" s="493"/>
      <c r="S54" s="673"/>
      <c r="T54" s="250"/>
    </row>
    <row r="55" spans="1:20" s="485" customFormat="1" ht="45.75" customHeight="1" x14ac:dyDescent="0.35">
      <c r="A55" s="501" t="s">
        <v>713</v>
      </c>
      <c r="B55" s="503"/>
      <c r="C55" s="503"/>
      <c r="D55" s="504"/>
      <c r="E55" s="503"/>
      <c r="F55" s="503"/>
      <c r="G55" s="503"/>
      <c r="H55" s="504"/>
      <c r="I55" s="493"/>
      <c r="J55" s="493"/>
      <c r="K55" s="493"/>
      <c r="L55" s="493"/>
      <c r="M55" s="616"/>
      <c r="N55" s="493"/>
      <c r="O55" s="616"/>
      <c r="P55" s="493"/>
      <c r="Q55" s="616"/>
      <c r="R55" s="493"/>
      <c r="S55" s="673"/>
      <c r="T55" s="250"/>
    </row>
    <row r="56" spans="1:20" s="485" customFormat="1" ht="45.75" customHeight="1" x14ac:dyDescent="0.35">
      <c r="A56" s="501" t="s">
        <v>713</v>
      </c>
      <c r="B56" s="502" t="s">
        <v>714</v>
      </c>
      <c r="C56" s="503" t="s">
        <v>86</v>
      </c>
      <c r="D56" s="517" t="s">
        <v>379</v>
      </c>
      <c r="E56" s="503" t="s">
        <v>715</v>
      </c>
      <c r="F56" s="503" t="s">
        <v>716</v>
      </c>
      <c r="G56" s="503"/>
      <c r="H56" s="503"/>
      <c r="I56" s="493"/>
      <c r="J56" s="493"/>
      <c r="K56" s="493"/>
      <c r="L56" s="493"/>
      <c r="M56" s="616"/>
      <c r="N56" s="493"/>
      <c r="O56" s="616"/>
      <c r="P56" s="493"/>
      <c r="Q56" s="616"/>
      <c r="R56" s="493"/>
      <c r="S56" s="673"/>
      <c r="T56" s="250"/>
    </row>
    <row r="57" spans="1:20" s="485" customFormat="1" ht="45.75" customHeight="1" x14ac:dyDescent="0.35">
      <c r="A57" s="501" t="s">
        <v>717</v>
      </c>
      <c r="B57" s="502"/>
      <c r="C57" s="503"/>
      <c r="D57" s="503"/>
      <c r="E57" s="503"/>
      <c r="F57" s="503"/>
      <c r="G57" s="503"/>
      <c r="H57" s="503"/>
      <c r="I57" s="493"/>
      <c r="J57" s="493"/>
      <c r="K57" s="493"/>
      <c r="L57" s="493"/>
      <c r="M57" s="616"/>
      <c r="N57" s="493"/>
      <c r="O57" s="616"/>
      <c r="P57" s="493"/>
      <c r="Q57" s="616"/>
      <c r="R57" s="493"/>
      <c r="S57" s="673"/>
      <c r="T57" s="250"/>
    </row>
    <row r="58" spans="1:20" s="485" customFormat="1" ht="45.75" customHeight="1" x14ac:dyDescent="0.35">
      <c r="A58" s="506" t="s">
        <v>717</v>
      </c>
      <c r="B58" s="2002" t="s">
        <v>718</v>
      </c>
      <c r="C58" s="2003"/>
      <c r="D58" s="2003"/>
      <c r="E58" s="2003"/>
      <c r="F58" s="2003"/>
      <c r="G58" s="2004"/>
      <c r="H58" s="494"/>
      <c r="I58" s="508"/>
      <c r="J58" s="508"/>
      <c r="K58" s="508"/>
      <c r="L58" s="508"/>
      <c r="M58" s="619"/>
      <c r="N58" s="508"/>
      <c r="O58" s="619"/>
      <c r="P58" s="508"/>
      <c r="Q58" s="619"/>
      <c r="R58" s="508"/>
      <c r="S58" s="674"/>
      <c r="T58" s="250"/>
    </row>
    <row r="59" spans="1:20" s="485" customFormat="1" ht="45.75" customHeight="1" x14ac:dyDescent="0.35">
      <c r="A59" s="510" t="s">
        <v>719</v>
      </c>
      <c r="B59" s="503"/>
      <c r="C59" s="503"/>
      <c r="D59" s="503"/>
      <c r="E59" s="503"/>
      <c r="F59" s="503"/>
      <c r="G59" s="503"/>
      <c r="H59" s="504"/>
      <c r="I59" s="493"/>
      <c r="J59" s="493"/>
      <c r="K59" s="493"/>
      <c r="L59" s="493"/>
      <c r="M59" s="616"/>
      <c r="N59" s="493"/>
      <c r="O59" s="616"/>
      <c r="P59" s="493"/>
      <c r="Q59" s="616"/>
      <c r="R59" s="493"/>
      <c r="S59" s="673"/>
      <c r="T59" s="250"/>
    </row>
    <row r="60" spans="1:20" s="485" customFormat="1" ht="45.75" customHeight="1" x14ac:dyDescent="0.35">
      <c r="A60" s="501" t="s">
        <v>720</v>
      </c>
      <c r="B60" s="502"/>
      <c r="C60" s="503"/>
      <c r="D60" s="503"/>
      <c r="E60" s="503"/>
      <c r="F60" s="503"/>
      <c r="G60" s="503"/>
      <c r="H60" s="503"/>
      <c r="I60" s="493"/>
      <c r="J60" s="493"/>
      <c r="K60" s="493"/>
      <c r="L60" s="493"/>
      <c r="M60" s="616"/>
      <c r="N60" s="493"/>
      <c r="O60" s="616"/>
      <c r="P60" s="493"/>
      <c r="Q60" s="616"/>
      <c r="R60" s="493"/>
      <c r="S60" s="673"/>
      <c r="T60" s="250"/>
    </row>
    <row r="61" spans="1:20" s="485" customFormat="1" ht="47.25" customHeight="1" x14ac:dyDescent="0.35">
      <c r="A61" s="501" t="s">
        <v>721</v>
      </c>
      <c r="B61" s="502"/>
      <c r="C61" s="503"/>
      <c r="D61" s="503"/>
      <c r="E61" s="503"/>
      <c r="F61" s="503"/>
      <c r="G61" s="503"/>
      <c r="H61" s="503"/>
      <c r="I61" s="493"/>
      <c r="J61" s="493"/>
      <c r="K61" s="493"/>
      <c r="L61" s="493"/>
      <c r="M61" s="616"/>
      <c r="N61" s="493"/>
      <c r="O61" s="616"/>
      <c r="P61" s="493"/>
      <c r="Q61" s="616"/>
      <c r="R61" s="493"/>
      <c r="S61" s="673"/>
      <c r="T61" s="250"/>
    </row>
    <row r="62" spans="1:20" s="485" customFormat="1" ht="45.75" customHeight="1" x14ac:dyDescent="0.35">
      <c r="A62" s="511" t="s">
        <v>722</v>
      </c>
      <c r="B62" s="1996" t="s">
        <v>425</v>
      </c>
      <c r="C62" s="1997"/>
      <c r="D62" s="1997"/>
      <c r="E62" s="1997"/>
      <c r="F62" s="1997"/>
      <c r="G62" s="1998"/>
      <c r="H62" s="512"/>
      <c r="I62" s="508"/>
      <c r="J62" s="508"/>
      <c r="K62" s="508"/>
      <c r="L62" s="508"/>
      <c r="M62" s="619"/>
      <c r="N62" s="508"/>
      <c r="O62" s="619"/>
      <c r="P62" s="508"/>
      <c r="Q62" s="619"/>
      <c r="R62" s="508"/>
      <c r="S62" s="674"/>
      <c r="T62" s="250"/>
    </row>
  </sheetData>
  <autoFilter ref="B2:F2" xr:uid="{00000000-0009-0000-0000-000002000000}"/>
  <mergeCells count="15">
    <mergeCell ref="B39:G39"/>
    <mergeCell ref="B1:C1"/>
    <mergeCell ref="B4:G4"/>
    <mergeCell ref="B28:G28"/>
    <mergeCell ref="B32:G32"/>
    <mergeCell ref="B33:G33"/>
    <mergeCell ref="B12:I12"/>
    <mergeCell ref="B62:G62"/>
    <mergeCell ref="B53:G53"/>
    <mergeCell ref="B58:G58"/>
    <mergeCell ref="B44:G44"/>
    <mergeCell ref="B46:G46"/>
    <mergeCell ref="B48:G48"/>
    <mergeCell ref="B51:G51"/>
    <mergeCell ref="B52:G52"/>
  </mergeCells>
  <hyperlinks>
    <hyperlink ref="D56" r:id="rId1" xr:uid="{59EE21D5-719C-4D08-882F-DBB87E3DF879}"/>
    <hyperlink ref="D32:D35" r:id="rId2" display="ASHE@Smithbucklin.com" xr:uid="{1E18D4DD-40CB-47CE-9E33-19237D7365F1}"/>
    <hyperlink ref="D31" r:id="rId3" display="ASHE@Smithbucklin.com" xr:uid="{6ECE7464-B762-4BAD-9558-9569A95492E5}"/>
    <hyperlink ref="D39" r:id="rId4" display="ASHE@Smithbucklin.com" xr:uid="{3E668B74-42CF-4DA2-A482-5B83977002B2}"/>
    <hyperlink ref="E9" r:id="rId5" xr:uid="{87E74977-6EE8-4CD4-A16D-02F571456CE1}"/>
    <hyperlink ref="B2" r:id="rId6" display="Target Send Date CHECK ASHE MARKETING CALENDAR       INSIDER every Tuesday" xr:uid="{42F6FA67-D3DC-46C1-8810-3CA15AFD8350}"/>
    <hyperlink ref="E11" r:id="rId7" xr:uid="{A4E8D037-B506-44B6-9C0F-C7FC2EF99766}"/>
    <hyperlink ref="E16" r:id="rId8" xr:uid="{199544DD-A179-4792-A113-F8E27E6A80AB}"/>
    <hyperlink ref="E15" r:id="rId9" xr:uid="{E9E88B6B-FE38-4A6B-9AE3-8C9D18B32931}"/>
    <hyperlink ref="E17" r:id="rId10" xr:uid="{472205D2-A3A9-4F16-A73C-4431B4B16E62}"/>
    <hyperlink ref="E18" r:id="rId11" xr:uid="{26FDEDBA-BF61-4787-838A-058505E418A4}"/>
    <hyperlink ref="E19" r:id="rId12" xr:uid="{494BF998-B0A8-4384-AF39-136B4AA358DE}"/>
    <hyperlink ref="E20" r:id="rId13" xr:uid="{E336B598-6E30-4430-A06A-99C59E3DCC47}"/>
    <hyperlink ref="E21" r:id="rId14" xr:uid="{2C4B37EC-F66E-4694-B6A0-B2B82CFE0178}"/>
  </hyperlinks>
  <pageMargins left="0.7" right="0.7" top="0.75" bottom="0.75" header="0.3" footer="0.3"/>
  <pageSetup scale="47" orientation="portrait" r:id="rId15"/>
  <drawing r:id="rId1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7D29-4408-4C18-B008-4B8797250406}">
  <sheetPr>
    <tabColor rgb="FF78BE20"/>
  </sheetPr>
  <dimension ref="A1:Q342"/>
  <sheetViews>
    <sheetView zoomScale="60" zoomScaleNormal="60" workbookViewId="0">
      <pane ySplit="2" topLeftCell="A301" activePane="bottomLeft" state="frozen"/>
      <selection pane="bottomLeft" activeCell="H332" sqref="H332"/>
    </sheetView>
  </sheetViews>
  <sheetFormatPr defaultColWidth="8.7265625" defaultRowHeight="21" x14ac:dyDescent="0.5"/>
  <cols>
    <col min="1" max="1" width="37.54296875" style="1345" customWidth="1"/>
    <col min="2" max="2" width="28.453125" style="1346" customWidth="1"/>
    <col min="3" max="3" width="32" style="1345" customWidth="1"/>
    <col min="4" max="4" width="32.26953125" style="1345" customWidth="1"/>
    <col min="5" max="5" width="27.54296875" style="1345" customWidth="1"/>
    <col min="6" max="6" width="54.54296875" style="1347" customWidth="1"/>
    <col min="7" max="7" width="50.1796875" style="1348" customWidth="1"/>
    <col min="8" max="8" width="44.453125" style="1348" customWidth="1"/>
    <col min="9" max="9" width="26.81640625" style="1348" customWidth="1"/>
    <col min="10" max="10" width="40.26953125" style="1348" customWidth="1"/>
    <col min="11" max="11" width="22.26953125" style="1200" bestFit="1" customWidth="1"/>
    <col min="12" max="12" width="22.26953125" style="1200" customWidth="1"/>
    <col min="13" max="13" width="22.26953125" style="1201" customWidth="1"/>
    <col min="14" max="14" width="19.1796875" style="1200" customWidth="1"/>
    <col min="15" max="15" width="21" style="1200" customWidth="1"/>
    <col min="16" max="16" width="17.81640625" style="1200" customWidth="1"/>
    <col min="17" max="17" width="17.1796875" style="1200" customWidth="1"/>
    <col min="18" max="16384" width="8.7265625" style="1192"/>
  </cols>
  <sheetData>
    <row r="1" spans="1:17" ht="99" customHeight="1" x14ac:dyDescent="0.5">
      <c r="A1" s="1192"/>
      <c r="B1" s="1193"/>
      <c r="C1" s="2044" t="s">
        <v>723</v>
      </c>
      <c r="D1" s="2044"/>
      <c r="E1" s="1195">
        <f>AVERAGE(N164:N290)</f>
        <v>0.30949382716049378</v>
      </c>
      <c r="F1" s="1196" t="s">
        <v>724</v>
      </c>
      <c r="G1" s="1197">
        <f>AVERAGE(O164:O290)</f>
        <v>7.4728395061728417E-2</v>
      </c>
      <c r="H1" s="1198"/>
      <c r="I1" s="1198"/>
      <c r="J1" s="1199"/>
    </row>
    <row r="2" spans="1:17" ht="50.25" customHeight="1" x14ac:dyDescent="0.5">
      <c r="A2" s="1202" t="s">
        <v>1</v>
      </c>
      <c r="B2" s="1203" t="s">
        <v>647</v>
      </c>
      <c r="C2" s="1204" t="s">
        <v>725</v>
      </c>
      <c r="D2" s="1203" t="s">
        <v>648</v>
      </c>
      <c r="E2" s="1203" t="s">
        <v>4</v>
      </c>
      <c r="F2" s="1203" t="s">
        <v>5</v>
      </c>
      <c r="G2" s="1203" t="s">
        <v>6</v>
      </c>
      <c r="H2" s="1203" t="s">
        <v>7</v>
      </c>
      <c r="I2" s="1203" t="s">
        <v>726</v>
      </c>
      <c r="J2" s="1203" t="s">
        <v>727</v>
      </c>
      <c r="K2" s="1203" t="s">
        <v>9</v>
      </c>
      <c r="L2" s="1203" t="s">
        <v>728</v>
      </c>
      <c r="M2" s="1205" t="s">
        <v>651</v>
      </c>
      <c r="N2" s="1203" t="s">
        <v>433</v>
      </c>
      <c r="O2" s="1203" t="s">
        <v>729</v>
      </c>
      <c r="P2" s="1203" t="s">
        <v>653</v>
      </c>
      <c r="Q2" s="1203" t="s">
        <v>655</v>
      </c>
    </row>
    <row r="3" spans="1:17" s="1210" customFormat="1" ht="39.75" hidden="1" customHeight="1" x14ac:dyDescent="0.35">
      <c r="A3" s="1206" t="s">
        <v>730</v>
      </c>
      <c r="B3" s="1206"/>
      <c r="C3" s="2040" t="s">
        <v>641</v>
      </c>
      <c r="D3" s="2040"/>
      <c r="E3" s="2040"/>
      <c r="F3" s="2040"/>
      <c r="G3" s="2040"/>
      <c r="H3" s="2040"/>
      <c r="I3" s="1206"/>
      <c r="J3" s="1207"/>
      <c r="K3" s="1208"/>
      <c r="L3" s="1208"/>
      <c r="M3" s="1209"/>
      <c r="N3" s="1208"/>
      <c r="O3" s="1208"/>
      <c r="P3" s="1208"/>
      <c r="Q3" s="1208"/>
    </row>
    <row r="4" spans="1:17" s="1219" customFormat="1" ht="39.75" hidden="1" customHeight="1" x14ac:dyDescent="0.35">
      <c r="A4" s="1211" t="s">
        <v>730</v>
      </c>
      <c r="B4" s="1211"/>
      <c r="C4" s="1211">
        <v>45294</v>
      </c>
      <c r="D4" s="1212"/>
      <c r="E4" s="1213"/>
      <c r="F4" s="1214" t="s">
        <v>16</v>
      </c>
      <c r="G4" s="1214" t="s">
        <v>17</v>
      </c>
      <c r="H4" s="1215" t="s">
        <v>731</v>
      </c>
      <c r="I4" s="1215"/>
      <c r="J4" s="1216" t="s">
        <v>732</v>
      </c>
      <c r="K4" s="1217" t="s">
        <v>733</v>
      </c>
      <c r="L4" s="1217">
        <v>1409</v>
      </c>
      <c r="M4" s="1218">
        <v>6455</v>
      </c>
      <c r="N4" s="1217">
        <v>3129</v>
      </c>
      <c r="O4" s="1217">
        <v>976</v>
      </c>
      <c r="P4" s="1217"/>
      <c r="Q4" s="1217"/>
    </row>
    <row r="5" spans="1:17" s="1219" customFormat="1" ht="39.75" hidden="1" customHeight="1" x14ac:dyDescent="0.35">
      <c r="A5" s="1211" t="s">
        <v>730</v>
      </c>
      <c r="B5" s="1211"/>
      <c r="C5" s="1211">
        <v>45295</v>
      </c>
      <c r="D5" s="1211" t="s">
        <v>734</v>
      </c>
      <c r="E5" s="1211"/>
      <c r="F5" s="1215" t="s">
        <v>735</v>
      </c>
      <c r="G5" s="1215" t="s">
        <v>736</v>
      </c>
      <c r="H5" s="1215"/>
      <c r="I5" s="1215"/>
      <c r="J5" s="1216" t="s">
        <v>737</v>
      </c>
      <c r="K5" s="1217" t="s">
        <v>738</v>
      </c>
      <c r="L5" s="1217">
        <v>1409</v>
      </c>
      <c r="M5" s="1218">
        <v>6427</v>
      </c>
      <c r="N5" s="1217">
        <v>3035</v>
      </c>
      <c r="O5" s="1217">
        <v>890</v>
      </c>
      <c r="P5" s="1217"/>
      <c r="Q5" s="1217"/>
    </row>
    <row r="6" spans="1:17" s="1210" customFormat="1" ht="39.75" hidden="1" customHeight="1" x14ac:dyDescent="0.5">
      <c r="A6" s="1211" t="s">
        <v>739</v>
      </c>
      <c r="B6" s="1211"/>
      <c r="C6" s="1211">
        <v>45301</v>
      </c>
      <c r="D6" s="1211" t="s">
        <v>740</v>
      </c>
      <c r="E6" s="1220" t="s">
        <v>741</v>
      </c>
      <c r="F6" s="1215" t="s">
        <v>742</v>
      </c>
      <c r="G6" s="1215" t="s">
        <v>743</v>
      </c>
      <c r="H6" s="1215"/>
      <c r="I6" s="1215"/>
      <c r="J6" s="1221" t="s">
        <v>744</v>
      </c>
      <c r="K6" s="1217" t="s">
        <v>745</v>
      </c>
      <c r="L6" s="1217">
        <v>198</v>
      </c>
      <c r="M6" s="1218">
        <v>819</v>
      </c>
      <c r="N6" s="1217">
        <v>478</v>
      </c>
      <c r="O6" s="1217">
        <v>10</v>
      </c>
      <c r="P6" s="1217"/>
      <c r="Q6" s="1217"/>
    </row>
    <row r="7" spans="1:17" s="1210" customFormat="1" ht="39.75" hidden="1" customHeight="1" x14ac:dyDescent="0.35">
      <c r="A7" s="1206" t="s">
        <v>739</v>
      </c>
      <c r="B7" s="1206"/>
      <c r="C7" s="2040" t="s">
        <v>746</v>
      </c>
      <c r="D7" s="2040"/>
      <c r="E7" s="2040"/>
      <c r="F7" s="2040"/>
      <c r="G7" s="2040"/>
      <c r="H7" s="2040"/>
      <c r="I7" s="1206"/>
      <c r="J7" s="1207"/>
      <c r="K7" s="1208"/>
      <c r="L7" s="1208"/>
      <c r="M7" s="1209"/>
      <c r="N7" s="1208"/>
      <c r="O7" s="1208"/>
      <c r="P7" s="1208"/>
      <c r="Q7" s="1208"/>
    </row>
    <row r="8" spans="1:17" s="1210" customFormat="1" ht="39.75" hidden="1" customHeight="1" x14ac:dyDescent="0.5">
      <c r="A8" s="1211" t="s">
        <v>747</v>
      </c>
      <c r="B8" s="1211"/>
      <c r="C8" s="1211">
        <v>45307</v>
      </c>
      <c r="D8" s="1211" t="s">
        <v>748</v>
      </c>
      <c r="E8" s="1220" t="s">
        <v>413</v>
      </c>
      <c r="F8" s="1215" t="s">
        <v>749</v>
      </c>
      <c r="G8" s="1215" t="s">
        <v>736</v>
      </c>
      <c r="H8" s="1215"/>
      <c r="I8" s="1215"/>
      <c r="J8" s="1221" t="s">
        <v>750</v>
      </c>
      <c r="K8" s="1217" t="s">
        <v>751</v>
      </c>
      <c r="L8" s="1217">
        <v>248</v>
      </c>
      <c r="M8" s="1218">
        <v>6311</v>
      </c>
      <c r="N8" s="1217">
        <v>2585</v>
      </c>
      <c r="O8" s="1217">
        <v>588</v>
      </c>
      <c r="P8" s="1217"/>
      <c r="Q8" s="1217"/>
    </row>
    <row r="9" spans="1:17" s="1210" customFormat="1" ht="39.75" hidden="1" customHeight="1" x14ac:dyDescent="0.35">
      <c r="A9" s="1211" t="s">
        <v>747</v>
      </c>
      <c r="B9" s="1211"/>
      <c r="C9" s="1211">
        <v>45308</v>
      </c>
      <c r="D9" s="1211" t="s">
        <v>752</v>
      </c>
      <c r="E9" s="1211" t="s">
        <v>753</v>
      </c>
      <c r="F9" s="1215" t="s">
        <v>754</v>
      </c>
      <c r="G9" s="1215" t="s">
        <v>755</v>
      </c>
      <c r="H9" s="1215" t="s">
        <v>756</v>
      </c>
      <c r="I9" s="1215"/>
      <c r="J9" s="1216" t="s">
        <v>757</v>
      </c>
      <c r="K9" s="1217" t="s">
        <v>758</v>
      </c>
      <c r="L9" s="1217">
        <v>57</v>
      </c>
      <c r="M9" s="1218">
        <v>76</v>
      </c>
      <c r="N9" s="1217">
        <v>28</v>
      </c>
      <c r="O9" s="1217">
        <v>2</v>
      </c>
      <c r="P9" s="1217"/>
      <c r="Q9" s="1217"/>
    </row>
    <row r="10" spans="1:17" s="1210" customFormat="1" ht="39.75" hidden="1" customHeight="1" x14ac:dyDescent="0.35">
      <c r="A10" s="1211" t="s">
        <v>747</v>
      </c>
      <c r="B10" s="1211"/>
      <c r="C10" s="1211">
        <v>45308</v>
      </c>
      <c r="D10" s="1211" t="s">
        <v>752</v>
      </c>
      <c r="E10" s="1220" t="s">
        <v>759</v>
      </c>
      <c r="F10" s="1215" t="s">
        <v>760</v>
      </c>
      <c r="G10" s="1215" t="s">
        <v>755</v>
      </c>
      <c r="H10" s="1215" t="s">
        <v>756</v>
      </c>
      <c r="I10" s="1215"/>
      <c r="J10" s="1216" t="s">
        <v>757</v>
      </c>
      <c r="K10" s="1217" t="s">
        <v>758</v>
      </c>
      <c r="L10" s="1217">
        <v>57</v>
      </c>
      <c r="M10" s="1218">
        <v>131</v>
      </c>
      <c r="N10" s="1217">
        <v>56</v>
      </c>
      <c r="O10" s="1217">
        <v>5</v>
      </c>
      <c r="P10" s="1217"/>
      <c r="Q10" s="1217"/>
    </row>
    <row r="11" spans="1:17" s="1210" customFormat="1" ht="39.75" hidden="1" customHeight="1" x14ac:dyDescent="0.35">
      <c r="A11" s="1211" t="s">
        <v>761</v>
      </c>
      <c r="B11" s="1211"/>
      <c r="C11" s="1211">
        <v>45314</v>
      </c>
      <c r="D11" s="1211" t="s">
        <v>762</v>
      </c>
      <c r="E11" s="1220" t="s">
        <v>413</v>
      </c>
      <c r="F11" s="1215" t="s">
        <v>763</v>
      </c>
      <c r="G11" s="1215"/>
      <c r="H11" s="1215"/>
      <c r="I11" s="1215"/>
      <c r="J11" s="1216"/>
      <c r="K11" s="1217" t="s">
        <v>764</v>
      </c>
      <c r="L11" s="1217">
        <v>240</v>
      </c>
      <c r="M11" s="1218">
        <v>99</v>
      </c>
      <c r="N11" s="1217">
        <v>24</v>
      </c>
      <c r="O11" s="1217">
        <v>4</v>
      </c>
      <c r="P11" s="1217"/>
      <c r="Q11" s="1217"/>
    </row>
    <row r="12" spans="1:17" s="1210" customFormat="1" ht="39.75" hidden="1" customHeight="1" x14ac:dyDescent="0.35">
      <c r="A12" s="1206" t="s">
        <v>761</v>
      </c>
      <c r="B12" s="1206"/>
      <c r="C12" s="2040" t="s">
        <v>765</v>
      </c>
      <c r="D12" s="2040"/>
      <c r="E12" s="2040"/>
      <c r="F12" s="2040"/>
      <c r="G12" s="2040"/>
      <c r="H12" s="2040"/>
      <c r="I12" s="1206"/>
      <c r="J12" s="1207"/>
      <c r="K12" s="1208"/>
      <c r="L12" s="1208"/>
      <c r="M12" s="1209"/>
      <c r="N12" s="1208"/>
      <c r="O12" s="1208"/>
      <c r="P12" s="1208"/>
      <c r="Q12" s="1208"/>
    </row>
    <row r="13" spans="1:17" s="1210" customFormat="1" ht="39.75" hidden="1" customHeight="1" x14ac:dyDescent="0.35">
      <c r="A13" s="1211" t="s">
        <v>766</v>
      </c>
      <c r="B13" s="1211"/>
      <c r="C13" s="1211">
        <v>45320</v>
      </c>
      <c r="D13" s="1211" t="s">
        <v>762</v>
      </c>
      <c r="E13" s="1220" t="s">
        <v>413</v>
      </c>
      <c r="F13" s="1215" t="s">
        <v>767</v>
      </c>
      <c r="G13" s="1215"/>
      <c r="H13" s="1215" t="s">
        <v>768</v>
      </c>
      <c r="I13" s="1215"/>
      <c r="J13" s="1216"/>
      <c r="K13" s="1217" t="s">
        <v>769</v>
      </c>
      <c r="L13" s="1217">
        <v>243</v>
      </c>
      <c r="M13" s="1218">
        <v>73</v>
      </c>
      <c r="N13" s="1217">
        <v>6</v>
      </c>
      <c r="O13" s="1217">
        <v>1</v>
      </c>
      <c r="P13" s="1217"/>
      <c r="Q13" s="1217"/>
    </row>
    <row r="14" spans="1:17" s="1210" customFormat="1" ht="39.75" hidden="1" customHeight="1" x14ac:dyDescent="0.35">
      <c r="A14" s="1211" t="s">
        <v>766</v>
      </c>
      <c r="B14" s="1211"/>
      <c r="C14" s="1211">
        <v>45320</v>
      </c>
      <c r="D14" s="1211" t="s">
        <v>770</v>
      </c>
      <c r="E14" s="1211" t="s">
        <v>771</v>
      </c>
      <c r="F14" s="1215" t="s">
        <v>772</v>
      </c>
      <c r="G14" s="1215" t="s">
        <v>755</v>
      </c>
      <c r="H14" s="1215" t="s">
        <v>773</v>
      </c>
      <c r="I14" s="1215"/>
      <c r="J14" s="1215"/>
      <c r="K14" s="1217" t="s">
        <v>774</v>
      </c>
      <c r="L14" s="1217">
        <v>243</v>
      </c>
      <c r="M14" s="1218">
        <v>46</v>
      </c>
      <c r="N14" s="1217">
        <v>8</v>
      </c>
      <c r="O14" s="1217">
        <v>1</v>
      </c>
      <c r="P14" s="1217"/>
      <c r="Q14" s="1217"/>
    </row>
    <row r="15" spans="1:17" s="1210" customFormat="1" ht="39.75" hidden="1" customHeight="1" x14ac:dyDescent="0.35">
      <c r="A15" s="1211" t="s">
        <v>766</v>
      </c>
      <c r="B15" s="1211"/>
      <c r="C15" s="1211">
        <v>45320</v>
      </c>
      <c r="D15" s="1211" t="s">
        <v>770</v>
      </c>
      <c r="E15" s="1211" t="s">
        <v>775</v>
      </c>
      <c r="F15" s="1215" t="s">
        <v>772</v>
      </c>
      <c r="G15" s="1215" t="s">
        <v>755</v>
      </c>
      <c r="H15" s="1215" t="s">
        <v>773</v>
      </c>
      <c r="I15" s="1215"/>
      <c r="J15" s="1215"/>
      <c r="K15" s="1217" t="s">
        <v>774</v>
      </c>
      <c r="L15" s="1217">
        <v>243</v>
      </c>
      <c r="M15" s="1218">
        <v>73</v>
      </c>
      <c r="N15" s="1217">
        <v>13</v>
      </c>
      <c r="O15" s="1217">
        <v>0</v>
      </c>
      <c r="P15" s="1217"/>
      <c r="Q15" s="1217"/>
    </row>
    <row r="16" spans="1:17" s="1210" customFormat="1" ht="39.75" hidden="1" customHeight="1" x14ac:dyDescent="0.35">
      <c r="A16" s="1211" t="s">
        <v>766</v>
      </c>
      <c r="B16" s="1211"/>
      <c r="C16" s="1211">
        <v>45322</v>
      </c>
      <c r="D16" s="1211" t="s">
        <v>776</v>
      </c>
      <c r="E16" s="1211" t="s">
        <v>777</v>
      </c>
      <c r="F16" s="1215" t="s">
        <v>778</v>
      </c>
      <c r="G16" s="1215"/>
      <c r="H16" s="1215" t="s">
        <v>779</v>
      </c>
      <c r="I16" s="1215"/>
      <c r="J16" s="1216" t="s">
        <v>780</v>
      </c>
      <c r="K16" s="1217" t="s">
        <v>781</v>
      </c>
      <c r="L16" s="1217">
        <v>204</v>
      </c>
      <c r="M16" s="1218">
        <v>6378</v>
      </c>
      <c r="N16" s="1217">
        <v>1163</v>
      </c>
      <c r="O16" s="1217">
        <v>90</v>
      </c>
      <c r="P16" s="1217"/>
      <c r="Q16" s="1217"/>
    </row>
    <row r="17" spans="1:17" s="1210" customFormat="1" ht="39.75" hidden="1" customHeight="1" x14ac:dyDescent="0.35">
      <c r="A17" s="1211" t="s">
        <v>766</v>
      </c>
      <c r="B17" s="1211"/>
      <c r="C17" s="1211">
        <v>45322</v>
      </c>
      <c r="D17" s="1211" t="s">
        <v>782</v>
      </c>
      <c r="E17" s="1220" t="s">
        <v>783</v>
      </c>
      <c r="F17" s="1215" t="s">
        <v>784</v>
      </c>
      <c r="G17" s="1215"/>
      <c r="H17" s="1215" t="s">
        <v>785</v>
      </c>
      <c r="I17" s="1215"/>
      <c r="J17" s="1216" t="s">
        <v>786</v>
      </c>
      <c r="K17" s="1217" t="s">
        <v>787</v>
      </c>
      <c r="L17" s="1217">
        <v>211</v>
      </c>
      <c r="M17" s="1218">
        <v>5198</v>
      </c>
      <c r="N17" s="1217">
        <v>610</v>
      </c>
      <c r="O17" s="1217">
        <v>9</v>
      </c>
      <c r="P17" s="1217"/>
      <c r="Q17" s="1217"/>
    </row>
    <row r="18" spans="1:17" s="1210" customFormat="1" ht="39.75" hidden="1" customHeight="1" x14ac:dyDescent="0.5">
      <c r="A18" s="1211" t="s">
        <v>788</v>
      </c>
      <c r="B18" s="1211"/>
      <c r="C18" s="1211">
        <v>45328</v>
      </c>
      <c r="D18" s="1211" t="s">
        <v>86</v>
      </c>
      <c r="E18" s="1220" t="s">
        <v>741</v>
      </c>
      <c r="F18" s="1215" t="s">
        <v>789</v>
      </c>
      <c r="G18" s="1215" t="s">
        <v>790</v>
      </c>
      <c r="H18" s="1215" t="s">
        <v>791</v>
      </c>
      <c r="I18" s="1215"/>
      <c r="J18" s="1221" t="s">
        <v>792</v>
      </c>
      <c r="K18" s="1217" t="s">
        <v>793</v>
      </c>
      <c r="L18" s="1217">
        <v>352</v>
      </c>
      <c r="M18" s="1218">
        <v>6273</v>
      </c>
      <c r="N18" s="1217">
        <v>2149</v>
      </c>
      <c r="O18" s="1217">
        <v>648</v>
      </c>
      <c r="P18" s="1217"/>
      <c r="Q18" s="1217"/>
    </row>
    <row r="19" spans="1:17" s="1210" customFormat="1" ht="39.75" hidden="1" customHeight="1" x14ac:dyDescent="0.35">
      <c r="A19" s="1211" t="s">
        <v>788</v>
      </c>
      <c r="B19" s="1211"/>
      <c r="C19" s="1211">
        <v>45330</v>
      </c>
      <c r="D19" s="1211" t="s">
        <v>794</v>
      </c>
      <c r="E19" s="1220" t="s">
        <v>379</v>
      </c>
      <c r="F19" s="1215" t="s">
        <v>795</v>
      </c>
      <c r="G19" s="1215"/>
      <c r="H19" s="1215" t="s">
        <v>791</v>
      </c>
      <c r="I19" s="1215"/>
      <c r="J19" s="1215"/>
      <c r="K19" s="1217" t="s">
        <v>796</v>
      </c>
      <c r="L19" s="1217">
        <v>295</v>
      </c>
      <c r="M19" s="1218">
        <v>173</v>
      </c>
      <c r="N19" s="1217">
        <v>119</v>
      </c>
      <c r="O19" s="1217">
        <v>12</v>
      </c>
      <c r="P19" s="1217"/>
      <c r="Q19" s="1217"/>
    </row>
    <row r="20" spans="1:17" s="1210" customFormat="1" ht="39.75" hidden="1" customHeight="1" x14ac:dyDescent="0.35">
      <c r="A20" s="1206" t="s">
        <v>788</v>
      </c>
      <c r="B20" s="1206"/>
      <c r="C20" s="2040" t="s">
        <v>797</v>
      </c>
      <c r="D20" s="2040"/>
      <c r="E20" s="2040"/>
      <c r="F20" s="2040"/>
      <c r="G20" s="2040"/>
      <c r="H20" s="2040"/>
      <c r="I20" s="1206"/>
      <c r="J20" s="1207"/>
      <c r="K20" s="1208"/>
      <c r="L20" s="1208"/>
      <c r="M20" s="1209"/>
      <c r="N20" s="1208"/>
      <c r="O20" s="1208"/>
      <c r="P20" s="1208"/>
      <c r="Q20" s="1208"/>
    </row>
    <row r="21" spans="1:17" s="1210" customFormat="1" ht="39.75" hidden="1" customHeight="1" x14ac:dyDescent="0.35">
      <c r="A21" s="1211" t="s">
        <v>798</v>
      </c>
      <c r="B21" s="1211"/>
      <c r="C21" s="1211">
        <v>45335</v>
      </c>
      <c r="D21" s="1211" t="s">
        <v>799</v>
      </c>
      <c r="E21" s="1220" t="s">
        <v>421</v>
      </c>
      <c r="F21" s="1215" t="s">
        <v>800</v>
      </c>
      <c r="G21" s="1215"/>
      <c r="H21" s="1215"/>
      <c r="I21" s="1215"/>
      <c r="J21" s="1215"/>
      <c r="K21" s="1217" t="s">
        <v>801</v>
      </c>
      <c r="L21" s="1217">
        <v>452</v>
      </c>
      <c r="M21" s="1218">
        <v>52</v>
      </c>
      <c r="N21" s="1217">
        <v>8</v>
      </c>
      <c r="O21" s="1217">
        <v>2</v>
      </c>
      <c r="P21" s="1217">
        <v>0</v>
      </c>
      <c r="Q21" s="1217">
        <v>1</v>
      </c>
    </row>
    <row r="22" spans="1:17" s="1210" customFormat="1" ht="39.75" hidden="1" customHeight="1" x14ac:dyDescent="0.35">
      <c r="A22" s="1211" t="s">
        <v>798</v>
      </c>
      <c r="B22" s="1211"/>
      <c r="C22" s="1211">
        <v>45337</v>
      </c>
      <c r="D22" s="1211" t="s">
        <v>86</v>
      </c>
      <c r="E22" s="1220" t="s">
        <v>741</v>
      </c>
      <c r="F22" s="1215" t="s">
        <v>802</v>
      </c>
      <c r="G22" s="1215" t="s">
        <v>803</v>
      </c>
      <c r="H22" s="1215"/>
      <c r="I22" s="1215"/>
      <c r="J22" s="1215"/>
      <c r="K22" s="1217" t="s">
        <v>804</v>
      </c>
      <c r="L22" s="1217">
        <v>629</v>
      </c>
      <c r="M22" s="1218">
        <v>6251</v>
      </c>
      <c r="N22" s="1217">
        <v>2565</v>
      </c>
      <c r="O22" s="1217">
        <v>65</v>
      </c>
      <c r="P22" s="1217">
        <v>12</v>
      </c>
      <c r="Q22" s="1217">
        <v>41</v>
      </c>
    </row>
    <row r="23" spans="1:17" s="1210" customFormat="1" ht="39.75" hidden="1" customHeight="1" x14ac:dyDescent="0.35">
      <c r="A23" s="1206" t="s">
        <v>798</v>
      </c>
      <c r="B23" s="1206"/>
      <c r="C23" s="2040" t="s">
        <v>805</v>
      </c>
      <c r="D23" s="2040"/>
      <c r="E23" s="2040"/>
      <c r="F23" s="2040"/>
      <c r="G23" s="2040"/>
      <c r="H23" s="2040"/>
      <c r="I23" s="1206"/>
      <c r="J23" s="1207"/>
      <c r="K23" s="1208"/>
      <c r="L23" s="1208"/>
      <c r="M23" s="1209"/>
      <c r="N23" s="1208"/>
      <c r="O23" s="1208"/>
      <c r="P23" s="1208"/>
      <c r="Q23" s="1208"/>
    </row>
    <row r="24" spans="1:17" s="1210" customFormat="1" ht="39.75" hidden="1" customHeight="1" x14ac:dyDescent="0.35">
      <c r="A24" s="1211" t="s">
        <v>806</v>
      </c>
      <c r="B24" s="1211"/>
      <c r="C24" s="1211">
        <v>45343</v>
      </c>
      <c r="D24" s="1222" t="s">
        <v>807</v>
      </c>
      <c r="E24" s="1220" t="s">
        <v>413</v>
      </c>
      <c r="F24" s="1215" t="s">
        <v>808</v>
      </c>
      <c r="G24" s="1215"/>
      <c r="H24" s="1215"/>
      <c r="I24" s="1215"/>
      <c r="J24" s="1216" t="s">
        <v>809</v>
      </c>
      <c r="K24" s="1217" t="s">
        <v>810</v>
      </c>
      <c r="L24" s="1217">
        <v>369</v>
      </c>
      <c r="M24" s="1218">
        <v>6253</v>
      </c>
      <c r="N24" s="1217">
        <v>2933</v>
      </c>
      <c r="O24" s="1217">
        <v>202</v>
      </c>
      <c r="P24" s="1217">
        <v>6</v>
      </c>
      <c r="Q24" s="1217">
        <v>46</v>
      </c>
    </row>
    <row r="25" spans="1:17" s="1210" customFormat="1" ht="39.75" hidden="1" customHeight="1" x14ac:dyDescent="0.35">
      <c r="A25" s="1211" t="s">
        <v>806</v>
      </c>
      <c r="B25" s="1211"/>
      <c r="C25" s="1211">
        <v>45344</v>
      </c>
      <c r="D25" s="1211" t="s">
        <v>811</v>
      </c>
      <c r="E25" s="1220" t="s">
        <v>379</v>
      </c>
      <c r="F25" s="1215" t="s">
        <v>812</v>
      </c>
      <c r="G25" s="1215"/>
      <c r="H25" s="1215" t="s">
        <v>813</v>
      </c>
      <c r="I25" s="1215"/>
      <c r="J25" s="1216" t="s">
        <v>814</v>
      </c>
      <c r="K25" s="1217" t="s">
        <v>815</v>
      </c>
      <c r="L25" s="1217">
        <v>281</v>
      </c>
      <c r="M25" s="1218">
        <v>163</v>
      </c>
      <c r="N25" s="1217">
        <v>107</v>
      </c>
      <c r="O25" s="1217">
        <v>12</v>
      </c>
      <c r="P25" s="1217">
        <v>0</v>
      </c>
      <c r="Q25" s="1217">
        <v>2</v>
      </c>
    </row>
    <row r="26" spans="1:17" s="1210" customFormat="1" ht="39.75" hidden="1" customHeight="1" x14ac:dyDescent="0.35">
      <c r="A26" s="1206" t="s">
        <v>816</v>
      </c>
      <c r="B26" s="1206"/>
      <c r="C26" s="2040" t="s">
        <v>817</v>
      </c>
      <c r="D26" s="2040"/>
      <c r="E26" s="2040"/>
      <c r="F26" s="2040"/>
      <c r="G26" s="2040"/>
      <c r="H26" s="2040"/>
      <c r="I26" s="1206"/>
      <c r="J26" s="1207"/>
      <c r="K26" s="1208"/>
      <c r="L26" s="1208"/>
      <c r="M26" s="1209"/>
      <c r="N26" s="1208"/>
      <c r="O26" s="1208"/>
      <c r="P26" s="1208"/>
      <c r="Q26" s="1208"/>
    </row>
    <row r="27" spans="1:17" s="1210" customFormat="1" ht="39.75" hidden="1" customHeight="1" x14ac:dyDescent="0.35">
      <c r="A27" s="1211" t="s">
        <v>818</v>
      </c>
      <c r="B27" s="1211"/>
      <c r="C27" s="1211">
        <v>45355</v>
      </c>
      <c r="D27" s="1211" t="s">
        <v>811</v>
      </c>
      <c r="E27" s="1220" t="s">
        <v>421</v>
      </c>
      <c r="F27" s="1215" t="s">
        <v>819</v>
      </c>
      <c r="G27" s="1215"/>
      <c r="H27" s="1215" t="s">
        <v>820</v>
      </c>
      <c r="I27" s="1215"/>
      <c r="J27" s="1215"/>
      <c r="K27" s="1217" t="s">
        <v>821</v>
      </c>
      <c r="L27" s="1217">
        <v>739</v>
      </c>
      <c r="M27" s="1218">
        <v>158</v>
      </c>
      <c r="N27" s="1217">
        <v>94</v>
      </c>
      <c r="O27" s="1217">
        <v>11</v>
      </c>
      <c r="P27" s="1217">
        <v>0</v>
      </c>
      <c r="Q27" s="1217">
        <v>2</v>
      </c>
    </row>
    <row r="28" spans="1:17" s="1210" customFormat="1" ht="39.75" hidden="1" customHeight="1" x14ac:dyDescent="0.35">
      <c r="A28" s="1206" t="s">
        <v>818</v>
      </c>
      <c r="B28" s="1206"/>
      <c r="C28" s="2040" t="s">
        <v>822</v>
      </c>
      <c r="D28" s="2040"/>
      <c r="E28" s="2040"/>
      <c r="F28" s="2040"/>
      <c r="G28" s="2040"/>
      <c r="H28" s="2040"/>
      <c r="I28" s="1206"/>
      <c r="J28" s="1207"/>
      <c r="K28" s="1208"/>
      <c r="L28" s="1208"/>
      <c r="M28" s="1209"/>
      <c r="N28" s="1208"/>
      <c r="O28" s="1208"/>
      <c r="P28" s="1208"/>
      <c r="Q28" s="1208"/>
    </row>
    <row r="29" spans="1:17" s="1210" customFormat="1" ht="39.75" hidden="1" customHeight="1" x14ac:dyDescent="0.35">
      <c r="A29" s="1211" t="s">
        <v>818</v>
      </c>
      <c r="B29" s="1211"/>
      <c r="C29" s="1211">
        <v>45357</v>
      </c>
      <c r="D29" s="1211" t="s">
        <v>823</v>
      </c>
      <c r="E29" s="1220" t="s">
        <v>379</v>
      </c>
      <c r="F29" s="1215" t="s">
        <v>824</v>
      </c>
      <c r="G29" s="1215"/>
      <c r="H29" s="1215" t="s">
        <v>825</v>
      </c>
      <c r="I29" s="1215"/>
      <c r="J29" s="1215"/>
      <c r="K29" s="1217" t="s">
        <v>826</v>
      </c>
      <c r="L29" s="1217">
        <v>405</v>
      </c>
      <c r="M29" s="1218">
        <v>151</v>
      </c>
      <c r="N29" s="1217">
        <v>102</v>
      </c>
      <c r="O29" s="1217">
        <v>13</v>
      </c>
      <c r="P29" s="1217">
        <v>0</v>
      </c>
      <c r="Q29" s="1217">
        <v>2</v>
      </c>
    </row>
    <row r="30" spans="1:17" s="1210" customFormat="1" ht="39.75" hidden="1" customHeight="1" x14ac:dyDescent="0.35">
      <c r="A30" s="1206" t="s">
        <v>818</v>
      </c>
      <c r="B30" s="1206"/>
      <c r="C30" s="2040" t="s">
        <v>827</v>
      </c>
      <c r="D30" s="2040"/>
      <c r="E30" s="2040"/>
      <c r="F30" s="2040"/>
      <c r="G30" s="2040"/>
      <c r="H30" s="2040"/>
      <c r="I30" s="1206"/>
      <c r="J30" s="1207"/>
      <c r="K30" s="1208"/>
      <c r="L30" s="1208"/>
      <c r="M30" s="1209"/>
      <c r="N30" s="1208"/>
      <c r="O30" s="1208"/>
      <c r="P30" s="1208"/>
      <c r="Q30" s="1208"/>
    </row>
    <row r="31" spans="1:17" s="1210" customFormat="1" ht="39.75" hidden="1" customHeight="1" x14ac:dyDescent="0.35">
      <c r="A31" s="1206" t="s">
        <v>105</v>
      </c>
      <c r="B31" s="1206"/>
      <c r="C31" s="2040" t="s">
        <v>828</v>
      </c>
      <c r="D31" s="2040"/>
      <c r="E31" s="2040"/>
      <c r="F31" s="2040"/>
      <c r="G31" s="2040"/>
      <c r="H31" s="2040"/>
      <c r="I31" s="1206"/>
      <c r="J31" s="1207"/>
      <c r="K31" s="1208"/>
      <c r="L31" s="1208"/>
      <c r="M31" s="1209"/>
      <c r="N31" s="1208"/>
      <c r="O31" s="1208"/>
      <c r="P31" s="1208"/>
      <c r="Q31" s="1208"/>
    </row>
    <row r="32" spans="1:17" s="1210" customFormat="1" ht="39.75" hidden="1" customHeight="1" x14ac:dyDescent="0.35">
      <c r="A32" s="1223" t="s">
        <v>829</v>
      </c>
      <c r="B32" s="1223"/>
      <c r="C32" s="1211">
        <v>45362</v>
      </c>
      <c r="D32" s="1211" t="s">
        <v>830</v>
      </c>
      <c r="E32" s="1220" t="s">
        <v>379</v>
      </c>
      <c r="F32" s="1215" t="s">
        <v>831</v>
      </c>
      <c r="G32" s="1215" t="s">
        <v>832</v>
      </c>
      <c r="H32" s="1215" t="s">
        <v>833</v>
      </c>
      <c r="I32" s="1215"/>
      <c r="J32" s="1216"/>
      <c r="K32" s="1217" t="s">
        <v>834</v>
      </c>
      <c r="L32" s="1217">
        <v>527</v>
      </c>
      <c r="M32" s="1218">
        <v>159</v>
      </c>
      <c r="N32" s="1217">
        <v>76</v>
      </c>
      <c r="O32" s="1217">
        <v>16</v>
      </c>
      <c r="P32" s="1217">
        <v>0</v>
      </c>
      <c r="Q32" s="1217">
        <v>3</v>
      </c>
    </row>
    <row r="33" spans="1:17" s="1210" customFormat="1" ht="39.75" hidden="1" customHeight="1" x14ac:dyDescent="0.35">
      <c r="A33" s="1223" t="s">
        <v>829</v>
      </c>
      <c r="B33" s="1223"/>
      <c r="C33" s="1211">
        <v>45362</v>
      </c>
      <c r="D33" s="1211" t="s">
        <v>835</v>
      </c>
      <c r="E33" s="1220" t="s">
        <v>379</v>
      </c>
      <c r="F33" s="1215" t="s">
        <v>836</v>
      </c>
      <c r="G33" s="1215" t="s">
        <v>832</v>
      </c>
      <c r="H33" s="1215" t="s">
        <v>833</v>
      </c>
      <c r="I33" s="1215"/>
      <c r="J33" s="1216" t="s">
        <v>837</v>
      </c>
      <c r="K33" s="1217" t="s">
        <v>838</v>
      </c>
      <c r="L33" s="1217">
        <v>527</v>
      </c>
      <c r="M33" s="1218">
        <v>31</v>
      </c>
      <c r="N33" s="1217">
        <v>20</v>
      </c>
      <c r="O33" s="1217">
        <v>8</v>
      </c>
      <c r="P33" s="1217">
        <v>0</v>
      </c>
      <c r="Q33" s="1217">
        <v>1</v>
      </c>
    </row>
    <row r="34" spans="1:17" s="1210" customFormat="1" ht="39.75" hidden="1" customHeight="1" x14ac:dyDescent="0.35">
      <c r="A34" s="1223" t="s">
        <v>829</v>
      </c>
      <c r="B34" s="1223"/>
      <c r="C34" s="1223">
        <v>45366</v>
      </c>
      <c r="D34" s="1211" t="s">
        <v>835</v>
      </c>
      <c r="E34" s="1220" t="s">
        <v>379</v>
      </c>
      <c r="F34" s="1215" t="s">
        <v>836</v>
      </c>
      <c r="G34" s="1215" t="s">
        <v>832</v>
      </c>
      <c r="H34" s="1215" t="s">
        <v>833</v>
      </c>
      <c r="I34" s="1215"/>
      <c r="J34" s="1216"/>
      <c r="K34" s="1217" t="s">
        <v>839</v>
      </c>
      <c r="L34" s="1217">
        <v>358</v>
      </c>
      <c r="M34" s="1218">
        <v>31</v>
      </c>
      <c r="N34" s="1217">
        <v>9</v>
      </c>
      <c r="O34" s="1217">
        <v>1</v>
      </c>
      <c r="P34" s="1217">
        <v>0</v>
      </c>
      <c r="Q34" s="1217">
        <v>0</v>
      </c>
    </row>
    <row r="35" spans="1:17" s="1210" customFormat="1" ht="39.75" hidden="1" customHeight="1" x14ac:dyDescent="0.35">
      <c r="A35" s="1223" t="s">
        <v>829</v>
      </c>
      <c r="B35" s="1223"/>
      <c r="C35" s="1223">
        <v>45366</v>
      </c>
      <c r="D35" s="1211" t="s">
        <v>840</v>
      </c>
      <c r="E35" s="1220" t="s">
        <v>379</v>
      </c>
      <c r="F35" s="1215" t="s">
        <v>831</v>
      </c>
      <c r="G35" s="1215" t="s">
        <v>832</v>
      </c>
      <c r="H35" s="1215" t="s">
        <v>833</v>
      </c>
      <c r="I35" s="1215"/>
      <c r="J35" s="1224"/>
      <c r="K35" s="1217" t="s">
        <v>839</v>
      </c>
      <c r="L35" s="1217">
        <v>358</v>
      </c>
      <c r="M35" s="1218">
        <v>152</v>
      </c>
      <c r="N35" s="1217">
        <v>28</v>
      </c>
      <c r="O35" s="1217">
        <v>5</v>
      </c>
      <c r="P35" s="1217">
        <v>0</v>
      </c>
      <c r="Q35" s="1217">
        <v>1</v>
      </c>
    </row>
    <row r="36" spans="1:17" s="1210" customFormat="1" ht="39.75" hidden="1" customHeight="1" x14ac:dyDescent="0.35">
      <c r="A36" s="1206" t="s">
        <v>841</v>
      </c>
      <c r="B36" s="1206"/>
      <c r="C36" s="2040" t="s">
        <v>842</v>
      </c>
      <c r="D36" s="2040"/>
      <c r="E36" s="2040"/>
      <c r="F36" s="2040"/>
      <c r="G36" s="2040"/>
      <c r="H36" s="2040"/>
      <c r="I36" s="1206"/>
      <c r="J36" s="1207"/>
      <c r="K36" s="1208"/>
      <c r="L36" s="1208"/>
      <c r="M36" s="1209"/>
      <c r="N36" s="1208"/>
      <c r="O36" s="1208"/>
      <c r="P36" s="1208"/>
      <c r="Q36" s="1208"/>
    </row>
    <row r="37" spans="1:17" s="1210" customFormat="1" ht="39.75" hidden="1" customHeight="1" x14ac:dyDescent="0.35">
      <c r="A37" s="1211" t="s">
        <v>841</v>
      </c>
      <c r="B37" s="1211"/>
      <c r="C37" s="1211">
        <v>45371</v>
      </c>
      <c r="D37" s="1211" t="s">
        <v>184</v>
      </c>
      <c r="E37" s="1220" t="s">
        <v>379</v>
      </c>
      <c r="F37" s="1215" t="s">
        <v>843</v>
      </c>
      <c r="G37" s="1215"/>
      <c r="H37" s="1215"/>
      <c r="I37" s="1215"/>
      <c r="J37" s="1216"/>
      <c r="K37" s="1217" t="s">
        <v>844</v>
      </c>
      <c r="L37" s="1217">
        <v>316</v>
      </c>
      <c r="M37" s="1218">
        <v>198</v>
      </c>
      <c r="N37" s="1217">
        <v>94</v>
      </c>
      <c r="O37" s="1217">
        <v>26</v>
      </c>
      <c r="P37" s="1217">
        <v>0</v>
      </c>
      <c r="Q37" s="1217">
        <v>1</v>
      </c>
    </row>
    <row r="38" spans="1:17" s="1210" customFormat="1" ht="39.75" hidden="1" customHeight="1" x14ac:dyDescent="0.35">
      <c r="A38" s="1211" t="s">
        <v>841</v>
      </c>
      <c r="B38" s="1211"/>
      <c r="C38" s="1211">
        <v>45372</v>
      </c>
      <c r="D38" s="1222" t="s">
        <v>410</v>
      </c>
      <c r="E38" s="1220" t="s">
        <v>759</v>
      </c>
      <c r="F38" s="1215" t="s">
        <v>845</v>
      </c>
      <c r="G38" s="1215"/>
      <c r="H38" s="1215"/>
      <c r="I38" s="1215"/>
      <c r="J38" s="1225"/>
      <c r="K38" s="1217" t="s">
        <v>846</v>
      </c>
      <c r="L38" s="1217">
        <v>270</v>
      </c>
      <c r="M38" s="1218">
        <v>107</v>
      </c>
      <c r="N38" s="1217">
        <v>21</v>
      </c>
      <c r="O38" s="1217">
        <v>2</v>
      </c>
      <c r="P38" s="1217">
        <v>1</v>
      </c>
      <c r="Q38" s="1217">
        <v>3</v>
      </c>
    </row>
    <row r="39" spans="1:17" s="1219" customFormat="1" ht="39.75" hidden="1" customHeight="1" x14ac:dyDescent="0.35">
      <c r="A39" s="1211" t="s">
        <v>841</v>
      </c>
      <c r="B39" s="1211"/>
      <c r="C39" s="1211">
        <v>45372</v>
      </c>
      <c r="D39" s="1222" t="s">
        <v>410</v>
      </c>
      <c r="E39" s="1220" t="s">
        <v>783</v>
      </c>
      <c r="F39" s="1215" t="s">
        <v>845</v>
      </c>
      <c r="G39" s="1215"/>
      <c r="H39" s="1215"/>
      <c r="I39" s="1215"/>
      <c r="J39" s="1225"/>
      <c r="K39" s="1217" t="s">
        <v>846</v>
      </c>
      <c r="L39" s="1217">
        <v>270</v>
      </c>
      <c r="M39" s="1218">
        <v>59</v>
      </c>
      <c r="N39" s="1217">
        <v>14</v>
      </c>
      <c r="O39" s="1217">
        <v>1</v>
      </c>
      <c r="P39" s="1217">
        <v>0</v>
      </c>
      <c r="Q39" s="1217">
        <v>3</v>
      </c>
    </row>
    <row r="40" spans="1:17" s="1210" customFormat="1" ht="39.75" hidden="1" customHeight="1" x14ac:dyDescent="0.35">
      <c r="A40" s="1206">
        <v>45371</v>
      </c>
      <c r="B40" s="1206"/>
      <c r="C40" s="2040" t="s">
        <v>847</v>
      </c>
      <c r="D40" s="2040"/>
      <c r="E40" s="2040"/>
      <c r="F40" s="2040"/>
      <c r="G40" s="2040"/>
      <c r="H40" s="2040"/>
      <c r="I40" s="1206"/>
      <c r="J40" s="1226"/>
      <c r="K40" s="1226"/>
      <c r="L40" s="1226"/>
      <c r="M40" s="1227"/>
      <c r="N40" s="1226"/>
      <c r="O40" s="1226"/>
      <c r="P40" s="1226"/>
      <c r="Q40" s="1226"/>
    </row>
    <row r="41" spans="1:17" s="1210" customFormat="1" ht="39.75" hidden="1" customHeight="1" x14ac:dyDescent="0.35">
      <c r="A41" s="1211" t="s">
        <v>848</v>
      </c>
      <c r="B41" s="1211"/>
      <c r="C41" s="1211">
        <v>45378</v>
      </c>
      <c r="D41" s="1211" t="s">
        <v>849</v>
      </c>
      <c r="E41" s="1211" t="s">
        <v>850</v>
      </c>
      <c r="F41" s="1215" t="s">
        <v>851</v>
      </c>
      <c r="G41" s="1215"/>
      <c r="H41" s="1215"/>
      <c r="I41" s="1215"/>
      <c r="J41" s="1216" t="s">
        <v>852</v>
      </c>
      <c r="K41" s="1217" t="s">
        <v>853</v>
      </c>
      <c r="L41" s="1217">
        <v>224</v>
      </c>
      <c r="M41" s="1218">
        <v>99</v>
      </c>
      <c r="N41" s="1217">
        <v>7</v>
      </c>
      <c r="O41" s="1217">
        <v>2</v>
      </c>
      <c r="P41" s="1217">
        <v>0</v>
      </c>
      <c r="Q41" s="1217">
        <v>0</v>
      </c>
    </row>
    <row r="42" spans="1:17" s="1210" customFormat="1" ht="39.75" hidden="1" customHeight="1" x14ac:dyDescent="0.35">
      <c r="A42" s="1211" t="s">
        <v>848</v>
      </c>
      <c r="B42" s="1211"/>
      <c r="C42" s="1211">
        <v>45378</v>
      </c>
      <c r="D42" s="1211"/>
      <c r="E42" s="1211" t="s">
        <v>854</v>
      </c>
      <c r="F42" s="1215" t="s">
        <v>851</v>
      </c>
      <c r="G42" s="1215"/>
      <c r="H42" s="1215"/>
      <c r="I42" s="1215"/>
      <c r="J42" s="1216" t="s">
        <v>852</v>
      </c>
      <c r="K42" s="1217" t="s">
        <v>855</v>
      </c>
      <c r="L42" s="1217">
        <v>148</v>
      </c>
      <c r="M42" s="1218">
        <v>49</v>
      </c>
      <c r="N42" s="1217">
        <v>11</v>
      </c>
      <c r="O42" s="1217">
        <v>1</v>
      </c>
      <c r="P42" s="1217">
        <v>0</v>
      </c>
      <c r="Q42" s="1217">
        <v>1</v>
      </c>
    </row>
    <row r="43" spans="1:17" s="1210" customFormat="1" ht="39.75" hidden="1" customHeight="1" x14ac:dyDescent="0.35">
      <c r="A43" s="1211" t="s">
        <v>848</v>
      </c>
      <c r="B43" s="1211"/>
      <c r="C43" s="1211">
        <v>45378</v>
      </c>
      <c r="D43" s="1211"/>
      <c r="E43" s="1211" t="s">
        <v>856</v>
      </c>
      <c r="F43" s="1215" t="s">
        <v>851</v>
      </c>
      <c r="G43" s="1215"/>
      <c r="H43" s="1215"/>
      <c r="I43" s="1215"/>
      <c r="J43" s="1216" t="s">
        <v>852</v>
      </c>
      <c r="K43" s="1217" t="s">
        <v>855</v>
      </c>
      <c r="L43" s="1217">
        <v>148</v>
      </c>
      <c r="M43" s="1218">
        <v>64</v>
      </c>
      <c r="N43" s="1217">
        <v>17</v>
      </c>
      <c r="O43" s="1217">
        <v>1</v>
      </c>
      <c r="P43" s="1217">
        <v>0</v>
      </c>
      <c r="Q43" s="1217">
        <v>0</v>
      </c>
    </row>
    <row r="44" spans="1:17" s="1210" customFormat="1" ht="39.75" hidden="1" customHeight="1" x14ac:dyDescent="0.35">
      <c r="A44" s="1206" t="s">
        <v>848</v>
      </c>
      <c r="B44" s="1206"/>
      <c r="C44" s="2040" t="s">
        <v>850</v>
      </c>
      <c r="D44" s="2040"/>
      <c r="E44" s="2040"/>
      <c r="F44" s="2040"/>
      <c r="G44" s="2040"/>
      <c r="H44" s="2040"/>
      <c r="I44" s="1206"/>
      <c r="J44" s="1207"/>
      <c r="K44" s="1208"/>
      <c r="L44" s="1208"/>
      <c r="M44" s="1209"/>
      <c r="N44" s="1208"/>
      <c r="O44" s="1208"/>
      <c r="P44" s="1208"/>
      <c r="Q44" s="1208"/>
    </row>
    <row r="45" spans="1:17" s="1210" customFormat="1" ht="39.75" hidden="1" customHeight="1" x14ac:dyDescent="0.35">
      <c r="A45" s="1211" t="s">
        <v>857</v>
      </c>
      <c r="B45" s="1211"/>
      <c r="C45" s="1211">
        <v>45384</v>
      </c>
      <c r="D45" s="1211"/>
      <c r="E45" s="1211" t="s">
        <v>854</v>
      </c>
      <c r="F45" s="1215" t="s">
        <v>851</v>
      </c>
      <c r="G45" s="1215"/>
      <c r="H45" s="1215"/>
      <c r="I45" s="1215"/>
      <c r="J45" s="1216" t="s">
        <v>852</v>
      </c>
      <c r="K45" s="1217" t="s">
        <v>858</v>
      </c>
      <c r="L45" s="1217">
        <v>198</v>
      </c>
      <c r="M45" s="1218">
        <v>36</v>
      </c>
      <c r="N45" s="1217">
        <v>2</v>
      </c>
      <c r="O45" s="1217">
        <v>1</v>
      </c>
      <c r="P45" s="1217">
        <v>0</v>
      </c>
      <c r="Q45" s="1217">
        <v>0</v>
      </c>
    </row>
    <row r="46" spans="1:17" s="1210" customFormat="1" ht="39.75" hidden="1" customHeight="1" x14ac:dyDescent="0.35">
      <c r="A46" s="1211" t="s">
        <v>857</v>
      </c>
      <c r="B46" s="1211"/>
      <c r="C46" s="1211">
        <v>45384</v>
      </c>
      <c r="D46" s="1211"/>
      <c r="E46" s="1211" t="s">
        <v>856</v>
      </c>
      <c r="F46" s="1215" t="s">
        <v>851</v>
      </c>
      <c r="G46" s="1215"/>
      <c r="H46" s="1215"/>
      <c r="I46" s="1215"/>
      <c r="J46" s="1216" t="s">
        <v>852</v>
      </c>
      <c r="K46" s="1217" t="s">
        <v>855</v>
      </c>
      <c r="L46" s="1217">
        <v>148</v>
      </c>
      <c r="M46" s="1218">
        <v>47</v>
      </c>
      <c r="N46" s="1217">
        <v>2</v>
      </c>
      <c r="O46" s="1217">
        <v>1</v>
      </c>
      <c r="P46" s="1217">
        <v>0</v>
      </c>
      <c r="Q46" s="1217">
        <v>0</v>
      </c>
    </row>
    <row r="47" spans="1:17" s="1210" customFormat="1" ht="39.75" hidden="1" customHeight="1" x14ac:dyDescent="0.35">
      <c r="A47" s="1211" t="s">
        <v>859</v>
      </c>
      <c r="B47" s="1211"/>
      <c r="C47" s="1211">
        <v>45391</v>
      </c>
      <c r="D47" s="1211" t="s">
        <v>860</v>
      </c>
      <c r="E47" s="1211" t="s">
        <v>854</v>
      </c>
      <c r="F47" s="1215" t="s">
        <v>861</v>
      </c>
      <c r="G47" s="1215"/>
      <c r="H47" s="1215" t="s">
        <v>862</v>
      </c>
      <c r="I47" s="1215"/>
      <c r="J47" s="1215"/>
      <c r="K47" s="1217" t="s">
        <v>863</v>
      </c>
      <c r="L47" s="1217">
        <v>272</v>
      </c>
      <c r="M47" s="1218">
        <v>60</v>
      </c>
      <c r="N47" s="1217">
        <v>9</v>
      </c>
      <c r="O47" s="1217">
        <v>3</v>
      </c>
      <c r="P47" s="1217">
        <v>2</v>
      </c>
      <c r="Q47" s="1217">
        <v>1</v>
      </c>
    </row>
    <row r="48" spans="1:17" s="1210" customFormat="1" ht="39.75" hidden="1" customHeight="1" x14ac:dyDescent="0.35">
      <c r="A48" s="1211" t="s">
        <v>859</v>
      </c>
      <c r="B48" s="1211"/>
      <c r="C48" s="1211">
        <v>45391</v>
      </c>
      <c r="D48" s="1211" t="s">
        <v>860</v>
      </c>
      <c r="E48" s="1211" t="s">
        <v>856</v>
      </c>
      <c r="F48" s="1215" t="s">
        <v>861</v>
      </c>
      <c r="G48" s="1215"/>
      <c r="H48" s="1215" t="s">
        <v>862</v>
      </c>
      <c r="I48" s="1215"/>
      <c r="J48" s="1215"/>
      <c r="K48" s="1217" t="s">
        <v>863</v>
      </c>
      <c r="L48" s="1217">
        <v>272</v>
      </c>
      <c r="M48" s="1218">
        <v>90</v>
      </c>
      <c r="N48" s="1217">
        <v>25</v>
      </c>
      <c r="O48" s="1217">
        <v>12</v>
      </c>
      <c r="P48" s="1217">
        <v>0</v>
      </c>
      <c r="Q48" s="1217">
        <v>1</v>
      </c>
    </row>
    <row r="49" spans="1:17" s="1210" customFormat="1" ht="39.75" hidden="1" customHeight="1" x14ac:dyDescent="0.35">
      <c r="A49" s="1206" t="s">
        <v>859</v>
      </c>
      <c r="B49" s="1206"/>
      <c r="C49" s="2040" t="s">
        <v>864</v>
      </c>
      <c r="D49" s="2040"/>
      <c r="E49" s="2040"/>
      <c r="F49" s="2040"/>
      <c r="G49" s="2040"/>
      <c r="H49" s="2040"/>
      <c r="I49" s="1206"/>
      <c r="J49" s="1207"/>
      <c r="K49" s="1208"/>
      <c r="L49" s="1208"/>
      <c r="M49" s="1209"/>
      <c r="N49" s="1208"/>
      <c r="O49" s="1208"/>
      <c r="P49" s="1208"/>
      <c r="Q49" s="1208"/>
    </row>
    <row r="50" spans="1:17" s="1210" customFormat="1" ht="39.75" hidden="1" customHeight="1" x14ac:dyDescent="0.35">
      <c r="A50" s="1211" t="s">
        <v>865</v>
      </c>
      <c r="B50" s="1211"/>
      <c r="C50" s="1211">
        <v>45398</v>
      </c>
      <c r="D50" s="1222" t="s">
        <v>807</v>
      </c>
      <c r="E50" s="1220" t="s">
        <v>413</v>
      </c>
      <c r="F50" s="1215" t="s">
        <v>866</v>
      </c>
      <c r="G50" s="1215"/>
      <c r="H50" s="1215"/>
      <c r="I50" s="1215"/>
      <c r="J50" s="1215"/>
      <c r="K50" s="1217" t="s">
        <v>867</v>
      </c>
      <c r="L50" s="1217">
        <v>414</v>
      </c>
      <c r="M50" s="1218">
        <v>7258</v>
      </c>
      <c r="N50" s="1217">
        <v>788</v>
      </c>
      <c r="O50" s="1217">
        <v>54</v>
      </c>
      <c r="P50" s="1217">
        <v>48</v>
      </c>
      <c r="Q50" s="1217">
        <v>247</v>
      </c>
    </row>
    <row r="51" spans="1:17" s="1210" customFormat="1" ht="39.75" hidden="1" customHeight="1" x14ac:dyDescent="0.35">
      <c r="A51" s="1211" t="s">
        <v>868</v>
      </c>
      <c r="B51" s="1211"/>
      <c r="C51" s="1211">
        <v>45405</v>
      </c>
      <c r="D51" s="1211" t="s">
        <v>869</v>
      </c>
      <c r="E51" s="1211" t="s">
        <v>870</v>
      </c>
      <c r="F51" s="1215" t="s">
        <v>871</v>
      </c>
      <c r="G51" s="1215" t="s">
        <v>872</v>
      </c>
      <c r="H51" s="1215"/>
      <c r="I51" s="1215"/>
      <c r="J51" s="1215"/>
      <c r="K51" s="1217" t="s">
        <v>873</v>
      </c>
      <c r="L51" s="1217">
        <v>221</v>
      </c>
      <c r="M51" s="1218">
        <v>231</v>
      </c>
      <c r="N51" s="1217">
        <v>53</v>
      </c>
      <c r="O51" s="1217">
        <v>6</v>
      </c>
      <c r="P51" s="1217">
        <v>0</v>
      </c>
      <c r="Q51" s="1217">
        <v>3</v>
      </c>
    </row>
    <row r="52" spans="1:17" s="1210" customFormat="1" ht="39.75" hidden="1" customHeight="1" x14ac:dyDescent="0.35">
      <c r="A52" s="1211" t="s">
        <v>868</v>
      </c>
      <c r="B52" s="1211"/>
      <c r="C52" s="1211">
        <v>45405</v>
      </c>
      <c r="D52" s="1211" t="s">
        <v>869</v>
      </c>
      <c r="E52" s="1211" t="s">
        <v>874</v>
      </c>
      <c r="F52" s="1215" t="s">
        <v>871</v>
      </c>
      <c r="G52" s="1215" t="s">
        <v>872</v>
      </c>
      <c r="H52" s="1215"/>
      <c r="I52" s="1215"/>
      <c r="J52" s="1215"/>
      <c r="K52" s="1217" t="s">
        <v>873</v>
      </c>
      <c r="L52" s="1217">
        <v>221</v>
      </c>
      <c r="M52" s="1218">
        <v>122</v>
      </c>
      <c r="N52" s="1217">
        <v>25</v>
      </c>
      <c r="O52" s="1217">
        <v>4</v>
      </c>
      <c r="P52" s="1217">
        <v>0</v>
      </c>
      <c r="Q52" s="1217">
        <v>1</v>
      </c>
    </row>
    <row r="53" spans="1:17" s="1210" customFormat="1" ht="39.75" hidden="1" customHeight="1" x14ac:dyDescent="0.35">
      <c r="A53" s="1211" t="s">
        <v>868</v>
      </c>
      <c r="B53" s="1211"/>
      <c r="C53" s="1211">
        <v>45408</v>
      </c>
      <c r="D53" s="1211" t="s">
        <v>875</v>
      </c>
      <c r="E53" s="1220" t="s">
        <v>379</v>
      </c>
      <c r="F53" s="1215" t="s">
        <v>876</v>
      </c>
      <c r="G53" s="1215"/>
      <c r="H53" s="1215"/>
      <c r="I53" s="1215"/>
      <c r="J53" s="1215"/>
      <c r="K53" s="1217" t="s">
        <v>873</v>
      </c>
      <c r="L53" s="1217">
        <v>221</v>
      </c>
      <c r="M53" s="1218">
        <v>31</v>
      </c>
      <c r="N53" s="1217">
        <v>8</v>
      </c>
      <c r="O53" s="1217">
        <v>3</v>
      </c>
      <c r="P53" s="1217">
        <v>0</v>
      </c>
      <c r="Q53" s="1217">
        <v>0</v>
      </c>
    </row>
    <row r="54" spans="1:17" s="1210" customFormat="1" ht="39.75" hidden="1" customHeight="1" x14ac:dyDescent="0.35">
      <c r="A54" s="1211" t="s">
        <v>868</v>
      </c>
      <c r="B54" s="1211"/>
      <c r="C54" s="1211">
        <v>45408</v>
      </c>
      <c r="D54" s="1211" t="s">
        <v>877</v>
      </c>
      <c r="E54" s="1220" t="s">
        <v>379</v>
      </c>
      <c r="F54" s="1215" t="s">
        <v>878</v>
      </c>
      <c r="G54" s="1215"/>
      <c r="H54" s="1215"/>
      <c r="I54" s="1215"/>
      <c r="J54" s="1215"/>
      <c r="K54" s="1217" t="s">
        <v>873</v>
      </c>
      <c r="L54" s="1217">
        <v>221</v>
      </c>
      <c r="M54" s="1218">
        <v>901</v>
      </c>
      <c r="N54" s="1217">
        <v>185</v>
      </c>
      <c r="O54" s="1217">
        <v>39</v>
      </c>
      <c r="P54" s="1217">
        <v>3</v>
      </c>
      <c r="Q54" s="1217">
        <v>12</v>
      </c>
    </row>
    <row r="55" spans="1:17" s="1210" customFormat="1" ht="39.75" hidden="1" customHeight="1" x14ac:dyDescent="0.35">
      <c r="A55" s="1206" t="s">
        <v>868</v>
      </c>
      <c r="B55" s="1206"/>
      <c r="C55" s="2040" t="s">
        <v>879</v>
      </c>
      <c r="D55" s="2040"/>
      <c r="E55" s="2040"/>
      <c r="F55" s="2040"/>
      <c r="G55" s="2040"/>
      <c r="H55" s="2040"/>
      <c r="I55" s="1206"/>
      <c r="J55" s="1207"/>
      <c r="K55" s="1208"/>
      <c r="L55" s="1208"/>
      <c r="M55" s="1209"/>
      <c r="N55" s="1208"/>
      <c r="O55" s="1208"/>
      <c r="P55" s="1208"/>
      <c r="Q55" s="1208"/>
    </row>
    <row r="56" spans="1:17" s="1210" customFormat="1" ht="39.75" hidden="1" customHeight="1" x14ac:dyDescent="0.35">
      <c r="A56" s="1211" t="s">
        <v>880</v>
      </c>
      <c r="B56" s="1211"/>
      <c r="C56" s="1211">
        <v>45412</v>
      </c>
      <c r="D56" s="1211" t="s">
        <v>875</v>
      </c>
      <c r="E56" s="1228" t="s">
        <v>379</v>
      </c>
      <c r="F56" s="1215" t="s">
        <v>881</v>
      </c>
      <c r="G56" s="1215"/>
      <c r="H56" s="1215"/>
      <c r="I56" s="1215"/>
      <c r="J56" s="1215"/>
      <c r="K56" s="1217" t="s">
        <v>882</v>
      </c>
      <c r="L56" s="1217">
        <v>228</v>
      </c>
      <c r="M56" s="1218">
        <v>22</v>
      </c>
      <c r="N56" s="1217">
        <v>5</v>
      </c>
      <c r="O56" s="1217">
        <v>0</v>
      </c>
      <c r="P56" s="1217">
        <v>0</v>
      </c>
      <c r="Q56" s="1217">
        <v>0</v>
      </c>
    </row>
    <row r="57" spans="1:17" s="1210" customFormat="1" ht="39.75" hidden="1" customHeight="1" x14ac:dyDescent="0.35">
      <c r="A57" s="1211" t="s">
        <v>880</v>
      </c>
      <c r="B57" s="1211"/>
      <c r="C57" s="1211">
        <v>45412</v>
      </c>
      <c r="D57" s="1211" t="s">
        <v>877</v>
      </c>
      <c r="E57" s="1228" t="s">
        <v>379</v>
      </c>
      <c r="F57" s="1215" t="s">
        <v>883</v>
      </c>
      <c r="G57" s="1215"/>
      <c r="H57" s="1215"/>
      <c r="I57" s="1215"/>
      <c r="J57" s="1215"/>
      <c r="K57" s="1217" t="s">
        <v>882</v>
      </c>
      <c r="L57" s="1217">
        <v>228</v>
      </c>
      <c r="M57" s="1218">
        <v>696</v>
      </c>
      <c r="N57" s="1217">
        <v>65</v>
      </c>
      <c r="O57" s="1217">
        <v>14</v>
      </c>
      <c r="P57" s="1217">
        <v>1</v>
      </c>
      <c r="Q57" s="1217">
        <v>3</v>
      </c>
    </row>
    <row r="58" spans="1:17" s="1210" customFormat="1" ht="39.75" hidden="1" customHeight="1" x14ac:dyDescent="0.35">
      <c r="A58" s="1206">
        <v>45412</v>
      </c>
      <c r="B58" s="1206"/>
      <c r="C58" s="2040" t="s">
        <v>884</v>
      </c>
      <c r="D58" s="2040"/>
      <c r="E58" s="2040"/>
      <c r="F58" s="2040"/>
      <c r="G58" s="2040"/>
      <c r="H58" s="2040"/>
      <c r="I58" s="1206"/>
      <c r="J58" s="1229"/>
      <c r="K58" s="1208"/>
      <c r="L58" s="1208"/>
      <c r="M58" s="1209"/>
      <c r="N58" s="1208"/>
      <c r="O58" s="1208"/>
      <c r="P58" s="1208"/>
      <c r="Q58" s="1208"/>
    </row>
    <row r="59" spans="1:17" s="1219" customFormat="1" ht="39.75" hidden="1" customHeight="1" x14ac:dyDescent="0.35">
      <c r="A59" s="1211" t="s">
        <v>885</v>
      </c>
      <c r="B59" s="1211"/>
      <c r="C59" s="1211">
        <v>45419</v>
      </c>
      <c r="D59" s="1211" t="s">
        <v>886</v>
      </c>
      <c r="E59" s="1211" t="s">
        <v>874</v>
      </c>
      <c r="F59" s="1215" t="s">
        <v>887</v>
      </c>
      <c r="G59" s="1215" t="s">
        <v>888</v>
      </c>
      <c r="H59" s="1215"/>
      <c r="I59" s="1215"/>
      <c r="J59" s="1215"/>
      <c r="K59" s="1217" t="s">
        <v>889</v>
      </c>
      <c r="L59" s="1217">
        <v>268</v>
      </c>
      <c r="M59" s="1218">
        <v>96</v>
      </c>
      <c r="N59" s="1217">
        <v>12</v>
      </c>
      <c r="O59" s="1217">
        <v>1</v>
      </c>
      <c r="P59" s="1217">
        <v>0</v>
      </c>
      <c r="Q59" s="1217">
        <v>0</v>
      </c>
    </row>
    <row r="60" spans="1:17" s="1219" customFormat="1" ht="39.75" hidden="1" customHeight="1" x14ac:dyDescent="0.35">
      <c r="A60" s="1211" t="s">
        <v>885</v>
      </c>
      <c r="B60" s="1211"/>
      <c r="C60" s="1211">
        <v>45419</v>
      </c>
      <c r="D60" s="1211" t="s">
        <v>886</v>
      </c>
      <c r="E60" s="1211" t="s">
        <v>870</v>
      </c>
      <c r="F60" s="1215" t="s">
        <v>887</v>
      </c>
      <c r="G60" s="1215" t="s">
        <v>888</v>
      </c>
      <c r="H60" s="1215"/>
      <c r="I60" s="1215"/>
      <c r="J60" s="1215"/>
      <c r="K60" s="1217" t="s">
        <v>889</v>
      </c>
      <c r="L60" s="1217">
        <v>268</v>
      </c>
      <c r="M60" s="1218">
        <v>173</v>
      </c>
      <c r="N60" s="1217">
        <v>25</v>
      </c>
      <c r="O60" s="1217">
        <v>3</v>
      </c>
      <c r="P60" s="1217">
        <v>0</v>
      </c>
      <c r="Q60" s="1217">
        <v>0</v>
      </c>
    </row>
    <row r="61" spans="1:17" s="1210" customFormat="1" ht="39.75" hidden="1" customHeight="1" x14ac:dyDescent="0.35">
      <c r="A61" s="1211" t="s">
        <v>885</v>
      </c>
      <c r="B61" s="1211"/>
      <c r="C61" s="1211">
        <v>45421</v>
      </c>
      <c r="D61" s="1222" t="s">
        <v>890</v>
      </c>
      <c r="E61" s="1211"/>
      <c r="F61" s="1215" t="s">
        <v>891</v>
      </c>
      <c r="G61" s="1215"/>
      <c r="H61" s="1215" t="s">
        <v>892</v>
      </c>
      <c r="I61" s="1215"/>
      <c r="J61" s="1215"/>
      <c r="K61" s="1217" t="s">
        <v>893</v>
      </c>
      <c r="L61" s="1217">
        <v>272</v>
      </c>
      <c r="M61" s="1218">
        <v>6148</v>
      </c>
      <c r="N61" s="1217">
        <v>220</v>
      </c>
      <c r="O61" s="1217">
        <v>10</v>
      </c>
      <c r="P61" s="1217">
        <v>19</v>
      </c>
      <c r="Q61" s="1217">
        <v>32</v>
      </c>
    </row>
    <row r="62" spans="1:17" s="1210" customFormat="1" ht="39.75" hidden="1" customHeight="1" x14ac:dyDescent="0.35">
      <c r="A62" s="1206" t="s">
        <v>885</v>
      </c>
      <c r="B62" s="1206"/>
      <c r="C62" s="2040" t="s">
        <v>894</v>
      </c>
      <c r="D62" s="2040"/>
      <c r="E62" s="2040"/>
      <c r="F62" s="2040"/>
      <c r="G62" s="2040"/>
      <c r="H62" s="2040"/>
      <c r="I62" s="1230"/>
      <c r="J62" s="1207"/>
      <c r="K62" s="1208"/>
      <c r="L62" s="1208"/>
      <c r="M62" s="1209"/>
      <c r="N62" s="1208"/>
      <c r="O62" s="1208"/>
      <c r="P62" s="1208"/>
      <c r="Q62" s="1208"/>
    </row>
    <row r="63" spans="1:17" s="1210" customFormat="1" ht="39.75" hidden="1" customHeight="1" x14ac:dyDescent="0.35">
      <c r="A63" s="1211" t="s">
        <v>895</v>
      </c>
      <c r="B63" s="1211"/>
      <c r="C63" s="1211">
        <v>45427</v>
      </c>
      <c r="D63" s="1211" t="s">
        <v>896</v>
      </c>
      <c r="E63" s="1211" t="s">
        <v>897</v>
      </c>
      <c r="F63" s="1215" t="s">
        <v>898</v>
      </c>
      <c r="G63" s="1215"/>
      <c r="H63" s="1215"/>
      <c r="I63" s="1215"/>
      <c r="J63" s="1215"/>
      <c r="K63" s="1217" t="s">
        <v>899</v>
      </c>
      <c r="L63" s="1217">
        <v>257</v>
      </c>
      <c r="M63" s="1218">
        <v>43</v>
      </c>
      <c r="N63" s="1217">
        <v>8</v>
      </c>
      <c r="O63" s="1217">
        <v>0</v>
      </c>
      <c r="P63" s="1217">
        <v>0</v>
      </c>
      <c r="Q63" s="1217">
        <v>0</v>
      </c>
    </row>
    <row r="64" spans="1:17" s="1210" customFormat="1" ht="39.75" hidden="1" customHeight="1" x14ac:dyDescent="0.35">
      <c r="A64" s="1211" t="s">
        <v>895</v>
      </c>
      <c r="B64" s="1211"/>
      <c r="C64" s="1211">
        <v>45427</v>
      </c>
      <c r="D64" s="1211" t="s">
        <v>896</v>
      </c>
      <c r="E64" s="1211" t="s">
        <v>900</v>
      </c>
      <c r="F64" s="1215" t="s">
        <v>898</v>
      </c>
      <c r="G64" s="1215"/>
      <c r="H64" s="1215"/>
      <c r="I64" s="1215"/>
      <c r="J64" s="1215"/>
      <c r="K64" s="1217" t="s">
        <v>899</v>
      </c>
      <c r="L64" s="1217">
        <v>257</v>
      </c>
      <c r="M64" s="1218">
        <v>79</v>
      </c>
      <c r="N64" s="1217">
        <v>15</v>
      </c>
      <c r="O64" s="1217">
        <v>3</v>
      </c>
      <c r="P64" s="1217">
        <v>1</v>
      </c>
      <c r="Q64" s="1217">
        <v>0</v>
      </c>
    </row>
    <row r="65" spans="1:17" s="1210" customFormat="1" ht="39.75" hidden="1" customHeight="1" x14ac:dyDescent="0.35">
      <c r="A65" s="1211" t="s">
        <v>895</v>
      </c>
      <c r="B65" s="1211"/>
      <c r="C65" s="1211">
        <v>45428</v>
      </c>
      <c r="D65" s="1211" t="s">
        <v>901</v>
      </c>
      <c r="E65" s="1220" t="s">
        <v>413</v>
      </c>
      <c r="F65" s="1215" t="s">
        <v>902</v>
      </c>
      <c r="G65" s="1215" t="s">
        <v>243</v>
      </c>
      <c r="H65" s="1215"/>
      <c r="I65" s="1215"/>
      <c r="J65" s="1215"/>
      <c r="K65" s="1217" t="s">
        <v>899</v>
      </c>
      <c r="L65" s="1217">
        <v>257</v>
      </c>
      <c r="M65" s="1218">
        <v>7397</v>
      </c>
      <c r="N65" s="1217">
        <v>717</v>
      </c>
      <c r="O65" s="1217">
        <v>29</v>
      </c>
      <c r="P65" s="1217">
        <v>36</v>
      </c>
      <c r="Q65" s="1217">
        <v>34</v>
      </c>
    </row>
    <row r="66" spans="1:17" s="1210" customFormat="1" ht="39.75" hidden="1" customHeight="1" x14ac:dyDescent="0.35">
      <c r="A66" s="1206" t="s">
        <v>903</v>
      </c>
      <c r="B66" s="1206"/>
      <c r="C66" s="2040" t="s">
        <v>904</v>
      </c>
      <c r="D66" s="2040"/>
      <c r="E66" s="2040"/>
      <c r="F66" s="2040"/>
      <c r="G66" s="2040"/>
      <c r="H66" s="2040"/>
      <c r="I66" s="1206"/>
      <c r="J66" s="1207"/>
      <c r="K66" s="1208"/>
      <c r="L66" s="1208"/>
      <c r="M66" s="1209"/>
      <c r="N66" s="1208"/>
      <c r="O66" s="1208"/>
      <c r="P66" s="1208"/>
      <c r="Q66" s="1208"/>
    </row>
    <row r="67" spans="1:17" s="1210" customFormat="1" ht="39.75" hidden="1" customHeight="1" x14ac:dyDescent="0.35">
      <c r="A67" s="1211" t="s">
        <v>903</v>
      </c>
      <c r="B67" s="1211"/>
      <c r="C67" s="1211">
        <v>45435</v>
      </c>
      <c r="D67" s="1211" t="s">
        <v>905</v>
      </c>
      <c r="E67" s="1211" t="s">
        <v>906</v>
      </c>
      <c r="F67" s="1215" t="s">
        <v>907</v>
      </c>
      <c r="G67" s="1215" t="s">
        <v>908</v>
      </c>
      <c r="H67" s="1215"/>
      <c r="I67" s="1215"/>
      <c r="J67" s="1215"/>
      <c r="K67" s="1217" t="s">
        <v>909</v>
      </c>
      <c r="L67" s="1217">
        <v>321</v>
      </c>
      <c r="M67" s="1218">
        <v>73</v>
      </c>
      <c r="N67" s="1217">
        <v>19</v>
      </c>
      <c r="O67" s="1217">
        <v>2</v>
      </c>
      <c r="P67" s="1217">
        <v>0</v>
      </c>
      <c r="Q67" s="1217">
        <v>1</v>
      </c>
    </row>
    <row r="68" spans="1:17" s="1210" customFormat="1" ht="39.75" hidden="1" customHeight="1" x14ac:dyDescent="0.35">
      <c r="A68" s="1211" t="s">
        <v>903</v>
      </c>
      <c r="B68" s="1211"/>
      <c r="C68" s="1211">
        <v>45435</v>
      </c>
      <c r="D68" s="1211" t="s">
        <v>905</v>
      </c>
      <c r="E68" s="1211" t="s">
        <v>910</v>
      </c>
      <c r="F68" s="1215" t="s">
        <v>907</v>
      </c>
      <c r="G68" s="1215" t="s">
        <v>908</v>
      </c>
      <c r="H68" s="1215"/>
      <c r="I68" s="1215"/>
      <c r="J68" s="1215"/>
      <c r="K68" s="1217" t="s">
        <v>909</v>
      </c>
      <c r="L68" s="1217">
        <v>321</v>
      </c>
      <c r="M68" s="1218">
        <v>257</v>
      </c>
      <c r="N68" s="1217">
        <v>78</v>
      </c>
      <c r="O68" s="1217">
        <v>3</v>
      </c>
      <c r="P68" s="1217">
        <v>1</v>
      </c>
      <c r="Q68" s="1217">
        <v>1</v>
      </c>
    </row>
    <row r="69" spans="1:17" s="1210" customFormat="1" ht="39.75" hidden="1" customHeight="1" x14ac:dyDescent="0.35">
      <c r="A69" s="1206" t="s">
        <v>911</v>
      </c>
      <c r="B69" s="1206"/>
      <c r="C69" s="2046" t="s">
        <v>912</v>
      </c>
      <c r="D69" s="2046"/>
      <c r="E69" s="2046"/>
      <c r="F69" s="2046"/>
      <c r="G69" s="2046"/>
      <c r="H69" s="2046"/>
      <c r="I69" s="1231"/>
      <c r="J69" s="1229"/>
      <c r="K69" s="1208"/>
      <c r="L69" s="1208"/>
      <c r="M69" s="1209"/>
      <c r="N69" s="1208"/>
      <c r="O69" s="1208"/>
      <c r="P69" s="1208"/>
      <c r="Q69" s="1208"/>
    </row>
    <row r="70" spans="1:17" s="1210" customFormat="1" ht="39.75" hidden="1" customHeight="1" x14ac:dyDescent="0.35">
      <c r="A70" s="1211" t="s">
        <v>911</v>
      </c>
      <c r="B70" s="1211"/>
      <c r="C70" s="1211">
        <v>45442</v>
      </c>
      <c r="D70" s="1211" t="s">
        <v>86</v>
      </c>
      <c r="E70" s="1211" t="s">
        <v>913</v>
      </c>
      <c r="F70" s="1215" t="s">
        <v>914</v>
      </c>
      <c r="G70" s="1215"/>
      <c r="H70" s="1216" t="s">
        <v>915</v>
      </c>
      <c r="I70" s="1216"/>
      <c r="J70" s="1215"/>
      <c r="K70" s="1217" t="s">
        <v>916</v>
      </c>
      <c r="L70" s="1217">
        <v>371</v>
      </c>
      <c r="M70" s="1218">
        <v>246</v>
      </c>
      <c r="N70" s="1217">
        <v>31</v>
      </c>
      <c r="O70" s="1217">
        <v>5</v>
      </c>
      <c r="P70" s="1217">
        <v>0</v>
      </c>
      <c r="Q70" s="1217">
        <v>7</v>
      </c>
    </row>
    <row r="71" spans="1:17" s="1210" customFormat="1" ht="39.75" hidden="1" customHeight="1" x14ac:dyDescent="0.35">
      <c r="A71" s="1211" t="s">
        <v>917</v>
      </c>
      <c r="B71" s="1211"/>
      <c r="C71" s="1211">
        <v>45449</v>
      </c>
      <c r="D71" s="1211" t="s">
        <v>378</v>
      </c>
      <c r="E71" s="1211" t="s">
        <v>850</v>
      </c>
      <c r="F71" s="1215" t="s">
        <v>918</v>
      </c>
      <c r="G71" s="1215" t="s">
        <v>919</v>
      </c>
      <c r="H71" s="1215"/>
      <c r="I71" s="1215"/>
      <c r="J71" s="1215"/>
      <c r="K71" s="1232" t="s">
        <v>920</v>
      </c>
      <c r="L71" s="1232">
        <v>474</v>
      </c>
      <c r="M71" s="1233">
        <v>793</v>
      </c>
      <c r="N71" s="1232">
        <v>126</v>
      </c>
      <c r="O71" s="1232">
        <v>14</v>
      </c>
      <c r="P71" s="1232">
        <v>0</v>
      </c>
      <c r="Q71" s="1232">
        <v>1</v>
      </c>
    </row>
    <row r="72" spans="1:17" s="1210" customFormat="1" ht="39.75" hidden="1" customHeight="1" x14ac:dyDescent="0.35">
      <c r="A72" s="1211" t="s">
        <v>921</v>
      </c>
      <c r="B72" s="1211"/>
      <c r="C72" s="1211">
        <v>45454</v>
      </c>
      <c r="D72" s="1211" t="s">
        <v>922</v>
      </c>
      <c r="E72" s="1211" t="s">
        <v>854</v>
      </c>
      <c r="F72" s="1215" t="s">
        <v>923</v>
      </c>
      <c r="G72" s="1215" t="s">
        <v>924</v>
      </c>
      <c r="H72" s="1215"/>
      <c r="I72" s="1215"/>
      <c r="J72" s="1225"/>
      <c r="K72" s="1217" t="s">
        <v>925</v>
      </c>
      <c r="L72" s="1217">
        <v>278</v>
      </c>
      <c r="M72" s="1218">
        <v>111</v>
      </c>
      <c r="N72" s="1217">
        <v>19</v>
      </c>
      <c r="O72" s="1217">
        <v>1</v>
      </c>
      <c r="P72" s="1217">
        <v>0</v>
      </c>
      <c r="Q72" s="1217">
        <v>0</v>
      </c>
    </row>
    <row r="73" spans="1:17" s="1210" customFormat="1" ht="39.75" hidden="1" customHeight="1" x14ac:dyDescent="0.35">
      <c r="A73" s="1211" t="s">
        <v>921</v>
      </c>
      <c r="B73" s="1211"/>
      <c r="C73" s="1211">
        <v>45454</v>
      </c>
      <c r="D73" s="1211" t="s">
        <v>922</v>
      </c>
      <c r="E73" s="1211" t="s">
        <v>856</v>
      </c>
      <c r="F73" s="1215" t="s">
        <v>923</v>
      </c>
      <c r="G73" s="1215" t="s">
        <v>924</v>
      </c>
      <c r="H73" s="1215"/>
      <c r="I73" s="1215"/>
      <c r="J73" s="1225"/>
      <c r="K73" s="1217" t="s">
        <v>925</v>
      </c>
      <c r="L73" s="1217">
        <v>278</v>
      </c>
      <c r="M73" s="1218">
        <v>208</v>
      </c>
      <c r="N73" s="1217">
        <v>48</v>
      </c>
      <c r="O73" s="1217">
        <v>3</v>
      </c>
      <c r="P73" s="1217">
        <v>0</v>
      </c>
      <c r="Q73" s="1217">
        <v>0</v>
      </c>
    </row>
    <row r="74" spans="1:17" s="1210" customFormat="1" ht="39.75" hidden="1" customHeight="1" x14ac:dyDescent="0.35">
      <c r="A74" s="1211" t="s">
        <v>921</v>
      </c>
      <c r="B74" s="1211"/>
      <c r="C74" s="1211">
        <v>45455</v>
      </c>
      <c r="D74" s="1211" t="s">
        <v>926</v>
      </c>
      <c r="E74" s="1211" t="s">
        <v>927</v>
      </c>
      <c r="F74" s="1215" t="s">
        <v>928</v>
      </c>
      <c r="G74" s="1215"/>
      <c r="H74" s="1215"/>
      <c r="I74" s="1215"/>
      <c r="J74" s="1225"/>
      <c r="K74" s="1217" t="s">
        <v>929</v>
      </c>
      <c r="L74" s="1217">
        <v>301</v>
      </c>
      <c r="M74" s="1218">
        <v>784</v>
      </c>
      <c r="N74" s="1217">
        <v>104</v>
      </c>
      <c r="O74" s="1217">
        <v>9</v>
      </c>
      <c r="P74" s="1217">
        <v>0</v>
      </c>
      <c r="Q74" s="1217">
        <v>0</v>
      </c>
    </row>
    <row r="75" spans="1:17" s="1210" customFormat="1" ht="39.75" hidden="1" customHeight="1" x14ac:dyDescent="0.35">
      <c r="A75" s="1211" t="s">
        <v>921</v>
      </c>
      <c r="B75" s="1211"/>
      <c r="C75" s="1211">
        <v>45456</v>
      </c>
      <c r="D75" s="1211" t="s">
        <v>930</v>
      </c>
      <c r="E75" s="1211" t="s">
        <v>856</v>
      </c>
      <c r="F75" s="1215" t="s">
        <v>931</v>
      </c>
      <c r="G75" s="1215"/>
      <c r="H75" s="1215"/>
      <c r="I75" s="1215"/>
      <c r="J75" s="1225"/>
      <c r="K75" s="1217" t="s">
        <v>932</v>
      </c>
      <c r="L75" s="1217">
        <v>216</v>
      </c>
      <c r="M75" s="1218">
        <v>162</v>
      </c>
      <c r="N75" s="1217">
        <v>30</v>
      </c>
      <c r="O75" s="1217">
        <v>1</v>
      </c>
      <c r="P75" s="1217">
        <v>0</v>
      </c>
      <c r="Q75" s="1217">
        <v>0</v>
      </c>
    </row>
    <row r="76" spans="1:17" s="1210" customFormat="1" ht="39.75" hidden="1" customHeight="1" x14ac:dyDescent="0.35">
      <c r="A76" s="1211" t="s">
        <v>921</v>
      </c>
      <c r="B76" s="1211"/>
      <c r="C76" s="1211">
        <v>45456</v>
      </c>
      <c r="D76" s="1211" t="s">
        <v>930</v>
      </c>
      <c r="E76" s="1211" t="s">
        <v>854</v>
      </c>
      <c r="F76" s="1215" t="s">
        <v>931</v>
      </c>
      <c r="G76" s="1215"/>
      <c r="H76" s="1215"/>
      <c r="I76" s="1215"/>
      <c r="J76" s="1225"/>
      <c r="K76" s="1217" t="s">
        <v>932</v>
      </c>
      <c r="L76" s="1217">
        <v>216</v>
      </c>
      <c r="M76" s="1218">
        <v>96</v>
      </c>
      <c r="N76" s="1217">
        <v>17</v>
      </c>
      <c r="O76" s="1217">
        <v>2</v>
      </c>
      <c r="P76" s="1217">
        <v>0</v>
      </c>
      <c r="Q76" s="1217">
        <v>1</v>
      </c>
    </row>
    <row r="77" spans="1:17" s="1210" customFormat="1" ht="39.75" hidden="1" customHeight="1" x14ac:dyDescent="0.35">
      <c r="A77" s="1206" t="s">
        <v>921</v>
      </c>
      <c r="B77" s="1206"/>
      <c r="C77" s="2040" t="s">
        <v>933</v>
      </c>
      <c r="D77" s="2040"/>
      <c r="E77" s="2040"/>
      <c r="F77" s="2040"/>
      <c r="G77" s="2040"/>
      <c r="H77" s="2040"/>
      <c r="I77" s="1206"/>
      <c r="J77" s="1207"/>
      <c r="K77" s="1208"/>
      <c r="L77" s="1208"/>
      <c r="M77" s="1209"/>
      <c r="N77" s="1208"/>
      <c r="O77" s="1208"/>
      <c r="P77" s="1208"/>
      <c r="Q77" s="1208"/>
    </row>
    <row r="78" spans="1:17" s="1210" customFormat="1" ht="39.75" hidden="1" customHeight="1" x14ac:dyDescent="0.35">
      <c r="A78" s="1211" t="s">
        <v>934</v>
      </c>
      <c r="B78" s="1211"/>
      <c r="C78" s="1211">
        <v>45463</v>
      </c>
      <c r="D78" s="1211" t="s">
        <v>935</v>
      </c>
      <c r="E78" s="1211"/>
      <c r="F78" s="1215" t="s">
        <v>936</v>
      </c>
      <c r="G78" s="1215"/>
      <c r="H78" s="1215" t="s">
        <v>937</v>
      </c>
      <c r="I78" s="1215"/>
      <c r="J78" s="1215"/>
      <c r="K78" s="1217" t="s">
        <v>938</v>
      </c>
      <c r="L78" s="1217">
        <v>308</v>
      </c>
      <c r="M78" s="1218">
        <v>328</v>
      </c>
      <c r="N78" s="1217">
        <v>99</v>
      </c>
      <c r="O78" s="1217">
        <v>15</v>
      </c>
      <c r="P78" s="1217">
        <v>0</v>
      </c>
      <c r="Q78" s="1217">
        <v>0</v>
      </c>
    </row>
    <row r="79" spans="1:17" s="1210" customFormat="1" ht="39.75" hidden="1" customHeight="1" x14ac:dyDescent="0.35">
      <c r="A79" s="1206" t="s">
        <v>934</v>
      </c>
      <c r="B79" s="1206"/>
      <c r="C79" s="2040" t="s">
        <v>939</v>
      </c>
      <c r="D79" s="2040"/>
      <c r="E79" s="2040"/>
      <c r="F79" s="2040"/>
      <c r="G79" s="2040"/>
      <c r="H79" s="2040"/>
      <c r="I79" s="1206"/>
      <c r="J79" s="1207"/>
      <c r="K79" s="1208"/>
      <c r="L79" s="1208"/>
      <c r="M79" s="1209"/>
      <c r="N79" s="1208"/>
      <c r="O79" s="1208"/>
      <c r="P79" s="1208"/>
      <c r="Q79" s="1208"/>
    </row>
    <row r="80" spans="1:17" s="1210" customFormat="1" ht="39.75" hidden="1" customHeight="1" x14ac:dyDescent="0.35">
      <c r="A80" s="1211" t="s">
        <v>940</v>
      </c>
      <c r="B80" s="1211"/>
      <c r="C80" s="1211">
        <v>45467</v>
      </c>
      <c r="D80" s="1211" t="s">
        <v>935</v>
      </c>
      <c r="E80" s="1211"/>
      <c r="F80" s="1215" t="s">
        <v>941</v>
      </c>
      <c r="G80" s="1215"/>
      <c r="H80" s="1215"/>
      <c r="I80" s="1215"/>
      <c r="J80" s="1215"/>
      <c r="K80" s="1217" t="s">
        <v>942</v>
      </c>
      <c r="L80" s="1217">
        <v>327</v>
      </c>
      <c r="M80" s="1218">
        <v>316</v>
      </c>
      <c r="N80" s="1217">
        <v>89</v>
      </c>
      <c r="O80" s="1217">
        <v>18</v>
      </c>
      <c r="P80" s="1217">
        <v>0</v>
      </c>
      <c r="Q80" s="1217">
        <v>0</v>
      </c>
    </row>
    <row r="81" spans="1:17" s="1210" customFormat="1" ht="39.75" hidden="1" customHeight="1" x14ac:dyDescent="0.35">
      <c r="A81" s="1211" t="s">
        <v>940</v>
      </c>
      <c r="B81" s="1211"/>
      <c r="C81" s="1211">
        <v>45469</v>
      </c>
      <c r="D81" s="1211" t="s">
        <v>246</v>
      </c>
      <c r="E81" s="1220" t="s">
        <v>783</v>
      </c>
      <c r="F81" s="1215" t="s">
        <v>943</v>
      </c>
      <c r="G81" s="1215"/>
      <c r="H81" s="1215"/>
      <c r="I81" s="1215"/>
      <c r="J81" s="1215"/>
      <c r="K81" s="1217" t="s">
        <v>944</v>
      </c>
      <c r="L81" s="1217">
        <v>308</v>
      </c>
      <c r="M81" s="1218">
        <v>76</v>
      </c>
      <c r="N81" s="1217">
        <v>8</v>
      </c>
      <c r="O81" s="1217">
        <v>1</v>
      </c>
      <c r="P81" s="1217">
        <v>0</v>
      </c>
      <c r="Q81" s="1217">
        <v>0</v>
      </c>
    </row>
    <row r="82" spans="1:17" s="1210" customFormat="1" ht="39.75" hidden="1" customHeight="1" x14ac:dyDescent="0.35">
      <c r="A82" s="1211" t="s">
        <v>940</v>
      </c>
      <c r="B82" s="1211"/>
      <c r="C82" s="1211">
        <v>45469</v>
      </c>
      <c r="D82" s="1211" t="s">
        <v>246</v>
      </c>
      <c r="E82" s="1220" t="s">
        <v>759</v>
      </c>
      <c r="F82" s="1215" t="s">
        <v>943</v>
      </c>
      <c r="G82" s="1215"/>
      <c r="H82" s="1215"/>
      <c r="I82" s="1215"/>
      <c r="J82" s="1215"/>
      <c r="K82" s="1217" t="s">
        <v>944</v>
      </c>
      <c r="L82" s="1217">
        <v>308</v>
      </c>
      <c r="M82" s="1218">
        <v>128</v>
      </c>
      <c r="N82" s="1217">
        <v>15</v>
      </c>
      <c r="O82" s="1217">
        <v>4</v>
      </c>
      <c r="P82" s="1217">
        <v>0</v>
      </c>
      <c r="Q82" s="1217">
        <v>1</v>
      </c>
    </row>
    <row r="83" spans="1:17" s="1210" customFormat="1" ht="39.75" hidden="1" customHeight="1" x14ac:dyDescent="0.35">
      <c r="A83" s="1206" t="s">
        <v>940</v>
      </c>
      <c r="B83" s="1206"/>
      <c r="C83" s="2040" t="s">
        <v>945</v>
      </c>
      <c r="D83" s="2040"/>
      <c r="E83" s="2040"/>
      <c r="F83" s="2040"/>
      <c r="G83" s="2040"/>
      <c r="H83" s="2040"/>
      <c r="I83" s="1206"/>
      <c r="J83" s="1207"/>
      <c r="K83" s="1208"/>
      <c r="L83" s="1208"/>
      <c r="M83" s="1209"/>
      <c r="N83" s="1208"/>
      <c r="O83" s="1208"/>
      <c r="P83" s="1208"/>
      <c r="Q83" s="1208"/>
    </row>
    <row r="84" spans="1:17" s="1210" customFormat="1" ht="39.75" hidden="1" customHeight="1" x14ac:dyDescent="0.35">
      <c r="A84" s="1234" t="s">
        <v>946</v>
      </c>
      <c r="B84" s="1234"/>
      <c r="C84" s="2041" t="s">
        <v>702</v>
      </c>
      <c r="D84" s="2041"/>
      <c r="E84" s="2041"/>
      <c r="F84" s="2041"/>
      <c r="G84" s="2041"/>
      <c r="H84" s="2041"/>
      <c r="I84" s="1235"/>
      <c r="J84" s="1236"/>
      <c r="K84" s="1237"/>
      <c r="L84" s="1237"/>
      <c r="M84" s="1238"/>
      <c r="N84" s="1237"/>
      <c r="O84" s="1237"/>
      <c r="P84" s="1237"/>
      <c r="Q84" s="1237"/>
    </row>
    <row r="85" spans="1:17" s="1219" customFormat="1" ht="39.75" hidden="1" customHeight="1" x14ac:dyDescent="0.35">
      <c r="A85" s="1223" t="s">
        <v>947</v>
      </c>
      <c r="B85" s="1223"/>
      <c r="C85" s="1223">
        <v>45482</v>
      </c>
      <c r="D85" s="1222" t="s">
        <v>948</v>
      </c>
      <c r="E85" s="1223"/>
      <c r="F85" s="1215" t="s">
        <v>949</v>
      </c>
      <c r="G85" s="1215" t="s">
        <v>950</v>
      </c>
      <c r="H85" s="1215"/>
      <c r="I85" s="1215"/>
      <c r="J85" s="1215"/>
      <c r="K85" s="1217" t="s">
        <v>951</v>
      </c>
      <c r="L85" s="1217">
        <v>406</v>
      </c>
      <c r="M85" s="1218">
        <v>309</v>
      </c>
      <c r="N85" s="1217">
        <v>105</v>
      </c>
      <c r="O85" s="1217">
        <v>26</v>
      </c>
      <c r="P85" s="1217">
        <v>0</v>
      </c>
      <c r="Q85" s="1217">
        <v>2</v>
      </c>
    </row>
    <row r="86" spans="1:17" s="1210" customFormat="1" ht="39.75" hidden="1" customHeight="1" x14ac:dyDescent="0.35">
      <c r="A86" s="1223" t="s">
        <v>947</v>
      </c>
      <c r="B86" s="1223"/>
      <c r="C86" s="1223">
        <v>45483</v>
      </c>
      <c r="D86" s="1222" t="s">
        <v>952</v>
      </c>
      <c r="E86" s="1223"/>
      <c r="F86" s="1215" t="s">
        <v>953</v>
      </c>
      <c r="G86" s="1215"/>
      <c r="H86" s="1215"/>
      <c r="I86" s="1215"/>
      <c r="J86" s="1215"/>
      <c r="K86" s="1217" t="s">
        <v>954</v>
      </c>
      <c r="L86" s="1217">
        <v>487</v>
      </c>
      <c r="M86" s="1218">
        <v>7197</v>
      </c>
      <c r="N86" s="1217">
        <v>522</v>
      </c>
      <c r="O86" s="1217">
        <v>28</v>
      </c>
      <c r="P86" s="1217">
        <v>28</v>
      </c>
      <c r="Q86" s="1217">
        <v>65</v>
      </c>
    </row>
    <row r="87" spans="1:17" s="1210" customFormat="1" ht="39.75" hidden="1" customHeight="1" x14ac:dyDescent="0.35">
      <c r="A87" s="1223" t="s">
        <v>947</v>
      </c>
      <c r="B87" s="1223"/>
      <c r="C87" s="1223">
        <v>45485</v>
      </c>
      <c r="D87" s="1222" t="s">
        <v>955</v>
      </c>
      <c r="E87" s="1239" t="s">
        <v>956</v>
      </c>
      <c r="F87" s="1215" t="s">
        <v>957</v>
      </c>
      <c r="G87" s="1215"/>
      <c r="H87" s="1215"/>
      <c r="I87" s="1215"/>
      <c r="J87" s="1215"/>
      <c r="K87" s="1217" t="s">
        <v>958</v>
      </c>
      <c r="L87" s="1217">
        <v>301</v>
      </c>
      <c r="M87" s="1218">
        <v>52</v>
      </c>
      <c r="N87" s="1217">
        <v>17</v>
      </c>
      <c r="O87" s="1217">
        <v>0</v>
      </c>
      <c r="P87" s="1217">
        <v>0</v>
      </c>
      <c r="Q87" s="1217">
        <v>0</v>
      </c>
    </row>
    <row r="88" spans="1:17" s="1210" customFormat="1" ht="39.75" hidden="1" customHeight="1" x14ac:dyDescent="0.35">
      <c r="A88" s="1223" t="s">
        <v>947</v>
      </c>
      <c r="B88" s="1223"/>
      <c r="C88" s="1223">
        <v>45485</v>
      </c>
      <c r="D88" s="1222" t="s">
        <v>955</v>
      </c>
      <c r="E88" s="1239" t="s">
        <v>759</v>
      </c>
      <c r="F88" s="1215" t="s">
        <v>957</v>
      </c>
      <c r="G88" s="1215"/>
      <c r="H88" s="1215"/>
      <c r="I88" s="1215"/>
      <c r="J88" s="1215"/>
      <c r="K88" s="1217" t="s">
        <v>958</v>
      </c>
      <c r="L88" s="1217">
        <v>301</v>
      </c>
      <c r="M88" s="1218">
        <v>123</v>
      </c>
      <c r="N88" s="1217">
        <v>28</v>
      </c>
      <c r="O88" s="1217">
        <v>3</v>
      </c>
      <c r="P88" s="1217">
        <v>1</v>
      </c>
      <c r="Q88" s="1217">
        <v>2</v>
      </c>
    </row>
    <row r="89" spans="1:17" s="1210" customFormat="1" ht="39.75" hidden="1" customHeight="1" x14ac:dyDescent="0.35">
      <c r="A89" s="1206" t="s">
        <v>947</v>
      </c>
      <c r="B89" s="1206"/>
      <c r="C89" s="2040" t="s">
        <v>959</v>
      </c>
      <c r="D89" s="2040"/>
      <c r="E89" s="2040"/>
      <c r="F89" s="2040"/>
      <c r="G89" s="2040"/>
      <c r="H89" s="2040"/>
      <c r="I89" s="1206"/>
      <c r="J89" s="1207"/>
      <c r="K89" s="1208"/>
      <c r="L89" s="1208"/>
      <c r="M89" s="1209"/>
      <c r="N89" s="1208"/>
      <c r="O89" s="1208"/>
      <c r="P89" s="1208"/>
      <c r="Q89" s="1208"/>
    </row>
    <row r="90" spans="1:17" s="1210" customFormat="1" ht="39.75" hidden="1" customHeight="1" x14ac:dyDescent="0.35">
      <c r="A90" s="1223" t="s">
        <v>704</v>
      </c>
      <c r="B90" s="1223"/>
      <c r="C90" s="1223">
        <v>45488</v>
      </c>
      <c r="D90" s="1211"/>
      <c r="E90" s="1211"/>
      <c r="F90" s="1215" t="s">
        <v>960</v>
      </c>
      <c r="G90" s="1215" t="s">
        <v>961</v>
      </c>
      <c r="H90" s="1215" t="s">
        <v>962</v>
      </c>
      <c r="I90" s="1215"/>
      <c r="J90" s="1215"/>
      <c r="K90" s="1217" t="s">
        <v>963</v>
      </c>
      <c r="L90" s="1217">
        <v>543</v>
      </c>
      <c r="M90" s="1218">
        <v>335</v>
      </c>
      <c r="N90" s="1217">
        <v>152</v>
      </c>
      <c r="O90" s="1217">
        <v>73</v>
      </c>
      <c r="P90" s="1217">
        <v>0</v>
      </c>
      <c r="Q90" s="1217">
        <v>0</v>
      </c>
    </row>
    <row r="91" spans="1:17" s="1210" customFormat="1" ht="39.75" hidden="1" customHeight="1" x14ac:dyDescent="0.35">
      <c r="A91" s="1206" t="s">
        <v>704</v>
      </c>
      <c r="B91" s="1206"/>
      <c r="C91" s="1240">
        <v>45489</v>
      </c>
      <c r="D91" s="2040" t="s">
        <v>964</v>
      </c>
      <c r="E91" s="2040"/>
      <c r="F91" s="2040"/>
      <c r="G91" s="2040"/>
      <c r="H91" s="2040"/>
      <c r="I91" s="1206"/>
      <c r="J91" s="1207"/>
      <c r="K91" s="1208"/>
      <c r="L91" s="1208"/>
      <c r="M91" s="1209"/>
      <c r="N91" s="1208"/>
      <c r="O91" s="1208"/>
      <c r="P91" s="1208"/>
      <c r="Q91" s="1208"/>
    </row>
    <row r="92" spans="1:17" s="1210" customFormat="1" ht="39.75" hidden="1" customHeight="1" x14ac:dyDescent="0.35">
      <c r="A92" s="1223" t="s">
        <v>704</v>
      </c>
      <c r="B92" s="1223"/>
      <c r="C92" s="1223">
        <v>45490</v>
      </c>
      <c r="D92" s="1223" t="s">
        <v>965</v>
      </c>
      <c r="E92" s="1220" t="s">
        <v>421</v>
      </c>
      <c r="F92" s="1215" t="s">
        <v>966</v>
      </c>
      <c r="G92" s="1215"/>
      <c r="H92" s="1215" t="s">
        <v>967</v>
      </c>
      <c r="I92" s="1215"/>
      <c r="J92" s="1215"/>
      <c r="K92" s="1217" t="s">
        <v>968</v>
      </c>
      <c r="L92" s="1217">
        <v>524</v>
      </c>
      <c r="M92" s="1218">
        <v>325</v>
      </c>
      <c r="N92" s="1217">
        <v>131</v>
      </c>
      <c r="O92" s="1217">
        <v>40</v>
      </c>
      <c r="P92" s="1217">
        <v>0</v>
      </c>
      <c r="Q92" s="1217">
        <v>0</v>
      </c>
    </row>
    <row r="93" spans="1:17" s="1210" customFormat="1" ht="39.75" hidden="1" customHeight="1" x14ac:dyDescent="0.35">
      <c r="A93" s="1223" t="s">
        <v>704</v>
      </c>
      <c r="B93" s="1223"/>
      <c r="C93" s="1223">
        <v>45492</v>
      </c>
      <c r="D93" s="1223" t="s">
        <v>965</v>
      </c>
      <c r="E93" s="1220" t="s">
        <v>421</v>
      </c>
      <c r="F93" s="1215" t="s">
        <v>969</v>
      </c>
      <c r="G93" s="1215"/>
      <c r="H93" s="1215" t="s">
        <v>967</v>
      </c>
      <c r="I93" s="1215"/>
      <c r="J93" s="1215"/>
      <c r="K93" s="1217" t="s">
        <v>970</v>
      </c>
      <c r="L93" s="1217">
        <v>398</v>
      </c>
      <c r="M93" s="1218">
        <v>325</v>
      </c>
      <c r="N93" s="1217">
        <v>130</v>
      </c>
      <c r="O93" s="1217">
        <v>25</v>
      </c>
      <c r="P93" s="1217">
        <v>0</v>
      </c>
      <c r="Q93" s="1217">
        <v>0</v>
      </c>
    </row>
    <row r="94" spans="1:17" s="1210" customFormat="1" ht="39.75" hidden="1" customHeight="1" x14ac:dyDescent="0.35">
      <c r="A94" s="1241" t="s">
        <v>971</v>
      </c>
      <c r="B94" s="1241"/>
      <c r="C94" s="2047" t="s">
        <v>972</v>
      </c>
      <c r="D94" s="2047"/>
      <c r="E94" s="2047"/>
      <c r="F94" s="2047"/>
      <c r="G94" s="2047"/>
      <c r="H94" s="2047"/>
      <c r="I94" s="1241"/>
      <c r="J94" s="1207"/>
      <c r="K94" s="1208"/>
      <c r="L94" s="1208"/>
      <c r="M94" s="1209"/>
      <c r="N94" s="1208"/>
      <c r="O94" s="1208"/>
      <c r="P94" s="1208"/>
      <c r="Q94" s="1208"/>
    </row>
    <row r="95" spans="1:17" s="1210" customFormat="1" ht="39.75" hidden="1" customHeight="1" x14ac:dyDescent="0.35">
      <c r="A95" s="1223" t="s">
        <v>971</v>
      </c>
      <c r="B95" s="1223"/>
      <c r="C95" s="1223">
        <v>45495</v>
      </c>
      <c r="D95" s="1223" t="s">
        <v>965</v>
      </c>
      <c r="E95" s="1220" t="s">
        <v>421</v>
      </c>
      <c r="F95" s="1215" t="s">
        <v>973</v>
      </c>
      <c r="G95" s="1215"/>
      <c r="H95" s="1215" t="s">
        <v>967</v>
      </c>
      <c r="I95" s="1215"/>
      <c r="J95" s="1215"/>
      <c r="K95" s="1217" t="s">
        <v>974</v>
      </c>
      <c r="L95" s="1217">
        <v>778</v>
      </c>
      <c r="M95" s="1218">
        <v>325</v>
      </c>
      <c r="N95" s="1217">
        <v>132</v>
      </c>
      <c r="O95" s="1217">
        <v>39</v>
      </c>
      <c r="P95" s="1217">
        <v>0</v>
      </c>
      <c r="Q95" s="1217">
        <v>0</v>
      </c>
    </row>
    <row r="96" spans="1:17" s="1210" customFormat="1" ht="39.75" hidden="1" customHeight="1" x14ac:dyDescent="0.35">
      <c r="A96" s="1206" t="s">
        <v>971</v>
      </c>
      <c r="B96" s="1206"/>
      <c r="C96" s="2040" t="s">
        <v>975</v>
      </c>
      <c r="D96" s="2040"/>
      <c r="E96" s="2040"/>
      <c r="F96" s="2040"/>
      <c r="G96" s="2040"/>
      <c r="H96" s="2040"/>
      <c r="I96" s="1206"/>
      <c r="J96" s="1207"/>
      <c r="K96" s="1208"/>
      <c r="L96" s="1208"/>
      <c r="M96" s="1209"/>
      <c r="N96" s="1208"/>
      <c r="O96" s="1208"/>
      <c r="P96" s="1208"/>
      <c r="Q96" s="1208"/>
    </row>
    <row r="97" spans="1:17" s="1210" customFormat="1" ht="39.75" hidden="1" customHeight="1" x14ac:dyDescent="0.35">
      <c r="A97" s="1206" t="s">
        <v>971</v>
      </c>
      <c r="B97" s="1206"/>
      <c r="C97" s="2040" t="s">
        <v>976</v>
      </c>
      <c r="D97" s="2040"/>
      <c r="E97" s="2040"/>
      <c r="F97" s="2040"/>
      <c r="G97" s="2040"/>
      <c r="H97" s="2040"/>
      <c r="I97" s="1206"/>
      <c r="J97" s="1207"/>
      <c r="K97" s="1208"/>
      <c r="L97" s="1208"/>
      <c r="M97" s="1209"/>
      <c r="N97" s="1208"/>
      <c r="O97" s="1208"/>
      <c r="P97" s="1208"/>
      <c r="Q97" s="1208"/>
    </row>
    <row r="98" spans="1:17" s="1210" customFormat="1" ht="39.75" hidden="1" customHeight="1" x14ac:dyDescent="0.35">
      <c r="A98" s="1223" t="s">
        <v>977</v>
      </c>
      <c r="B98" s="1223"/>
      <c r="C98" s="1223">
        <v>45502</v>
      </c>
      <c r="D98" s="1223" t="s">
        <v>965</v>
      </c>
      <c r="E98" s="1220" t="s">
        <v>379</v>
      </c>
      <c r="F98" s="1215" t="s">
        <v>978</v>
      </c>
      <c r="G98" s="1215"/>
      <c r="H98" s="1215"/>
      <c r="I98" s="1215"/>
      <c r="J98" s="1216" t="s">
        <v>979</v>
      </c>
      <c r="K98" s="1217" t="s">
        <v>980</v>
      </c>
      <c r="L98" s="1217">
        <v>97</v>
      </c>
      <c r="M98" s="1218">
        <v>1423</v>
      </c>
      <c r="N98" s="1217">
        <v>391</v>
      </c>
      <c r="O98" s="1217">
        <v>147</v>
      </c>
      <c r="P98" s="1217">
        <v>9</v>
      </c>
      <c r="Q98" s="1217">
        <v>21</v>
      </c>
    </row>
    <row r="99" spans="1:17" s="1210" customFormat="1" ht="39.75" hidden="1" customHeight="1" x14ac:dyDescent="0.35">
      <c r="A99" s="1223" t="s">
        <v>977</v>
      </c>
      <c r="B99" s="1223"/>
      <c r="C99" s="1223">
        <v>45505</v>
      </c>
      <c r="D99" s="1222" t="s">
        <v>981</v>
      </c>
      <c r="E99" s="1220" t="s">
        <v>413</v>
      </c>
      <c r="F99" s="1215" t="s">
        <v>982</v>
      </c>
      <c r="G99" s="1215"/>
      <c r="H99" s="1215"/>
      <c r="I99" s="1215"/>
      <c r="J99" s="1216" t="s">
        <v>983</v>
      </c>
      <c r="K99" s="1217" t="s">
        <v>984</v>
      </c>
      <c r="L99" s="1217">
        <v>222</v>
      </c>
      <c r="M99" s="1218">
        <v>7079</v>
      </c>
      <c r="N99" s="1217">
        <v>682</v>
      </c>
      <c r="O99" s="1217">
        <v>31</v>
      </c>
      <c r="P99" s="1217">
        <v>29</v>
      </c>
      <c r="Q99" s="1217">
        <v>45</v>
      </c>
    </row>
    <row r="100" spans="1:17" s="1210" customFormat="1" ht="39.75" hidden="1" customHeight="1" x14ac:dyDescent="0.35">
      <c r="A100" s="1223" t="s">
        <v>977</v>
      </c>
      <c r="B100" s="1223"/>
      <c r="C100" s="1223">
        <v>45505</v>
      </c>
      <c r="D100" s="1223" t="s">
        <v>965</v>
      </c>
      <c r="E100" s="1220" t="s">
        <v>379</v>
      </c>
      <c r="F100" s="1215" t="s">
        <v>985</v>
      </c>
      <c r="G100" s="1215"/>
      <c r="H100" s="1215"/>
      <c r="I100" s="1215"/>
      <c r="J100" s="1215"/>
      <c r="K100" s="1217" t="s">
        <v>986</v>
      </c>
      <c r="L100" s="1217">
        <v>222</v>
      </c>
      <c r="M100" s="1218">
        <v>1019</v>
      </c>
      <c r="N100" s="1217">
        <v>117</v>
      </c>
      <c r="O100" s="1217">
        <v>47</v>
      </c>
      <c r="P100" s="1217">
        <v>4</v>
      </c>
      <c r="Q100" s="1217">
        <v>2</v>
      </c>
    </row>
    <row r="101" spans="1:17" s="1210" customFormat="1" ht="39.75" hidden="1" customHeight="1" x14ac:dyDescent="0.35">
      <c r="A101" s="1240" t="s">
        <v>987</v>
      </c>
      <c r="B101" s="1240"/>
      <c r="C101" s="2040" t="s">
        <v>988</v>
      </c>
      <c r="D101" s="2040"/>
      <c r="E101" s="2040"/>
      <c r="F101" s="2040"/>
      <c r="G101" s="2040"/>
      <c r="H101" s="2040"/>
      <c r="I101" s="1206"/>
      <c r="J101" s="1207"/>
      <c r="K101" s="1208"/>
      <c r="L101" s="1208"/>
      <c r="M101" s="1209"/>
      <c r="N101" s="1208"/>
      <c r="O101" s="1208"/>
      <c r="P101" s="1208"/>
      <c r="Q101" s="1208"/>
    </row>
    <row r="102" spans="1:17" s="1210" customFormat="1" ht="39.75" hidden="1" customHeight="1" x14ac:dyDescent="0.35">
      <c r="A102" s="1206" t="s">
        <v>989</v>
      </c>
      <c r="B102" s="1206"/>
      <c r="C102" s="2040" t="s">
        <v>990</v>
      </c>
      <c r="D102" s="2040"/>
      <c r="E102" s="2040"/>
      <c r="F102" s="2040"/>
      <c r="G102" s="2040"/>
      <c r="H102" s="2040"/>
      <c r="I102" s="1206"/>
      <c r="J102" s="1207"/>
      <c r="K102" s="1208"/>
      <c r="L102" s="1208"/>
      <c r="M102" s="1209"/>
      <c r="N102" s="1208"/>
      <c r="O102" s="1208"/>
      <c r="P102" s="1208"/>
      <c r="Q102" s="1208"/>
    </row>
    <row r="103" spans="1:17" s="1210" customFormat="1" ht="39.75" hidden="1" customHeight="1" x14ac:dyDescent="0.35">
      <c r="A103" s="1223" t="s">
        <v>991</v>
      </c>
      <c r="B103" s="1223"/>
      <c r="C103" s="1223">
        <v>45523</v>
      </c>
      <c r="D103" s="1211" t="s">
        <v>992</v>
      </c>
      <c r="E103" s="1239" t="s">
        <v>421</v>
      </c>
      <c r="F103" s="1215" t="s">
        <v>993</v>
      </c>
      <c r="G103" s="1215"/>
      <c r="H103" s="1215"/>
      <c r="I103" s="1215"/>
      <c r="J103" s="1215"/>
      <c r="K103" s="1217" t="s">
        <v>994</v>
      </c>
      <c r="L103" s="1217">
        <v>188</v>
      </c>
      <c r="M103" s="1218">
        <v>135</v>
      </c>
      <c r="N103" s="1217">
        <v>56</v>
      </c>
      <c r="O103" s="1217">
        <v>7</v>
      </c>
      <c r="P103" s="1217">
        <v>0</v>
      </c>
      <c r="Q103" s="1217">
        <v>0</v>
      </c>
    </row>
    <row r="104" spans="1:17" s="1210" customFormat="1" ht="39.75" hidden="1" customHeight="1" x14ac:dyDescent="0.35">
      <c r="A104" s="1223" t="s">
        <v>991</v>
      </c>
      <c r="B104" s="1223"/>
      <c r="C104" s="1223">
        <v>45525</v>
      </c>
      <c r="D104" s="1211" t="s">
        <v>926</v>
      </c>
      <c r="E104" s="1239" t="s">
        <v>759</v>
      </c>
      <c r="F104" s="1215" t="s">
        <v>995</v>
      </c>
      <c r="G104" s="1215"/>
      <c r="H104" s="1215" t="s">
        <v>996</v>
      </c>
      <c r="I104" s="1215"/>
      <c r="J104" s="1215"/>
      <c r="K104" s="1217" t="s">
        <v>997</v>
      </c>
      <c r="L104" s="1217">
        <v>97</v>
      </c>
      <c r="M104" s="1218">
        <v>216</v>
      </c>
      <c r="N104" s="1217">
        <v>48</v>
      </c>
      <c r="O104" s="1217">
        <v>1</v>
      </c>
      <c r="P104" s="1217">
        <v>0</v>
      </c>
      <c r="Q104" s="1217">
        <v>0</v>
      </c>
    </row>
    <row r="105" spans="1:17" s="1210" customFormat="1" ht="39.75" hidden="1" customHeight="1" x14ac:dyDescent="0.35">
      <c r="A105" s="1223" t="s">
        <v>991</v>
      </c>
      <c r="B105" s="1223"/>
      <c r="C105" s="1223">
        <v>45526</v>
      </c>
      <c r="D105" s="1223" t="s">
        <v>998</v>
      </c>
      <c r="E105" s="1220" t="s">
        <v>999</v>
      </c>
      <c r="F105" s="1215" t="s">
        <v>1000</v>
      </c>
      <c r="G105" s="1215" t="s">
        <v>1001</v>
      </c>
      <c r="H105" s="1215"/>
      <c r="I105" s="1215"/>
      <c r="J105" s="1215"/>
      <c r="K105" s="1217" t="s">
        <v>1002</v>
      </c>
      <c r="L105" s="1217">
        <v>109</v>
      </c>
      <c r="M105" s="1218">
        <v>80</v>
      </c>
      <c r="N105" s="1217">
        <v>25</v>
      </c>
      <c r="O105" s="1217">
        <v>4</v>
      </c>
      <c r="P105" s="1217">
        <v>0</v>
      </c>
      <c r="Q105" s="1217">
        <v>0</v>
      </c>
    </row>
    <row r="106" spans="1:17" s="1210" customFormat="1" ht="39.75" hidden="1" customHeight="1" x14ac:dyDescent="0.35">
      <c r="A106" s="1223" t="s">
        <v>991</v>
      </c>
      <c r="B106" s="1223"/>
      <c r="C106" s="1223">
        <v>45526</v>
      </c>
      <c r="D106" s="1223" t="s">
        <v>998</v>
      </c>
      <c r="E106" s="1220" t="s">
        <v>999</v>
      </c>
      <c r="F106" s="1215" t="s">
        <v>1003</v>
      </c>
      <c r="G106" s="1215" t="s">
        <v>1001</v>
      </c>
      <c r="H106" s="1215"/>
      <c r="I106" s="1215"/>
      <c r="J106" s="1215"/>
      <c r="K106" s="1217" t="s">
        <v>1002</v>
      </c>
      <c r="L106" s="1217">
        <v>109</v>
      </c>
      <c r="M106" s="1218">
        <v>168</v>
      </c>
      <c r="N106" s="1217">
        <v>50</v>
      </c>
      <c r="O106" s="1217">
        <v>4</v>
      </c>
      <c r="P106" s="1217">
        <v>0</v>
      </c>
      <c r="Q106" s="1217">
        <v>0</v>
      </c>
    </row>
    <row r="107" spans="1:17" s="1210" customFormat="1" ht="39.75" hidden="1" customHeight="1" x14ac:dyDescent="0.35">
      <c r="A107" s="1223" t="s">
        <v>1004</v>
      </c>
      <c r="B107" s="1223"/>
      <c r="C107" s="1223">
        <v>45531</v>
      </c>
      <c r="D107" s="1211" t="s">
        <v>164</v>
      </c>
      <c r="E107" s="1242" t="s">
        <v>1005</v>
      </c>
      <c r="F107" s="1215" t="s">
        <v>1006</v>
      </c>
      <c r="G107" s="1243"/>
      <c r="H107" s="1222" t="s">
        <v>1007</v>
      </c>
      <c r="I107" s="1222"/>
      <c r="J107" s="1243"/>
      <c r="K107" s="1243" t="s">
        <v>1008</v>
      </c>
      <c r="L107" s="1233">
        <v>269</v>
      </c>
      <c r="M107" s="1233">
        <v>6987</v>
      </c>
      <c r="N107" s="1232">
        <v>389</v>
      </c>
      <c r="O107" s="1232">
        <v>29</v>
      </c>
      <c r="P107" s="1232">
        <v>6</v>
      </c>
      <c r="Q107" s="1232">
        <v>18</v>
      </c>
    </row>
    <row r="108" spans="1:17" s="1210" customFormat="1" ht="39.75" hidden="1" customHeight="1" x14ac:dyDescent="0.35">
      <c r="A108" s="1223" t="s">
        <v>1004</v>
      </c>
      <c r="B108" s="1223"/>
      <c r="C108" s="1223">
        <v>45533</v>
      </c>
      <c r="D108" s="1211" t="s">
        <v>1009</v>
      </c>
      <c r="E108" s="1242" t="s">
        <v>1005</v>
      </c>
      <c r="F108" s="1215" t="s">
        <v>1010</v>
      </c>
      <c r="G108" s="1215"/>
      <c r="H108" s="1215"/>
      <c r="I108" s="1215"/>
      <c r="J108" s="1215"/>
      <c r="K108" s="1217" t="s">
        <v>1011</v>
      </c>
      <c r="L108" s="1217">
        <v>269</v>
      </c>
      <c r="M108" s="1218">
        <v>7049</v>
      </c>
      <c r="N108" s="1217">
        <v>381</v>
      </c>
      <c r="O108" s="1217">
        <v>23</v>
      </c>
      <c r="P108" s="1217">
        <v>3</v>
      </c>
      <c r="Q108" s="1217">
        <v>9</v>
      </c>
    </row>
    <row r="109" spans="1:17" s="1210" customFormat="1" ht="39.75" hidden="1" customHeight="1" x14ac:dyDescent="0.35">
      <c r="A109" s="1206" t="s">
        <v>1004</v>
      </c>
      <c r="B109" s="1206"/>
      <c r="C109" s="2040" t="s">
        <v>1012</v>
      </c>
      <c r="D109" s="2040"/>
      <c r="E109" s="2040"/>
      <c r="F109" s="2040"/>
      <c r="G109" s="2040"/>
      <c r="H109" s="2040"/>
      <c r="I109" s="1206"/>
      <c r="J109" s="1207"/>
      <c r="K109" s="1208"/>
      <c r="L109" s="1208"/>
      <c r="M109" s="1209"/>
      <c r="N109" s="1208"/>
      <c r="O109" s="1208"/>
      <c r="P109" s="1208"/>
      <c r="Q109" s="1208"/>
    </row>
    <row r="110" spans="1:17" s="1210" customFormat="1" ht="39.75" hidden="1" customHeight="1" x14ac:dyDescent="0.35">
      <c r="A110" s="1241" t="s">
        <v>705</v>
      </c>
      <c r="B110" s="1241"/>
      <c r="C110" s="2047" t="s">
        <v>290</v>
      </c>
      <c r="D110" s="2047"/>
      <c r="E110" s="2047"/>
      <c r="F110" s="2047"/>
      <c r="G110" s="2047"/>
      <c r="H110" s="2047"/>
      <c r="I110" s="1241"/>
      <c r="J110" s="1207"/>
      <c r="K110" s="1244"/>
      <c r="L110" s="1244"/>
      <c r="M110" s="1209"/>
      <c r="N110" s="1208"/>
      <c r="O110" s="1208"/>
      <c r="P110" s="1208"/>
      <c r="Q110" s="1208"/>
    </row>
    <row r="111" spans="1:17" s="1252" customFormat="1" ht="39.75" hidden="1" customHeight="1" x14ac:dyDescent="0.35">
      <c r="A111" s="1245" t="s">
        <v>1013</v>
      </c>
      <c r="B111" s="1245"/>
      <c r="C111" s="1246"/>
      <c r="D111" s="1247"/>
      <c r="E111" s="1248"/>
      <c r="F111" s="1248"/>
      <c r="G111" s="1247"/>
      <c r="H111" s="1247"/>
      <c r="I111" s="1247"/>
      <c r="J111" s="1249"/>
      <c r="K111" s="1247"/>
      <c r="L111" s="1247"/>
      <c r="M111" s="1250"/>
      <c r="N111" s="1251"/>
      <c r="O111" s="1251"/>
      <c r="P111" s="1251"/>
      <c r="Q111" s="1251"/>
    </row>
    <row r="112" spans="1:17" s="1261" customFormat="1" ht="39.75" hidden="1" customHeight="1" x14ac:dyDescent="0.35">
      <c r="A112" s="1245" t="s">
        <v>1013</v>
      </c>
      <c r="B112" s="1245"/>
      <c r="C112" s="1253"/>
      <c r="D112" s="1254"/>
      <c r="E112" s="1255"/>
      <c r="F112" s="1256"/>
      <c r="G112" s="1256"/>
      <c r="H112" s="1256"/>
      <c r="I112" s="1256"/>
      <c r="J112" s="1257"/>
      <c r="K112" s="1258"/>
      <c r="L112" s="1258"/>
      <c r="M112" s="1259"/>
      <c r="N112" s="1260"/>
      <c r="O112" s="1260"/>
      <c r="P112" s="1260"/>
      <c r="Q112" s="1260"/>
    </row>
    <row r="113" spans="1:17" s="1210" customFormat="1" ht="39.75" hidden="1" customHeight="1" x14ac:dyDescent="0.35">
      <c r="A113" s="1206" t="s">
        <v>1013</v>
      </c>
      <c r="B113" s="1206"/>
      <c r="C113" s="2040" t="s">
        <v>1014</v>
      </c>
      <c r="D113" s="2040"/>
      <c r="E113" s="2040"/>
      <c r="F113" s="2040"/>
      <c r="G113" s="2040"/>
      <c r="H113" s="2040"/>
      <c r="I113" s="1206"/>
      <c r="J113" s="1207"/>
      <c r="K113" s="1208"/>
      <c r="L113" s="1208"/>
      <c r="M113" s="1209"/>
      <c r="N113" s="1208"/>
      <c r="O113" s="1208"/>
      <c r="P113" s="1208"/>
      <c r="Q113" s="1208"/>
    </row>
    <row r="114" spans="1:17" s="1210" customFormat="1" ht="39.75" hidden="1" customHeight="1" x14ac:dyDescent="0.35">
      <c r="A114" s="1206" t="s">
        <v>1013</v>
      </c>
      <c r="B114" s="1206"/>
      <c r="C114" s="2040" t="s">
        <v>1015</v>
      </c>
      <c r="D114" s="2040"/>
      <c r="E114" s="2040"/>
      <c r="F114" s="2040"/>
      <c r="G114" s="2040"/>
      <c r="H114" s="2040"/>
      <c r="I114" s="1206"/>
      <c r="J114" s="1207"/>
      <c r="K114" s="1208"/>
      <c r="L114" s="1208"/>
      <c r="M114" s="1209"/>
      <c r="N114" s="1208"/>
      <c r="O114" s="1208"/>
      <c r="P114" s="1208"/>
      <c r="Q114" s="1208"/>
    </row>
    <row r="115" spans="1:17" s="1210" customFormat="1" ht="39.75" hidden="1" customHeight="1" x14ac:dyDescent="0.35">
      <c r="A115" s="1223" t="s">
        <v>1016</v>
      </c>
      <c r="B115" s="1223"/>
      <c r="C115" s="1223">
        <v>45552</v>
      </c>
      <c r="D115" s="1223" t="s">
        <v>1017</v>
      </c>
      <c r="E115" s="1239" t="s">
        <v>1005</v>
      </c>
      <c r="F115" s="1215" t="s">
        <v>1018</v>
      </c>
      <c r="G115" s="1215" t="s">
        <v>1019</v>
      </c>
      <c r="H115" s="1215"/>
      <c r="I115" s="1215"/>
      <c r="J115" s="1216" t="s">
        <v>1020</v>
      </c>
      <c r="K115" s="1262" t="s">
        <v>1021</v>
      </c>
      <c r="L115" s="1262">
        <v>194</v>
      </c>
      <c r="M115" s="1218">
        <v>6880</v>
      </c>
      <c r="N115" s="1217">
        <v>532</v>
      </c>
      <c r="O115" s="1217">
        <v>15</v>
      </c>
      <c r="P115" s="1217">
        <v>15</v>
      </c>
      <c r="Q115" s="1217">
        <v>15</v>
      </c>
    </row>
    <row r="116" spans="1:17" s="1210" customFormat="1" ht="39.75" hidden="1" customHeight="1" x14ac:dyDescent="0.35">
      <c r="A116" s="1223" t="s">
        <v>1016</v>
      </c>
      <c r="B116" s="1223"/>
      <c r="C116" s="1223">
        <v>45554</v>
      </c>
      <c r="D116" s="1223" t="s">
        <v>1022</v>
      </c>
      <c r="E116" s="1239" t="s">
        <v>1005</v>
      </c>
      <c r="F116" s="1215" t="s">
        <v>1023</v>
      </c>
      <c r="G116" s="1215" t="s">
        <v>1019</v>
      </c>
      <c r="H116" s="1215" t="s">
        <v>1024</v>
      </c>
      <c r="I116" s="1215"/>
      <c r="J116" s="1215"/>
      <c r="K116" s="1262" t="s">
        <v>1025</v>
      </c>
      <c r="L116" s="1262">
        <v>251</v>
      </c>
      <c r="M116" s="1218">
        <v>6249</v>
      </c>
      <c r="N116" s="1217">
        <v>182</v>
      </c>
      <c r="O116" s="1217">
        <v>7</v>
      </c>
      <c r="P116" s="1217">
        <v>11</v>
      </c>
      <c r="Q116" s="1217">
        <v>8</v>
      </c>
    </row>
    <row r="117" spans="1:17" s="1219" customFormat="1" ht="39.75" hidden="1" customHeight="1" x14ac:dyDescent="0.35">
      <c r="A117" s="1206" t="s">
        <v>1026</v>
      </c>
      <c r="B117" s="1206"/>
      <c r="C117" s="2040" t="s">
        <v>1027</v>
      </c>
      <c r="D117" s="2040"/>
      <c r="E117" s="2040"/>
      <c r="F117" s="2040"/>
      <c r="G117" s="2040"/>
      <c r="H117" s="2040"/>
      <c r="I117" s="1206"/>
      <c r="J117" s="1207"/>
      <c r="K117" s="1208"/>
      <c r="L117" s="1208"/>
      <c r="M117" s="1209"/>
      <c r="N117" s="1208"/>
      <c r="O117" s="1208"/>
      <c r="P117" s="1208"/>
      <c r="Q117" s="1208"/>
    </row>
    <row r="118" spans="1:17" s="1210" customFormat="1" ht="39.75" hidden="1" customHeight="1" x14ac:dyDescent="0.35">
      <c r="A118" s="1206" t="s">
        <v>1026</v>
      </c>
      <c r="B118" s="1206"/>
      <c r="C118" s="2040" t="s">
        <v>1028</v>
      </c>
      <c r="D118" s="2040"/>
      <c r="E118" s="2040"/>
      <c r="F118" s="2040"/>
      <c r="G118" s="2040"/>
      <c r="H118" s="2040"/>
      <c r="I118" s="1206"/>
      <c r="J118" s="1207"/>
      <c r="K118" s="1208"/>
      <c r="L118" s="1208"/>
      <c r="M118" s="1209"/>
      <c r="N118" s="1208"/>
      <c r="O118" s="1208"/>
      <c r="P118" s="1208"/>
      <c r="Q118" s="1208"/>
    </row>
    <row r="119" spans="1:17" s="1210" customFormat="1" ht="39.75" hidden="1" customHeight="1" x14ac:dyDescent="0.35">
      <c r="A119" s="1223" t="s">
        <v>1026</v>
      </c>
      <c r="B119" s="1223"/>
      <c r="C119" s="1223">
        <v>45559</v>
      </c>
      <c r="D119" s="1211" t="s">
        <v>926</v>
      </c>
      <c r="E119" s="1239" t="s">
        <v>759</v>
      </c>
      <c r="F119" s="1215" t="s">
        <v>1029</v>
      </c>
      <c r="G119" s="1263"/>
      <c r="H119" s="1263"/>
      <c r="I119" s="1263"/>
      <c r="J119" s="1215"/>
      <c r="K119" s="1264" t="s">
        <v>1030</v>
      </c>
      <c r="L119" s="1264">
        <v>113</v>
      </c>
      <c r="M119" s="1265">
        <v>56</v>
      </c>
      <c r="N119" s="1264">
        <v>28</v>
      </c>
      <c r="O119" s="1264">
        <v>0</v>
      </c>
      <c r="P119" s="1264">
        <v>0</v>
      </c>
      <c r="Q119" s="1264">
        <v>0</v>
      </c>
    </row>
    <row r="120" spans="1:17" s="1210" customFormat="1" ht="39.75" hidden="1" customHeight="1" x14ac:dyDescent="0.35">
      <c r="A120" s="1223" t="s">
        <v>1016</v>
      </c>
      <c r="B120" s="1223"/>
      <c r="C120" s="1223">
        <v>45560</v>
      </c>
      <c r="D120" s="1243"/>
      <c r="E120" s="1242" t="s">
        <v>783</v>
      </c>
      <c r="F120" s="1222" t="s">
        <v>1031</v>
      </c>
      <c r="G120" s="1243"/>
      <c r="H120" s="1243"/>
      <c r="I120" s="1243"/>
      <c r="J120" s="1242" t="s">
        <v>1032</v>
      </c>
      <c r="K120" s="1243" t="s">
        <v>1033</v>
      </c>
      <c r="L120" s="1264">
        <v>131</v>
      </c>
      <c r="M120" s="1233">
        <v>81</v>
      </c>
      <c r="N120" s="1232">
        <v>7</v>
      </c>
      <c r="O120" s="1232">
        <v>0</v>
      </c>
      <c r="P120" s="1232">
        <v>0</v>
      </c>
      <c r="Q120" s="1232">
        <v>1</v>
      </c>
    </row>
    <row r="121" spans="1:17" s="1210" customFormat="1" ht="39.75" hidden="1" customHeight="1" x14ac:dyDescent="0.35">
      <c r="A121" s="1223" t="s">
        <v>1016</v>
      </c>
      <c r="B121" s="1223"/>
      <c r="C121" s="1223">
        <v>45560</v>
      </c>
      <c r="D121" s="1243"/>
      <c r="E121" s="1242" t="s">
        <v>759</v>
      </c>
      <c r="F121" s="1222" t="s">
        <v>1034</v>
      </c>
      <c r="G121" s="1243"/>
      <c r="H121" s="1243"/>
      <c r="I121" s="1243"/>
      <c r="J121" s="1242" t="s">
        <v>1032</v>
      </c>
      <c r="K121" s="1243" t="s">
        <v>1033</v>
      </c>
      <c r="L121" s="1264">
        <v>131</v>
      </c>
      <c r="M121" s="1233">
        <v>140</v>
      </c>
      <c r="N121" s="1232">
        <v>31</v>
      </c>
      <c r="O121" s="1232">
        <v>2</v>
      </c>
      <c r="P121" s="1232">
        <v>0</v>
      </c>
      <c r="Q121" s="1232">
        <v>1</v>
      </c>
    </row>
    <row r="122" spans="1:17" s="1252" customFormat="1" ht="39.75" hidden="1" customHeight="1" x14ac:dyDescent="0.35">
      <c r="A122" s="1223" t="s">
        <v>1035</v>
      </c>
      <c r="B122" s="1223"/>
      <c r="C122" s="1266">
        <v>45566</v>
      </c>
      <c r="D122" s="1222" t="s">
        <v>86</v>
      </c>
      <c r="E122" s="1239" t="s">
        <v>1005</v>
      </c>
      <c r="F122" s="1215" t="s">
        <v>1036</v>
      </c>
      <c r="G122" s="1243" t="s">
        <v>1037</v>
      </c>
      <c r="H122" s="1243"/>
      <c r="I122" s="1243"/>
      <c r="J122" s="1243"/>
      <c r="K122" s="1243" t="s">
        <v>1038</v>
      </c>
      <c r="L122" s="1217"/>
      <c r="M122" s="1233">
        <v>6589</v>
      </c>
      <c r="N122" s="1232">
        <v>638</v>
      </c>
      <c r="O122" s="1232">
        <v>7</v>
      </c>
      <c r="P122" s="1232">
        <v>20</v>
      </c>
      <c r="Q122" s="1232">
        <v>10</v>
      </c>
    </row>
    <row r="123" spans="1:17" s="1219" customFormat="1" ht="39.75" hidden="1" customHeight="1" x14ac:dyDescent="0.35">
      <c r="A123" s="1223" t="s">
        <v>1035</v>
      </c>
      <c r="B123" s="1223"/>
      <c r="C123" s="1223">
        <v>45568</v>
      </c>
      <c r="D123" s="1223" t="s">
        <v>1039</v>
      </c>
      <c r="E123" s="1239" t="s">
        <v>1005</v>
      </c>
      <c r="F123" s="1215" t="s">
        <v>1040</v>
      </c>
      <c r="G123" s="1243" t="s">
        <v>1037</v>
      </c>
      <c r="H123" s="1264"/>
      <c r="I123" s="1264"/>
      <c r="J123" s="1215"/>
      <c r="K123" s="1217" t="s">
        <v>1041</v>
      </c>
      <c r="L123" s="1217"/>
      <c r="M123" s="1218">
        <v>5934</v>
      </c>
      <c r="N123" s="1217">
        <v>216</v>
      </c>
      <c r="O123" s="1217">
        <v>6</v>
      </c>
      <c r="P123" s="1217">
        <v>12</v>
      </c>
      <c r="Q123" s="1217">
        <v>6</v>
      </c>
    </row>
    <row r="124" spans="1:17" s="1252" customFormat="1" ht="39.75" hidden="1" customHeight="1" x14ac:dyDescent="0.35">
      <c r="A124" s="1266" t="s">
        <v>706</v>
      </c>
      <c r="B124" s="1266"/>
      <c r="C124" s="1223">
        <v>45574</v>
      </c>
      <c r="D124" s="1223" t="s">
        <v>1017</v>
      </c>
      <c r="E124" s="1239" t="s">
        <v>1005</v>
      </c>
      <c r="F124" s="1222" t="s">
        <v>1042</v>
      </c>
      <c r="G124" s="1222"/>
      <c r="H124" s="1222" t="s">
        <v>1043</v>
      </c>
      <c r="I124" s="1222"/>
      <c r="J124" s="1267"/>
      <c r="K124" s="1264" t="s">
        <v>1044</v>
      </c>
      <c r="L124" s="1264"/>
      <c r="M124" s="1265">
        <v>682</v>
      </c>
      <c r="N124" s="1264">
        <v>119</v>
      </c>
      <c r="O124" s="1264">
        <v>11</v>
      </c>
      <c r="P124" s="1264">
        <v>3</v>
      </c>
      <c r="Q124" s="1264">
        <v>23</v>
      </c>
    </row>
    <row r="125" spans="1:17" s="1252" customFormat="1" ht="39.75" hidden="1" customHeight="1" x14ac:dyDescent="0.35">
      <c r="A125" s="1268" t="s">
        <v>706</v>
      </c>
      <c r="B125" s="1268"/>
      <c r="C125" s="2040" t="s">
        <v>1045</v>
      </c>
      <c r="D125" s="2040"/>
      <c r="E125" s="2040"/>
      <c r="F125" s="2040"/>
      <c r="G125" s="2040"/>
      <c r="H125" s="2040"/>
      <c r="I125" s="1206"/>
      <c r="J125" s="1207"/>
      <c r="K125" s="1208"/>
      <c r="L125" s="1208"/>
      <c r="M125" s="1209"/>
      <c r="N125" s="1208"/>
      <c r="O125" s="1208"/>
      <c r="P125" s="1208"/>
      <c r="Q125" s="1208"/>
    </row>
    <row r="126" spans="1:17" s="1210" customFormat="1" ht="39.75" hidden="1" customHeight="1" x14ac:dyDescent="0.35">
      <c r="A126" s="1268" t="s">
        <v>706</v>
      </c>
      <c r="B126" s="1268"/>
      <c r="C126" s="2040" t="s">
        <v>1046</v>
      </c>
      <c r="D126" s="2040"/>
      <c r="E126" s="2040"/>
      <c r="F126" s="2040"/>
      <c r="G126" s="2040"/>
      <c r="H126" s="2040"/>
      <c r="I126" s="1206"/>
      <c r="J126" s="1207"/>
      <c r="K126" s="1208"/>
      <c r="L126" s="1208"/>
      <c r="M126" s="1209"/>
      <c r="N126" s="1208"/>
      <c r="O126" s="1208"/>
      <c r="P126" s="1208"/>
      <c r="Q126" s="1208"/>
    </row>
    <row r="127" spans="1:17" s="1210" customFormat="1" ht="39.75" hidden="1" customHeight="1" x14ac:dyDescent="0.35">
      <c r="A127" s="1268" t="s">
        <v>706</v>
      </c>
      <c r="B127" s="1268"/>
      <c r="C127" s="2040" t="s">
        <v>1047</v>
      </c>
      <c r="D127" s="2040"/>
      <c r="E127" s="2040"/>
      <c r="F127" s="2040"/>
      <c r="G127" s="2040"/>
      <c r="H127" s="2040"/>
      <c r="I127" s="1206"/>
      <c r="J127" s="1207"/>
      <c r="K127" s="1208"/>
      <c r="L127" s="1208"/>
      <c r="M127" s="1209"/>
      <c r="N127" s="1208"/>
      <c r="O127" s="1208"/>
      <c r="P127" s="1208"/>
      <c r="Q127" s="1208"/>
    </row>
    <row r="128" spans="1:17" s="1252" customFormat="1" ht="39.75" hidden="1" customHeight="1" x14ac:dyDescent="0.35">
      <c r="A128" s="1268" t="s">
        <v>706</v>
      </c>
      <c r="B128" s="1268"/>
      <c r="C128" s="2040" t="s">
        <v>707</v>
      </c>
      <c r="D128" s="2040"/>
      <c r="E128" s="2040"/>
      <c r="F128" s="2040"/>
      <c r="G128" s="2040"/>
      <c r="H128" s="2040"/>
      <c r="I128" s="1206"/>
      <c r="J128" s="1269"/>
      <c r="K128" s="1229"/>
      <c r="L128" s="1229"/>
      <c r="M128" s="1270"/>
      <c r="N128" s="1229"/>
      <c r="O128" s="1229"/>
      <c r="P128" s="1229"/>
      <c r="Q128" s="1229"/>
    </row>
    <row r="129" spans="1:17" s="1252" customFormat="1" ht="39.75" hidden="1" customHeight="1" x14ac:dyDescent="0.35">
      <c r="A129" s="1246" t="s">
        <v>1048</v>
      </c>
      <c r="B129" s="1246"/>
      <c r="C129" s="1246">
        <v>45582</v>
      </c>
      <c r="D129" s="1248" t="s">
        <v>1049</v>
      </c>
      <c r="E129" s="1248" t="s">
        <v>1050</v>
      </c>
      <c r="F129" s="1248" t="s">
        <v>1051</v>
      </c>
      <c r="G129" s="1248"/>
      <c r="H129" s="1248"/>
      <c r="I129" s="1248"/>
      <c r="J129" s="1271"/>
      <c r="K129" s="1272"/>
      <c r="L129" s="1272"/>
      <c r="M129" s="1273"/>
      <c r="N129" s="1272"/>
      <c r="O129" s="1272"/>
      <c r="P129" s="1272"/>
      <c r="Q129" s="1272"/>
    </row>
    <row r="130" spans="1:17" s="1252" customFormat="1" ht="39.75" hidden="1" customHeight="1" x14ac:dyDescent="0.35">
      <c r="A130" s="1246" t="s">
        <v>1048</v>
      </c>
      <c r="B130" s="1246"/>
      <c r="C130" s="1246">
        <v>45582</v>
      </c>
      <c r="D130" s="1248" t="s">
        <v>1052</v>
      </c>
      <c r="E130" s="1248" t="s">
        <v>1050</v>
      </c>
      <c r="F130" s="1248" t="s">
        <v>1053</v>
      </c>
      <c r="G130" s="1248" t="s">
        <v>1054</v>
      </c>
      <c r="H130" s="1248" t="s">
        <v>1055</v>
      </c>
      <c r="I130" s="1248"/>
      <c r="J130" s="1271"/>
      <c r="K130" s="1272"/>
      <c r="L130" s="1272"/>
      <c r="M130" s="1273"/>
      <c r="N130" s="1272"/>
      <c r="O130" s="1272"/>
      <c r="P130" s="1272"/>
      <c r="Q130" s="1272"/>
    </row>
    <row r="131" spans="1:17" s="1252" customFormat="1" ht="39.75" hidden="1" customHeight="1" x14ac:dyDescent="0.35">
      <c r="A131" s="1274" t="s">
        <v>1048</v>
      </c>
      <c r="B131" s="1274"/>
      <c r="C131" s="2042" t="s">
        <v>1056</v>
      </c>
      <c r="D131" s="2042"/>
      <c r="E131" s="2042"/>
      <c r="F131" s="2042"/>
      <c r="G131" s="2042"/>
      <c r="H131" s="2042"/>
      <c r="I131" s="1230"/>
      <c r="J131" s="1269"/>
      <c r="K131" s="1229"/>
      <c r="L131" s="1229"/>
      <c r="M131" s="1270"/>
      <c r="N131" s="1229"/>
      <c r="O131" s="1229"/>
      <c r="P131" s="1229"/>
      <c r="Q131" s="1229"/>
    </row>
    <row r="132" spans="1:17" s="1252" customFormat="1" ht="39.75" hidden="1" customHeight="1" x14ac:dyDescent="0.35">
      <c r="A132" s="1246" t="s">
        <v>708</v>
      </c>
      <c r="B132" s="1246"/>
      <c r="C132" s="1246">
        <v>45586</v>
      </c>
      <c r="D132" s="1248" t="s">
        <v>1057</v>
      </c>
      <c r="E132" s="1275" t="s">
        <v>1005</v>
      </c>
      <c r="F132" s="1248" t="s">
        <v>1058</v>
      </c>
      <c r="G132" s="1248" t="s">
        <v>1059</v>
      </c>
      <c r="H132" s="1248" t="s">
        <v>1060</v>
      </c>
      <c r="I132" s="1248"/>
      <c r="J132" s="1249" t="s">
        <v>1061</v>
      </c>
      <c r="K132" s="1276" t="s">
        <v>1062</v>
      </c>
      <c r="L132" s="1276">
        <v>208</v>
      </c>
      <c r="M132" s="1277">
        <v>2670</v>
      </c>
      <c r="N132" s="1278">
        <v>0.24460000000000001</v>
      </c>
      <c r="O132" s="1278">
        <v>1.4200000000000001E-2</v>
      </c>
      <c r="P132" s="1276">
        <v>15</v>
      </c>
      <c r="Q132" s="1279">
        <v>34</v>
      </c>
    </row>
    <row r="133" spans="1:17" s="1252" customFormat="1" ht="39.75" hidden="1" customHeight="1" x14ac:dyDescent="0.35">
      <c r="A133" s="1246" t="s">
        <v>708</v>
      </c>
      <c r="B133" s="1246"/>
      <c r="C133" s="1246">
        <v>45589</v>
      </c>
      <c r="D133" s="1248" t="s">
        <v>1063</v>
      </c>
      <c r="E133" s="1280" t="s">
        <v>1005</v>
      </c>
      <c r="F133" s="1256" t="s">
        <v>1064</v>
      </c>
      <c r="G133" s="1248" t="s">
        <v>1065</v>
      </c>
      <c r="H133" s="1248" t="s">
        <v>1066</v>
      </c>
      <c r="I133" s="1248"/>
      <c r="J133" s="1271"/>
      <c r="K133" s="1276" t="s">
        <v>1067</v>
      </c>
      <c r="L133" s="1279">
        <v>208</v>
      </c>
      <c r="M133" s="1277">
        <v>351</v>
      </c>
      <c r="N133" s="1278">
        <v>0.26500000000000001</v>
      </c>
      <c r="O133" s="1278">
        <v>2.5600000000000001E-2</v>
      </c>
      <c r="P133" s="1279">
        <v>1</v>
      </c>
      <c r="Q133" s="1279">
        <v>0</v>
      </c>
    </row>
    <row r="134" spans="1:17" s="1252" customFormat="1" ht="39.75" hidden="1" customHeight="1" x14ac:dyDescent="0.35">
      <c r="A134" s="1246" t="s">
        <v>708</v>
      </c>
      <c r="B134" s="1246"/>
      <c r="C134" s="1246">
        <v>45590</v>
      </c>
      <c r="D134" s="1246" t="s">
        <v>664</v>
      </c>
      <c r="E134" s="1255" t="s">
        <v>665</v>
      </c>
      <c r="F134" s="1256" t="s">
        <v>1068</v>
      </c>
      <c r="G134" s="1248"/>
      <c r="H134" s="1281" t="s">
        <v>1069</v>
      </c>
      <c r="I134" s="1281"/>
      <c r="J134" s="1271"/>
      <c r="K134" s="1279" t="s">
        <v>1070</v>
      </c>
      <c r="L134" s="1282"/>
      <c r="M134" s="1250"/>
      <c r="N134" s="1283"/>
      <c r="O134" s="1282"/>
      <c r="P134" s="1282"/>
      <c r="Q134" s="1282"/>
    </row>
    <row r="135" spans="1:17" s="1252" customFormat="1" ht="39.75" hidden="1" customHeight="1" x14ac:dyDescent="0.35">
      <c r="A135" s="1274" t="s">
        <v>708</v>
      </c>
      <c r="B135" s="1274"/>
      <c r="C135" s="2048" t="s">
        <v>1071</v>
      </c>
      <c r="D135" s="2048"/>
      <c r="E135" s="2048"/>
      <c r="F135" s="2048"/>
      <c r="G135" s="2048"/>
      <c r="H135" s="2048"/>
      <c r="I135" s="1274"/>
      <c r="J135" s="1269"/>
      <c r="K135" s="1284"/>
      <c r="L135" s="1284"/>
      <c r="M135" s="1285"/>
      <c r="N135" s="1284"/>
      <c r="O135" s="1286"/>
      <c r="P135" s="1284"/>
      <c r="Q135" s="1286"/>
    </row>
    <row r="136" spans="1:17" s="1252" customFormat="1" ht="39.75" hidden="1" customHeight="1" x14ac:dyDescent="0.35">
      <c r="A136" s="1274" t="s">
        <v>708</v>
      </c>
      <c r="B136" s="1274"/>
      <c r="C136" s="2048" t="s">
        <v>710</v>
      </c>
      <c r="D136" s="2048"/>
      <c r="E136" s="2048"/>
      <c r="F136" s="2048"/>
      <c r="G136" s="2048"/>
      <c r="H136" s="2048"/>
      <c r="I136" s="1274"/>
      <c r="J136" s="1269"/>
      <c r="K136" s="1284"/>
      <c r="L136" s="1284"/>
      <c r="M136" s="1285"/>
      <c r="N136" s="1284"/>
      <c r="O136" s="1286"/>
      <c r="P136" s="1284"/>
      <c r="Q136" s="1286"/>
    </row>
    <row r="137" spans="1:17" s="1210" customFormat="1" ht="39.75" hidden="1" customHeight="1" x14ac:dyDescent="0.35">
      <c r="A137" s="1274" t="s">
        <v>708</v>
      </c>
      <c r="B137" s="1274"/>
      <c r="C137" s="2042" t="s">
        <v>1072</v>
      </c>
      <c r="D137" s="2042"/>
      <c r="E137" s="2042"/>
      <c r="F137" s="2042"/>
      <c r="G137" s="2042"/>
      <c r="H137" s="2042"/>
      <c r="I137" s="1230"/>
      <c r="J137" s="1207"/>
      <c r="K137" s="1208"/>
      <c r="L137" s="1208"/>
      <c r="M137" s="1209"/>
      <c r="N137" s="1208"/>
      <c r="O137" s="1208"/>
      <c r="P137" s="1208"/>
      <c r="Q137" s="1208"/>
    </row>
    <row r="138" spans="1:17" s="1252" customFormat="1" ht="39.75" hidden="1" customHeight="1" x14ac:dyDescent="0.35">
      <c r="A138" s="1246" t="s">
        <v>1073</v>
      </c>
      <c r="B138" s="1246"/>
      <c r="C138" s="1246">
        <v>45593</v>
      </c>
      <c r="D138" s="1254" t="s">
        <v>1074</v>
      </c>
      <c r="E138" s="1255" t="s">
        <v>421</v>
      </c>
      <c r="F138" s="1256" t="s">
        <v>1075</v>
      </c>
      <c r="G138" s="1256"/>
      <c r="H138" s="1256"/>
      <c r="I138" s="1256"/>
      <c r="J138" s="1287" t="s">
        <v>1076</v>
      </c>
      <c r="K138" s="1288" t="s">
        <v>1077</v>
      </c>
      <c r="L138" s="1289">
        <v>175</v>
      </c>
      <c r="M138" s="1288">
        <v>196</v>
      </c>
      <c r="N138" s="1290">
        <v>0.23</v>
      </c>
      <c r="O138" s="1290">
        <v>0.03</v>
      </c>
      <c r="P138" s="1291">
        <v>0</v>
      </c>
      <c r="Q138" s="1291">
        <v>2</v>
      </c>
    </row>
    <row r="139" spans="1:17" s="1210" customFormat="1" ht="39.75" hidden="1" customHeight="1" x14ac:dyDescent="0.35">
      <c r="A139" s="1274" t="s">
        <v>1078</v>
      </c>
      <c r="B139" s="1274"/>
      <c r="C139" s="2042" t="s">
        <v>1079</v>
      </c>
      <c r="D139" s="2042"/>
      <c r="E139" s="2042"/>
      <c r="F139" s="2042"/>
      <c r="G139" s="2042"/>
      <c r="H139" s="2042"/>
      <c r="I139" s="1230"/>
      <c r="J139" s="1207"/>
      <c r="K139" s="1208"/>
      <c r="L139" s="1208"/>
      <c r="M139" s="1209"/>
      <c r="N139" s="1208"/>
      <c r="O139" s="1208"/>
      <c r="P139" s="1208"/>
      <c r="Q139" s="1208"/>
    </row>
    <row r="140" spans="1:17" s="1210" customFormat="1" ht="39.75" hidden="1" customHeight="1" x14ac:dyDescent="0.35">
      <c r="A140" s="1246" t="s">
        <v>1078</v>
      </c>
      <c r="B140" s="1246"/>
      <c r="C140" s="1246">
        <v>45603</v>
      </c>
      <c r="D140" s="1248" t="s">
        <v>1080</v>
      </c>
      <c r="E140" s="1275" t="s">
        <v>1005</v>
      </c>
      <c r="F140" s="1248" t="s">
        <v>1081</v>
      </c>
      <c r="G140" s="1254"/>
      <c r="H140" s="1292" t="s">
        <v>1082</v>
      </c>
      <c r="I140" s="1292"/>
      <c r="J140" s="1287" t="s">
        <v>1083</v>
      </c>
      <c r="K140" s="1279" t="s">
        <v>1084</v>
      </c>
      <c r="L140" s="1291">
        <v>190</v>
      </c>
      <c r="M140" s="1293">
        <v>320</v>
      </c>
      <c r="N140" s="1294">
        <v>8.7499999999999994E-2</v>
      </c>
      <c r="O140" s="1294">
        <v>1.2500000000000001E-2</v>
      </c>
      <c r="P140" s="1291">
        <v>0</v>
      </c>
      <c r="Q140" s="1291">
        <v>43</v>
      </c>
    </row>
    <row r="141" spans="1:17" s="1252" customFormat="1" ht="39.75" hidden="1" customHeight="1" x14ac:dyDescent="0.35">
      <c r="A141" s="1246" t="s">
        <v>1078</v>
      </c>
      <c r="B141" s="1246"/>
      <c r="C141" s="1246">
        <v>45603</v>
      </c>
      <c r="D141" s="1248" t="s">
        <v>164</v>
      </c>
      <c r="E141" s="1275" t="s">
        <v>1005</v>
      </c>
      <c r="F141" s="1248" t="s">
        <v>1085</v>
      </c>
      <c r="G141" s="1248"/>
      <c r="H141" s="1248"/>
      <c r="I141" s="1248"/>
      <c r="J141" s="1275" t="s">
        <v>1086</v>
      </c>
      <c r="K141" s="1279" t="s">
        <v>1087</v>
      </c>
      <c r="L141" s="1276">
        <v>170</v>
      </c>
      <c r="M141" s="1277">
        <v>678</v>
      </c>
      <c r="N141" s="1278">
        <v>0.14449999999999999</v>
      </c>
      <c r="O141" s="1278">
        <v>2.2100000000000002E-2</v>
      </c>
      <c r="P141" s="1276">
        <v>2</v>
      </c>
      <c r="Q141" s="1276">
        <v>4</v>
      </c>
    </row>
    <row r="142" spans="1:17" s="1252" customFormat="1" ht="39.75" hidden="1" customHeight="1" x14ac:dyDescent="0.35">
      <c r="A142" s="1274">
        <v>45601</v>
      </c>
      <c r="B142" s="1274"/>
      <c r="C142" s="2048" t="s">
        <v>1088</v>
      </c>
      <c r="D142" s="2048"/>
      <c r="E142" s="2048"/>
      <c r="F142" s="2048"/>
      <c r="G142" s="2048"/>
      <c r="H142" s="2048"/>
      <c r="I142" s="1274"/>
      <c r="J142" s="1269"/>
      <c r="K142" s="1286"/>
      <c r="L142" s="1286"/>
      <c r="M142" s="1285"/>
      <c r="N142" s="1286"/>
      <c r="O142" s="1286"/>
      <c r="P142" s="1286"/>
      <c r="Q142" s="1286"/>
    </row>
    <row r="143" spans="1:17" s="1252" customFormat="1" ht="39.75" hidden="1" customHeight="1" x14ac:dyDescent="0.35">
      <c r="A143" s="1274" t="s">
        <v>711</v>
      </c>
      <c r="B143" s="1274"/>
      <c r="C143" s="2026" t="s">
        <v>712</v>
      </c>
      <c r="D143" s="2026"/>
      <c r="E143" s="2026"/>
      <c r="F143" s="2026"/>
      <c r="G143" s="2026"/>
      <c r="H143" s="2026"/>
      <c r="I143" s="1236"/>
      <c r="J143" s="1269"/>
      <c r="K143" s="1284"/>
      <c r="L143" s="1284"/>
      <c r="M143" s="1285"/>
      <c r="N143" s="1284"/>
      <c r="O143" s="1284"/>
      <c r="P143" s="1284"/>
      <c r="Q143" s="1284"/>
    </row>
    <row r="144" spans="1:17" s="1210" customFormat="1" ht="39.75" hidden="1" customHeight="1" x14ac:dyDescent="0.35">
      <c r="A144" s="1274" t="s">
        <v>711</v>
      </c>
      <c r="B144" s="1274"/>
      <c r="C144" s="2042" t="s">
        <v>1089</v>
      </c>
      <c r="D144" s="2042"/>
      <c r="E144" s="2042"/>
      <c r="F144" s="2042"/>
      <c r="G144" s="2042"/>
      <c r="H144" s="2042"/>
      <c r="I144" s="1230"/>
      <c r="J144" s="1207"/>
      <c r="K144" s="1208"/>
      <c r="L144" s="1208"/>
      <c r="M144" s="1209"/>
      <c r="N144" s="1208"/>
      <c r="O144" s="1208"/>
      <c r="P144" s="1208"/>
      <c r="Q144" s="1208"/>
    </row>
    <row r="145" spans="1:17" s="1210" customFormat="1" ht="39.75" hidden="1" customHeight="1" x14ac:dyDescent="0.35">
      <c r="A145" s="1246" t="s">
        <v>711</v>
      </c>
      <c r="B145" s="1246"/>
      <c r="C145" s="1246">
        <v>45607</v>
      </c>
      <c r="D145" s="1248" t="s">
        <v>86</v>
      </c>
      <c r="E145" s="1280" t="s">
        <v>1005</v>
      </c>
      <c r="F145" s="1248" t="s">
        <v>1090</v>
      </c>
      <c r="G145" s="1275" t="s">
        <v>1091</v>
      </c>
      <c r="H145" s="1248"/>
      <c r="I145" s="1248"/>
      <c r="J145" s="1249" t="s">
        <v>1092</v>
      </c>
      <c r="K145" s="1279" t="s">
        <v>1093</v>
      </c>
      <c r="L145" s="1279">
        <v>175</v>
      </c>
      <c r="M145" s="1277">
        <v>344</v>
      </c>
      <c r="N145" s="1278">
        <v>0.35470000000000002</v>
      </c>
      <c r="O145" s="1278">
        <v>7.2700000000000001E-2</v>
      </c>
      <c r="P145" s="1279">
        <v>0</v>
      </c>
      <c r="Q145" s="1279">
        <v>0</v>
      </c>
    </row>
    <row r="146" spans="1:17" s="1252" customFormat="1" ht="39.75" hidden="1" customHeight="1" x14ac:dyDescent="0.35">
      <c r="A146" s="1246" t="s">
        <v>711</v>
      </c>
      <c r="B146" s="1246"/>
      <c r="C146" s="1246">
        <v>45610</v>
      </c>
      <c r="D146" s="1248" t="s">
        <v>1094</v>
      </c>
      <c r="E146" s="1280" t="s">
        <v>1005</v>
      </c>
      <c r="F146" s="1248" t="s">
        <v>1095</v>
      </c>
      <c r="G146" s="1248" t="s">
        <v>1096</v>
      </c>
      <c r="H146" s="1248"/>
      <c r="I146" s="1248"/>
      <c r="J146" s="1249" t="s">
        <v>1097</v>
      </c>
      <c r="K146" s="1276" t="s">
        <v>1098</v>
      </c>
      <c r="L146" s="1276">
        <v>218</v>
      </c>
      <c r="M146" s="1277">
        <v>95</v>
      </c>
      <c r="N146" s="1278">
        <v>0.5474</v>
      </c>
      <c r="O146" s="1278">
        <v>2.1000000000000001E-2</v>
      </c>
      <c r="P146" s="1276">
        <v>1</v>
      </c>
      <c r="Q146" s="1276">
        <v>19</v>
      </c>
    </row>
    <row r="147" spans="1:17" s="1252" customFormat="1" ht="39.75" hidden="1" customHeight="1" x14ac:dyDescent="0.35">
      <c r="A147" s="1246" t="s">
        <v>711</v>
      </c>
      <c r="B147" s="1246"/>
      <c r="C147" s="1246">
        <v>45607</v>
      </c>
      <c r="D147" s="1248" t="s">
        <v>1080</v>
      </c>
      <c r="E147" s="1275" t="s">
        <v>1005</v>
      </c>
      <c r="F147" s="1248" t="s">
        <v>1081</v>
      </c>
      <c r="G147" s="1248" t="s">
        <v>1099</v>
      </c>
      <c r="H147" s="1248"/>
      <c r="I147" s="1248"/>
      <c r="J147" s="1249" t="s">
        <v>1100</v>
      </c>
      <c r="K147" s="1279" t="s">
        <v>1093</v>
      </c>
      <c r="L147" s="1276">
        <v>175</v>
      </c>
      <c r="M147" s="1277">
        <v>273</v>
      </c>
      <c r="N147" s="1278">
        <v>8.7900000000000006E-2</v>
      </c>
      <c r="O147" s="1278">
        <v>1.83E-2</v>
      </c>
      <c r="P147" s="1276">
        <v>1</v>
      </c>
      <c r="Q147" s="1276">
        <v>0</v>
      </c>
    </row>
    <row r="148" spans="1:17" s="1252" customFormat="1" ht="39.75" hidden="1" customHeight="1" x14ac:dyDescent="0.35">
      <c r="A148" s="1246" t="s">
        <v>711</v>
      </c>
      <c r="B148" s="1246"/>
      <c r="C148" s="1246">
        <v>45610</v>
      </c>
      <c r="D148" s="1248" t="s">
        <v>664</v>
      </c>
      <c r="E148" s="1255" t="s">
        <v>421</v>
      </c>
      <c r="F148" s="1248" t="s">
        <v>1101</v>
      </c>
      <c r="G148" s="1248" t="s">
        <v>1102</v>
      </c>
      <c r="H148" s="1248"/>
      <c r="I148" s="1248"/>
      <c r="J148" s="1249" t="s">
        <v>1103</v>
      </c>
      <c r="K148" s="1276" t="s">
        <v>1098</v>
      </c>
      <c r="L148" s="1276">
        <v>218</v>
      </c>
      <c r="M148" s="1277">
        <v>165</v>
      </c>
      <c r="N148" s="1278">
        <v>0.19389999999999999</v>
      </c>
      <c r="O148" s="1278">
        <v>2.4199999999999999E-2</v>
      </c>
      <c r="P148" s="1276">
        <v>0</v>
      </c>
      <c r="Q148" s="1276">
        <v>2</v>
      </c>
    </row>
    <row r="149" spans="1:17" s="1252" customFormat="1" ht="39.75" hidden="1" customHeight="1" x14ac:dyDescent="0.35">
      <c r="A149" s="1246" t="s">
        <v>713</v>
      </c>
      <c r="B149" s="1246"/>
      <c r="C149" s="1246">
        <v>45616</v>
      </c>
      <c r="D149" s="1248" t="s">
        <v>1080</v>
      </c>
      <c r="E149" s="1275" t="s">
        <v>1005</v>
      </c>
      <c r="F149" s="1248"/>
      <c r="G149" s="1248"/>
      <c r="H149" s="1248"/>
      <c r="I149" s="1248"/>
      <c r="J149" s="1249" t="s">
        <v>1104</v>
      </c>
      <c r="K149" s="1276" t="s">
        <v>1105</v>
      </c>
      <c r="L149" s="1276">
        <v>319</v>
      </c>
      <c r="M149" s="1277">
        <v>271</v>
      </c>
      <c r="N149" s="1278">
        <v>8.1199999999999994E-2</v>
      </c>
      <c r="O149" s="1278">
        <v>7.4000000000000003E-3</v>
      </c>
      <c r="P149" s="1276">
        <v>4</v>
      </c>
      <c r="Q149" s="1276">
        <v>0</v>
      </c>
    </row>
    <row r="150" spans="1:17" s="1252" customFormat="1" ht="39.75" hidden="1" customHeight="1" x14ac:dyDescent="0.35">
      <c r="A150" s="1246" t="s">
        <v>713</v>
      </c>
      <c r="B150" s="1246"/>
      <c r="C150" s="1246">
        <v>45616</v>
      </c>
      <c r="D150" s="1248" t="s">
        <v>1094</v>
      </c>
      <c r="E150" s="1275" t="s">
        <v>1005</v>
      </c>
      <c r="F150" s="1248" t="s">
        <v>1106</v>
      </c>
      <c r="G150" s="1248"/>
      <c r="H150" s="1248" t="s">
        <v>1107</v>
      </c>
      <c r="I150" s="1248"/>
      <c r="J150" s="1249" t="s">
        <v>1108</v>
      </c>
      <c r="K150" s="1276" t="s">
        <v>1109</v>
      </c>
      <c r="L150" s="1276">
        <v>366</v>
      </c>
      <c r="M150" s="1277">
        <v>673</v>
      </c>
      <c r="N150" s="1278">
        <v>0.14560000000000001</v>
      </c>
      <c r="O150" s="1278">
        <v>1.04E-2</v>
      </c>
      <c r="P150" s="1276">
        <v>0</v>
      </c>
      <c r="Q150" s="1276">
        <v>1</v>
      </c>
    </row>
    <row r="151" spans="1:17" s="1252" customFormat="1" ht="39.75" hidden="1" customHeight="1" x14ac:dyDescent="0.35">
      <c r="A151" s="1246">
        <v>45616</v>
      </c>
      <c r="B151" s="1246"/>
      <c r="C151" s="2025" t="s">
        <v>1110</v>
      </c>
      <c r="D151" s="2025"/>
      <c r="E151" s="2025"/>
      <c r="F151" s="2025"/>
      <c r="G151" s="2025"/>
      <c r="H151" s="2025"/>
      <c r="I151" s="1295"/>
      <c r="J151" s="1271"/>
      <c r="K151" s="1251"/>
      <c r="L151" s="1276"/>
      <c r="M151" s="1277"/>
      <c r="N151" s="1278"/>
      <c r="O151" s="1278"/>
      <c r="P151" s="1276"/>
      <c r="Q151" s="1276"/>
    </row>
    <row r="152" spans="1:17" s="1252" customFormat="1" ht="39.75" hidden="1" customHeight="1" x14ac:dyDescent="0.35">
      <c r="A152" s="1246" t="s">
        <v>717</v>
      </c>
      <c r="B152" s="1246"/>
      <c r="C152" s="2049" t="s">
        <v>106</v>
      </c>
      <c r="D152" s="2049"/>
      <c r="E152" s="2049"/>
      <c r="F152" s="2049"/>
      <c r="G152" s="2049"/>
      <c r="H152" s="2049"/>
      <c r="I152" s="1296"/>
      <c r="J152" s="1248"/>
      <c r="K152" s="1251"/>
      <c r="L152" s="1276"/>
      <c r="M152" s="1277"/>
      <c r="N152" s="1278"/>
      <c r="O152" s="1278"/>
      <c r="P152" s="1276"/>
      <c r="Q152" s="1276"/>
    </row>
    <row r="153" spans="1:17" s="1210" customFormat="1" ht="39.75" hidden="1" customHeight="1" x14ac:dyDescent="0.35">
      <c r="A153" s="1274" t="s">
        <v>717</v>
      </c>
      <c r="B153" s="1274"/>
      <c r="C153" s="2042" t="s">
        <v>1111</v>
      </c>
      <c r="D153" s="2042"/>
      <c r="E153" s="2042"/>
      <c r="F153" s="2042"/>
      <c r="G153" s="2042"/>
      <c r="H153" s="2042"/>
      <c r="I153" s="1230"/>
      <c r="J153" s="1207"/>
      <c r="K153" s="1208"/>
      <c r="L153" s="1208"/>
      <c r="M153" s="1209"/>
      <c r="N153" s="1208"/>
      <c r="O153" s="1208"/>
      <c r="P153" s="1208"/>
      <c r="Q153" s="1208"/>
    </row>
    <row r="154" spans="1:17" s="1252" customFormat="1" ht="39.75" hidden="1" customHeight="1" x14ac:dyDescent="0.35">
      <c r="A154" s="1274" t="s">
        <v>717</v>
      </c>
      <c r="B154" s="1274"/>
      <c r="C154" s="2048" t="s">
        <v>718</v>
      </c>
      <c r="D154" s="2048"/>
      <c r="E154" s="2048"/>
      <c r="F154" s="2048"/>
      <c r="G154" s="2048"/>
      <c r="H154" s="2048"/>
      <c r="I154" s="1274"/>
      <c r="J154" s="1236"/>
      <c r="K154" s="1284"/>
      <c r="L154" s="1284"/>
      <c r="M154" s="1285"/>
      <c r="N154" s="1284"/>
      <c r="O154" s="1284"/>
      <c r="P154" s="1284"/>
      <c r="Q154" s="1284"/>
    </row>
    <row r="155" spans="1:17" s="1210" customFormat="1" ht="39.75" hidden="1" customHeight="1" x14ac:dyDescent="0.35">
      <c r="A155" s="1236" t="s">
        <v>719</v>
      </c>
      <c r="B155" s="1236"/>
      <c r="C155" s="2042" t="s">
        <v>1112</v>
      </c>
      <c r="D155" s="2042"/>
      <c r="E155" s="2042"/>
      <c r="F155" s="2042"/>
      <c r="G155" s="2042"/>
      <c r="H155" s="2042"/>
      <c r="I155" s="1230"/>
      <c r="J155" s="1207"/>
      <c r="K155" s="1208"/>
      <c r="L155" s="1208"/>
      <c r="M155" s="1209"/>
      <c r="N155" s="1208"/>
      <c r="O155" s="1208"/>
      <c r="P155" s="1208"/>
      <c r="Q155" s="1208"/>
    </row>
    <row r="156" spans="1:17" s="1219" customFormat="1" ht="39.75" hidden="1" customHeight="1" x14ac:dyDescent="0.35">
      <c r="A156" s="1246" t="s">
        <v>719</v>
      </c>
      <c r="B156" s="1246"/>
      <c r="C156" s="1254">
        <v>45631</v>
      </c>
      <c r="D156" s="1297"/>
      <c r="E156" s="1255" t="s">
        <v>421</v>
      </c>
      <c r="F156" s="1254" t="s">
        <v>1113</v>
      </c>
      <c r="G156" s="1254" t="s">
        <v>1114</v>
      </c>
      <c r="H156" s="1297"/>
      <c r="I156" s="1297"/>
      <c r="J156" s="1287" t="s">
        <v>1115</v>
      </c>
      <c r="K156" s="1291" t="s">
        <v>1116</v>
      </c>
      <c r="L156" s="1291">
        <v>160</v>
      </c>
      <c r="M156" s="1293">
        <v>190</v>
      </c>
      <c r="N156" s="1290">
        <v>0.25790000000000002</v>
      </c>
      <c r="O156" s="1294">
        <v>3.6799999999999999E-2</v>
      </c>
      <c r="P156" s="1291">
        <v>0</v>
      </c>
      <c r="Q156" s="1291">
        <v>1</v>
      </c>
    </row>
    <row r="157" spans="1:17" s="1252" customFormat="1" ht="39.75" hidden="1" customHeight="1" x14ac:dyDescent="0.35">
      <c r="A157" s="1246" t="s">
        <v>719</v>
      </c>
      <c r="B157" s="1246"/>
      <c r="C157" s="1246">
        <v>45628</v>
      </c>
      <c r="D157" s="1246" t="s">
        <v>664</v>
      </c>
      <c r="E157" s="1255" t="s">
        <v>665</v>
      </c>
      <c r="F157" s="1256" t="s">
        <v>1117</v>
      </c>
      <c r="G157" s="1248"/>
      <c r="H157" s="1281" t="s">
        <v>1118</v>
      </c>
      <c r="I157" s="1281"/>
      <c r="J157" s="1249" t="s">
        <v>1119</v>
      </c>
      <c r="K157" s="1279" t="s">
        <v>1109</v>
      </c>
      <c r="L157" s="1279">
        <v>366</v>
      </c>
      <c r="M157" s="1277">
        <v>130</v>
      </c>
      <c r="N157" s="1290">
        <v>0.43</v>
      </c>
      <c r="O157" s="1294">
        <v>0.1231</v>
      </c>
      <c r="P157" s="1279">
        <v>0</v>
      </c>
      <c r="Q157" s="1279">
        <v>3</v>
      </c>
    </row>
    <row r="158" spans="1:17" s="1252" customFormat="1" ht="39.75" hidden="1" customHeight="1" x14ac:dyDescent="0.35">
      <c r="A158" s="1246" t="s">
        <v>720</v>
      </c>
      <c r="B158" s="1246"/>
      <c r="C158" s="1246">
        <v>45636</v>
      </c>
      <c r="D158" s="1248" t="s">
        <v>1120</v>
      </c>
      <c r="E158" s="1255" t="s">
        <v>421</v>
      </c>
      <c r="F158" s="1248" t="s">
        <v>1121</v>
      </c>
      <c r="G158" s="1248" t="s">
        <v>1122</v>
      </c>
      <c r="H158" s="1248" t="s">
        <v>1123</v>
      </c>
      <c r="I158" s="1248"/>
      <c r="J158" s="1275" t="s">
        <v>1124</v>
      </c>
      <c r="K158" s="1276" t="s">
        <v>1125</v>
      </c>
      <c r="L158" s="1276">
        <v>224</v>
      </c>
      <c r="M158" s="1277">
        <v>207</v>
      </c>
      <c r="N158" s="1278">
        <v>0.27539999999999998</v>
      </c>
      <c r="O158" s="1278">
        <v>3.8699999999999998E-2</v>
      </c>
      <c r="P158" s="1276">
        <v>0</v>
      </c>
      <c r="Q158" s="1276">
        <v>1</v>
      </c>
    </row>
    <row r="159" spans="1:17" s="1210" customFormat="1" ht="39.75" hidden="1" customHeight="1" x14ac:dyDescent="0.35">
      <c r="A159" s="1274" t="s">
        <v>720</v>
      </c>
      <c r="B159" s="1274"/>
      <c r="C159" s="2042" t="s">
        <v>1126</v>
      </c>
      <c r="D159" s="2042"/>
      <c r="E159" s="2042"/>
      <c r="F159" s="2042"/>
      <c r="G159" s="2042"/>
      <c r="H159" s="2042"/>
      <c r="I159" s="1230"/>
      <c r="J159" s="1207"/>
      <c r="K159" s="1208"/>
      <c r="L159" s="1208"/>
      <c r="M159" s="1209"/>
      <c r="N159" s="1208"/>
      <c r="O159" s="1208"/>
      <c r="P159" s="1208"/>
      <c r="Q159" s="1208"/>
    </row>
    <row r="160" spans="1:17" s="1252" customFormat="1" ht="39.75" hidden="1" customHeight="1" x14ac:dyDescent="0.35">
      <c r="A160" s="1246" t="s">
        <v>721</v>
      </c>
      <c r="B160" s="1246"/>
      <c r="C160" s="1246">
        <v>45644</v>
      </c>
      <c r="D160" s="1248" t="s">
        <v>41</v>
      </c>
      <c r="E160" s="1255" t="s">
        <v>421</v>
      </c>
      <c r="F160" s="1248" t="s">
        <v>1127</v>
      </c>
      <c r="G160" s="1248" t="s">
        <v>1128</v>
      </c>
      <c r="H160" s="1275" t="s">
        <v>1129</v>
      </c>
      <c r="I160" s="1275"/>
      <c r="J160" s="1275" t="s">
        <v>1130</v>
      </c>
      <c r="K160" s="1276" t="s">
        <v>1131</v>
      </c>
      <c r="L160" s="1276">
        <v>253</v>
      </c>
      <c r="M160" s="1277">
        <v>189</v>
      </c>
      <c r="N160" s="1278">
        <v>0.21160000000000001</v>
      </c>
      <c r="O160" s="1278">
        <v>1.5900000000000001E-2</v>
      </c>
      <c r="P160" s="1276">
        <v>0</v>
      </c>
      <c r="Q160" s="1276">
        <v>0</v>
      </c>
    </row>
    <row r="161" spans="1:17" s="1252" customFormat="1" ht="39.75" hidden="1" customHeight="1" x14ac:dyDescent="0.35">
      <c r="A161" s="1246" t="s">
        <v>721</v>
      </c>
      <c r="B161" s="1246"/>
      <c r="C161" s="1246">
        <v>45643</v>
      </c>
      <c r="D161" s="1248" t="s">
        <v>1132</v>
      </c>
      <c r="E161" s="1255" t="s">
        <v>1005</v>
      </c>
      <c r="F161" s="1248" t="s">
        <v>1133</v>
      </c>
      <c r="G161" s="1248"/>
      <c r="H161" s="1275"/>
      <c r="I161" s="1275"/>
      <c r="J161" s="1275" t="s">
        <v>1134</v>
      </c>
      <c r="K161" s="1276" t="s">
        <v>1131</v>
      </c>
      <c r="L161" s="1276">
        <v>253</v>
      </c>
      <c r="M161" s="1277">
        <v>1559</v>
      </c>
      <c r="N161" s="1278">
        <v>0.1565</v>
      </c>
      <c r="O161" s="1278">
        <v>1.1599999999999999E-2</v>
      </c>
      <c r="P161" s="1276">
        <v>4</v>
      </c>
      <c r="Q161" s="1276">
        <v>34</v>
      </c>
    </row>
    <row r="162" spans="1:17" s="1252" customFormat="1" ht="39.75" hidden="1" customHeight="1" x14ac:dyDescent="0.35">
      <c r="A162" s="1298" t="s">
        <v>722</v>
      </c>
      <c r="B162" s="1298"/>
      <c r="C162" s="2045" t="s">
        <v>1135</v>
      </c>
      <c r="D162" s="2045"/>
      <c r="E162" s="2045"/>
      <c r="F162" s="2045"/>
      <c r="G162" s="2045"/>
      <c r="H162" s="2045"/>
      <c r="I162" s="1299"/>
      <c r="J162" s="1299"/>
      <c r="K162" s="1284"/>
      <c r="L162" s="1284"/>
      <c r="M162" s="1285"/>
      <c r="N162" s="1284"/>
      <c r="O162" s="1284"/>
      <c r="P162" s="1284"/>
      <c r="Q162" s="1284"/>
    </row>
    <row r="163" spans="1:17" s="1252" customFormat="1" ht="39.75" hidden="1" customHeight="1" x14ac:dyDescent="0.35">
      <c r="A163" s="1298" t="s">
        <v>657</v>
      </c>
      <c r="B163" s="1298"/>
      <c r="C163" s="2045" t="s">
        <v>1136</v>
      </c>
      <c r="D163" s="2045"/>
      <c r="E163" s="2045"/>
      <c r="F163" s="2045"/>
      <c r="G163" s="2045"/>
      <c r="H163" s="2045"/>
      <c r="I163" s="1299"/>
      <c r="J163" s="1299"/>
      <c r="K163" s="1284"/>
      <c r="L163" s="1284"/>
      <c r="M163" s="1285"/>
      <c r="N163" s="1284"/>
      <c r="O163" s="1284"/>
      <c r="P163" s="1284"/>
      <c r="Q163" s="1284"/>
    </row>
    <row r="164" spans="1:17" s="1300" customFormat="1" ht="50.25" hidden="1" customHeight="1" x14ac:dyDescent="0.35">
      <c r="A164" s="1246">
        <v>45663</v>
      </c>
      <c r="B164" s="1246" t="s">
        <v>369</v>
      </c>
      <c r="C164" s="2025" t="s">
        <v>1137</v>
      </c>
      <c r="D164" s="2025"/>
      <c r="E164" s="2025"/>
      <c r="F164" s="2025"/>
      <c r="G164" s="2025"/>
      <c r="H164" s="2025"/>
      <c r="I164" s="1295"/>
      <c r="J164" s="1248"/>
      <c r="K164" s="1251"/>
      <c r="L164" s="1251"/>
      <c r="M164" s="1250"/>
      <c r="N164" s="1251"/>
      <c r="O164" s="1251"/>
      <c r="P164" s="1251"/>
      <c r="Q164" s="1251"/>
    </row>
    <row r="165" spans="1:17" s="1252" customFormat="1" ht="50.25" hidden="1" customHeight="1" x14ac:dyDescent="0.35">
      <c r="A165" s="1246" t="s">
        <v>659</v>
      </c>
      <c r="B165" s="1246" t="s">
        <v>41</v>
      </c>
      <c r="C165" s="1246">
        <v>45666</v>
      </c>
      <c r="D165" s="1248" t="s">
        <v>1138</v>
      </c>
      <c r="E165" s="1255" t="s">
        <v>421</v>
      </c>
      <c r="F165" s="1248" t="s">
        <v>1139</v>
      </c>
      <c r="G165" s="1248"/>
      <c r="H165" s="1247"/>
      <c r="I165" s="1247"/>
      <c r="J165" s="1275" t="s">
        <v>1140</v>
      </c>
      <c r="K165" s="1276" t="s">
        <v>1141</v>
      </c>
      <c r="L165" s="1276">
        <v>407</v>
      </c>
      <c r="M165" s="1277">
        <v>874</v>
      </c>
      <c r="N165" s="1278">
        <v>0.2334</v>
      </c>
      <c r="O165" s="1278">
        <v>1.72E-2</v>
      </c>
      <c r="P165" s="1276">
        <v>5</v>
      </c>
      <c r="Q165" s="1276">
        <v>2</v>
      </c>
    </row>
    <row r="166" spans="1:17" s="1252" customFormat="1" ht="50.25" hidden="1" customHeight="1" x14ac:dyDescent="0.35">
      <c r="A166" s="1246" t="s">
        <v>660</v>
      </c>
      <c r="B166" s="1246" t="s">
        <v>1142</v>
      </c>
      <c r="C166" s="1246">
        <v>45671</v>
      </c>
      <c r="D166" s="1248" t="s">
        <v>1080</v>
      </c>
      <c r="E166" s="1255" t="s">
        <v>1005</v>
      </c>
      <c r="F166" s="1275"/>
      <c r="G166" s="1248" t="s">
        <v>1143</v>
      </c>
      <c r="H166" s="1287" t="s">
        <v>1144</v>
      </c>
      <c r="I166" s="1287"/>
      <c r="J166" s="1287" t="s">
        <v>1145</v>
      </c>
      <c r="K166" s="1276" t="s">
        <v>1146</v>
      </c>
      <c r="L166" s="1276">
        <v>422</v>
      </c>
      <c r="M166" s="1277">
        <v>332</v>
      </c>
      <c r="N166" s="1278">
        <v>0.1145</v>
      </c>
      <c r="O166" s="1278">
        <v>2.7099999999999999E-2</v>
      </c>
      <c r="P166" s="1276">
        <v>0</v>
      </c>
      <c r="Q166" s="1276">
        <v>5</v>
      </c>
    </row>
    <row r="167" spans="1:17" s="1252" customFormat="1" ht="50.25" hidden="1" customHeight="1" x14ac:dyDescent="0.35">
      <c r="A167" s="1246" t="s">
        <v>661</v>
      </c>
      <c r="B167" s="1246" t="s">
        <v>247</v>
      </c>
      <c r="C167" s="1246">
        <v>45678</v>
      </c>
      <c r="D167" s="1301" t="s">
        <v>1132</v>
      </c>
      <c r="E167" s="1287" t="s">
        <v>421</v>
      </c>
      <c r="F167" s="1275"/>
      <c r="G167" s="1275" t="s">
        <v>1147</v>
      </c>
      <c r="H167" s="1276" t="s">
        <v>1148</v>
      </c>
      <c r="I167" s="1276"/>
      <c r="J167" s="1287" t="s">
        <v>1149</v>
      </c>
      <c r="K167" s="1276" t="s">
        <v>1150</v>
      </c>
      <c r="L167" s="1276">
        <v>385</v>
      </c>
      <c r="M167" s="1277">
        <v>162</v>
      </c>
      <c r="N167" s="1278">
        <v>0.39510000000000001</v>
      </c>
      <c r="O167" s="1278">
        <v>6.1699999999999998E-2</v>
      </c>
      <c r="P167" s="1276">
        <v>0</v>
      </c>
      <c r="Q167" s="1276">
        <v>0</v>
      </c>
    </row>
    <row r="168" spans="1:17" s="1252" customFormat="1" ht="50.25" hidden="1" customHeight="1" x14ac:dyDescent="0.35">
      <c r="A168" s="1246">
        <v>45681</v>
      </c>
      <c r="B168" s="1246" t="s">
        <v>247</v>
      </c>
      <c r="C168" s="2043" t="s">
        <v>1151</v>
      </c>
      <c r="D168" s="2043"/>
      <c r="E168" s="2043"/>
      <c r="F168" s="2043"/>
      <c r="G168" s="2043"/>
      <c r="H168" s="2043"/>
      <c r="I168" s="1302"/>
      <c r="J168" s="1251"/>
      <c r="K168" s="1276"/>
      <c r="L168" s="1276"/>
      <c r="M168" s="1277"/>
      <c r="N168" s="1278"/>
      <c r="O168" s="1278"/>
      <c r="P168" s="1276"/>
      <c r="Q168" s="1276"/>
    </row>
    <row r="169" spans="1:17" s="1252" customFormat="1" ht="50.25" hidden="1" customHeight="1" x14ac:dyDescent="0.35">
      <c r="A169" s="1303" t="s">
        <v>662</v>
      </c>
      <c r="B169" s="1303" t="s">
        <v>1142</v>
      </c>
      <c r="C169" s="1303">
        <v>45685</v>
      </c>
      <c r="D169" s="1304" t="s">
        <v>1080</v>
      </c>
      <c r="E169" s="1305" t="s">
        <v>1005</v>
      </c>
      <c r="F169" s="1304" t="s">
        <v>1152</v>
      </c>
      <c r="G169" s="1304" t="s">
        <v>1153</v>
      </c>
      <c r="H169" s="1306" t="s">
        <v>1154</v>
      </c>
      <c r="I169" s="1306"/>
      <c r="J169" s="1307"/>
      <c r="K169" s="1306" t="s">
        <v>1155</v>
      </c>
      <c r="L169" s="1276"/>
      <c r="M169" s="1277"/>
      <c r="N169" s="1278"/>
      <c r="O169" s="1278"/>
      <c r="P169" s="1276"/>
      <c r="Q169" s="1276"/>
    </row>
    <row r="170" spans="1:17" s="1252" customFormat="1" ht="50.25" hidden="1" customHeight="1" x14ac:dyDescent="0.35">
      <c r="A170" s="1246" t="s">
        <v>662</v>
      </c>
      <c r="B170" s="1246" t="s">
        <v>247</v>
      </c>
      <c r="C170" s="1308">
        <v>45685</v>
      </c>
      <c r="D170" s="1301" t="s">
        <v>1132</v>
      </c>
      <c r="E170" s="1257" t="s">
        <v>421</v>
      </c>
      <c r="F170" s="1248" t="s">
        <v>1156</v>
      </c>
      <c r="G170" s="1248" t="s">
        <v>1157</v>
      </c>
      <c r="H170" s="1309" t="s">
        <v>1158</v>
      </c>
      <c r="I170" s="1309"/>
      <c r="J170" s="1287" t="s">
        <v>1159</v>
      </c>
      <c r="K170" s="1276" t="s">
        <v>1160</v>
      </c>
      <c r="L170" s="1276">
        <v>458</v>
      </c>
      <c r="M170" s="1277">
        <v>194</v>
      </c>
      <c r="N170" s="1278">
        <v>0.2732</v>
      </c>
      <c r="O170" s="1278">
        <v>3.61E-2</v>
      </c>
      <c r="P170" s="1276">
        <v>0</v>
      </c>
      <c r="Q170" s="1276">
        <v>2</v>
      </c>
    </row>
    <row r="171" spans="1:17" s="1252" customFormat="1" ht="50.25" hidden="1" customHeight="1" x14ac:dyDescent="0.35">
      <c r="A171" s="1246" t="s">
        <v>662</v>
      </c>
      <c r="B171" s="1246" t="s">
        <v>247</v>
      </c>
      <c r="C171" s="2027" t="s">
        <v>1161</v>
      </c>
      <c r="D171" s="2027"/>
      <c r="E171" s="2027"/>
      <c r="F171" s="2027"/>
      <c r="G171" s="2027"/>
      <c r="H171" s="2027"/>
      <c r="I171" s="1248"/>
      <c r="J171" s="1287" t="s">
        <v>1162</v>
      </c>
      <c r="K171" s="1276" t="s">
        <v>1163</v>
      </c>
      <c r="L171" s="1276">
        <v>400</v>
      </c>
      <c r="M171" s="1277">
        <v>156</v>
      </c>
      <c r="N171" s="1278">
        <v>0.57050000000000001</v>
      </c>
      <c r="O171" s="1278">
        <v>0.15379999999999999</v>
      </c>
      <c r="P171" s="1276">
        <v>0</v>
      </c>
      <c r="Q171" s="1276">
        <v>1</v>
      </c>
    </row>
    <row r="172" spans="1:17" s="1252" customFormat="1" ht="50.25" hidden="1" customHeight="1" x14ac:dyDescent="0.35">
      <c r="A172" s="1246" t="s">
        <v>663</v>
      </c>
      <c r="B172" s="1246" t="s">
        <v>319</v>
      </c>
      <c r="C172" s="1246">
        <v>45692</v>
      </c>
      <c r="D172" s="1248" t="s">
        <v>1120</v>
      </c>
      <c r="E172" s="1255" t="s">
        <v>421</v>
      </c>
      <c r="F172" s="1248" t="s">
        <v>1164</v>
      </c>
      <c r="G172" s="1248"/>
      <c r="H172" s="1248"/>
      <c r="I172" s="1311"/>
      <c r="J172" s="1312" t="s">
        <v>1165</v>
      </c>
      <c r="K172" s="1277"/>
      <c r="L172" s="1277"/>
      <c r="M172" s="1277"/>
      <c r="N172" s="1277"/>
      <c r="O172" s="1277"/>
      <c r="P172" s="1277"/>
      <c r="Q172" s="1277"/>
    </row>
    <row r="173" spans="1:17" s="1252" customFormat="1" ht="50.25" hidden="1" customHeight="1" x14ac:dyDescent="0.35">
      <c r="A173" s="1246" t="s">
        <v>663</v>
      </c>
      <c r="B173" s="1246" t="s">
        <v>1166</v>
      </c>
      <c r="C173" s="1308">
        <v>45693</v>
      </c>
      <c r="D173" s="1248" t="s">
        <v>86</v>
      </c>
      <c r="E173" s="1255" t="s">
        <v>1005</v>
      </c>
      <c r="F173" s="1248" t="s">
        <v>1167</v>
      </c>
      <c r="G173" s="1248" t="s">
        <v>1168</v>
      </c>
      <c r="H173" s="1276" t="s">
        <v>1169</v>
      </c>
      <c r="I173" s="1311"/>
      <c r="J173" s="1287" t="s">
        <v>1170</v>
      </c>
      <c r="K173" s="1276" t="s">
        <v>1171</v>
      </c>
      <c r="L173" s="1276">
        <v>422</v>
      </c>
      <c r="M173" s="1277">
        <v>1024</v>
      </c>
      <c r="N173" s="1278">
        <v>0.28220000000000001</v>
      </c>
      <c r="O173" s="1278">
        <v>1.7600000000000001E-2</v>
      </c>
      <c r="P173" s="1276">
        <v>2</v>
      </c>
      <c r="Q173" s="1276">
        <v>6</v>
      </c>
    </row>
    <row r="174" spans="1:17" s="1252" customFormat="1" ht="50.25" hidden="1" customHeight="1" x14ac:dyDescent="0.35">
      <c r="A174" s="1246" t="s">
        <v>667</v>
      </c>
      <c r="B174" s="1246" t="s">
        <v>247</v>
      </c>
      <c r="C174" s="2027" t="s">
        <v>1172</v>
      </c>
      <c r="D174" s="2027"/>
      <c r="E174" s="2027"/>
      <c r="F174" s="2027"/>
      <c r="G174" s="2027"/>
      <c r="H174" s="2027"/>
      <c r="I174" s="1313"/>
      <c r="J174" s="1271"/>
      <c r="K174" s="1276"/>
      <c r="L174" s="1276"/>
      <c r="M174" s="1277"/>
      <c r="N174" s="1278"/>
      <c r="O174" s="1278"/>
      <c r="P174" s="1276"/>
      <c r="Q174" s="1276"/>
    </row>
    <row r="175" spans="1:17" s="1252" customFormat="1" ht="50.25" hidden="1" customHeight="1" x14ac:dyDescent="0.35">
      <c r="A175" s="1246" t="s">
        <v>667</v>
      </c>
      <c r="B175" s="1246" t="s">
        <v>247</v>
      </c>
      <c r="C175" s="2043" t="s">
        <v>1173</v>
      </c>
      <c r="D175" s="2043"/>
      <c r="E175" s="2043"/>
      <c r="F175" s="2043"/>
      <c r="G175" s="2043"/>
      <c r="H175" s="2043"/>
      <c r="I175" s="1313"/>
      <c r="J175" s="1271"/>
      <c r="K175" s="1276"/>
      <c r="L175" s="1276"/>
      <c r="M175" s="1277"/>
      <c r="N175" s="1278"/>
      <c r="O175" s="1278"/>
      <c r="P175" s="1276"/>
      <c r="Q175" s="1276"/>
    </row>
    <row r="176" spans="1:17" s="1252" customFormat="1" ht="50.25" hidden="1" customHeight="1" x14ac:dyDescent="0.35">
      <c r="A176" s="1246" t="s">
        <v>667</v>
      </c>
      <c r="B176" s="1246" t="s">
        <v>247</v>
      </c>
      <c r="C176" s="1254">
        <v>45700</v>
      </c>
      <c r="D176" s="1246" t="s">
        <v>664</v>
      </c>
      <c r="E176" s="1255" t="s">
        <v>665</v>
      </c>
      <c r="F176" s="1256" t="s">
        <v>1174</v>
      </c>
      <c r="G176" s="1256" t="s">
        <v>1175</v>
      </c>
      <c r="H176" s="1256"/>
      <c r="I176" s="1313"/>
      <c r="J176" s="1287" t="s">
        <v>1176</v>
      </c>
      <c r="K176" s="1276" t="s">
        <v>1177</v>
      </c>
      <c r="L176" s="1276">
        <v>543</v>
      </c>
      <c r="M176" s="1277">
        <v>290</v>
      </c>
      <c r="N176" s="1278">
        <v>0.3483</v>
      </c>
      <c r="O176" s="1278">
        <v>0.1</v>
      </c>
      <c r="P176" s="1276">
        <v>0</v>
      </c>
      <c r="Q176" s="1276">
        <v>0</v>
      </c>
    </row>
    <row r="177" spans="1:17" s="1252" customFormat="1" ht="50.25" hidden="1" customHeight="1" x14ac:dyDescent="0.35">
      <c r="A177" s="1246" t="s">
        <v>670</v>
      </c>
      <c r="B177" s="1246" t="s">
        <v>247</v>
      </c>
      <c r="C177" s="2027" t="s">
        <v>1178</v>
      </c>
      <c r="D177" s="2027"/>
      <c r="E177" s="2027"/>
      <c r="F177" s="2027"/>
      <c r="G177" s="2027"/>
      <c r="H177" s="2027"/>
      <c r="I177" s="1313"/>
      <c r="J177" s="1251"/>
      <c r="K177" s="1276"/>
      <c r="L177" s="1276"/>
      <c r="M177" s="1277"/>
      <c r="N177" s="1278"/>
      <c r="O177" s="1278"/>
      <c r="P177" s="1276"/>
      <c r="Q177" s="1276"/>
    </row>
    <row r="178" spans="1:17" s="1252" customFormat="1" ht="50.25" hidden="1" customHeight="1" x14ac:dyDescent="0.35">
      <c r="A178" s="1246" t="s">
        <v>670</v>
      </c>
      <c r="B178" s="1246" t="s">
        <v>247</v>
      </c>
      <c r="C178" s="1254">
        <v>45706</v>
      </c>
      <c r="D178" s="1246" t="s">
        <v>664</v>
      </c>
      <c r="E178" s="1255" t="s">
        <v>665</v>
      </c>
      <c r="F178" s="1246" t="s">
        <v>664</v>
      </c>
      <c r="G178" s="1256" t="s">
        <v>1179</v>
      </c>
      <c r="H178" s="1314" t="s">
        <v>1180</v>
      </c>
      <c r="I178" s="1313"/>
      <c r="J178" s="1287" t="s">
        <v>1181</v>
      </c>
      <c r="K178" s="1276" t="s">
        <v>1182</v>
      </c>
      <c r="L178" s="1276">
        <v>492</v>
      </c>
      <c r="M178" s="1277">
        <v>235</v>
      </c>
      <c r="N178" s="1278">
        <v>0.24679999999999999</v>
      </c>
      <c r="O178" s="1278">
        <v>3.8300000000000001E-2</v>
      </c>
      <c r="P178" s="1276">
        <v>1</v>
      </c>
      <c r="Q178" s="1276">
        <v>0</v>
      </c>
    </row>
    <row r="179" spans="1:17" s="1252" customFormat="1" ht="50.25" hidden="1" customHeight="1" x14ac:dyDescent="0.35">
      <c r="A179" s="1246">
        <v>45709</v>
      </c>
      <c r="B179" s="1246" t="s">
        <v>247</v>
      </c>
      <c r="C179" s="2043" t="s">
        <v>1183</v>
      </c>
      <c r="D179" s="2043"/>
      <c r="E179" s="2043"/>
      <c r="F179" s="2043"/>
      <c r="G179" s="2043"/>
      <c r="H179" s="2043"/>
      <c r="I179" s="1313"/>
      <c r="J179" s="1248"/>
      <c r="K179" s="1251"/>
      <c r="L179" s="1276"/>
      <c r="M179" s="1277"/>
      <c r="N179" s="1278"/>
      <c r="O179" s="1278"/>
      <c r="P179" s="1276"/>
      <c r="Q179" s="1276"/>
    </row>
    <row r="180" spans="1:17" s="1252" customFormat="1" ht="50.25" hidden="1" customHeight="1" x14ac:dyDescent="0.35">
      <c r="A180" s="1246" t="s">
        <v>672</v>
      </c>
      <c r="B180" s="1246" t="s">
        <v>369</v>
      </c>
      <c r="C180" s="1254">
        <v>45713</v>
      </c>
      <c r="D180" s="1248" t="s">
        <v>1166</v>
      </c>
      <c r="E180" s="1275" t="s">
        <v>1005</v>
      </c>
      <c r="F180" s="1256" t="s">
        <v>1184</v>
      </c>
      <c r="G180" s="1248" t="s">
        <v>1185</v>
      </c>
      <c r="H180" s="1276" t="s">
        <v>1186</v>
      </c>
      <c r="I180" s="1313"/>
      <c r="J180" s="1275" t="s">
        <v>1187</v>
      </c>
      <c r="K180" s="1276" t="s">
        <v>1188</v>
      </c>
      <c r="L180" s="1276">
        <v>400</v>
      </c>
      <c r="M180" s="1277">
        <v>285</v>
      </c>
      <c r="N180" s="1278">
        <v>0.34389999999999998</v>
      </c>
      <c r="O180" s="1278">
        <v>1.4E-2</v>
      </c>
      <c r="P180" s="1276">
        <v>2</v>
      </c>
      <c r="Q180" s="1276">
        <v>0</v>
      </c>
    </row>
    <row r="181" spans="1:17" s="1252" customFormat="1" ht="50.25" hidden="1" customHeight="1" x14ac:dyDescent="0.35">
      <c r="A181" s="1246">
        <v>45719</v>
      </c>
      <c r="B181" s="1246" t="s">
        <v>247</v>
      </c>
      <c r="C181" s="2043" t="s">
        <v>1189</v>
      </c>
      <c r="D181" s="2043"/>
      <c r="E181" s="2043"/>
      <c r="F181" s="2043"/>
      <c r="G181" s="2043"/>
      <c r="H181" s="2043"/>
      <c r="I181" s="1313"/>
      <c r="J181" s="1248"/>
      <c r="K181" s="1251"/>
      <c r="L181" s="1276"/>
      <c r="M181" s="1277"/>
      <c r="N181" s="1278"/>
      <c r="O181" s="1278"/>
      <c r="P181" s="1276"/>
      <c r="Q181" s="1276"/>
    </row>
    <row r="182" spans="1:17" s="1252" customFormat="1" ht="50.25" hidden="1" customHeight="1" x14ac:dyDescent="0.35">
      <c r="A182" s="1254" t="s">
        <v>674</v>
      </c>
      <c r="B182" s="1254" t="s">
        <v>247</v>
      </c>
      <c r="C182" s="2027" t="s">
        <v>1190</v>
      </c>
      <c r="D182" s="2027"/>
      <c r="E182" s="2027"/>
      <c r="F182" s="2027"/>
      <c r="G182" s="2027"/>
      <c r="H182" s="2027"/>
      <c r="I182" s="1313"/>
      <c r="J182" s="1287" t="s">
        <v>1191</v>
      </c>
      <c r="K182" s="1276" t="s">
        <v>1192</v>
      </c>
      <c r="L182" s="1276">
        <v>671</v>
      </c>
      <c r="M182" s="1277">
        <v>212</v>
      </c>
      <c r="N182" s="1278">
        <v>0.5141</v>
      </c>
      <c r="O182" s="1278">
        <v>0.2641</v>
      </c>
      <c r="P182" s="1276">
        <v>0</v>
      </c>
      <c r="Q182" s="1276">
        <v>0</v>
      </c>
    </row>
    <row r="183" spans="1:17" s="1252" customFormat="1" ht="50.25" hidden="1" customHeight="1" x14ac:dyDescent="0.35">
      <c r="A183" s="1254" t="s">
        <v>674</v>
      </c>
      <c r="B183" s="1254" t="s">
        <v>319</v>
      </c>
      <c r="C183" s="1254">
        <v>45720</v>
      </c>
      <c r="D183" s="1246" t="s">
        <v>1193</v>
      </c>
      <c r="E183" s="1255" t="s">
        <v>665</v>
      </c>
      <c r="F183" s="1256" t="s">
        <v>1194</v>
      </c>
      <c r="G183" s="1248" t="s">
        <v>1195</v>
      </c>
      <c r="H183" s="1309" t="s">
        <v>1196</v>
      </c>
      <c r="I183" s="1313"/>
      <c r="J183" s="1287" t="s">
        <v>1197</v>
      </c>
      <c r="K183" s="1276" t="s">
        <v>1198</v>
      </c>
      <c r="L183" s="1276">
        <v>474</v>
      </c>
      <c r="M183" s="1277">
        <v>133</v>
      </c>
      <c r="N183" s="1278">
        <v>0.34350000000000003</v>
      </c>
      <c r="O183" s="1278">
        <v>6.7699999999999996E-2</v>
      </c>
      <c r="P183" s="1276">
        <v>0</v>
      </c>
      <c r="Q183" s="1276">
        <v>0</v>
      </c>
    </row>
    <row r="184" spans="1:17" s="1252" customFormat="1" ht="50.25" hidden="1" customHeight="1" x14ac:dyDescent="0.35">
      <c r="A184" s="1254" t="s">
        <v>674</v>
      </c>
      <c r="B184" s="1254" t="s">
        <v>247</v>
      </c>
      <c r="C184" s="1253">
        <v>45720</v>
      </c>
      <c r="D184" s="1246" t="s">
        <v>664</v>
      </c>
      <c r="E184" s="1255" t="s">
        <v>665</v>
      </c>
      <c r="F184" s="1256" t="s">
        <v>1199</v>
      </c>
      <c r="G184" s="1248"/>
      <c r="H184" s="1309" t="s">
        <v>1200</v>
      </c>
      <c r="I184" s="1313"/>
      <c r="J184" s="1287" t="s">
        <v>1201</v>
      </c>
      <c r="K184" s="1276" t="s">
        <v>1198</v>
      </c>
      <c r="L184" s="1276">
        <v>474</v>
      </c>
      <c r="M184" s="1277">
        <v>228</v>
      </c>
      <c r="N184" s="1278">
        <v>0.4254</v>
      </c>
      <c r="O184" s="1278">
        <v>0.18859999999999999</v>
      </c>
      <c r="P184" s="1276">
        <v>0</v>
      </c>
      <c r="Q184" s="1276">
        <v>0</v>
      </c>
    </row>
    <row r="185" spans="1:17" s="1252" customFormat="1" ht="50.25" hidden="1" customHeight="1" x14ac:dyDescent="0.35">
      <c r="A185" s="1254" t="s">
        <v>674</v>
      </c>
      <c r="B185" s="1254" t="s">
        <v>247</v>
      </c>
      <c r="C185" s="1253">
        <v>45722</v>
      </c>
      <c r="D185" s="1246" t="s">
        <v>664</v>
      </c>
      <c r="E185" s="1255" t="s">
        <v>665</v>
      </c>
      <c r="F185" s="1256" t="s">
        <v>675</v>
      </c>
      <c r="G185" s="1248"/>
      <c r="H185" s="1251"/>
      <c r="I185" s="1313"/>
      <c r="J185" s="1287" t="s">
        <v>1202</v>
      </c>
      <c r="K185" s="1276" t="s">
        <v>1203</v>
      </c>
      <c r="L185" s="1276">
        <v>427</v>
      </c>
      <c r="M185" s="1277">
        <v>206</v>
      </c>
      <c r="N185" s="1278">
        <v>0.45150000000000001</v>
      </c>
      <c r="O185" s="1278">
        <v>0.15529999999999999</v>
      </c>
      <c r="P185" s="1276">
        <v>0</v>
      </c>
      <c r="Q185" s="1276">
        <v>0</v>
      </c>
    </row>
    <row r="186" spans="1:17" s="1252" customFormat="1" ht="50.25" hidden="1" customHeight="1" x14ac:dyDescent="0.35">
      <c r="A186" s="1246" t="s">
        <v>1204</v>
      </c>
      <c r="B186" s="1254" t="s">
        <v>1166</v>
      </c>
      <c r="C186" s="1253">
        <v>45727</v>
      </c>
      <c r="D186" s="1246" t="s">
        <v>1166</v>
      </c>
      <c r="E186" s="1275" t="s">
        <v>1005</v>
      </c>
      <c r="F186" s="1256" t="s">
        <v>1205</v>
      </c>
      <c r="G186" s="1248" t="s">
        <v>1206</v>
      </c>
      <c r="H186" s="1251"/>
      <c r="I186" s="1313"/>
      <c r="J186" s="1287" t="s">
        <v>1207</v>
      </c>
      <c r="K186" s="1276" t="s">
        <v>1208</v>
      </c>
      <c r="L186" s="1276">
        <v>297</v>
      </c>
      <c r="M186" s="1277">
        <v>492</v>
      </c>
      <c r="N186" s="1278">
        <v>0.29070000000000001</v>
      </c>
      <c r="O186" s="1278">
        <v>1.4200000000000001E-2</v>
      </c>
      <c r="P186" s="1276">
        <v>4</v>
      </c>
      <c r="Q186" s="1276">
        <v>1</v>
      </c>
    </row>
    <row r="187" spans="1:17" s="1252" customFormat="1" ht="50.25" hidden="1" customHeight="1" x14ac:dyDescent="0.35">
      <c r="A187" s="1246" t="s">
        <v>1209</v>
      </c>
      <c r="B187" s="1246" t="s">
        <v>247</v>
      </c>
      <c r="C187" s="2026" t="s">
        <v>1210</v>
      </c>
      <c r="D187" s="2026"/>
      <c r="E187" s="2026"/>
      <c r="F187" s="2026"/>
      <c r="G187" s="2026"/>
      <c r="H187" s="2026"/>
      <c r="I187" s="1313"/>
      <c r="J187" s="1251"/>
      <c r="K187" s="1251"/>
      <c r="L187" s="1276"/>
      <c r="M187" s="1277"/>
      <c r="N187" s="1278"/>
      <c r="O187" s="1278"/>
      <c r="P187" s="1276"/>
      <c r="Q187" s="1276"/>
    </row>
    <row r="188" spans="1:17" s="1252" customFormat="1" ht="50.25" hidden="1" customHeight="1" x14ac:dyDescent="0.35">
      <c r="A188" s="1246" t="s">
        <v>681</v>
      </c>
      <c r="B188" s="1246" t="s">
        <v>247</v>
      </c>
      <c r="C188" s="1253">
        <v>45734</v>
      </c>
      <c r="D188" s="1315" t="s">
        <v>664</v>
      </c>
      <c r="E188" s="1280" t="s">
        <v>665</v>
      </c>
      <c r="F188" s="1256" t="s">
        <v>679</v>
      </c>
      <c r="G188" s="1314" t="s">
        <v>1211</v>
      </c>
      <c r="H188" s="1256" t="s">
        <v>680</v>
      </c>
      <c r="I188" s="1313"/>
      <c r="J188" s="1287" t="s">
        <v>1212</v>
      </c>
      <c r="K188" s="1276" t="s">
        <v>1213</v>
      </c>
      <c r="L188" s="1276">
        <v>194</v>
      </c>
      <c r="M188" s="1277">
        <v>227</v>
      </c>
      <c r="N188" s="1278">
        <v>0.29070000000000001</v>
      </c>
      <c r="O188" s="1278">
        <v>0.13220000000000001</v>
      </c>
      <c r="P188" s="1276">
        <v>0</v>
      </c>
      <c r="Q188" s="1276">
        <v>0</v>
      </c>
    </row>
    <row r="189" spans="1:17" s="1252" customFormat="1" ht="50.25" hidden="1" customHeight="1" x14ac:dyDescent="0.35">
      <c r="A189" s="1246" t="s">
        <v>681</v>
      </c>
      <c r="B189" s="1246" t="s">
        <v>319</v>
      </c>
      <c r="C189" s="1254">
        <v>45734</v>
      </c>
      <c r="D189" s="1246" t="s">
        <v>1120</v>
      </c>
      <c r="E189" s="1255" t="s">
        <v>665</v>
      </c>
      <c r="F189" s="1256" t="s">
        <v>1164</v>
      </c>
      <c r="G189" s="1256" t="s">
        <v>186</v>
      </c>
      <c r="H189" s="1256"/>
      <c r="I189" s="1313"/>
      <c r="J189" s="1287" t="s">
        <v>1214</v>
      </c>
      <c r="K189" s="1276" t="s">
        <v>1215</v>
      </c>
      <c r="L189" s="1276">
        <v>324</v>
      </c>
      <c r="M189" s="1277">
        <v>195</v>
      </c>
      <c r="N189" s="1278">
        <v>0.30769999999999997</v>
      </c>
      <c r="O189" s="1278">
        <v>4.6199999999999998E-2</v>
      </c>
      <c r="P189" s="1276">
        <v>0</v>
      </c>
      <c r="Q189" s="1276">
        <v>0</v>
      </c>
    </row>
    <row r="190" spans="1:17" s="1252" customFormat="1" ht="50.25" hidden="1" customHeight="1" x14ac:dyDescent="0.35">
      <c r="A190" s="1246" t="s">
        <v>681</v>
      </c>
      <c r="B190" s="1246" t="s">
        <v>247</v>
      </c>
      <c r="C190" s="1253">
        <v>45736</v>
      </c>
      <c r="D190" s="1246" t="s">
        <v>1216</v>
      </c>
      <c r="E190" s="1255" t="s">
        <v>665</v>
      </c>
      <c r="F190" s="1256" t="s">
        <v>1217</v>
      </c>
      <c r="G190" s="1248"/>
      <c r="H190" s="1287" t="s">
        <v>1218</v>
      </c>
      <c r="I190" s="1313"/>
      <c r="J190" s="1287" t="s">
        <v>1219</v>
      </c>
      <c r="K190" s="1276" t="s">
        <v>1220</v>
      </c>
      <c r="L190" s="1276">
        <v>200</v>
      </c>
      <c r="M190" s="1277">
        <v>143</v>
      </c>
      <c r="N190" s="1278">
        <v>0.12590000000000001</v>
      </c>
      <c r="O190" s="1278">
        <v>9.0899999999999995E-2</v>
      </c>
      <c r="P190" s="1276">
        <v>0</v>
      </c>
      <c r="Q190" s="1276">
        <v>0</v>
      </c>
    </row>
    <row r="191" spans="1:17" s="1252" customFormat="1" ht="50.25" hidden="1" customHeight="1" x14ac:dyDescent="0.35">
      <c r="A191" s="1246">
        <v>45736</v>
      </c>
      <c r="B191" s="1246" t="s">
        <v>369</v>
      </c>
      <c r="C191" s="2025" t="s">
        <v>1221</v>
      </c>
      <c r="D191" s="2025"/>
      <c r="E191" s="2025"/>
      <c r="F191" s="2025"/>
      <c r="G191" s="2025"/>
      <c r="H191" s="2025"/>
      <c r="I191" s="1311"/>
      <c r="J191" s="1248"/>
      <c r="K191" s="1251"/>
      <c r="L191" s="1276"/>
      <c r="M191" s="1277"/>
      <c r="N191" s="1278"/>
      <c r="O191" s="1278"/>
      <c r="P191" s="1276"/>
      <c r="Q191" s="1276"/>
    </row>
    <row r="192" spans="1:17" s="1252" customFormat="1" ht="50.25" hidden="1" customHeight="1" x14ac:dyDescent="0.35">
      <c r="A192" s="1246" t="s">
        <v>684</v>
      </c>
      <c r="B192" s="1246" t="s">
        <v>319</v>
      </c>
      <c r="C192" s="1254">
        <v>45741</v>
      </c>
      <c r="D192" s="1246" t="s">
        <v>1120</v>
      </c>
      <c r="E192" s="1255" t="s">
        <v>665</v>
      </c>
      <c r="F192" s="1256" t="s">
        <v>1222</v>
      </c>
      <c r="G192" s="1256" t="s">
        <v>186</v>
      </c>
      <c r="H192" s="1251"/>
      <c r="I192" s="1313"/>
      <c r="J192" s="1287" t="s">
        <v>1223</v>
      </c>
      <c r="K192" s="1276" t="s">
        <v>1224</v>
      </c>
      <c r="L192" s="1276">
        <v>271</v>
      </c>
      <c r="M192" s="1277">
        <v>212</v>
      </c>
      <c r="N192" s="1278">
        <v>0.31130000000000002</v>
      </c>
      <c r="O192" s="1278">
        <v>3.3000000000000002E-2</v>
      </c>
      <c r="P192" s="1276">
        <v>0</v>
      </c>
      <c r="Q192" s="1276">
        <v>0</v>
      </c>
    </row>
    <row r="193" spans="1:17" s="1252" customFormat="1" ht="50.25" hidden="1" customHeight="1" x14ac:dyDescent="0.35">
      <c r="A193" s="1246" t="s">
        <v>684</v>
      </c>
      <c r="B193" s="1246" t="s">
        <v>247</v>
      </c>
      <c r="C193" s="2027" t="s">
        <v>1225</v>
      </c>
      <c r="D193" s="2027"/>
      <c r="E193" s="2027"/>
      <c r="F193" s="2027"/>
      <c r="G193" s="2027"/>
      <c r="H193" s="2027"/>
      <c r="I193" s="1313"/>
      <c r="J193" s="1251"/>
      <c r="K193" s="1251"/>
      <c r="L193" s="1276"/>
      <c r="M193" s="1277"/>
      <c r="N193" s="1278"/>
      <c r="O193" s="1278"/>
      <c r="P193" s="1276"/>
      <c r="Q193" s="1276"/>
    </row>
    <row r="194" spans="1:17" s="1252" customFormat="1" ht="50.25" hidden="1" customHeight="1" x14ac:dyDescent="0.35">
      <c r="A194" s="1246" t="s">
        <v>685</v>
      </c>
      <c r="B194" s="1246" t="s">
        <v>1166</v>
      </c>
      <c r="C194" s="1253">
        <v>45743</v>
      </c>
      <c r="D194" s="1315" t="s">
        <v>1166</v>
      </c>
      <c r="E194" s="1275" t="s">
        <v>1005</v>
      </c>
      <c r="F194" s="1256" t="s">
        <v>1226</v>
      </c>
      <c r="G194" s="1275" t="s">
        <v>1227</v>
      </c>
      <c r="H194" s="1251"/>
      <c r="I194" s="1313"/>
      <c r="J194" s="1287" t="s">
        <v>1228</v>
      </c>
      <c r="K194" s="1276" t="s">
        <v>1229</v>
      </c>
      <c r="L194" s="1276">
        <v>241</v>
      </c>
      <c r="M194" s="1277">
        <v>243</v>
      </c>
      <c r="N194" s="1278">
        <v>0.31690000000000002</v>
      </c>
      <c r="O194" s="1278">
        <v>4.1000000000000003E-3</v>
      </c>
      <c r="P194" s="1276">
        <v>0</v>
      </c>
      <c r="Q194" s="1276">
        <v>0</v>
      </c>
    </row>
    <row r="195" spans="1:17" s="1252" customFormat="1" ht="50.25" hidden="1" customHeight="1" x14ac:dyDescent="0.35">
      <c r="A195" s="1246" t="s">
        <v>685</v>
      </c>
      <c r="B195" s="1246" t="s">
        <v>319</v>
      </c>
      <c r="C195" s="1254">
        <v>45741</v>
      </c>
      <c r="D195" s="1315" t="s">
        <v>1120</v>
      </c>
      <c r="E195" s="1280" t="s">
        <v>665</v>
      </c>
      <c r="F195" s="1256" t="s">
        <v>1230</v>
      </c>
      <c r="G195" s="1256" t="s">
        <v>1231</v>
      </c>
      <c r="H195" s="1251"/>
      <c r="I195" s="1313"/>
      <c r="J195" s="1287" t="s">
        <v>1232</v>
      </c>
      <c r="K195" s="1276" t="s">
        <v>1233</v>
      </c>
      <c r="L195" s="1276">
        <v>193</v>
      </c>
      <c r="M195" s="1277">
        <v>210</v>
      </c>
      <c r="N195" s="1278">
        <v>0.25240000000000001</v>
      </c>
      <c r="O195" s="1278">
        <v>1.43E-2</v>
      </c>
      <c r="P195" s="1276">
        <v>0</v>
      </c>
      <c r="Q195" s="1276">
        <v>0</v>
      </c>
    </row>
    <row r="196" spans="1:17" s="1252" customFormat="1" ht="50.25" hidden="1" customHeight="1" x14ac:dyDescent="0.35">
      <c r="A196" s="1246">
        <v>45748</v>
      </c>
      <c r="B196" s="1246" t="s">
        <v>319</v>
      </c>
      <c r="C196" s="2027" t="s">
        <v>1234</v>
      </c>
      <c r="D196" s="2027"/>
      <c r="E196" s="2027"/>
      <c r="F196" s="2027"/>
      <c r="G196" s="2027"/>
      <c r="H196" s="2027"/>
      <c r="I196" s="1313"/>
      <c r="J196" s="1287" t="s">
        <v>1235</v>
      </c>
      <c r="K196" s="1276" t="s">
        <v>1236</v>
      </c>
      <c r="L196" s="1276">
        <v>238</v>
      </c>
      <c r="M196" s="1277">
        <v>215</v>
      </c>
      <c r="N196" s="1278">
        <v>0.35349999999999998</v>
      </c>
      <c r="O196" s="1278">
        <v>8.8400000000000006E-2</v>
      </c>
      <c r="P196" s="1276">
        <v>0</v>
      </c>
      <c r="Q196" s="1276">
        <v>0</v>
      </c>
    </row>
    <row r="197" spans="1:17" s="1252" customFormat="1" ht="50.25" hidden="1" customHeight="1" x14ac:dyDescent="0.35">
      <c r="A197" s="1308">
        <v>45748</v>
      </c>
      <c r="B197" s="1246" t="s">
        <v>319</v>
      </c>
      <c r="C197" s="2029" t="s">
        <v>1237</v>
      </c>
      <c r="D197" s="2029"/>
      <c r="E197" s="2029"/>
      <c r="F197" s="2029"/>
      <c r="G197" s="2029"/>
      <c r="H197" s="2029"/>
      <c r="I197" s="1313"/>
      <c r="J197" s="1251"/>
      <c r="K197" s="1251"/>
      <c r="L197" s="1276"/>
      <c r="M197" s="1277"/>
      <c r="N197" s="1278"/>
      <c r="O197" s="1278"/>
      <c r="P197" s="1276"/>
      <c r="Q197" s="1276"/>
    </row>
    <row r="198" spans="1:17" s="1252" customFormat="1" ht="50.25" hidden="1" customHeight="1" x14ac:dyDescent="0.35">
      <c r="A198" s="1246" t="s">
        <v>686</v>
      </c>
      <c r="B198" s="1246" t="s">
        <v>41</v>
      </c>
      <c r="C198" s="2043" t="s">
        <v>1238</v>
      </c>
      <c r="D198" s="2043"/>
      <c r="E198" s="2043"/>
      <c r="F198" s="2043"/>
      <c r="G198" s="2043"/>
      <c r="H198" s="2043"/>
      <c r="I198" s="1313"/>
      <c r="J198" s="1251"/>
      <c r="K198" s="1251"/>
      <c r="L198" s="1276"/>
      <c r="M198" s="1277"/>
      <c r="N198" s="1278"/>
      <c r="O198" s="1278"/>
      <c r="P198" s="1276"/>
      <c r="Q198" s="1276"/>
    </row>
    <row r="199" spans="1:17" s="1252" customFormat="1" ht="50.25" hidden="1" customHeight="1" x14ac:dyDescent="0.35">
      <c r="A199" s="1246" t="s">
        <v>687</v>
      </c>
      <c r="B199" s="1246" t="s">
        <v>41</v>
      </c>
      <c r="C199" s="1253">
        <v>45762</v>
      </c>
      <c r="D199" s="1248" t="s">
        <v>1239</v>
      </c>
      <c r="E199" s="1280" t="s">
        <v>665</v>
      </c>
      <c r="F199" s="1256" t="s">
        <v>1240</v>
      </c>
      <c r="G199" s="1248" t="s">
        <v>1241</v>
      </c>
      <c r="H199" s="1276" t="s">
        <v>1242</v>
      </c>
      <c r="I199" s="1313"/>
      <c r="J199" s="1287" t="s">
        <v>1243</v>
      </c>
      <c r="K199" s="1276" t="s">
        <v>1244</v>
      </c>
      <c r="L199" s="1276">
        <v>172</v>
      </c>
      <c r="M199" s="1277">
        <v>77</v>
      </c>
      <c r="N199" s="1278">
        <v>0.1429</v>
      </c>
      <c r="O199" s="1278">
        <v>2.5999999999999999E-2</v>
      </c>
      <c r="P199" s="1276">
        <v>0</v>
      </c>
      <c r="Q199" s="1276">
        <v>2</v>
      </c>
    </row>
    <row r="200" spans="1:17" s="1252" customFormat="1" ht="50.25" hidden="1" customHeight="1" x14ac:dyDescent="0.35">
      <c r="A200" s="1246" t="s">
        <v>688</v>
      </c>
      <c r="B200" s="1246" t="s">
        <v>319</v>
      </c>
      <c r="C200" s="1253">
        <v>45769</v>
      </c>
      <c r="D200" s="1315" t="s">
        <v>1120</v>
      </c>
      <c r="E200" s="1280" t="s">
        <v>665</v>
      </c>
      <c r="F200" s="1256" t="s">
        <v>1245</v>
      </c>
      <c r="G200" s="1248"/>
      <c r="H200" s="1251"/>
      <c r="I200" s="1313"/>
      <c r="J200" s="1287" t="s">
        <v>1246</v>
      </c>
      <c r="K200" s="1276" t="s">
        <v>1247</v>
      </c>
      <c r="L200" s="1276">
        <v>215</v>
      </c>
      <c r="M200" s="1277">
        <v>261</v>
      </c>
      <c r="N200" s="1278">
        <v>0.22989999999999999</v>
      </c>
      <c r="O200" s="1278">
        <v>1.5299999999999999E-2</v>
      </c>
      <c r="P200" s="1276">
        <v>0</v>
      </c>
      <c r="Q200" s="1276">
        <v>0</v>
      </c>
    </row>
    <row r="201" spans="1:17" s="1252" customFormat="1" ht="50.25" hidden="1" customHeight="1" x14ac:dyDescent="0.35">
      <c r="A201" s="1246" t="s">
        <v>689</v>
      </c>
      <c r="B201" s="1246" t="s">
        <v>41</v>
      </c>
      <c r="C201" s="1253">
        <v>45776</v>
      </c>
      <c r="D201" s="1248" t="s">
        <v>1239</v>
      </c>
      <c r="E201" s="1280" t="s">
        <v>665</v>
      </c>
      <c r="F201" s="1256" t="s">
        <v>1238</v>
      </c>
      <c r="G201" s="1248" t="s">
        <v>1248</v>
      </c>
      <c r="H201" s="1287" t="s">
        <v>1249</v>
      </c>
      <c r="I201" s="1313"/>
      <c r="J201" s="1287" t="s">
        <v>1250</v>
      </c>
      <c r="K201" s="1276" t="s">
        <v>1251</v>
      </c>
      <c r="L201" s="1276">
        <v>188</v>
      </c>
      <c r="M201" s="1277">
        <v>356</v>
      </c>
      <c r="N201" s="1278">
        <v>0.26119999999999999</v>
      </c>
      <c r="O201" s="1278">
        <v>8.3999999999999995E-3</v>
      </c>
      <c r="P201" s="1276">
        <v>4</v>
      </c>
      <c r="Q201" s="1276">
        <v>1</v>
      </c>
    </row>
    <row r="202" spans="1:17" s="1252" customFormat="1" ht="50.25" hidden="1" customHeight="1" x14ac:dyDescent="0.35">
      <c r="A202" s="1246" t="s">
        <v>1252</v>
      </c>
      <c r="B202" s="1246" t="s">
        <v>247</v>
      </c>
      <c r="C202" s="2027" t="s">
        <v>1253</v>
      </c>
      <c r="D202" s="2027"/>
      <c r="E202" s="2027"/>
      <c r="F202" s="2027"/>
      <c r="G202" s="2027"/>
      <c r="H202" s="2027"/>
      <c r="I202" s="1313"/>
      <c r="J202" s="1251"/>
      <c r="K202" s="1251"/>
      <c r="L202" s="1276"/>
      <c r="M202" s="1277"/>
      <c r="N202" s="1278"/>
      <c r="O202" s="1278"/>
      <c r="P202" s="1276"/>
      <c r="Q202" s="1276"/>
    </row>
    <row r="203" spans="1:17" s="1252" customFormat="1" ht="50.25" hidden="1" customHeight="1" x14ac:dyDescent="0.35">
      <c r="A203" s="1246" t="s">
        <v>691</v>
      </c>
      <c r="B203" s="1246" t="s">
        <v>319</v>
      </c>
      <c r="C203" s="2027" t="s">
        <v>1254</v>
      </c>
      <c r="D203" s="2027"/>
      <c r="E203" s="2027"/>
      <c r="F203" s="2027"/>
      <c r="G203" s="2027"/>
      <c r="H203" s="2027"/>
      <c r="I203" s="1313"/>
      <c r="J203" s="1287" t="s">
        <v>1255</v>
      </c>
      <c r="K203" s="1276" t="s">
        <v>1256</v>
      </c>
      <c r="L203" s="1276">
        <v>229</v>
      </c>
      <c r="M203" s="1277">
        <v>190</v>
      </c>
      <c r="N203" s="1278">
        <v>0.4526</v>
      </c>
      <c r="O203" s="1278">
        <v>8.9499999999999996E-2</v>
      </c>
      <c r="P203" s="1276">
        <v>0</v>
      </c>
      <c r="Q203" s="1276">
        <v>1</v>
      </c>
    </row>
    <row r="204" spans="1:17" s="1252" customFormat="1" ht="50.25" hidden="1" customHeight="1" x14ac:dyDescent="0.35">
      <c r="A204" s="1246" t="s">
        <v>691</v>
      </c>
      <c r="B204" s="1246" t="s">
        <v>319</v>
      </c>
      <c r="C204" s="1253">
        <v>45783</v>
      </c>
      <c r="D204" s="1248" t="s">
        <v>1120</v>
      </c>
      <c r="E204" s="1280" t="s">
        <v>665</v>
      </c>
      <c r="F204" s="1256" t="s">
        <v>1257</v>
      </c>
      <c r="G204" s="1248"/>
      <c r="H204" s="1251"/>
      <c r="I204" s="1313"/>
      <c r="J204" s="1287" t="s">
        <v>1258</v>
      </c>
      <c r="K204" s="1276" t="s">
        <v>1259</v>
      </c>
      <c r="L204" s="1276">
        <v>201</v>
      </c>
      <c r="M204" s="1277">
        <v>261</v>
      </c>
      <c r="N204" s="1278">
        <v>0.35249999999999998</v>
      </c>
      <c r="O204" s="1278">
        <v>1.15E-2</v>
      </c>
      <c r="P204" s="1276">
        <v>1</v>
      </c>
      <c r="Q204" s="1276">
        <v>0</v>
      </c>
    </row>
    <row r="205" spans="1:17" s="1252" customFormat="1" ht="50.25" hidden="1" customHeight="1" x14ac:dyDescent="0.35">
      <c r="A205" s="1246" t="s">
        <v>691</v>
      </c>
      <c r="B205" s="1246" t="s">
        <v>1166</v>
      </c>
      <c r="C205" s="1253">
        <v>45784</v>
      </c>
      <c r="D205" s="1248" t="s">
        <v>41</v>
      </c>
      <c r="E205" s="1280" t="s">
        <v>665</v>
      </c>
      <c r="F205" s="1256" t="s">
        <v>1260</v>
      </c>
      <c r="G205" s="1248"/>
      <c r="H205" s="1251"/>
      <c r="I205" s="1313"/>
      <c r="J205" s="1287" t="s">
        <v>1261</v>
      </c>
      <c r="K205" s="1276" t="s">
        <v>1262</v>
      </c>
      <c r="L205" s="1276">
        <v>234</v>
      </c>
      <c r="M205" s="1277">
        <v>856</v>
      </c>
      <c r="N205" s="1278">
        <v>0.25700000000000001</v>
      </c>
      <c r="O205" s="1278">
        <v>3.5000000000000001E-3</v>
      </c>
      <c r="P205" s="1276">
        <v>3</v>
      </c>
      <c r="Q205" s="1276">
        <v>2</v>
      </c>
    </row>
    <row r="206" spans="1:17" s="1252" customFormat="1" ht="50.25" hidden="1" customHeight="1" x14ac:dyDescent="0.35">
      <c r="A206" s="1246" t="s">
        <v>692</v>
      </c>
      <c r="B206" s="1246"/>
      <c r="C206" s="2029" t="s">
        <v>106</v>
      </c>
      <c r="D206" s="2029"/>
      <c r="E206" s="2029"/>
      <c r="F206" s="2029"/>
      <c r="G206" s="2029"/>
      <c r="H206" s="2029"/>
      <c r="I206" s="1313"/>
      <c r="J206" s="1287"/>
      <c r="K206" s="1276"/>
      <c r="L206" s="1276"/>
      <c r="M206" s="1277"/>
      <c r="N206" s="1278"/>
      <c r="O206" s="1278"/>
      <c r="P206" s="1276"/>
      <c r="Q206" s="1276"/>
    </row>
    <row r="207" spans="1:17" s="1252" customFormat="1" ht="50.25" hidden="1" customHeight="1" x14ac:dyDescent="0.35">
      <c r="A207" s="1246" t="s">
        <v>693</v>
      </c>
      <c r="B207" s="1246" t="s">
        <v>41</v>
      </c>
      <c r="C207" s="1253">
        <v>45797</v>
      </c>
      <c r="D207" s="1248" t="s">
        <v>1239</v>
      </c>
      <c r="E207" s="1280" t="s">
        <v>665</v>
      </c>
      <c r="F207" s="1256" t="s">
        <v>1263</v>
      </c>
      <c r="G207" s="1275" t="s">
        <v>1264</v>
      </c>
      <c r="H207" s="1251"/>
      <c r="I207" s="1313"/>
      <c r="J207" s="1287" t="s">
        <v>1265</v>
      </c>
      <c r="K207" s="1276" t="s">
        <v>1266</v>
      </c>
      <c r="L207" s="1276">
        <v>227</v>
      </c>
      <c r="M207" s="1277">
        <v>70</v>
      </c>
      <c r="N207" s="1278">
        <v>8.5699999999999998E-2</v>
      </c>
      <c r="O207" s="1278">
        <v>0</v>
      </c>
      <c r="P207" s="1276">
        <v>1</v>
      </c>
      <c r="Q207" s="1276">
        <v>0</v>
      </c>
    </row>
    <row r="208" spans="1:17" s="1252" customFormat="1" ht="50.25" hidden="1" customHeight="1" x14ac:dyDescent="0.35">
      <c r="A208" s="1246">
        <v>45797</v>
      </c>
      <c r="B208" s="1246" t="s">
        <v>369</v>
      </c>
      <c r="C208" s="2025" t="s">
        <v>1267</v>
      </c>
      <c r="D208" s="2025"/>
      <c r="E208" s="2025"/>
      <c r="F208" s="2025"/>
      <c r="G208" s="2025"/>
      <c r="H208" s="2025"/>
      <c r="I208" s="1311"/>
      <c r="J208" s="1248"/>
      <c r="K208" s="1251"/>
      <c r="L208" s="1276"/>
      <c r="M208" s="1277"/>
      <c r="N208" s="1278"/>
      <c r="O208" s="1278"/>
      <c r="P208" s="1276"/>
      <c r="Q208" s="1276"/>
    </row>
    <row r="209" spans="1:17" s="1252" customFormat="1" ht="50.25" hidden="1" customHeight="1" x14ac:dyDescent="0.35">
      <c r="A209" s="1246" t="s">
        <v>696</v>
      </c>
      <c r="B209" s="1246" t="s">
        <v>319</v>
      </c>
      <c r="C209" s="1253">
        <v>45805</v>
      </c>
      <c r="D209" s="1248" t="s">
        <v>1193</v>
      </c>
      <c r="E209" s="1280" t="s">
        <v>665</v>
      </c>
      <c r="F209" s="1256" t="s">
        <v>1268</v>
      </c>
      <c r="G209" s="1316"/>
      <c r="H209" s="1317"/>
      <c r="I209" s="1313"/>
      <c r="J209" s="1275" t="s">
        <v>1269</v>
      </c>
      <c r="K209" s="1276" t="s">
        <v>1270</v>
      </c>
      <c r="L209" s="1276">
        <v>307</v>
      </c>
      <c r="M209" s="1277">
        <v>166</v>
      </c>
      <c r="N209" s="1278">
        <v>0.2651</v>
      </c>
      <c r="O209" s="1278">
        <v>1.8100000000000002E-2</v>
      </c>
      <c r="P209" s="1276">
        <v>0</v>
      </c>
      <c r="Q209" s="1276">
        <v>2</v>
      </c>
    </row>
    <row r="210" spans="1:17" s="1252" customFormat="1" ht="50.25" hidden="1" customHeight="1" x14ac:dyDescent="0.35">
      <c r="A210" s="1315" t="s">
        <v>696</v>
      </c>
      <c r="B210" s="1246" t="s">
        <v>41</v>
      </c>
      <c r="C210" s="1253">
        <v>45806</v>
      </c>
      <c r="D210" s="1248" t="s">
        <v>1239</v>
      </c>
      <c r="E210" s="1248"/>
      <c r="F210" s="1248" t="s">
        <v>1271</v>
      </c>
      <c r="G210" s="1248" t="s">
        <v>1272</v>
      </c>
      <c r="H210" s="1317"/>
      <c r="I210" s="1313"/>
      <c r="J210" s="1275" t="s">
        <v>1273</v>
      </c>
      <c r="K210" s="1276" t="s">
        <v>1274</v>
      </c>
      <c r="L210" s="1276">
        <v>236</v>
      </c>
      <c r="M210" s="1277">
        <v>69</v>
      </c>
      <c r="N210" s="1278">
        <v>0.1159</v>
      </c>
      <c r="O210" s="1278">
        <v>0</v>
      </c>
      <c r="P210" s="1276">
        <v>0</v>
      </c>
      <c r="Q210" s="1276">
        <v>0</v>
      </c>
    </row>
    <row r="211" spans="1:17" s="1252" customFormat="1" ht="50.25" hidden="1" customHeight="1" x14ac:dyDescent="0.35">
      <c r="A211" s="1246">
        <v>45810</v>
      </c>
      <c r="B211" s="1246" t="s">
        <v>319</v>
      </c>
      <c r="C211" s="2027" t="s">
        <v>1275</v>
      </c>
      <c r="D211" s="2027"/>
      <c r="E211" s="2027"/>
      <c r="F211" s="2027"/>
      <c r="G211" s="2027"/>
      <c r="H211" s="2027"/>
      <c r="I211" s="1313"/>
      <c r="J211" s="1275" t="s">
        <v>1276</v>
      </c>
      <c r="K211" s="1276" t="s">
        <v>1277</v>
      </c>
      <c r="L211" s="1276">
        <v>242</v>
      </c>
      <c r="M211" s="1277">
        <v>264</v>
      </c>
      <c r="N211" s="1278">
        <v>0.41670000000000001</v>
      </c>
      <c r="O211" s="1278">
        <v>0.1439</v>
      </c>
      <c r="P211" s="1276">
        <v>0</v>
      </c>
      <c r="Q211" s="1276">
        <v>3</v>
      </c>
    </row>
    <row r="212" spans="1:17" s="1252" customFormat="1" ht="50.25" hidden="1" customHeight="1" x14ac:dyDescent="0.35">
      <c r="A212" s="1246" t="s">
        <v>698</v>
      </c>
      <c r="B212" s="1246" t="s">
        <v>319</v>
      </c>
      <c r="C212" s="1318">
        <v>45817</v>
      </c>
      <c r="D212" s="1248" t="s">
        <v>1120</v>
      </c>
      <c r="E212" s="1287" t="s">
        <v>665</v>
      </c>
      <c r="F212" s="1248" t="s">
        <v>1278</v>
      </c>
      <c r="G212" s="1248" t="s">
        <v>1279</v>
      </c>
      <c r="H212" s="1251"/>
      <c r="I212" s="1313"/>
      <c r="J212" s="1287" t="s">
        <v>1280</v>
      </c>
      <c r="K212" s="1276" t="s">
        <v>1281</v>
      </c>
      <c r="L212" s="1276">
        <v>271</v>
      </c>
      <c r="M212" s="1277">
        <v>243</v>
      </c>
      <c r="N212" s="1278">
        <v>0.35389999999999999</v>
      </c>
      <c r="O212" s="1278">
        <v>0.1193</v>
      </c>
      <c r="P212" s="1276">
        <v>0</v>
      </c>
      <c r="Q212" s="1276">
        <v>0</v>
      </c>
    </row>
    <row r="213" spans="1:17" s="1252" customFormat="1" ht="50.25" hidden="1" customHeight="1" x14ac:dyDescent="0.35">
      <c r="A213" s="1308">
        <v>45818</v>
      </c>
      <c r="B213" s="1315" t="s">
        <v>319</v>
      </c>
      <c r="C213" s="2029" t="s">
        <v>1282</v>
      </c>
      <c r="D213" s="2029"/>
      <c r="E213" s="2029"/>
      <c r="F213" s="2029"/>
      <c r="G213" s="2029"/>
      <c r="H213" s="2029"/>
      <c r="I213" s="1313"/>
      <c r="J213" s="1251"/>
      <c r="K213" s="1251"/>
      <c r="L213" s="1276"/>
      <c r="M213" s="1277"/>
      <c r="N213" s="1278"/>
      <c r="O213" s="1278"/>
      <c r="P213" s="1276"/>
      <c r="Q213" s="1276"/>
    </row>
    <row r="214" spans="1:17" s="1252" customFormat="1" ht="50.25" hidden="1" customHeight="1" x14ac:dyDescent="0.35">
      <c r="A214" s="1246" t="s">
        <v>698</v>
      </c>
      <c r="B214" s="1315" t="s">
        <v>319</v>
      </c>
      <c r="C214" s="1253">
        <v>45819</v>
      </c>
      <c r="D214" s="1248" t="s">
        <v>1120</v>
      </c>
      <c r="E214" s="1287" t="s">
        <v>665</v>
      </c>
      <c r="F214" s="1256" t="s">
        <v>1283</v>
      </c>
      <c r="G214" s="1248" t="s">
        <v>1284</v>
      </c>
      <c r="H214" s="1251"/>
      <c r="I214" s="1313"/>
      <c r="J214" s="1287" t="s">
        <v>1285</v>
      </c>
      <c r="K214" s="1276" t="s">
        <v>1286</v>
      </c>
      <c r="L214" s="1276">
        <v>270</v>
      </c>
      <c r="M214" s="1277">
        <v>31</v>
      </c>
      <c r="N214" s="1278">
        <v>0.5806</v>
      </c>
      <c r="O214" s="1278">
        <v>0.2903</v>
      </c>
      <c r="P214" s="1276">
        <v>0</v>
      </c>
      <c r="Q214" s="1276">
        <v>0</v>
      </c>
    </row>
    <row r="215" spans="1:17" s="1252" customFormat="1" ht="50.25" hidden="1" customHeight="1" x14ac:dyDescent="0.35">
      <c r="A215" s="1246" t="s">
        <v>699</v>
      </c>
      <c r="B215" s="1315"/>
      <c r="C215" s="2029" t="s">
        <v>106</v>
      </c>
      <c r="D215" s="2029"/>
      <c r="E215" s="2029"/>
      <c r="F215" s="2029"/>
      <c r="G215" s="2029"/>
      <c r="H215" s="2029"/>
      <c r="I215" s="1313"/>
      <c r="J215" s="1287"/>
      <c r="K215" s="1276"/>
      <c r="L215" s="1276"/>
      <c r="M215" s="1277"/>
      <c r="N215" s="1278"/>
      <c r="O215" s="1278"/>
      <c r="P215" s="1276"/>
      <c r="Q215" s="1276"/>
    </row>
    <row r="216" spans="1:17" s="1252" customFormat="1" ht="50.25" hidden="1" customHeight="1" x14ac:dyDescent="0.35">
      <c r="A216" s="1246" t="s">
        <v>700</v>
      </c>
      <c r="B216" s="1315" t="s">
        <v>319</v>
      </c>
      <c r="C216" s="1253">
        <v>45832</v>
      </c>
      <c r="D216" s="1248" t="s">
        <v>861</v>
      </c>
      <c r="E216" s="1287" t="s">
        <v>665</v>
      </c>
      <c r="F216" s="1256" t="s">
        <v>1287</v>
      </c>
      <c r="G216" s="1281" t="s">
        <v>1288</v>
      </c>
      <c r="H216" s="1276" t="s">
        <v>1289</v>
      </c>
      <c r="I216" s="1313"/>
      <c r="J216" s="1287" t="s">
        <v>1290</v>
      </c>
      <c r="K216" s="1276" t="s">
        <v>1291</v>
      </c>
      <c r="L216" s="1276">
        <v>221</v>
      </c>
      <c r="M216" s="1277">
        <v>170</v>
      </c>
      <c r="N216" s="1278">
        <v>0.28820000000000001</v>
      </c>
      <c r="O216" s="1278">
        <v>3.5299999999999998E-2</v>
      </c>
      <c r="P216" s="1276">
        <v>0</v>
      </c>
      <c r="Q216" s="1276">
        <v>0</v>
      </c>
    </row>
    <row r="217" spans="1:17" s="1252" customFormat="1" ht="50.25" hidden="1" customHeight="1" x14ac:dyDescent="0.35">
      <c r="A217" s="1246" t="s">
        <v>700</v>
      </c>
      <c r="B217" s="1246" t="s">
        <v>319</v>
      </c>
      <c r="C217" s="2027" t="s">
        <v>1292</v>
      </c>
      <c r="D217" s="2027"/>
      <c r="E217" s="2027"/>
      <c r="F217" s="2027"/>
      <c r="G217" s="2027"/>
      <c r="H217" s="2027"/>
      <c r="I217" s="1313"/>
      <c r="J217" s="1275" t="s">
        <v>1293</v>
      </c>
      <c r="K217" s="1276" t="s">
        <v>1294</v>
      </c>
      <c r="L217" s="1276">
        <v>306</v>
      </c>
      <c r="M217" s="1277">
        <v>386</v>
      </c>
      <c r="N217" s="1278">
        <v>0.2979</v>
      </c>
      <c r="O217" s="1278">
        <v>9.0700000000000003E-2</v>
      </c>
      <c r="P217" s="1276">
        <v>0</v>
      </c>
      <c r="Q217" s="1276">
        <v>2</v>
      </c>
    </row>
    <row r="218" spans="1:17" s="1252" customFormat="1" ht="50.25" hidden="1" customHeight="1" x14ac:dyDescent="0.35">
      <c r="A218" s="1246" t="s">
        <v>701</v>
      </c>
      <c r="B218" s="1246" t="s">
        <v>41</v>
      </c>
      <c r="C218" s="1253">
        <v>45839</v>
      </c>
      <c r="D218" s="1248"/>
      <c r="E218" s="1248"/>
      <c r="F218" s="1248" t="s">
        <v>1295</v>
      </c>
      <c r="G218" s="1248" t="s">
        <v>1296</v>
      </c>
      <c r="H218" s="1276" t="s">
        <v>1297</v>
      </c>
      <c r="I218" s="1313"/>
      <c r="J218" s="1275" t="s">
        <v>1298</v>
      </c>
      <c r="K218" s="1276" t="s">
        <v>1299</v>
      </c>
      <c r="L218" s="1276">
        <v>279</v>
      </c>
      <c r="M218" s="1277">
        <v>67</v>
      </c>
      <c r="N218" s="1278">
        <v>4.48E-2</v>
      </c>
      <c r="O218" s="1278">
        <v>0</v>
      </c>
      <c r="P218" s="1276">
        <v>0</v>
      </c>
      <c r="Q218" s="1276">
        <v>1</v>
      </c>
    </row>
    <row r="219" spans="1:17" s="1252" customFormat="1" ht="50.25" hidden="1" customHeight="1" x14ac:dyDescent="0.35">
      <c r="A219" s="1246" t="s">
        <v>703</v>
      </c>
      <c r="B219" s="1246" t="s">
        <v>41</v>
      </c>
      <c r="C219" s="1253">
        <v>45846</v>
      </c>
      <c r="D219" s="1248" t="s">
        <v>41</v>
      </c>
      <c r="E219" s="1280" t="s">
        <v>665</v>
      </c>
      <c r="F219" s="1256" t="s">
        <v>1300</v>
      </c>
      <c r="G219" s="1248"/>
      <c r="H219" s="1251"/>
      <c r="I219" s="1313"/>
      <c r="J219" s="1275" t="s">
        <v>1301</v>
      </c>
      <c r="K219" s="1276" t="s">
        <v>1302</v>
      </c>
      <c r="L219" s="1276">
        <v>374</v>
      </c>
      <c r="M219" s="1277">
        <v>933</v>
      </c>
      <c r="N219" s="1278">
        <v>1.18E-2</v>
      </c>
      <c r="O219" s="1278">
        <v>0.28510000000000002</v>
      </c>
      <c r="P219" s="1276">
        <v>6</v>
      </c>
      <c r="Q219" s="1276">
        <v>4</v>
      </c>
    </row>
    <row r="220" spans="1:17" s="1252" customFormat="1" ht="50.25" hidden="1" customHeight="1" x14ac:dyDescent="0.35">
      <c r="A220" s="1246">
        <v>45845</v>
      </c>
      <c r="B220" s="1246" t="s">
        <v>319</v>
      </c>
      <c r="C220" s="2027" t="s">
        <v>1303</v>
      </c>
      <c r="D220" s="2027"/>
      <c r="E220" s="2027"/>
      <c r="F220" s="2027"/>
      <c r="G220" s="2027"/>
      <c r="H220" s="2027"/>
      <c r="I220" s="1313"/>
      <c r="J220" s="1248"/>
      <c r="K220" s="1251"/>
      <c r="L220" s="1276"/>
      <c r="M220" s="1277"/>
      <c r="N220" s="1278"/>
      <c r="O220" s="1278"/>
      <c r="P220" s="1276"/>
      <c r="Q220" s="1276"/>
    </row>
    <row r="221" spans="1:17" s="1252" customFormat="1" ht="50.25" hidden="1" customHeight="1" x14ac:dyDescent="0.35">
      <c r="A221" s="1246" t="s">
        <v>1304</v>
      </c>
      <c r="B221" s="1315" t="s">
        <v>369</v>
      </c>
      <c r="C221" s="1253">
        <v>45825</v>
      </c>
      <c r="D221" s="1248"/>
      <c r="E221" s="1275" t="s">
        <v>1005</v>
      </c>
      <c r="F221" s="1256" t="s">
        <v>1305</v>
      </c>
      <c r="G221" s="1248" t="s">
        <v>1306</v>
      </c>
      <c r="H221" s="1251"/>
      <c r="I221" s="1313"/>
      <c r="J221" s="1275" t="s">
        <v>1307</v>
      </c>
      <c r="K221" s="1276" t="s">
        <v>1308</v>
      </c>
      <c r="L221" s="1276">
        <v>337</v>
      </c>
      <c r="M221" s="1277">
        <v>912</v>
      </c>
      <c r="N221" s="1278">
        <v>0.216</v>
      </c>
      <c r="O221" s="1278">
        <v>1.21E-2</v>
      </c>
      <c r="P221" s="1276">
        <v>2</v>
      </c>
      <c r="Q221" s="1276">
        <v>0</v>
      </c>
    </row>
    <row r="222" spans="1:17" s="1252" customFormat="1" ht="50.25" hidden="1" customHeight="1" x14ac:dyDescent="0.35">
      <c r="A222" s="1308">
        <v>45857</v>
      </c>
      <c r="B222" s="1246" t="s">
        <v>41</v>
      </c>
      <c r="C222" s="2026" t="s">
        <v>1309</v>
      </c>
      <c r="D222" s="2026"/>
      <c r="E222" s="2026"/>
      <c r="F222" s="2026"/>
      <c r="G222" s="2026"/>
      <c r="H222" s="2026"/>
      <c r="I222" s="1313"/>
      <c r="J222" s="1248"/>
      <c r="K222" s="1251"/>
      <c r="L222" s="1276"/>
      <c r="M222" s="1277"/>
      <c r="N222" s="1278"/>
      <c r="O222" s="1278"/>
      <c r="P222" s="1276"/>
      <c r="Q222" s="1276"/>
    </row>
    <row r="223" spans="1:17" s="1252" customFormat="1" ht="50.25" hidden="1" customHeight="1" x14ac:dyDescent="0.35">
      <c r="A223" s="1246" t="s">
        <v>1310</v>
      </c>
      <c r="B223" s="1246" t="s">
        <v>319</v>
      </c>
      <c r="C223" s="2027" t="s">
        <v>1311</v>
      </c>
      <c r="D223" s="2027"/>
      <c r="E223" s="2027"/>
      <c r="F223" s="2027"/>
      <c r="G223" s="2027"/>
      <c r="H223" s="2027"/>
      <c r="I223" s="1313"/>
      <c r="J223" s="1275" t="s">
        <v>1312</v>
      </c>
      <c r="K223" s="1276" t="s">
        <v>1313</v>
      </c>
      <c r="L223" s="1276">
        <v>395</v>
      </c>
      <c r="M223" s="1277">
        <v>256</v>
      </c>
      <c r="N223" s="1278">
        <v>0.50780000000000003</v>
      </c>
      <c r="O223" s="1278">
        <v>0.1719</v>
      </c>
      <c r="P223" s="1276">
        <v>0</v>
      </c>
      <c r="Q223" s="1276">
        <v>0</v>
      </c>
    </row>
    <row r="224" spans="1:17" s="1252" customFormat="1" ht="50.25" hidden="1" customHeight="1" x14ac:dyDescent="0.35">
      <c r="A224" s="1246">
        <v>45859</v>
      </c>
      <c r="B224" s="1246" t="s">
        <v>319</v>
      </c>
      <c r="C224" s="2027" t="s">
        <v>1314</v>
      </c>
      <c r="D224" s="2027"/>
      <c r="E224" s="2027"/>
      <c r="F224" s="2027"/>
      <c r="G224" s="2027"/>
      <c r="H224" s="2027"/>
      <c r="I224" s="1313"/>
      <c r="J224" s="1275" t="s">
        <v>1315</v>
      </c>
      <c r="K224" s="1276" t="s">
        <v>1316</v>
      </c>
      <c r="L224" s="1276">
        <v>608</v>
      </c>
      <c r="M224" s="1277">
        <v>1062</v>
      </c>
      <c r="N224" s="1278">
        <v>0.29380000000000001</v>
      </c>
      <c r="O224" s="1278">
        <v>9.1300000000000006E-2</v>
      </c>
      <c r="P224" s="1276">
        <v>0</v>
      </c>
      <c r="Q224" s="1276">
        <v>9</v>
      </c>
    </row>
    <row r="225" spans="1:17" s="1252" customFormat="1" ht="50.25" hidden="1" customHeight="1" x14ac:dyDescent="0.35">
      <c r="A225" s="1246">
        <v>45862</v>
      </c>
      <c r="B225" s="1246" t="s">
        <v>319</v>
      </c>
      <c r="C225" s="2027" t="s">
        <v>1317</v>
      </c>
      <c r="D225" s="2027"/>
      <c r="E225" s="2027"/>
      <c r="F225" s="2027"/>
      <c r="G225" s="2027"/>
      <c r="H225" s="2027"/>
      <c r="I225" s="1313"/>
      <c r="J225" s="1275" t="s">
        <v>1318</v>
      </c>
      <c r="K225" s="1276" t="s">
        <v>1319</v>
      </c>
      <c r="L225" s="1276">
        <v>347</v>
      </c>
      <c r="M225" s="1277">
        <v>256</v>
      </c>
      <c r="N225" s="1278">
        <v>0.47270000000000001</v>
      </c>
      <c r="O225" s="1278">
        <v>9.7699999999999995E-2</v>
      </c>
      <c r="P225" s="1276">
        <v>0</v>
      </c>
      <c r="Q225" s="1276">
        <v>0</v>
      </c>
    </row>
    <row r="226" spans="1:17" s="1252" customFormat="1" ht="50.25" hidden="1" customHeight="1" x14ac:dyDescent="0.35">
      <c r="A226" s="1246">
        <v>45862</v>
      </c>
      <c r="B226" s="1246" t="s">
        <v>369</v>
      </c>
      <c r="C226" s="2025" t="s">
        <v>1320</v>
      </c>
      <c r="D226" s="2025"/>
      <c r="E226" s="2025"/>
      <c r="F226" s="2025"/>
      <c r="G226" s="2025"/>
      <c r="H226" s="2025"/>
      <c r="I226" s="1311"/>
      <c r="J226" s="1248"/>
      <c r="K226" s="1251"/>
      <c r="L226" s="1276"/>
      <c r="M226" s="1277"/>
      <c r="N226" s="1278"/>
      <c r="O226" s="1278"/>
      <c r="P226" s="1276"/>
      <c r="Q226" s="1276"/>
    </row>
    <row r="227" spans="1:17" s="1252" customFormat="1" ht="50.25" hidden="1" customHeight="1" x14ac:dyDescent="0.35">
      <c r="A227" s="1246" t="s">
        <v>1321</v>
      </c>
      <c r="B227" s="1246" t="s">
        <v>319</v>
      </c>
      <c r="C227" s="2026" t="s">
        <v>1322</v>
      </c>
      <c r="D227" s="2026"/>
      <c r="E227" s="2026"/>
      <c r="F227" s="2026"/>
      <c r="G227" s="2026"/>
      <c r="H227" s="2026"/>
      <c r="I227" s="1313"/>
      <c r="J227" s="1248"/>
      <c r="K227" s="1251"/>
      <c r="L227" s="1276"/>
      <c r="M227" s="1277"/>
      <c r="N227" s="1278"/>
      <c r="O227" s="1278"/>
      <c r="P227" s="1276"/>
      <c r="Q227" s="1276"/>
    </row>
    <row r="228" spans="1:17" s="1252" customFormat="1" ht="50.25" hidden="1" customHeight="1" x14ac:dyDescent="0.35">
      <c r="A228" s="1246" t="s">
        <v>1323</v>
      </c>
      <c r="B228" s="1246" t="s">
        <v>319</v>
      </c>
      <c r="C228" s="2034" t="s">
        <v>1324</v>
      </c>
      <c r="D228" s="2027"/>
      <c r="E228" s="2027"/>
      <c r="F228" s="2027"/>
      <c r="G228" s="2027"/>
      <c r="H228" s="2027"/>
      <c r="I228" s="1313"/>
      <c r="J228" s="1248"/>
      <c r="K228" s="1251"/>
      <c r="L228" s="1276"/>
      <c r="M228" s="1277"/>
      <c r="N228" s="1278"/>
      <c r="O228" s="1278"/>
      <c r="P228" s="1276"/>
      <c r="Q228" s="1276"/>
    </row>
    <row r="229" spans="1:17" s="1252" customFormat="1" ht="50.25" hidden="1" customHeight="1" x14ac:dyDescent="0.35">
      <c r="A229" s="1246">
        <v>45873</v>
      </c>
      <c r="B229" s="1246" t="s">
        <v>319</v>
      </c>
      <c r="C229" s="2027" t="s">
        <v>1325</v>
      </c>
      <c r="D229" s="2027"/>
      <c r="E229" s="2027"/>
      <c r="F229" s="2027"/>
      <c r="G229" s="2027"/>
      <c r="H229" s="2027"/>
      <c r="I229" s="1313"/>
      <c r="J229" s="1275" t="s">
        <v>1326</v>
      </c>
      <c r="K229" s="1276" t="s">
        <v>1327</v>
      </c>
      <c r="L229" s="1276">
        <v>132</v>
      </c>
      <c r="M229" s="1277">
        <v>269</v>
      </c>
      <c r="N229" s="1278">
        <v>0.49070000000000003</v>
      </c>
      <c r="O229" s="1278">
        <v>0.1004</v>
      </c>
      <c r="P229" s="1276">
        <v>0</v>
      </c>
      <c r="Q229" s="1276">
        <v>1</v>
      </c>
    </row>
    <row r="230" spans="1:17" s="1252" customFormat="1" ht="50.25" hidden="1" customHeight="1" x14ac:dyDescent="0.35">
      <c r="A230" s="1246" t="s">
        <v>1328</v>
      </c>
      <c r="B230" s="1246" t="s">
        <v>319</v>
      </c>
      <c r="C230" s="1253">
        <v>45881</v>
      </c>
      <c r="D230" s="1248"/>
      <c r="E230" s="1280" t="s">
        <v>665</v>
      </c>
      <c r="F230" s="1256" t="s">
        <v>1329</v>
      </c>
      <c r="G230" s="1248"/>
      <c r="H230" s="1251"/>
      <c r="I230" s="1313"/>
      <c r="J230" s="1275" t="s">
        <v>1330</v>
      </c>
      <c r="K230" s="1276" t="s">
        <v>1331</v>
      </c>
      <c r="L230" s="1276">
        <v>132</v>
      </c>
      <c r="M230" s="1277">
        <v>268</v>
      </c>
      <c r="N230" s="1278">
        <v>0.35449999999999998</v>
      </c>
      <c r="O230" s="1278">
        <v>7.0900000000000005E-2</v>
      </c>
      <c r="P230" s="1276">
        <v>0</v>
      </c>
      <c r="Q230" s="1276">
        <v>0</v>
      </c>
    </row>
    <row r="231" spans="1:17" s="1252" customFormat="1" ht="50.25" hidden="1" customHeight="1" x14ac:dyDescent="0.35">
      <c r="A231" s="1246">
        <v>45880</v>
      </c>
      <c r="B231" s="1246" t="s">
        <v>319</v>
      </c>
      <c r="C231" s="2027" t="s">
        <v>1332</v>
      </c>
      <c r="D231" s="2027"/>
      <c r="E231" s="2027"/>
      <c r="F231" s="2027"/>
      <c r="G231" s="2027"/>
      <c r="H231" s="2027"/>
      <c r="I231" s="1313"/>
      <c r="J231" s="1248"/>
      <c r="K231" s="1251"/>
      <c r="L231" s="1276"/>
      <c r="M231" s="1277"/>
      <c r="N231" s="1278"/>
      <c r="O231" s="1278"/>
      <c r="P231" s="1276"/>
      <c r="Q231" s="1276"/>
    </row>
    <row r="232" spans="1:17" s="1252" customFormat="1" ht="50.25" hidden="1" customHeight="1" x14ac:dyDescent="0.35">
      <c r="A232" s="1246" t="s">
        <v>1333</v>
      </c>
      <c r="B232" s="1246" t="s">
        <v>369</v>
      </c>
      <c r="C232" s="1253">
        <v>45888</v>
      </c>
      <c r="D232" s="1248"/>
      <c r="E232" s="1275" t="s">
        <v>1005</v>
      </c>
      <c r="F232" s="1256" t="s">
        <v>1334</v>
      </c>
      <c r="G232" s="1248" t="s">
        <v>1335</v>
      </c>
      <c r="H232" s="1251"/>
      <c r="I232" s="1313"/>
      <c r="J232" s="1275" t="s">
        <v>1336</v>
      </c>
      <c r="K232" s="1276" t="s">
        <v>1337</v>
      </c>
      <c r="L232" s="1276">
        <v>141</v>
      </c>
      <c r="M232" s="1277">
        <v>943</v>
      </c>
      <c r="N232" s="1278">
        <v>0.246</v>
      </c>
      <c r="O232" s="1278">
        <v>6.4000000000000003E-3</v>
      </c>
      <c r="P232" s="1276">
        <v>4</v>
      </c>
      <c r="Q232" s="1276">
        <v>3</v>
      </c>
    </row>
    <row r="233" spans="1:17" s="1252" customFormat="1" ht="50.25" hidden="1" customHeight="1" x14ac:dyDescent="0.35">
      <c r="A233" s="1246" t="s">
        <v>1338</v>
      </c>
      <c r="B233" s="1246" t="s">
        <v>41</v>
      </c>
      <c r="C233" s="1253">
        <v>45895</v>
      </c>
      <c r="D233" s="1248"/>
      <c r="E233" s="1275" t="s">
        <v>1005</v>
      </c>
      <c r="F233" s="1256" t="s">
        <v>46</v>
      </c>
      <c r="G233" s="1248"/>
      <c r="H233" s="1251"/>
      <c r="I233" s="1313"/>
      <c r="J233" s="1275" t="s">
        <v>1339</v>
      </c>
      <c r="K233" s="1276" t="s">
        <v>1340</v>
      </c>
      <c r="L233" s="1276">
        <v>80</v>
      </c>
      <c r="M233" s="1277">
        <v>21</v>
      </c>
      <c r="N233" s="1278">
        <v>0.1905</v>
      </c>
      <c r="O233" s="1278">
        <v>4.7600000000000003E-2</v>
      </c>
      <c r="P233" s="1276">
        <v>1</v>
      </c>
      <c r="Q233" s="1276">
        <v>0</v>
      </c>
    </row>
    <row r="234" spans="1:17" s="1252" customFormat="1" ht="50.25" hidden="1" customHeight="1" x14ac:dyDescent="0.35">
      <c r="A234" s="1246" t="s">
        <v>1341</v>
      </c>
      <c r="B234" s="1246" t="s">
        <v>369</v>
      </c>
      <c r="C234" s="1253">
        <v>45904</v>
      </c>
      <c r="D234" s="1248" t="s">
        <v>1342</v>
      </c>
      <c r="E234" s="1275" t="s">
        <v>1005</v>
      </c>
      <c r="F234" s="1256" t="s">
        <v>1343</v>
      </c>
      <c r="G234" s="1248" t="s">
        <v>1344</v>
      </c>
      <c r="H234" s="1251"/>
      <c r="I234" s="1313"/>
      <c r="J234" s="1275" t="s">
        <v>1345</v>
      </c>
      <c r="K234" s="1276" t="s">
        <v>1346</v>
      </c>
      <c r="L234" s="1276">
        <v>211</v>
      </c>
      <c r="M234" s="1277">
        <v>454</v>
      </c>
      <c r="N234" s="1278">
        <v>0.27310000000000001</v>
      </c>
      <c r="O234" s="1278">
        <v>1.32E-2</v>
      </c>
      <c r="P234" s="1276">
        <v>2</v>
      </c>
      <c r="Q234" s="1276">
        <v>1</v>
      </c>
    </row>
    <row r="235" spans="1:17" s="1252" customFormat="1" ht="50.25" hidden="1" customHeight="1" x14ac:dyDescent="0.35">
      <c r="A235" s="1246" t="s">
        <v>1347</v>
      </c>
      <c r="B235" s="1246"/>
      <c r="C235" s="2029" t="s">
        <v>106</v>
      </c>
      <c r="D235" s="2029"/>
      <c r="E235" s="2029"/>
      <c r="F235" s="2029"/>
      <c r="G235" s="2029"/>
      <c r="H235" s="2029"/>
      <c r="I235" s="1313"/>
      <c r="J235" s="1248"/>
      <c r="K235" s="1251"/>
      <c r="L235" s="1276"/>
      <c r="M235" s="1277"/>
      <c r="N235" s="1278"/>
      <c r="O235" s="1278"/>
      <c r="P235" s="1276"/>
      <c r="Q235" s="1276"/>
    </row>
    <row r="236" spans="1:17" s="1252" customFormat="1" ht="50.25" hidden="1" customHeight="1" x14ac:dyDescent="0.35">
      <c r="A236" s="1246" t="s">
        <v>1348</v>
      </c>
      <c r="B236" s="1246" t="s">
        <v>319</v>
      </c>
      <c r="C236" s="2027" t="s">
        <v>1349</v>
      </c>
      <c r="D236" s="2027"/>
      <c r="E236" s="2027"/>
      <c r="F236" s="2027"/>
      <c r="G236" s="2027"/>
      <c r="H236" s="2027"/>
      <c r="I236" s="1313"/>
      <c r="J236" s="1275" t="s">
        <v>1350</v>
      </c>
      <c r="K236" s="1276" t="s">
        <v>1351</v>
      </c>
      <c r="L236" s="1276">
        <v>134</v>
      </c>
      <c r="M236" s="1277">
        <v>308</v>
      </c>
      <c r="N236" s="1278">
        <v>0.37659999999999999</v>
      </c>
      <c r="O236" s="1278">
        <v>6.1699999999999998E-2</v>
      </c>
      <c r="P236" s="1276">
        <v>2</v>
      </c>
      <c r="Q236" s="1276">
        <v>0</v>
      </c>
    </row>
    <row r="237" spans="1:17" s="1252" customFormat="1" ht="50.25" hidden="1" customHeight="1" x14ac:dyDescent="0.35">
      <c r="A237" s="1246" t="s">
        <v>1352</v>
      </c>
      <c r="B237" s="1246" t="s">
        <v>41</v>
      </c>
      <c r="C237" s="2026" t="s">
        <v>1353</v>
      </c>
      <c r="D237" s="2026"/>
      <c r="E237" s="2026"/>
      <c r="F237" s="2026"/>
      <c r="G237" s="2026"/>
      <c r="H237" s="2026"/>
      <c r="I237" s="1313"/>
      <c r="J237" s="1248"/>
      <c r="K237" s="1251"/>
      <c r="L237" s="1276"/>
      <c r="M237" s="1277"/>
      <c r="N237" s="1278"/>
      <c r="O237" s="1278"/>
      <c r="P237" s="1276"/>
      <c r="Q237" s="1276"/>
    </row>
    <row r="238" spans="1:17" s="1252" customFormat="1" ht="50.25" hidden="1" customHeight="1" x14ac:dyDescent="0.35">
      <c r="A238" s="1320" t="s">
        <v>1354</v>
      </c>
      <c r="B238" s="1246" t="s">
        <v>247</v>
      </c>
      <c r="C238" s="1247"/>
      <c r="D238" s="1248"/>
      <c r="E238" s="1248"/>
      <c r="F238" s="1256" t="s">
        <v>1253</v>
      </c>
      <c r="G238" s="1248"/>
      <c r="H238" s="1251"/>
      <c r="I238" s="1313" t="s">
        <v>1355</v>
      </c>
      <c r="J238" s="1248"/>
      <c r="K238" s="1251"/>
      <c r="L238" s="1276"/>
      <c r="M238" s="1277"/>
      <c r="N238" s="1278"/>
      <c r="O238" s="1278"/>
      <c r="P238" s="1276"/>
      <c r="Q238" s="1276"/>
    </row>
    <row r="239" spans="1:17" s="1252" customFormat="1" ht="50.25" hidden="1" customHeight="1" x14ac:dyDescent="0.35">
      <c r="A239" s="1246">
        <v>45922</v>
      </c>
      <c r="B239" s="1246" t="s">
        <v>369</v>
      </c>
      <c r="C239" s="2025" t="s">
        <v>1356</v>
      </c>
      <c r="D239" s="2025"/>
      <c r="E239" s="2025"/>
      <c r="F239" s="2025"/>
      <c r="G239" s="2025"/>
      <c r="H239" s="2025"/>
      <c r="I239" s="1311"/>
      <c r="J239" s="1248"/>
      <c r="K239" s="1251"/>
      <c r="L239" s="1276"/>
      <c r="M239" s="1277"/>
      <c r="N239" s="1278"/>
      <c r="O239" s="1278"/>
      <c r="P239" s="1276"/>
      <c r="Q239" s="1276"/>
    </row>
    <row r="240" spans="1:17" s="1252" customFormat="1" ht="50.25" hidden="1" customHeight="1" x14ac:dyDescent="0.35">
      <c r="A240" s="1246" t="s">
        <v>1357</v>
      </c>
      <c r="B240" s="1246"/>
      <c r="C240" s="2029" t="s">
        <v>106</v>
      </c>
      <c r="D240" s="2029"/>
      <c r="E240" s="2029"/>
      <c r="F240" s="2029"/>
      <c r="G240" s="2029"/>
      <c r="H240" s="2029"/>
      <c r="I240" s="1311"/>
      <c r="J240" s="1248"/>
      <c r="K240" s="1251"/>
      <c r="L240" s="1276"/>
      <c r="M240" s="1277"/>
      <c r="N240" s="1278"/>
      <c r="O240" s="1278"/>
      <c r="P240" s="1276"/>
      <c r="Q240" s="1276"/>
    </row>
    <row r="241" spans="1:17" s="1252" customFormat="1" ht="50.25" hidden="1" customHeight="1" x14ac:dyDescent="0.35">
      <c r="A241" s="1246" t="s">
        <v>1358</v>
      </c>
      <c r="B241" s="1246" t="s">
        <v>41</v>
      </c>
      <c r="C241" s="1253">
        <v>45932</v>
      </c>
      <c r="D241" s="1248" t="s">
        <v>1359</v>
      </c>
      <c r="E241" s="1275" t="s">
        <v>665</v>
      </c>
      <c r="F241" s="1256" t="s">
        <v>1360</v>
      </c>
      <c r="G241" s="1248"/>
      <c r="H241" s="1251"/>
      <c r="I241" s="1313"/>
      <c r="J241" s="1275" t="s">
        <v>1361</v>
      </c>
      <c r="K241" s="1276" t="s">
        <v>1362</v>
      </c>
      <c r="L241" s="1276">
        <v>208</v>
      </c>
      <c r="M241" s="1277">
        <v>278</v>
      </c>
      <c r="N241" s="1278">
        <v>0.29859999999999998</v>
      </c>
      <c r="O241" s="1278">
        <v>1.44E-2</v>
      </c>
      <c r="P241" s="1276">
        <v>0</v>
      </c>
      <c r="Q241" s="1276">
        <v>0</v>
      </c>
    </row>
    <row r="242" spans="1:17" s="1252" customFormat="1" ht="50.25" hidden="1" customHeight="1" x14ac:dyDescent="0.35">
      <c r="A242" s="1246" t="s">
        <v>1358</v>
      </c>
      <c r="B242" s="1246" t="s">
        <v>319</v>
      </c>
      <c r="C242" s="1253">
        <v>45932</v>
      </c>
      <c r="D242" s="1248"/>
      <c r="E242" s="1275" t="s">
        <v>665</v>
      </c>
      <c r="F242" s="1256" t="s">
        <v>1363</v>
      </c>
      <c r="G242" s="1248" t="s">
        <v>1364</v>
      </c>
      <c r="H242" s="1276" t="s">
        <v>1365</v>
      </c>
      <c r="I242" s="1313"/>
      <c r="J242" s="1275" t="s">
        <v>1366</v>
      </c>
      <c r="K242" s="1276" t="s">
        <v>1367</v>
      </c>
      <c r="L242" s="1276">
        <v>214</v>
      </c>
      <c r="M242" s="1277">
        <v>288</v>
      </c>
      <c r="N242" s="1278">
        <v>0.34379999999999999</v>
      </c>
      <c r="O242" s="1278">
        <v>3.7999999999999999E-2</v>
      </c>
      <c r="P242" s="1276">
        <v>1</v>
      </c>
      <c r="Q242" s="1276">
        <v>0</v>
      </c>
    </row>
    <row r="243" spans="1:17" s="1252" customFormat="1" ht="50.25" hidden="1" customHeight="1" x14ac:dyDescent="0.35">
      <c r="A243" s="1246" t="s">
        <v>1358</v>
      </c>
      <c r="B243" s="1246" t="s">
        <v>41</v>
      </c>
      <c r="C243" s="1253">
        <v>45938</v>
      </c>
      <c r="D243" s="1248"/>
      <c r="E243" s="1275" t="s">
        <v>1005</v>
      </c>
      <c r="F243" s="1256" t="s">
        <v>1368</v>
      </c>
      <c r="G243" s="1248"/>
      <c r="H243" s="1251"/>
      <c r="I243" s="1313"/>
      <c r="J243" s="1275" t="s">
        <v>1369</v>
      </c>
      <c r="K243" s="1276" t="s">
        <v>1367</v>
      </c>
      <c r="L243" s="1276">
        <v>214</v>
      </c>
      <c r="M243" s="1277">
        <v>1179</v>
      </c>
      <c r="N243" s="1278">
        <v>0.24510000000000001</v>
      </c>
      <c r="O243" s="1278">
        <v>2.63E-2</v>
      </c>
      <c r="P243" s="1276">
        <v>3</v>
      </c>
      <c r="Q243" s="1276">
        <v>7</v>
      </c>
    </row>
    <row r="244" spans="1:17" s="1252" customFormat="1" ht="50.25" hidden="1" customHeight="1" x14ac:dyDescent="0.35">
      <c r="A244" s="1246" t="s">
        <v>1370</v>
      </c>
      <c r="B244" s="1246"/>
      <c r="C244" s="2029" t="s">
        <v>106</v>
      </c>
      <c r="D244" s="2029"/>
      <c r="E244" s="2029"/>
      <c r="F244" s="2029"/>
      <c r="G244" s="2029"/>
      <c r="H244" s="2029"/>
      <c r="I244" s="1313"/>
      <c r="J244" s="1248"/>
      <c r="K244" s="1251"/>
      <c r="L244" s="1276"/>
      <c r="M244" s="1277"/>
      <c r="N244" s="1278"/>
      <c r="O244" s="1278"/>
      <c r="P244" s="1276"/>
      <c r="Q244" s="1276"/>
    </row>
    <row r="245" spans="1:17" s="1252" customFormat="1" ht="50.25" hidden="1" customHeight="1" x14ac:dyDescent="0.35">
      <c r="A245" s="1246" t="s">
        <v>1371</v>
      </c>
      <c r="B245" s="1246"/>
      <c r="C245" s="2029" t="s">
        <v>106</v>
      </c>
      <c r="D245" s="2029"/>
      <c r="E245" s="2029"/>
      <c r="F245" s="2029"/>
      <c r="G245" s="2029"/>
      <c r="H245" s="2029"/>
      <c r="I245" s="1313"/>
      <c r="J245" s="1248"/>
      <c r="K245" s="1251"/>
      <c r="L245" s="1276"/>
      <c r="M245" s="1277"/>
      <c r="N245" s="1278"/>
      <c r="O245" s="1278"/>
      <c r="P245" s="1276"/>
      <c r="Q245" s="1276"/>
    </row>
    <row r="246" spans="1:17" s="1252" customFormat="1" ht="50.25" hidden="1" customHeight="1" x14ac:dyDescent="0.35">
      <c r="A246" s="1246" t="s">
        <v>1372</v>
      </c>
      <c r="B246" s="1246" t="s">
        <v>247</v>
      </c>
      <c r="C246" s="1253">
        <v>45951</v>
      </c>
      <c r="D246" s="1248"/>
      <c r="E246" s="1275"/>
      <c r="F246" s="1256" t="s">
        <v>1373</v>
      </c>
      <c r="G246" s="1248" t="s">
        <v>1374</v>
      </c>
      <c r="H246" s="1287" t="s">
        <v>1375</v>
      </c>
      <c r="I246" s="1313"/>
      <c r="J246" s="1275" t="s">
        <v>1376</v>
      </c>
      <c r="K246" s="1276" t="s">
        <v>1377</v>
      </c>
      <c r="L246" s="1276">
        <v>284</v>
      </c>
      <c r="M246" s="1277">
        <v>246</v>
      </c>
      <c r="N246" s="1278">
        <v>0.19919999999999999</v>
      </c>
      <c r="O246" s="1278">
        <v>3.2500000000000001E-2</v>
      </c>
      <c r="P246" s="1276">
        <v>0</v>
      </c>
      <c r="Q246" s="1276">
        <v>0</v>
      </c>
    </row>
    <row r="247" spans="1:17" s="1252" customFormat="1" ht="50.25" hidden="1" customHeight="1" x14ac:dyDescent="0.35">
      <c r="A247" s="1246" t="s">
        <v>1372</v>
      </c>
      <c r="B247" s="1246" t="s">
        <v>247</v>
      </c>
      <c r="C247" s="2027" t="s">
        <v>1378</v>
      </c>
      <c r="D247" s="2027"/>
      <c r="E247" s="2027"/>
      <c r="F247" s="2027"/>
      <c r="G247" s="2027"/>
      <c r="H247" s="2027"/>
      <c r="I247" s="1313"/>
      <c r="J247" s="1275" t="s">
        <v>1379</v>
      </c>
      <c r="K247" s="1276" t="s">
        <v>1380</v>
      </c>
      <c r="L247" s="1276">
        <v>246</v>
      </c>
      <c r="M247" s="1277">
        <v>52</v>
      </c>
      <c r="N247" s="1278">
        <v>0.28849999999999998</v>
      </c>
      <c r="O247" s="1278">
        <v>7.6899999999999996E-2</v>
      </c>
      <c r="P247" s="1276">
        <v>0</v>
      </c>
      <c r="Q247" s="1276">
        <v>1</v>
      </c>
    </row>
    <row r="248" spans="1:17" s="1252" customFormat="1" ht="50.25" hidden="1" customHeight="1" x14ac:dyDescent="0.35">
      <c r="A248" s="1246" t="s">
        <v>1381</v>
      </c>
      <c r="B248" s="1246" t="s">
        <v>319</v>
      </c>
      <c r="C248" s="2027" t="s">
        <v>1382</v>
      </c>
      <c r="D248" s="2027"/>
      <c r="E248" s="2027"/>
      <c r="F248" s="2027"/>
      <c r="G248" s="2027"/>
      <c r="H248" s="2027"/>
      <c r="I248" s="1313"/>
      <c r="J248" s="1275" t="s">
        <v>1383</v>
      </c>
      <c r="K248" s="1276" t="s">
        <v>1384</v>
      </c>
      <c r="L248" s="1276">
        <v>351</v>
      </c>
      <c r="M248" s="1277">
        <v>9</v>
      </c>
      <c r="N248" s="1278">
        <v>0.55559999999999998</v>
      </c>
      <c r="O248" s="1278">
        <v>0.1111</v>
      </c>
      <c r="P248" s="1276">
        <v>0</v>
      </c>
      <c r="Q248" s="1276">
        <v>0</v>
      </c>
    </row>
    <row r="249" spans="1:17" s="1252" customFormat="1" ht="50.25" hidden="1" customHeight="1" x14ac:dyDescent="0.35">
      <c r="A249" s="1246" t="s">
        <v>1381</v>
      </c>
      <c r="B249" s="1246" t="s">
        <v>319</v>
      </c>
      <c r="C249" s="2027" t="s">
        <v>1385</v>
      </c>
      <c r="D249" s="2027"/>
      <c r="E249" s="2027"/>
      <c r="F249" s="2027"/>
      <c r="G249" s="2027"/>
      <c r="H249" s="2027"/>
      <c r="I249" s="1313"/>
      <c r="J249" s="1275" t="s">
        <v>1386</v>
      </c>
      <c r="K249" s="1276" t="s">
        <v>1387</v>
      </c>
      <c r="L249" s="1276">
        <v>412</v>
      </c>
      <c r="M249" s="1277">
        <v>437</v>
      </c>
      <c r="N249" s="1278">
        <v>0.28149999999999997</v>
      </c>
      <c r="O249" s="1278">
        <v>3.8899999999999997E-2</v>
      </c>
      <c r="P249" s="1276">
        <v>1</v>
      </c>
      <c r="Q249" s="1276">
        <v>1</v>
      </c>
    </row>
    <row r="250" spans="1:17" s="1252" customFormat="1" ht="50.25" hidden="1" customHeight="1" x14ac:dyDescent="0.35">
      <c r="A250" s="1246" t="s">
        <v>1381</v>
      </c>
      <c r="B250" s="1246" t="s">
        <v>1142</v>
      </c>
      <c r="C250" s="1247"/>
      <c r="D250" s="1248"/>
      <c r="E250" s="1275" t="s">
        <v>1005</v>
      </c>
      <c r="F250" s="1256" t="s">
        <v>1388</v>
      </c>
      <c r="G250" s="1248"/>
      <c r="H250" s="1251"/>
      <c r="I250" s="1313"/>
      <c r="J250" s="1275" t="s">
        <v>1389</v>
      </c>
      <c r="K250" s="1276" t="s">
        <v>1384</v>
      </c>
      <c r="L250" s="1276">
        <v>351</v>
      </c>
      <c r="M250" s="1277">
        <v>458</v>
      </c>
      <c r="N250" s="1278">
        <v>0.1419</v>
      </c>
      <c r="O250" s="1278">
        <v>5.0200000000000002E-2</v>
      </c>
      <c r="P250" s="1276">
        <v>3</v>
      </c>
      <c r="Q250" s="1276">
        <v>16</v>
      </c>
    </row>
    <row r="251" spans="1:17" s="1252" customFormat="1" ht="50.25" hidden="1" customHeight="1" x14ac:dyDescent="0.35">
      <c r="A251" s="1246" t="s">
        <v>1390</v>
      </c>
      <c r="B251" s="1246" t="s">
        <v>41</v>
      </c>
      <c r="C251" s="1253">
        <v>45974</v>
      </c>
      <c r="D251" s="1248" t="s">
        <v>1342</v>
      </c>
      <c r="E251" s="1275" t="s">
        <v>1005</v>
      </c>
      <c r="F251" s="1256" t="s">
        <v>1391</v>
      </c>
      <c r="G251" s="1248" t="s">
        <v>1392</v>
      </c>
      <c r="H251" s="1276" t="s">
        <v>1393</v>
      </c>
      <c r="I251" s="1313"/>
      <c r="J251" s="1275" t="s">
        <v>1394</v>
      </c>
      <c r="K251" s="1276" t="s">
        <v>1395</v>
      </c>
      <c r="L251" s="1276">
        <v>289</v>
      </c>
      <c r="M251" s="1277">
        <v>440</v>
      </c>
      <c r="N251" s="1278">
        <v>0.18859999999999999</v>
      </c>
      <c r="O251" s="1278">
        <v>1.5900000000000001E-2</v>
      </c>
      <c r="P251" s="1276">
        <v>1</v>
      </c>
      <c r="Q251" s="1276">
        <v>1</v>
      </c>
    </row>
    <row r="252" spans="1:17" s="1252" customFormat="1" ht="50.25" hidden="1" customHeight="1" x14ac:dyDescent="0.35">
      <c r="A252" s="1246" t="s">
        <v>1396</v>
      </c>
      <c r="B252" s="1246" t="s">
        <v>41</v>
      </c>
      <c r="C252" s="1253">
        <v>45979</v>
      </c>
      <c r="D252" s="1248" t="s">
        <v>1397</v>
      </c>
      <c r="E252" s="1275" t="s">
        <v>665</v>
      </c>
      <c r="F252" s="1256" t="s">
        <v>1398</v>
      </c>
      <c r="G252" s="1248" t="s">
        <v>1399</v>
      </c>
      <c r="H252" s="1276"/>
      <c r="I252" s="1313"/>
      <c r="J252" s="1275" t="s">
        <v>1400</v>
      </c>
      <c r="K252" s="1276" t="s">
        <v>1401</v>
      </c>
      <c r="L252" s="1276">
        <v>304</v>
      </c>
      <c r="M252" s="1277">
        <v>748</v>
      </c>
      <c r="N252" s="1278">
        <v>0.26340000000000002</v>
      </c>
      <c r="O252" s="1278">
        <v>2.6700000000000002E-2</v>
      </c>
      <c r="P252" s="1276">
        <v>3</v>
      </c>
      <c r="Q252" s="1276">
        <v>8</v>
      </c>
    </row>
    <row r="253" spans="1:17" s="1252" customFormat="1" ht="50.25" hidden="1" customHeight="1" x14ac:dyDescent="0.35">
      <c r="A253" s="1246" t="s">
        <v>1402</v>
      </c>
      <c r="B253" s="1246" t="s">
        <v>247</v>
      </c>
      <c r="C253" s="2029" t="s">
        <v>106</v>
      </c>
      <c r="D253" s="2029"/>
      <c r="E253" s="2029"/>
      <c r="F253" s="2029"/>
      <c r="G253" s="2029"/>
      <c r="H253" s="2029"/>
      <c r="I253" s="1313"/>
      <c r="J253" s="1248"/>
      <c r="K253" s="1251"/>
      <c r="L253" s="1276"/>
      <c r="M253" s="1277"/>
      <c r="N253" s="1278"/>
      <c r="O253" s="1278"/>
      <c r="P253" s="1276"/>
      <c r="Q253" s="1276"/>
    </row>
    <row r="254" spans="1:17" s="1252" customFormat="1" ht="50.25" hidden="1" customHeight="1" x14ac:dyDescent="0.35">
      <c r="A254" s="1246" t="s">
        <v>1403</v>
      </c>
      <c r="B254" s="1246" t="s">
        <v>247</v>
      </c>
      <c r="C254" s="2027" t="s">
        <v>1404</v>
      </c>
      <c r="D254" s="2027"/>
      <c r="E254" s="2027"/>
      <c r="F254" s="2027"/>
      <c r="G254" s="2027"/>
      <c r="H254" s="2027"/>
      <c r="I254" s="1313"/>
      <c r="J254" s="1275" t="s">
        <v>1405</v>
      </c>
      <c r="K254" s="1276" t="s">
        <v>1406</v>
      </c>
      <c r="L254" s="1276">
        <v>378</v>
      </c>
      <c r="M254" s="1277">
        <v>136</v>
      </c>
      <c r="N254" s="1278">
        <v>0.43380000000000002</v>
      </c>
      <c r="O254" s="1278">
        <v>0.19120000000000001</v>
      </c>
      <c r="P254" s="1276">
        <v>0</v>
      </c>
      <c r="Q254" s="1276">
        <v>0</v>
      </c>
    </row>
    <row r="255" spans="1:17" s="1252" customFormat="1" ht="50.25" hidden="1" customHeight="1" x14ac:dyDescent="0.35">
      <c r="A255" s="1246" t="s">
        <v>1403</v>
      </c>
      <c r="B255" s="1246" t="s">
        <v>1142</v>
      </c>
      <c r="C255" s="1253">
        <v>45993</v>
      </c>
      <c r="D255" s="1248" t="s">
        <v>1407</v>
      </c>
      <c r="E255" s="1275" t="s">
        <v>1005</v>
      </c>
      <c r="F255" s="1248" t="s">
        <v>1408</v>
      </c>
      <c r="G255" s="1248" t="s">
        <v>1409</v>
      </c>
      <c r="H255" s="1248"/>
      <c r="I255" s="1313"/>
      <c r="J255" s="1275" t="s">
        <v>1410</v>
      </c>
      <c r="K255" s="1276" t="s">
        <v>1411</v>
      </c>
      <c r="L255" s="1276">
        <v>301</v>
      </c>
      <c r="M255" s="1277">
        <v>447</v>
      </c>
      <c r="N255" s="1278">
        <v>0.1074</v>
      </c>
      <c r="O255" s="1278">
        <v>2.6800000000000001E-2</v>
      </c>
      <c r="P255" s="1276">
        <v>6</v>
      </c>
      <c r="Q255" s="1276">
        <v>1</v>
      </c>
    </row>
    <row r="256" spans="1:17" s="1252" customFormat="1" ht="50.25" hidden="1" customHeight="1" x14ac:dyDescent="0.35">
      <c r="A256" s="1246" t="s">
        <v>1403</v>
      </c>
      <c r="B256" s="1246" t="s">
        <v>1166</v>
      </c>
      <c r="C256" s="1253">
        <v>45995</v>
      </c>
      <c r="D256" s="1248" t="s">
        <v>1342</v>
      </c>
      <c r="E256" s="1275" t="s">
        <v>1005</v>
      </c>
      <c r="F256" s="1248" t="s">
        <v>1412</v>
      </c>
      <c r="G256" s="1248" t="s">
        <v>1413</v>
      </c>
      <c r="H256" s="1248"/>
      <c r="I256" s="1313"/>
      <c r="J256" s="1275" t="s">
        <v>1414</v>
      </c>
      <c r="K256" s="1276" t="s">
        <v>1415</v>
      </c>
      <c r="L256" s="1276">
        <v>421</v>
      </c>
      <c r="M256" s="1277">
        <v>1038</v>
      </c>
      <c r="N256" s="1278">
        <v>0.2235</v>
      </c>
      <c r="O256" s="1278">
        <v>2.5000000000000001E-2</v>
      </c>
      <c r="P256" s="1276">
        <v>1</v>
      </c>
      <c r="Q256" s="1276">
        <v>4</v>
      </c>
    </row>
    <row r="257" spans="1:17" s="1252" customFormat="1" ht="50.25" hidden="1" customHeight="1" x14ac:dyDescent="0.35">
      <c r="A257" s="1246" t="s">
        <v>1416</v>
      </c>
      <c r="B257" s="1246" t="s">
        <v>247</v>
      </c>
      <c r="C257" s="1253">
        <v>46001</v>
      </c>
      <c r="D257" s="1248" t="s">
        <v>351</v>
      </c>
      <c r="E257" s="1275" t="s">
        <v>1005</v>
      </c>
      <c r="F257" s="1248" t="s">
        <v>1417</v>
      </c>
      <c r="G257" s="1248"/>
      <c r="H257" s="1248"/>
      <c r="I257" s="1313"/>
      <c r="J257" s="1275" t="s">
        <v>1418</v>
      </c>
      <c r="K257" s="1276" t="s">
        <v>1419</v>
      </c>
      <c r="L257" s="1276">
        <v>303</v>
      </c>
      <c r="M257" s="1277">
        <v>204</v>
      </c>
      <c r="N257" s="1278">
        <v>0.21079999999999999</v>
      </c>
      <c r="O257" s="1278">
        <v>1.47E-2</v>
      </c>
      <c r="P257" s="1276">
        <v>1</v>
      </c>
      <c r="Q257" s="1276">
        <v>1</v>
      </c>
    </row>
    <row r="258" spans="1:17" s="1252" customFormat="1" ht="50.25" hidden="1" customHeight="1" x14ac:dyDescent="0.35">
      <c r="A258" s="1246">
        <v>46003</v>
      </c>
      <c r="B258" s="1246" t="s">
        <v>1166</v>
      </c>
      <c r="C258" s="2025" t="s">
        <v>1420</v>
      </c>
      <c r="D258" s="2025"/>
      <c r="E258" s="2025"/>
      <c r="F258" s="2025"/>
      <c r="G258" s="2025"/>
      <c r="H258" s="2025"/>
      <c r="I258" s="1313"/>
      <c r="J258" s="1248"/>
      <c r="K258" s="1251"/>
      <c r="L258" s="1276"/>
      <c r="M258" s="1277"/>
      <c r="N258" s="1278"/>
      <c r="O258" s="1278"/>
      <c r="P258" s="1276"/>
      <c r="Q258" s="1276"/>
    </row>
    <row r="259" spans="1:17" s="1252" customFormat="1" ht="50.25" hidden="1" customHeight="1" x14ac:dyDescent="0.35">
      <c r="A259" s="1308">
        <v>46004</v>
      </c>
      <c r="B259" s="1246" t="s">
        <v>1142</v>
      </c>
      <c r="C259" s="2027" t="s">
        <v>1421</v>
      </c>
      <c r="D259" s="2027"/>
      <c r="E259" s="2027"/>
      <c r="F259" s="2027"/>
      <c r="G259" s="2027"/>
      <c r="H259" s="2027"/>
      <c r="I259" s="1313"/>
      <c r="J259" s="1248"/>
      <c r="K259" s="1251"/>
      <c r="L259" s="1276"/>
      <c r="M259" s="1277"/>
      <c r="N259" s="1278"/>
      <c r="O259" s="1278"/>
      <c r="P259" s="1276"/>
      <c r="Q259" s="1276"/>
    </row>
    <row r="260" spans="1:17" s="1252" customFormat="1" ht="50.25" hidden="1" customHeight="1" x14ac:dyDescent="0.35">
      <c r="A260" s="1246" t="s">
        <v>1422</v>
      </c>
      <c r="B260" s="1246" t="s">
        <v>41</v>
      </c>
      <c r="C260" s="1253">
        <v>46008</v>
      </c>
      <c r="D260" s="1248" t="s">
        <v>1423</v>
      </c>
      <c r="E260" s="1275" t="s">
        <v>665</v>
      </c>
      <c r="F260" s="1248" t="s">
        <v>1127</v>
      </c>
      <c r="G260" s="1248"/>
      <c r="H260" s="1248"/>
      <c r="I260" s="1313"/>
      <c r="J260" s="1275" t="s">
        <v>1424</v>
      </c>
      <c r="K260" s="1276" t="s">
        <v>1425</v>
      </c>
      <c r="L260" s="1276">
        <v>315</v>
      </c>
      <c r="M260" s="1277">
        <v>1146</v>
      </c>
      <c r="N260" s="1278">
        <v>0.21379999999999999</v>
      </c>
      <c r="O260" s="1278">
        <v>2.0899999999999998E-2</v>
      </c>
      <c r="P260" s="1276">
        <v>3</v>
      </c>
      <c r="Q260" s="1276">
        <v>0</v>
      </c>
    </row>
    <row r="261" spans="1:17" s="1252" customFormat="1" ht="50.25" hidden="1" customHeight="1" x14ac:dyDescent="0.35">
      <c r="A261" s="1246" t="s">
        <v>1422</v>
      </c>
      <c r="B261" s="1246" t="s">
        <v>247</v>
      </c>
      <c r="C261" s="1253">
        <v>46007</v>
      </c>
      <c r="D261" s="1248" t="s">
        <v>351</v>
      </c>
      <c r="E261" s="1275" t="s">
        <v>665</v>
      </c>
      <c r="F261" s="1248" t="s">
        <v>1278</v>
      </c>
      <c r="G261" s="1248" t="s">
        <v>1426</v>
      </c>
      <c r="H261" s="1248"/>
      <c r="I261" s="1313"/>
      <c r="J261" s="1275" t="s">
        <v>1427</v>
      </c>
      <c r="K261" s="1276" t="s">
        <v>1428</v>
      </c>
      <c r="L261" s="1276">
        <v>316</v>
      </c>
      <c r="M261" s="1277">
        <v>183</v>
      </c>
      <c r="N261" s="1278">
        <v>0.40439999999999998</v>
      </c>
      <c r="O261" s="1278">
        <v>0.2077</v>
      </c>
      <c r="P261" s="1276">
        <v>0</v>
      </c>
      <c r="Q261" s="1276">
        <v>0</v>
      </c>
    </row>
    <row r="262" spans="1:17" s="1252" customFormat="1" ht="50.25" hidden="1" customHeight="1" x14ac:dyDescent="0.35">
      <c r="A262" s="1246" t="s">
        <v>1429</v>
      </c>
      <c r="B262" s="1246"/>
      <c r="C262" s="2035" t="s">
        <v>1430</v>
      </c>
      <c r="D262" s="2035"/>
      <c r="E262" s="2035"/>
      <c r="F262" s="2035"/>
      <c r="G262" s="2035"/>
      <c r="H262" s="2035"/>
      <c r="I262" s="1313"/>
      <c r="J262" s="1248"/>
      <c r="K262" s="1251"/>
      <c r="L262" s="1276"/>
      <c r="M262" s="1277"/>
      <c r="N262" s="1278"/>
      <c r="O262" s="1278"/>
      <c r="P262" s="1276"/>
      <c r="Q262" s="1276"/>
    </row>
    <row r="263" spans="1:17" s="1252" customFormat="1" ht="50.25" hidden="1" customHeight="1" x14ac:dyDescent="0.35">
      <c r="A263" s="1246" t="s">
        <v>1431</v>
      </c>
      <c r="B263" s="1246"/>
      <c r="C263" s="2035" t="s">
        <v>1432</v>
      </c>
      <c r="D263" s="2035"/>
      <c r="E263" s="2035"/>
      <c r="F263" s="2035"/>
      <c r="G263" s="2035"/>
      <c r="H263" s="2035"/>
      <c r="I263" s="1313"/>
      <c r="J263" s="1248"/>
      <c r="K263" s="1251"/>
      <c r="L263" s="1276"/>
      <c r="M263" s="1277"/>
      <c r="N263" s="1278"/>
      <c r="O263" s="1278"/>
      <c r="P263" s="1276"/>
      <c r="Q263" s="1276"/>
    </row>
    <row r="264" spans="1:17" s="1252" customFormat="1" ht="50.25" customHeight="1" x14ac:dyDescent="0.35">
      <c r="A264" s="2036">
        <v>2026</v>
      </c>
      <c r="B264" s="2037"/>
      <c r="C264" s="2038"/>
      <c r="D264" s="2038"/>
      <c r="E264" s="2038"/>
      <c r="F264" s="2038"/>
      <c r="G264" s="2038"/>
      <c r="H264" s="2038"/>
      <c r="I264" s="2038"/>
      <c r="J264" s="2038"/>
      <c r="K264" s="2038"/>
      <c r="L264" s="2038"/>
      <c r="M264" s="2038"/>
      <c r="N264" s="2038"/>
      <c r="O264" s="2038"/>
      <c r="P264" s="2038"/>
      <c r="Q264" s="2039"/>
    </row>
    <row r="265" spans="1:17" s="1252" customFormat="1" ht="50.25" customHeight="1" x14ac:dyDescent="0.35">
      <c r="A265" s="1246" t="s">
        <v>1433</v>
      </c>
      <c r="B265" s="1246" t="s">
        <v>247</v>
      </c>
      <c r="C265" s="2027" t="s">
        <v>1434</v>
      </c>
      <c r="D265" s="2027"/>
      <c r="E265" s="2027"/>
      <c r="F265" s="2027"/>
      <c r="G265" s="2027"/>
      <c r="H265" s="2027"/>
      <c r="I265" s="1313"/>
      <c r="J265" s="1275" t="s">
        <v>1435</v>
      </c>
      <c r="K265" s="1276" t="s">
        <v>1436</v>
      </c>
      <c r="L265" s="1276">
        <v>547</v>
      </c>
      <c r="M265" s="1277">
        <v>195</v>
      </c>
      <c r="N265" s="1278">
        <v>0.4</v>
      </c>
      <c r="O265" s="1278">
        <v>0.1333</v>
      </c>
      <c r="P265" s="1276">
        <v>0</v>
      </c>
      <c r="Q265" s="1276">
        <v>1</v>
      </c>
    </row>
    <row r="266" spans="1:17" s="1252" customFormat="1" ht="50.25" customHeight="1" x14ac:dyDescent="0.35">
      <c r="A266" s="1246" t="s">
        <v>1433</v>
      </c>
      <c r="B266" s="1246" t="s">
        <v>247</v>
      </c>
      <c r="C266" s="2031" t="s">
        <v>1437</v>
      </c>
      <c r="D266" s="2032"/>
      <c r="E266" s="2032"/>
      <c r="F266" s="2032"/>
      <c r="G266" s="2032"/>
      <c r="H266" s="2033"/>
      <c r="I266" s="1313"/>
      <c r="J266" s="1275" t="s">
        <v>1438</v>
      </c>
      <c r="K266" s="1276" t="s">
        <v>1439</v>
      </c>
      <c r="L266" s="1276">
        <v>489</v>
      </c>
      <c r="M266" s="1277">
        <v>161</v>
      </c>
      <c r="N266" s="1278">
        <v>0.40989999999999999</v>
      </c>
      <c r="O266" s="1278">
        <v>0.1739</v>
      </c>
      <c r="P266" s="1276">
        <v>0</v>
      </c>
      <c r="Q266" s="1276">
        <v>1</v>
      </c>
    </row>
    <row r="267" spans="1:17" s="1252" customFormat="1" ht="50.25" customHeight="1" x14ac:dyDescent="0.35">
      <c r="A267" s="1246" t="s">
        <v>1440</v>
      </c>
      <c r="B267" s="1246" t="s">
        <v>247</v>
      </c>
      <c r="C267" s="2031" t="s">
        <v>1441</v>
      </c>
      <c r="D267" s="2032"/>
      <c r="E267" s="2032"/>
      <c r="F267" s="2032"/>
      <c r="G267" s="2032"/>
      <c r="H267" s="2033"/>
      <c r="I267" s="1313"/>
      <c r="J267" s="1275" t="s">
        <v>1442</v>
      </c>
      <c r="K267" s="1276" t="s">
        <v>1443</v>
      </c>
      <c r="L267" s="1276">
        <v>569</v>
      </c>
      <c r="M267" s="1277">
        <v>156</v>
      </c>
      <c r="N267" s="1278">
        <v>0.3654</v>
      </c>
      <c r="O267" s="1278">
        <v>4.4900000000000002E-2</v>
      </c>
      <c r="P267" s="1276">
        <v>0</v>
      </c>
      <c r="Q267" s="1276">
        <v>0</v>
      </c>
    </row>
    <row r="268" spans="1:17" s="1252" customFormat="1" ht="50.25" customHeight="1" x14ac:dyDescent="0.35">
      <c r="A268" s="1246">
        <v>45670</v>
      </c>
      <c r="B268" s="1246" t="s">
        <v>247</v>
      </c>
      <c r="C268" s="2031" t="s">
        <v>1444</v>
      </c>
      <c r="D268" s="2032"/>
      <c r="E268" s="2032"/>
      <c r="F268" s="2032"/>
      <c r="G268" s="2032"/>
      <c r="H268" s="2033"/>
      <c r="I268" s="1313"/>
      <c r="J268" s="1248"/>
      <c r="K268" s="1276"/>
      <c r="L268" s="1276"/>
      <c r="M268" s="1277"/>
      <c r="N268" s="1278"/>
      <c r="O268" s="1278"/>
      <c r="P268" s="1276"/>
      <c r="Q268" s="1276"/>
    </row>
    <row r="269" spans="1:17" s="1252" customFormat="1" ht="50.25" customHeight="1" x14ac:dyDescent="0.35">
      <c r="A269" s="1246" t="s">
        <v>1440</v>
      </c>
      <c r="B269" s="1321" t="s">
        <v>247</v>
      </c>
      <c r="C269" s="1253">
        <v>46036</v>
      </c>
      <c r="D269" s="1248" t="s">
        <v>1445</v>
      </c>
      <c r="E269" s="1248"/>
      <c r="F269" s="1248" t="s">
        <v>1283</v>
      </c>
      <c r="G269" s="1322" t="s">
        <v>1446</v>
      </c>
      <c r="H269" s="1281" t="s">
        <v>1447</v>
      </c>
      <c r="I269" s="1323" t="s">
        <v>1355</v>
      </c>
      <c r="J269" s="1275" t="s">
        <v>1448</v>
      </c>
      <c r="K269" s="1276"/>
      <c r="L269" s="1324"/>
      <c r="M269" s="1325"/>
      <c r="N269" s="1326"/>
      <c r="O269" s="1326"/>
      <c r="P269" s="1324"/>
      <c r="Q269" s="1324"/>
    </row>
    <row r="270" spans="1:17" s="1252" customFormat="1" ht="50.25" customHeight="1" x14ac:dyDescent="0.35">
      <c r="A270" s="1246" t="s">
        <v>1449</v>
      </c>
      <c r="B270" s="1327" t="s">
        <v>1142</v>
      </c>
      <c r="C270" s="1328"/>
      <c r="D270" s="1329"/>
      <c r="E270" s="1334" t="s">
        <v>1005</v>
      </c>
      <c r="F270" s="1329" t="s">
        <v>1450</v>
      </c>
      <c r="G270" s="1329"/>
      <c r="H270" s="1329"/>
      <c r="I270" s="1330"/>
      <c r="J270" s="1275" t="s">
        <v>1451</v>
      </c>
      <c r="K270" s="1276" t="s">
        <v>1452</v>
      </c>
      <c r="L270" s="1276">
        <v>430</v>
      </c>
      <c r="M270" s="1277">
        <v>123</v>
      </c>
      <c r="N270" s="1278">
        <v>0.1057</v>
      </c>
      <c r="O270" s="1278">
        <v>4.07E-2</v>
      </c>
      <c r="P270" s="1276">
        <v>0</v>
      </c>
      <c r="Q270" s="1276">
        <v>2</v>
      </c>
    </row>
    <row r="271" spans="1:17" s="1252" customFormat="1" ht="50.25" customHeight="1" x14ac:dyDescent="0.35">
      <c r="A271" s="1321" t="s">
        <v>1453</v>
      </c>
      <c r="B271" s="1301"/>
      <c r="C271" s="2029" t="s">
        <v>106</v>
      </c>
      <c r="D271" s="2029"/>
      <c r="E271" s="2029"/>
      <c r="F271" s="2029"/>
      <c r="G271" s="2029"/>
      <c r="H271" s="2029"/>
      <c r="I271" s="1289"/>
      <c r="J271" s="1331"/>
      <c r="K271" s="1251"/>
      <c r="L271" s="1276"/>
      <c r="M271" s="1277"/>
      <c r="N271" s="1278"/>
      <c r="O271" s="1278"/>
      <c r="P271" s="1276"/>
      <c r="Q271" s="1276"/>
    </row>
    <row r="272" spans="1:17" s="1252" customFormat="1" ht="50.25" customHeight="1" x14ac:dyDescent="0.35">
      <c r="A272" s="1246" t="s">
        <v>1454</v>
      </c>
      <c r="B272" s="1315" t="s">
        <v>247</v>
      </c>
      <c r="C272" s="1332">
        <v>46059</v>
      </c>
      <c r="D272" s="1333" t="s">
        <v>1455</v>
      </c>
      <c r="E272" s="1275" t="s">
        <v>665</v>
      </c>
      <c r="F272" s="1333" t="s">
        <v>1456</v>
      </c>
      <c r="G272" s="1333" t="s">
        <v>1457</v>
      </c>
      <c r="H272" s="1336" t="s">
        <v>1458</v>
      </c>
      <c r="I272" s="1323"/>
      <c r="J272" s="1275" t="s">
        <v>1459</v>
      </c>
      <c r="K272" s="1276" t="s">
        <v>1460</v>
      </c>
      <c r="L272" s="1276">
        <v>490</v>
      </c>
      <c r="M272" s="1277">
        <v>261</v>
      </c>
      <c r="N272" s="1278">
        <v>0.41460000000000002</v>
      </c>
      <c r="O272" s="1278">
        <v>0.10730000000000001</v>
      </c>
      <c r="P272" s="1276">
        <v>0</v>
      </c>
      <c r="Q272" s="1276">
        <v>1</v>
      </c>
    </row>
    <row r="273" spans="1:17" s="1252" customFormat="1" ht="50.25" customHeight="1" x14ac:dyDescent="0.35">
      <c r="A273" s="1246" t="s">
        <v>1454</v>
      </c>
      <c r="B273" s="1246" t="s">
        <v>247</v>
      </c>
      <c r="C273" s="2030" t="s">
        <v>1461</v>
      </c>
      <c r="D273" s="2030"/>
      <c r="E273" s="2030"/>
      <c r="F273" s="2030"/>
      <c r="G273" s="2030"/>
      <c r="H273" s="2030"/>
      <c r="I273" s="1313"/>
      <c r="J273" s="1275" t="s">
        <v>1462</v>
      </c>
      <c r="K273" s="1276" t="s">
        <v>1463</v>
      </c>
      <c r="L273" s="1276">
        <v>655</v>
      </c>
      <c r="M273" s="1277">
        <v>217</v>
      </c>
      <c r="N273" s="1278">
        <v>0.48849999999999999</v>
      </c>
      <c r="O273" s="1278">
        <v>0.23039999999999999</v>
      </c>
      <c r="P273" s="1276">
        <v>0</v>
      </c>
      <c r="Q273" s="1276">
        <v>0</v>
      </c>
    </row>
    <row r="274" spans="1:17" s="1252" customFormat="1" ht="50.25" customHeight="1" x14ac:dyDescent="0.35">
      <c r="A274" s="1246" t="s">
        <v>1464</v>
      </c>
      <c r="B274" s="1246" t="s">
        <v>247</v>
      </c>
      <c r="C274" s="2027" t="s">
        <v>1465</v>
      </c>
      <c r="D274" s="2027"/>
      <c r="E274" s="2027"/>
      <c r="F274" s="2027"/>
      <c r="G274" s="2027"/>
      <c r="H274" s="2027"/>
      <c r="I274" s="1313"/>
      <c r="J274" s="1275" t="s">
        <v>1466</v>
      </c>
      <c r="K274" s="1276" t="s">
        <v>1467</v>
      </c>
      <c r="L274" s="1276">
        <v>543</v>
      </c>
      <c r="M274" s="1277">
        <v>306</v>
      </c>
      <c r="N274" s="1278">
        <v>0.3105</v>
      </c>
      <c r="O274" s="1278">
        <v>8.1699999999999995E-2</v>
      </c>
      <c r="P274" s="1276">
        <v>0</v>
      </c>
      <c r="Q274" s="1276">
        <v>1</v>
      </c>
    </row>
    <row r="275" spans="1:17" s="1252" customFormat="1" ht="50.25" customHeight="1" x14ac:dyDescent="0.35">
      <c r="A275" s="1246" t="s">
        <v>1464</v>
      </c>
      <c r="B275" s="1246" t="s">
        <v>1166</v>
      </c>
      <c r="C275" s="1332">
        <v>46064</v>
      </c>
      <c r="D275" s="1333"/>
      <c r="E275" s="1334" t="s">
        <v>1005</v>
      </c>
      <c r="F275" s="1333" t="s">
        <v>1468</v>
      </c>
      <c r="G275" s="1333"/>
      <c r="H275" s="1333"/>
      <c r="I275" s="1335"/>
      <c r="J275" s="1275" t="s">
        <v>1469</v>
      </c>
      <c r="K275" s="1276" t="s">
        <v>1467</v>
      </c>
      <c r="L275" s="1276">
        <v>543</v>
      </c>
      <c r="M275" s="1277">
        <v>967</v>
      </c>
      <c r="N275" s="1278">
        <v>0.2296</v>
      </c>
      <c r="O275" s="1278">
        <v>1.03E-2</v>
      </c>
      <c r="P275" s="1276">
        <v>5</v>
      </c>
      <c r="Q275" s="1276">
        <v>4</v>
      </c>
    </row>
    <row r="276" spans="1:17" s="1252" customFormat="1" ht="50.25" customHeight="1" x14ac:dyDescent="0.35">
      <c r="A276" s="1246" t="s">
        <v>1470</v>
      </c>
      <c r="B276" s="1246" t="s">
        <v>247</v>
      </c>
      <c r="C276" s="2027" t="s">
        <v>1471</v>
      </c>
      <c r="D276" s="2027"/>
      <c r="E276" s="2027"/>
      <c r="F276" s="2027"/>
      <c r="G276" s="2027"/>
      <c r="H276" s="2027"/>
      <c r="I276" s="1313"/>
      <c r="J276" s="1248"/>
      <c r="K276" s="1251"/>
      <c r="L276" s="1276"/>
      <c r="M276" s="1277"/>
      <c r="N276" s="1278"/>
      <c r="O276" s="1278"/>
      <c r="P276" s="1276"/>
      <c r="Q276" s="1276"/>
    </row>
    <row r="277" spans="1:17" s="1252" customFormat="1" ht="50.25" customHeight="1" x14ac:dyDescent="0.35">
      <c r="A277" s="1246" t="s">
        <v>1472</v>
      </c>
      <c r="B277" s="1246" t="s">
        <v>247</v>
      </c>
      <c r="C277" s="2027" t="s">
        <v>1473</v>
      </c>
      <c r="D277" s="2027"/>
      <c r="E277" s="2027"/>
      <c r="F277" s="2027"/>
      <c r="G277" s="2027"/>
      <c r="H277" s="2027"/>
      <c r="I277" s="1313"/>
      <c r="J277" s="1275" t="s">
        <v>1474</v>
      </c>
      <c r="K277" s="1276" t="s">
        <v>1475</v>
      </c>
      <c r="L277" s="1276">
        <v>498</v>
      </c>
      <c r="M277" s="1277">
        <v>173</v>
      </c>
      <c r="N277" s="1278">
        <v>0.50290000000000001</v>
      </c>
      <c r="O277" s="1278">
        <v>0.1618</v>
      </c>
      <c r="P277" s="1276">
        <v>0</v>
      </c>
      <c r="Q277" s="1276">
        <v>0</v>
      </c>
    </row>
    <row r="278" spans="1:17" s="1252" customFormat="1" ht="50.25" customHeight="1" x14ac:dyDescent="0.35">
      <c r="A278" s="1246" t="s">
        <v>1472</v>
      </c>
      <c r="B278" s="1246" t="s">
        <v>247</v>
      </c>
      <c r="C278" s="1332">
        <v>46078</v>
      </c>
      <c r="D278" s="1248" t="s">
        <v>1476</v>
      </c>
      <c r="E278" s="1275" t="s">
        <v>783</v>
      </c>
      <c r="F278" s="1248" t="s">
        <v>1477</v>
      </c>
      <c r="G278" s="1248" t="s">
        <v>1478</v>
      </c>
      <c r="H278" s="1281" t="s">
        <v>1479</v>
      </c>
      <c r="I278" s="1313"/>
      <c r="J278" s="1275" t="s">
        <v>1480</v>
      </c>
      <c r="K278" s="1276" t="s">
        <v>1481</v>
      </c>
      <c r="L278" s="1276">
        <v>536</v>
      </c>
      <c r="M278" s="1277">
        <v>49</v>
      </c>
      <c r="N278" s="1278">
        <v>0.48980000000000001</v>
      </c>
      <c r="O278" s="1278">
        <v>0.30609999999999998</v>
      </c>
      <c r="P278" s="1276">
        <v>0</v>
      </c>
      <c r="Q278" s="1276">
        <v>0</v>
      </c>
    </row>
    <row r="279" spans="1:17" s="1252" customFormat="1" ht="50.25" customHeight="1" x14ac:dyDescent="0.35">
      <c r="A279" s="1246" t="s">
        <v>1472</v>
      </c>
      <c r="B279" s="1246" t="s">
        <v>247</v>
      </c>
      <c r="C279" s="2027" t="s">
        <v>1482</v>
      </c>
      <c r="D279" s="2027"/>
      <c r="E279" s="2027"/>
      <c r="F279" s="2027"/>
      <c r="G279" s="2027"/>
      <c r="H279" s="2027"/>
      <c r="I279" s="1313"/>
      <c r="J279" s="1248"/>
      <c r="K279" s="1251"/>
      <c r="L279" s="1276"/>
      <c r="M279" s="1277"/>
      <c r="N279" s="1278"/>
      <c r="O279" s="1278"/>
      <c r="P279" s="1276"/>
      <c r="Q279" s="1276"/>
    </row>
    <row r="280" spans="1:17" s="1252" customFormat="1" ht="50.25" customHeight="1" x14ac:dyDescent="0.35">
      <c r="A280" s="1246" t="s">
        <v>1483</v>
      </c>
      <c r="B280" s="1246" t="s">
        <v>247</v>
      </c>
      <c r="C280" s="2027" t="s">
        <v>1484</v>
      </c>
      <c r="D280" s="2027"/>
      <c r="E280" s="2027"/>
      <c r="F280" s="2027"/>
      <c r="G280" s="2027"/>
      <c r="H280" s="2027"/>
      <c r="I280" s="1313"/>
      <c r="J280" s="1275" t="s">
        <v>1485</v>
      </c>
      <c r="K280" s="1276" t="s">
        <v>1486</v>
      </c>
      <c r="L280" s="1276">
        <v>521</v>
      </c>
      <c r="M280" s="1277">
        <v>162</v>
      </c>
      <c r="N280" s="1278">
        <v>0.48770000000000002</v>
      </c>
      <c r="O280" s="1278">
        <v>0.14199999999999999</v>
      </c>
      <c r="P280" s="1276">
        <v>0</v>
      </c>
      <c r="Q280" s="1276">
        <v>0</v>
      </c>
    </row>
    <row r="281" spans="1:17" s="1252" customFormat="1" ht="50.25" customHeight="1" x14ac:dyDescent="0.35">
      <c r="A281" s="1246" t="s">
        <v>1487</v>
      </c>
      <c r="B281" s="1246" t="s">
        <v>1166</v>
      </c>
      <c r="C281" s="1248"/>
      <c r="D281" s="1248" t="s">
        <v>1488</v>
      </c>
      <c r="E281" s="1248"/>
      <c r="F281" s="1248" t="s">
        <v>1489</v>
      </c>
      <c r="G281" s="1248"/>
      <c r="H281" s="1248"/>
      <c r="I281" s="1313"/>
      <c r="J281" s="1275" t="s">
        <v>1490</v>
      </c>
      <c r="K281" s="1276" t="s">
        <v>1491</v>
      </c>
      <c r="L281" s="1276">
        <v>329</v>
      </c>
      <c r="M281" s="1277">
        <v>713</v>
      </c>
      <c r="N281" s="1278">
        <v>0.2356</v>
      </c>
      <c r="O281" s="1278">
        <v>9.7999999999999997E-3</v>
      </c>
      <c r="P281" s="1276">
        <v>2</v>
      </c>
      <c r="Q281" s="1276">
        <v>0</v>
      </c>
    </row>
    <row r="282" spans="1:17" s="1252" customFormat="1" ht="50.25" customHeight="1" x14ac:dyDescent="0.35">
      <c r="A282" s="1246" t="s">
        <v>1492</v>
      </c>
      <c r="B282" s="1246" t="s">
        <v>247</v>
      </c>
      <c r="C282" s="2026" t="s">
        <v>1493</v>
      </c>
      <c r="D282" s="2026"/>
      <c r="E282" s="2026"/>
      <c r="F282" s="2026"/>
      <c r="G282" s="2026"/>
      <c r="H282" s="2026"/>
      <c r="I282" s="1313"/>
      <c r="J282" s="1275"/>
      <c r="K282" s="1251"/>
      <c r="L282" s="1276"/>
      <c r="M282" s="1277"/>
      <c r="N282" s="1278"/>
      <c r="O282" s="1278"/>
      <c r="P282" s="1276"/>
      <c r="Q282" s="1276"/>
    </row>
    <row r="283" spans="1:17" s="1252" customFormat="1" ht="50.25" customHeight="1" x14ac:dyDescent="0.35">
      <c r="A283" s="1246" t="s">
        <v>1494</v>
      </c>
      <c r="B283" s="1246" t="s">
        <v>247</v>
      </c>
      <c r="C283" s="1248"/>
      <c r="D283" s="1248" t="s">
        <v>1132</v>
      </c>
      <c r="E283" s="1275" t="s">
        <v>665</v>
      </c>
      <c r="F283" s="1248" t="s">
        <v>1495</v>
      </c>
      <c r="G283" s="1248"/>
      <c r="H283" s="1248"/>
      <c r="I283" s="1313"/>
      <c r="J283" s="1275" t="s">
        <v>1496</v>
      </c>
      <c r="K283" s="1276" t="s">
        <v>1497</v>
      </c>
      <c r="L283" s="1276">
        <v>787</v>
      </c>
      <c r="M283" s="1277">
        <v>162</v>
      </c>
      <c r="N283" s="1278">
        <v>0.38269999999999998</v>
      </c>
      <c r="O283" s="1278">
        <v>3.6999999999999998E-2</v>
      </c>
      <c r="P283" s="1276">
        <v>0</v>
      </c>
      <c r="Q283" s="1276">
        <v>0</v>
      </c>
    </row>
    <row r="284" spans="1:17" s="1252" customFormat="1" ht="50.25" customHeight="1" x14ac:dyDescent="0.35">
      <c r="A284" s="1308">
        <v>46092</v>
      </c>
      <c r="B284" s="1246" t="s">
        <v>247</v>
      </c>
      <c r="C284" s="2027" t="s">
        <v>1498</v>
      </c>
      <c r="D284" s="2027"/>
      <c r="E284" s="2027"/>
      <c r="F284" s="2027"/>
      <c r="G284" s="2027"/>
      <c r="H284" s="2027"/>
      <c r="I284" s="1313"/>
      <c r="J284" s="1275" t="s">
        <v>1499</v>
      </c>
      <c r="K284" s="1276" t="s">
        <v>1500</v>
      </c>
      <c r="L284" s="1276">
        <v>373</v>
      </c>
      <c r="M284" s="1277">
        <v>232</v>
      </c>
      <c r="N284" s="1278">
        <v>0.39219999999999999</v>
      </c>
      <c r="O284" s="1278">
        <v>7.7600000000000002E-2</v>
      </c>
      <c r="P284" s="1276">
        <v>0</v>
      </c>
      <c r="Q284" s="1276">
        <v>2</v>
      </c>
    </row>
    <row r="285" spans="1:17" s="1252" customFormat="1" ht="50.25" customHeight="1" x14ac:dyDescent="0.35">
      <c r="A285" s="1246" t="s">
        <v>1501</v>
      </c>
      <c r="B285" s="1246" t="s">
        <v>319</v>
      </c>
      <c r="C285" s="1253"/>
      <c r="D285" s="1248" t="s">
        <v>1120</v>
      </c>
      <c r="E285" s="1275" t="s">
        <v>665</v>
      </c>
      <c r="F285" s="1248" t="s">
        <v>1502</v>
      </c>
      <c r="G285" s="1248"/>
      <c r="H285" s="1275" t="s">
        <v>1503</v>
      </c>
      <c r="I285" s="1323"/>
      <c r="J285" s="1275" t="s">
        <v>1504</v>
      </c>
      <c r="K285" s="1276" t="s">
        <v>1505</v>
      </c>
      <c r="L285" s="1276">
        <v>230</v>
      </c>
      <c r="M285" s="1277">
        <v>525</v>
      </c>
      <c r="N285" s="1278">
        <v>0.2419</v>
      </c>
      <c r="O285" s="1278">
        <v>1.7100000000000001E-2</v>
      </c>
      <c r="P285" s="1276">
        <v>1</v>
      </c>
      <c r="Q285" s="1276">
        <v>8</v>
      </c>
    </row>
    <row r="286" spans="1:17" s="1252" customFormat="1" ht="50.25" customHeight="1" x14ac:dyDescent="0.35">
      <c r="A286" s="1246" t="s">
        <v>1501</v>
      </c>
      <c r="B286" s="1246" t="s">
        <v>247</v>
      </c>
      <c r="C286" s="2027" t="s">
        <v>1506</v>
      </c>
      <c r="D286" s="2027"/>
      <c r="E286" s="2027"/>
      <c r="F286" s="2027"/>
      <c r="G286" s="2027"/>
      <c r="H286" s="2027"/>
      <c r="I286" s="1313"/>
      <c r="J286" s="1275"/>
      <c r="K286" s="1251"/>
      <c r="L286" s="1276"/>
      <c r="M286" s="1277"/>
      <c r="N286" s="1278"/>
      <c r="O286" s="1278"/>
      <c r="P286" s="1276"/>
      <c r="Q286" s="1276"/>
    </row>
    <row r="287" spans="1:17" ht="45" customHeight="1" x14ac:dyDescent="0.5">
      <c r="A287" s="1308">
        <v>46105</v>
      </c>
      <c r="B287" s="1315" t="s">
        <v>247</v>
      </c>
      <c r="C287" s="2027" t="s">
        <v>1507</v>
      </c>
      <c r="D287" s="2027"/>
      <c r="E287" s="2027"/>
      <c r="F287" s="2027"/>
      <c r="G287" s="2027"/>
      <c r="H287" s="2027"/>
      <c r="I287" s="1313"/>
      <c r="J287" s="1248"/>
      <c r="K287" s="1251"/>
      <c r="L287" s="1276"/>
      <c r="M287" s="1277"/>
      <c r="N287" s="1278"/>
      <c r="O287" s="1278"/>
      <c r="P287" s="1276"/>
      <c r="Q287" s="1276"/>
    </row>
    <row r="288" spans="1:17" ht="45" customHeight="1" x14ac:dyDescent="0.5">
      <c r="A288" s="1308">
        <v>46111</v>
      </c>
      <c r="B288" s="1315" t="s">
        <v>1166</v>
      </c>
      <c r="C288" s="1332">
        <v>46114</v>
      </c>
      <c r="D288" s="1248" t="s">
        <v>41</v>
      </c>
      <c r="E288" s="1275" t="s">
        <v>1005</v>
      </c>
      <c r="F288" s="1248" t="s">
        <v>1508</v>
      </c>
      <c r="G288" s="1248" t="s">
        <v>1509</v>
      </c>
      <c r="H288" s="1248"/>
      <c r="I288" s="1313"/>
      <c r="J288" s="1275" t="s">
        <v>1510</v>
      </c>
      <c r="K288" s="1276" t="s">
        <v>1511</v>
      </c>
      <c r="L288" s="1276">
        <v>302</v>
      </c>
      <c r="M288" s="1277">
        <v>677</v>
      </c>
      <c r="N288" s="1278">
        <v>0.1905</v>
      </c>
      <c r="O288" s="1278">
        <v>7.4000000000000003E-3</v>
      </c>
      <c r="P288" s="1276">
        <v>3</v>
      </c>
      <c r="Q288" s="1276">
        <v>0</v>
      </c>
    </row>
    <row r="289" spans="1:17" ht="45" customHeight="1" x14ac:dyDescent="0.5">
      <c r="A289" s="1308">
        <v>46118</v>
      </c>
      <c r="B289" s="1315" t="s">
        <v>319</v>
      </c>
      <c r="C289" s="1332">
        <v>46121</v>
      </c>
      <c r="D289" s="1248" t="s">
        <v>1120</v>
      </c>
      <c r="E289" s="1275" t="s">
        <v>665</v>
      </c>
      <c r="F289" s="1248" t="s">
        <v>1512</v>
      </c>
      <c r="G289" s="1248" t="s">
        <v>1513</v>
      </c>
      <c r="H289" s="1302" t="s">
        <v>1514</v>
      </c>
      <c r="I289" s="1313"/>
      <c r="J289" s="1275" t="s">
        <v>1515</v>
      </c>
      <c r="K289" s="1276" t="s">
        <v>1516</v>
      </c>
      <c r="L289" s="1276">
        <v>294</v>
      </c>
      <c r="M289" s="1277">
        <v>244</v>
      </c>
      <c r="N289" s="1278">
        <v>0.27050000000000002</v>
      </c>
      <c r="O289" s="1278">
        <v>4.5100000000000001E-2</v>
      </c>
      <c r="P289" s="1276">
        <v>0</v>
      </c>
      <c r="Q289" s="1276">
        <v>0</v>
      </c>
    </row>
    <row r="290" spans="1:17" ht="45" customHeight="1" x14ac:dyDescent="0.5">
      <c r="A290" s="1308">
        <v>46125</v>
      </c>
      <c r="B290" s="1315" t="s">
        <v>319</v>
      </c>
      <c r="C290" s="2027" t="s">
        <v>1378</v>
      </c>
      <c r="D290" s="2027"/>
      <c r="E290" s="2027"/>
      <c r="F290" s="2027"/>
      <c r="G290" s="2027"/>
      <c r="H290" s="2027"/>
      <c r="I290" s="1313"/>
      <c r="J290" s="1275" t="s">
        <v>1517</v>
      </c>
      <c r="K290" s="1276" t="s">
        <v>1518</v>
      </c>
      <c r="L290" s="1276">
        <v>371</v>
      </c>
      <c r="M290" s="1277">
        <v>223</v>
      </c>
      <c r="N290" s="1278">
        <v>0.38119999999999998</v>
      </c>
      <c r="O290" s="1278">
        <v>0.13450000000000001</v>
      </c>
      <c r="P290" s="1276">
        <v>0</v>
      </c>
      <c r="Q290" s="1276">
        <v>1</v>
      </c>
    </row>
    <row r="291" spans="1:17" ht="45" customHeight="1" x14ac:dyDescent="0.5">
      <c r="A291" s="1315">
        <v>46127</v>
      </c>
      <c r="B291" s="1315" t="s">
        <v>369</v>
      </c>
      <c r="C291" s="2025" t="s">
        <v>1519</v>
      </c>
      <c r="D291" s="2025"/>
      <c r="E291" s="2025"/>
      <c r="F291" s="2025"/>
      <c r="G291" s="2025"/>
      <c r="H291" s="2025"/>
      <c r="I291" s="1313"/>
      <c r="J291" s="1248"/>
      <c r="K291" s="1251"/>
      <c r="L291" s="1276"/>
      <c r="M291" s="1277"/>
      <c r="N291" s="1278"/>
      <c r="O291" s="1278"/>
      <c r="P291" s="1276"/>
      <c r="Q291" s="1276"/>
    </row>
    <row r="292" spans="1:17" ht="45" customHeight="1" x14ac:dyDescent="0.5">
      <c r="A292" s="1315">
        <v>46127</v>
      </c>
      <c r="B292" s="1315" t="s">
        <v>319</v>
      </c>
      <c r="C292" s="2027" t="s">
        <v>1520</v>
      </c>
      <c r="D292" s="2027"/>
      <c r="E292" s="2027"/>
      <c r="F292" s="2027"/>
      <c r="G292" s="2027"/>
      <c r="H292" s="2027"/>
      <c r="I292" s="1313"/>
      <c r="J292" s="1248"/>
      <c r="K292" s="1251"/>
      <c r="L292" s="1276"/>
      <c r="M292" s="1277"/>
      <c r="N292" s="1278"/>
      <c r="O292" s="1278"/>
      <c r="P292" s="1276"/>
      <c r="Q292" s="1276"/>
    </row>
    <row r="293" spans="1:17" ht="45" customHeight="1" x14ac:dyDescent="0.5">
      <c r="A293" s="1308">
        <v>46132</v>
      </c>
      <c r="B293" s="1315"/>
      <c r="C293" s="2029" t="s">
        <v>106</v>
      </c>
      <c r="D293" s="2029"/>
      <c r="E293" s="2029"/>
      <c r="F293" s="2029"/>
      <c r="G293" s="2029"/>
      <c r="H293" s="2029"/>
      <c r="I293" s="1313"/>
      <c r="J293" s="1248"/>
      <c r="K293" s="1251"/>
      <c r="L293" s="1276"/>
      <c r="M293" s="1277"/>
      <c r="N293" s="1278"/>
      <c r="O293" s="1278"/>
      <c r="P293" s="1276"/>
      <c r="Q293" s="1276"/>
    </row>
    <row r="294" spans="1:17" ht="45" customHeight="1" x14ac:dyDescent="0.5">
      <c r="A294" s="1662">
        <v>46139</v>
      </c>
      <c r="B294" s="1834" t="s">
        <v>41</v>
      </c>
      <c r="C294" s="1332">
        <v>46140</v>
      </c>
      <c r="D294" s="1248" t="s">
        <v>1120</v>
      </c>
      <c r="E294" s="1275" t="s">
        <v>665</v>
      </c>
      <c r="F294" s="1818" t="s">
        <v>1521</v>
      </c>
      <c r="G294" s="1340"/>
      <c r="H294" s="1340"/>
      <c r="I294" s="1313"/>
      <c r="J294" s="1275" t="s">
        <v>1522</v>
      </c>
      <c r="K294" s="1276" t="s">
        <v>1523</v>
      </c>
      <c r="L294" s="1276">
        <v>209</v>
      </c>
      <c r="M294" s="1277">
        <v>193</v>
      </c>
      <c r="N294" s="1278">
        <v>0.26419999999999999</v>
      </c>
      <c r="O294" s="1278">
        <v>0</v>
      </c>
      <c r="P294" s="1276">
        <v>0</v>
      </c>
      <c r="Q294" s="1276">
        <v>0</v>
      </c>
    </row>
    <row r="295" spans="1:17" ht="45" customHeight="1" x14ac:dyDescent="0.5">
      <c r="A295" s="1308">
        <v>46146</v>
      </c>
      <c r="B295" s="1834" t="s">
        <v>41</v>
      </c>
      <c r="C295" s="1332"/>
      <c r="D295" s="1816"/>
      <c r="E295" s="1816"/>
      <c r="F295" s="1818" t="s">
        <v>1521</v>
      </c>
      <c r="G295" s="1818" t="s">
        <v>1524</v>
      </c>
      <c r="H295" s="1818" t="s">
        <v>1525</v>
      </c>
      <c r="I295" s="1323" t="s">
        <v>1355</v>
      </c>
      <c r="J295" s="1248"/>
      <c r="K295" s="1251"/>
      <c r="L295" s="1276"/>
      <c r="M295" s="1277"/>
      <c r="N295" s="1278"/>
      <c r="O295" s="1278"/>
      <c r="P295" s="1276"/>
      <c r="Q295" s="1276"/>
    </row>
    <row r="296" spans="1:17" ht="45" customHeight="1" x14ac:dyDescent="0.5">
      <c r="A296" s="1308">
        <v>46146</v>
      </c>
      <c r="B296" s="1815" t="s">
        <v>247</v>
      </c>
      <c r="C296" s="1333"/>
      <c r="D296" s="1333"/>
      <c r="E296" s="1333"/>
      <c r="F296" s="1333" t="s">
        <v>1526</v>
      </c>
      <c r="G296" s="1333"/>
      <c r="H296" s="1333"/>
      <c r="I296" s="1313"/>
      <c r="J296" s="1275" t="s">
        <v>1527</v>
      </c>
      <c r="K296" s="1276" t="s">
        <v>1528</v>
      </c>
      <c r="L296" s="1276">
        <v>323</v>
      </c>
      <c r="M296" s="1277">
        <v>161</v>
      </c>
      <c r="N296" s="1278">
        <v>0.31680000000000003</v>
      </c>
      <c r="O296" s="1278">
        <v>0.1118</v>
      </c>
      <c r="P296" s="1276">
        <v>0</v>
      </c>
      <c r="Q296" s="1276">
        <v>1</v>
      </c>
    </row>
    <row r="297" spans="1:17" ht="45" customHeight="1" x14ac:dyDescent="0.5">
      <c r="A297" s="1308">
        <v>46153</v>
      </c>
      <c r="B297" s="1315" t="s">
        <v>319</v>
      </c>
      <c r="C297" s="2027" t="s">
        <v>1404</v>
      </c>
      <c r="D297" s="2027"/>
      <c r="E297" s="2027"/>
      <c r="F297" s="2027"/>
      <c r="G297" s="2027"/>
      <c r="H297" s="2027"/>
      <c r="I297" s="1313"/>
      <c r="J297" s="1275" t="s">
        <v>1529</v>
      </c>
      <c r="K297" s="1276" t="s">
        <v>1530</v>
      </c>
      <c r="L297" s="1276">
        <v>371</v>
      </c>
      <c r="M297" s="1277">
        <v>263</v>
      </c>
      <c r="N297" s="1278">
        <v>0.45250000000000001</v>
      </c>
      <c r="O297" s="1278">
        <v>0.27</v>
      </c>
      <c r="P297" s="1276">
        <v>0</v>
      </c>
      <c r="Q297" s="1276">
        <v>0</v>
      </c>
    </row>
    <row r="298" spans="1:17" ht="45" customHeight="1" x14ac:dyDescent="0.5">
      <c r="A298" s="1308">
        <v>46153</v>
      </c>
      <c r="B298" s="1315" t="s">
        <v>319</v>
      </c>
      <c r="C298" s="1332">
        <v>46156</v>
      </c>
      <c r="D298" s="1340"/>
      <c r="E298" s="1340"/>
      <c r="F298" s="1340" t="s">
        <v>1531</v>
      </c>
      <c r="G298" s="1340"/>
      <c r="H298" s="1862" t="s">
        <v>1532</v>
      </c>
      <c r="I298" s="1313"/>
      <c r="J298" s="1275" t="s">
        <v>1533</v>
      </c>
      <c r="K298" s="1276" t="s">
        <v>1534</v>
      </c>
      <c r="L298" s="1276">
        <v>241</v>
      </c>
      <c r="M298" s="1277">
        <v>402</v>
      </c>
      <c r="N298" s="1278">
        <v>0.25119999999999998</v>
      </c>
      <c r="O298" s="1278">
        <v>1.7399999999999999E-2</v>
      </c>
      <c r="P298" s="1276">
        <v>1</v>
      </c>
      <c r="Q298" s="1276">
        <v>0</v>
      </c>
    </row>
    <row r="299" spans="1:17" ht="45" customHeight="1" x14ac:dyDescent="0.5">
      <c r="A299" s="1308">
        <v>46160</v>
      </c>
      <c r="B299" s="1834" t="s">
        <v>319</v>
      </c>
      <c r="C299" s="1332">
        <v>46161</v>
      </c>
      <c r="D299" s="1340"/>
      <c r="E299" s="1340"/>
      <c r="F299" s="1818" t="s">
        <v>1535</v>
      </c>
      <c r="G299" s="1340"/>
      <c r="H299" s="1862" t="s">
        <v>1532</v>
      </c>
      <c r="I299" s="1313"/>
      <c r="J299" s="1275" t="s">
        <v>1536</v>
      </c>
      <c r="K299" s="1276" t="s">
        <v>1537</v>
      </c>
      <c r="L299" s="1276">
        <v>229</v>
      </c>
      <c r="M299" s="1277">
        <v>408</v>
      </c>
      <c r="N299" s="1278">
        <v>0.27939999999999998</v>
      </c>
      <c r="O299" s="1278">
        <v>2.4500000000000001E-2</v>
      </c>
      <c r="P299" s="1276">
        <v>1</v>
      </c>
      <c r="Q299" s="1276">
        <v>0</v>
      </c>
    </row>
    <row r="300" spans="1:17" ht="45" customHeight="1" x14ac:dyDescent="0.5">
      <c r="A300" s="1662">
        <v>46167</v>
      </c>
      <c r="B300" s="1315"/>
      <c r="C300" s="2029" t="s">
        <v>106</v>
      </c>
      <c r="D300" s="2029"/>
      <c r="E300" s="2029"/>
      <c r="F300" s="2029"/>
      <c r="G300" s="2029"/>
      <c r="H300" s="2029"/>
      <c r="I300" s="1323"/>
      <c r="J300" s="1275"/>
      <c r="K300" s="1276"/>
      <c r="L300" s="1276"/>
      <c r="M300" s="1277"/>
      <c r="N300" s="1278"/>
      <c r="O300" s="1278"/>
      <c r="P300" s="1276"/>
      <c r="Q300" s="1276"/>
    </row>
    <row r="301" spans="1:17" ht="45" customHeight="1" x14ac:dyDescent="0.5">
      <c r="A301" s="1308">
        <v>46174</v>
      </c>
      <c r="B301" s="1834" t="s">
        <v>319</v>
      </c>
      <c r="C301" s="1332">
        <v>46176</v>
      </c>
      <c r="D301" s="1816"/>
      <c r="E301" s="1816"/>
      <c r="F301" s="1817" t="s">
        <v>1538</v>
      </c>
      <c r="G301" s="1818"/>
      <c r="H301" s="1302" t="s">
        <v>1532</v>
      </c>
      <c r="I301" s="1323"/>
      <c r="J301" s="1275" t="s">
        <v>1539</v>
      </c>
      <c r="K301" s="1276" t="s">
        <v>1540</v>
      </c>
      <c r="L301" s="1276">
        <v>280</v>
      </c>
      <c r="M301" s="1277">
        <v>372</v>
      </c>
      <c r="N301" s="1278">
        <v>0.2581</v>
      </c>
      <c r="O301" s="1278">
        <v>2.69E-2</v>
      </c>
      <c r="P301" s="1276">
        <v>0</v>
      </c>
      <c r="Q301" s="1276">
        <v>0</v>
      </c>
    </row>
    <row r="302" spans="1:17" ht="45" customHeight="1" x14ac:dyDescent="0.5">
      <c r="A302" s="1308">
        <v>46174</v>
      </c>
      <c r="B302" s="1815" t="s">
        <v>319</v>
      </c>
      <c r="C302" s="2030" t="s">
        <v>1434</v>
      </c>
      <c r="D302" s="2030"/>
      <c r="E302" s="2030"/>
      <c r="F302" s="2030"/>
      <c r="G302" s="2030"/>
      <c r="H302" s="2030"/>
      <c r="I302" s="1313"/>
      <c r="J302" s="1275" t="s">
        <v>1541</v>
      </c>
      <c r="K302" s="1276" t="s">
        <v>1542</v>
      </c>
      <c r="L302" s="1276">
        <v>363</v>
      </c>
      <c r="M302" s="1277">
        <v>278</v>
      </c>
      <c r="N302" s="1278">
        <v>0.47120000000000001</v>
      </c>
      <c r="O302" s="1278">
        <v>0.2014</v>
      </c>
      <c r="P302" s="1276">
        <v>0</v>
      </c>
      <c r="Q302" s="1276">
        <v>0</v>
      </c>
    </row>
    <row r="303" spans="1:17" ht="45" customHeight="1" x14ac:dyDescent="0.5">
      <c r="A303" s="1308">
        <v>46181</v>
      </c>
      <c r="B303" s="1315" t="s">
        <v>369</v>
      </c>
      <c r="C303" s="1332">
        <v>46183</v>
      </c>
      <c r="D303" s="1248"/>
      <c r="E303" s="1248"/>
      <c r="F303" s="1248" t="s">
        <v>1543</v>
      </c>
      <c r="G303" s="1248" t="s">
        <v>1544</v>
      </c>
      <c r="H303" s="1248"/>
      <c r="I303" s="1313"/>
      <c r="J303" s="1275" t="s">
        <v>1545</v>
      </c>
      <c r="K303" s="1276" t="s">
        <v>1546</v>
      </c>
      <c r="L303" s="1276">
        <v>227</v>
      </c>
      <c r="M303" s="1277">
        <v>330</v>
      </c>
      <c r="N303" s="1278">
        <v>0.2515</v>
      </c>
      <c r="O303" s="1278">
        <v>1.21E-2</v>
      </c>
      <c r="P303" s="1276">
        <v>0</v>
      </c>
      <c r="Q303" s="1276">
        <v>0</v>
      </c>
    </row>
    <row r="304" spans="1:17" ht="45" customHeight="1" x14ac:dyDescent="0.5">
      <c r="A304" s="1308">
        <v>46188</v>
      </c>
      <c r="B304" s="1315" t="s">
        <v>319</v>
      </c>
      <c r="C304" s="1332">
        <v>46189</v>
      </c>
      <c r="D304" s="1248" t="s">
        <v>1120</v>
      </c>
      <c r="E304" s="1248"/>
      <c r="F304" s="1248" t="s">
        <v>1547</v>
      </c>
      <c r="G304" s="1248" t="s">
        <v>1548</v>
      </c>
      <c r="H304" s="1248"/>
      <c r="I304" s="1313"/>
      <c r="J304" s="1275" t="s">
        <v>1549</v>
      </c>
      <c r="K304" s="1276" t="s">
        <v>1550</v>
      </c>
      <c r="L304" s="1276">
        <v>336</v>
      </c>
      <c r="M304" s="1277">
        <v>365</v>
      </c>
      <c r="N304" s="1278">
        <v>0.19450000000000001</v>
      </c>
      <c r="O304" s="1278">
        <v>1.0999999999999999E-2</v>
      </c>
      <c r="P304" s="1276">
        <v>0</v>
      </c>
      <c r="Q304" s="1276">
        <v>1</v>
      </c>
    </row>
    <row r="305" spans="1:17" ht="45" customHeight="1" x14ac:dyDescent="0.5">
      <c r="A305" s="1789">
        <v>46195</v>
      </c>
      <c r="B305" s="1315" t="s">
        <v>369</v>
      </c>
      <c r="C305" s="1332">
        <v>46197</v>
      </c>
      <c r="D305" s="1248"/>
      <c r="E305" s="1248"/>
      <c r="F305" s="1248" t="s">
        <v>1551</v>
      </c>
      <c r="G305" s="1248" t="s">
        <v>1552</v>
      </c>
      <c r="H305" s="1248"/>
      <c r="I305" s="1313" t="s">
        <v>1553</v>
      </c>
      <c r="J305" s="1275" t="s">
        <v>1554</v>
      </c>
      <c r="K305" s="1251"/>
      <c r="L305" s="1276"/>
      <c r="M305" s="1277"/>
      <c r="N305" s="1278"/>
      <c r="O305" s="1278"/>
      <c r="P305" s="1276"/>
      <c r="Q305" s="1276"/>
    </row>
    <row r="306" spans="1:17" ht="45" customHeight="1" x14ac:dyDescent="0.5">
      <c r="A306" s="1308">
        <v>46195</v>
      </c>
      <c r="B306" s="1315" t="s">
        <v>319</v>
      </c>
      <c r="C306" s="2027" t="s">
        <v>1555</v>
      </c>
      <c r="D306" s="2027"/>
      <c r="E306" s="2027"/>
      <c r="F306" s="2027"/>
      <c r="G306" s="2027"/>
      <c r="H306" s="2027"/>
      <c r="I306" s="1313"/>
      <c r="J306" s="1275" t="s">
        <v>1556</v>
      </c>
      <c r="K306" s="1276" t="s">
        <v>1557</v>
      </c>
      <c r="L306" s="1324"/>
      <c r="M306" s="1325"/>
      <c r="N306" s="1326"/>
      <c r="O306" s="1326"/>
      <c r="P306" s="1324"/>
      <c r="Q306" s="1324"/>
    </row>
    <row r="307" spans="1:17" ht="45" customHeight="1" x14ac:dyDescent="0.5">
      <c r="A307" s="1789">
        <v>46203</v>
      </c>
      <c r="B307" s="1315" t="s">
        <v>319</v>
      </c>
      <c r="C307" s="2028" t="s">
        <v>1558</v>
      </c>
      <c r="D307" s="2027"/>
      <c r="E307" s="2027"/>
      <c r="F307" s="2027"/>
      <c r="G307" s="2027"/>
      <c r="H307" s="2027"/>
      <c r="I307" s="1313"/>
      <c r="J307" s="1248"/>
      <c r="K307" s="1251"/>
      <c r="L307" s="1276"/>
      <c r="M307" s="1277"/>
      <c r="N307" s="1278"/>
      <c r="O307" s="1278"/>
      <c r="P307" s="1276"/>
      <c r="Q307" s="1276"/>
    </row>
    <row r="308" spans="1:17" ht="45" customHeight="1" x14ac:dyDescent="0.5">
      <c r="A308" s="1337">
        <v>46209</v>
      </c>
      <c r="B308" s="1914"/>
      <c r="C308" s="1253">
        <v>46210</v>
      </c>
      <c r="D308" s="1912"/>
      <c r="E308" s="1912"/>
      <c r="F308" s="1912"/>
      <c r="G308" s="1912"/>
      <c r="H308" s="1912"/>
      <c r="I308" s="1313"/>
      <c r="J308" s="1248"/>
      <c r="K308" s="1251"/>
      <c r="L308" s="1276"/>
      <c r="M308" s="1277"/>
      <c r="N308" s="1278"/>
      <c r="O308" s="1278"/>
      <c r="P308" s="1276"/>
      <c r="Q308" s="1276"/>
    </row>
    <row r="309" spans="1:17" ht="45" customHeight="1" x14ac:dyDescent="0.5">
      <c r="A309" s="1337">
        <v>46212</v>
      </c>
      <c r="B309" s="1315" t="s">
        <v>319</v>
      </c>
      <c r="C309" s="2022" t="s">
        <v>1559</v>
      </c>
      <c r="D309" s="2023"/>
      <c r="E309" s="2023"/>
      <c r="F309" s="2023"/>
      <c r="G309" s="2023"/>
      <c r="H309" s="2024"/>
      <c r="I309" s="1313"/>
      <c r="J309" s="1248"/>
      <c r="K309" s="1251"/>
      <c r="L309" s="1276"/>
      <c r="M309" s="1277"/>
      <c r="N309" s="1278"/>
      <c r="O309" s="1278"/>
      <c r="P309" s="1276"/>
      <c r="Q309" s="1276"/>
    </row>
    <row r="310" spans="1:17" ht="45" customHeight="1" x14ac:dyDescent="0.5">
      <c r="A310" s="1315">
        <v>46212</v>
      </c>
      <c r="B310" s="1315" t="s">
        <v>1166</v>
      </c>
      <c r="C310" s="2025" t="s">
        <v>1560</v>
      </c>
      <c r="D310" s="2025"/>
      <c r="E310" s="2025"/>
      <c r="F310" s="2025"/>
      <c r="G310" s="2025"/>
      <c r="H310" s="2025"/>
      <c r="I310" s="1313"/>
      <c r="J310" s="1248"/>
      <c r="K310" s="1251"/>
      <c r="L310" s="1276"/>
      <c r="M310" s="1277"/>
      <c r="N310" s="1278"/>
      <c r="O310" s="1278"/>
      <c r="P310" s="1276"/>
      <c r="Q310" s="1276"/>
    </row>
    <row r="311" spans="1:17" ht="45" customHeight="1" x14ac:dyDescent="0.5">
      <c r="A311" s="1337">
        <v>46216</v>
      </c>
      <c r="B311" s="1315" t="s">
        <v>319</v>
      </c>
      <c r="C311" s="2027" t="s">
        <v>1471</v>
      </c>
      <c r="D311" s="2027"/>
      <c r="E311" s="2027"/>
      <c r="F311" s="2027"/>
      <c r="G311" s="2027"/>
      <c r="H311" s="2027"/>
      <c r="I311" s="1313"/>
      <c r="J311" s="1248"/>
      <c r="K311" s="1251"/>
      <c r="L311" s="1276"/>
      <c r="M311" s="1277"/>
      <c r="N311" s="1278"/>
      <c r="O311" s="1278"/>
      <c r="P311" s="1276"/>
      <c r="Q311" s="1276"/>
    </row>
    <row r="312" spans="1:17" ht="45" customHeight="1" x14ac:dyDescent="0.5">
      <c r="A312" s="1337">
        <v>46216</v>
      </c>
      <c r="B312" s="1550"/>
      <c r="C312" s="1332">
        <v>46218</v>
      </c>
      <c r="D312" s="1912"/>
      <c r="E312" s="1912"/>
      <c r="F312" s="1912"/>
      <c r="G312" s="1912"/>
      <c r="H312" s="1912"/>
      <c r="I312" s="1313"/>
      <c r="J312" s="1248"/>
      <c r="K312" s="1251"/>
      <c r="L312" s="1276"/>
      <c r="M312" s="1277"/>
      <c r="N312" s="1278"/>
      <c r="O312" s="1278"/>
      <c r="P312" s="1276"/>
      <c r="Q312" s="1276"/>
    </row>
    <row r="313" spans="1:17" ht="45" customHeight="1" x14ac:dyDescent="0.5">
      <c r="A313" s="1337">
        <v>46223</v>
      </c>
      <c r="B313" s="1315" t="s">
        <v>319</v>
      </c>
      <c r="C313" s="2027" t="s">
        <v>1561</v>
      </c>
      <c r="D313" s="2027"/>
      <c r="E313" s="2027"/>
      <c r="F313" s="2027"/>
      <c r="G313" s="2027"/>
      <c r="H313" s="2027"/>
      <c r="I313" s="1313"/>
      <c r="J313" s="1248"/>
      <c r="K313" s="1251"/>
      <c r="L313" s="1276"/>
      <c r="M313" s="1277"/>
      <c r="N313" s="1278"/>
      <c r="O313" s="1278"/>
      <c r="P313" s="1276"/>
      <c r="Q313" s="1276"/>
    </row>
    <row r="314" spans="1:17" ht="45" customHeight="1" x14ac:dyDescent="0.5">
      <c r="A314" s="1337">
        <v>46223</v>
      </c>
      <c r="B314" s="1550"/>
      <c r="C314" s="1332">
        <v>46224</v>
      </c>
      <c r="D314" s="1912"/>
      <c r="E314" s="1912"/>
      <c r="F314" s="1912"/>
      <c r="G314" s="1912"/>
      <c r="H314" s="1912"/>
      <c r="I314" s="1313"/>
      <c r="J314" s="1248"/>
      <c r="K314" s="1251"/>
      <c r="L314" s="1276"/>
      <c r="M314" s="1277"/>
      <c r="N314" s="1278"/>
      <c r="O314" s="1278"/>
      <c r="P314" s="1276"/>
      <c r="Q314" s="1276"/>
    </row>
    <row r="315" spans="1:17" ht="45" customHeight="1" x14ac:dyDescent="0.5">
      <c r="A315" s="1337">
        <v>46230</v>
      </c>
      <c r="B315" s="1315" t="s">
        <v>319</v>
      </c>
      <c r="C315" s="2027" t="s">
        <v>1562</v>
      </c>
      <c r="D315" s="2027"/>
      <c r="E315" s="2027"/>
      <c r="F315" s="2027"/>
      <c r="G315" s="2027"/>
      <c r="H315" s="2027"/>
      <c r="I315" s="1313"/>
      <c r="J315" s="1248"/>
      <c r="K315" s="1251"/>
      <c r="L315" s="1276"/>
      <c r="M315" s="1277"/>
      <c r="N315" s="1278"/>
      <c r="O315" s="1278"/>
      <c r="P315" s="1276"/>
      <c r="Q315" s="1276"/>
    </row>
    <row r="316" spans="1:17" ht="45" customHeight="1" x14ac:dyDescent="0.5">
      <c r="A316" s="1337">
        <v>46230</v>
      </c>
      <c r="B316" s="1550"/>
      <c r="C316" s="1332">
        <v>46233</v>
      </c>
      <c r="D316" s="1912"/>
      <c r="E316" s="1912"/>
      <c r="F316" s="1912"/>
      <c r="G316" s="1912"/>
      <c r="H316" s="1912"/>
      <c r="I316" s="1313"/>
      <c r="J316" s="1248"/>
      <c r="K316" s="1251"/>
      <c r="L316" s="1276"/>
      <c r="M316" s="1277"/>
      <c r="N316" s="1278"/>
      <c r="O316" s="1278"/>
      <c r="P316" s="1276"/>
      <c r="Q316" s="1276"/>
    </row>
    <row r="317" spans="1:17" ht="45" customHeight="1" x14ac:dyDescent="0.5">
      <c r="A317" s="1337">
        <v>46233</v>
      </c>
      <c r="B317" s="1315" t="s">
        <v>319</v>
      </c>
      <c r="C317" s="2027" t="s">
        <v>1563</v>
      </c>
      <c r="D317" s="2027"/>
      <c r="E317" s="2027"/>
      <c r="F317" s="2027"/>
      <c r="G317" s="2027"/>
      <c r="H317" s="2027"/>
      <c r="I317" s="1313"/>
      <c r="J317" s="1248"/>
      <c r="K317" s="1251"/>
      <c r="L317" s="1276"/>
      <c r="M317" s="1277"/>
      <c r="N317" s="1278"/>
      <c r="O317" s="1278"/>
      <c r="P317" s="1276"/>
      <c r="Q317" s="1276"/>
    </row>
    <row r="318" spans="1:17" ht="45" customHeight="1" x14ac:dyDescent="0.5">
      <c r="A318" s="1315" t="s">
        <v>1564</v>
      </c>
      <c r="B318" s="1315" t="s">
        <v>319</v>
      </c>
      <c r="C318" s="2026" t="s">
        <v>1565</v>
      </c>
      <c r="D318" s="2026"/>
      <c r="E318" s="2026"/>
      <c r="F318" s="2026"/>
      <c r="G318" s="2026"/>
      <c r="H318" s="2026"/>
      <c r="I318" s="1313"/>
      <c r="J318" s="1248"/>
      <c r="K318" s="1251"/>
      <c r="L318" s="1276"/>
      <c r="M318" s="1277"/>
      <c r="N318" s="1278"/>
      <c r="O318" s="1278"/>
      <c r="P318" s="1276"/>
      <c r="Q318" s="1276"/>
    </row>
    <row r="319" spans="1:17" ht="45" customHeight="1" x14ac:dyDescent="0.5">
      <c r="A319" s="1337">
        <v>46240</v>
      </c>
      <c r="B319" s="1315" t="s">
        <v>319</v>
      </c>
      <c r="C319" s="2027" t="s">
        <v>1498</v>
      </c>
      <c r="D319" s="2027"/>
      <c r="E319" s="2027"/>
      <c r="F319" s="2027"/>
      <c r="G319" s="2027"/>
      <c r="H319" s="2027"/>
      <c r="I319" s="1313"/>
      <c r="J319" s="1248"/>
      <c r="K319" s="1251"/>
      <c r="L319" s="1276"/>
      <c r="M319" s="1277"/>
      <c r="N319" s="1278"/>
      <c r="O319" s="1278"/>
      <c r="P319" s="1276"/>
      <c r="Q319" s="1276"/>
    </row>
    <row r="320" spans="1:17" ht="45" customHeight="1" x14ac:dyDescent="0.5">
      <c r="A320" s="1337">
        <v>46244</v>
      </c>
      <c r="B320" s="1315"/>
      <c r="C320" s="1332">
        <v>46246</v>
      </c>
      <c r="D320" s="1912"/>
      <c r="E320" s="1912"/>
      <c r="F320" s="1912"/>
      <c r="G320" s="1912"/>
      <c r="H320" s="1912"/>
      <c r="I320" s="1313"/>
      <c r="J320" s="1248"/>
      <c r="K320" s="1251"/>
      <c r="L320" s="1276"/>
      <c r="M320" s="1277"/>
      <c r="N320" s="1278"/>
      <c r="O320" s="1278"/>
      <c r="P320" s="1276"/>
      <c r="Q320" s="1276"/>
    </row>
    <row r="321" spans="1:17" ht="45" customHeight="1" x14ac:dyDescent="0.5">
      <c r="A321" s="1337">
        <v>46246</v>
      </c>
      <c r="B321" s="1315" t="s">
        <v>319</v>
      </c>
      <c r="C321" s="2027" t="s">
        <v>1566</v>
      </c>
      <c r="D321" s="2027"/>
      <c r="E321" s="2027"/>
      <c r="F321" s="2027"/>
      <c r="G321" s="2027"/>
      <c r="H321" s="2027"/>
      <c r="I321" s="1313"/>
      <c r="J321" s="1248"/>
      <c r="K321" s="1251"/>
      <c r="L321" s="1276"/>
      <c r="M321" s="1277"/>
      <c r="N321" s="1278"/>
      <c r="O321" s="1278"/>
      <c r="P321" s="1276"/>
      <c r="Q321" s="1276"/>
    </row>
    <row r="322" spans="1:17" ht="45" customHeight="1" x14ac:dyDescent="0.5">
      <c r="A322" s="1819">
        <v>46251</v>
      </c>
      <c r="B322" s="1338" t="s">
        <v>319</v>
      </c>
      <c r="C322" s="2028" t="s">
        <v>1507</v>
      </c>
      <c r="D322" s="2028"/>
      <c r="E322" s="2028"/>
      <c r="F322" s="2028"/>
      <c r="G322" s="2028"/>
      <c r="H322" s="2028"/>
      <c r="I322" s="1339"/>
      <c r="J322" s="1340"/>
      <c r="K322" s="1341"/>
      <c r="L322" s="1342"/>
      <c r="M322" s="1343"/>
      <c r="N322" s="1344"/>
      <c r="O322" s="1344"/>
      <c r="P322" s="1342"/>
      <c r="Q322" s="1342"/>
    </row>
    <row r="323" spans="1:17" ht="45" customHeight="1" x14ac:dyDescent="0.5">
      <c r="A323" s="1819">
        <v>46251</v>
      </c>
      <c r="B323" s="1915"/>
      <c r="C323" s="1253">
        <v>46252</v>
      </c>
      <c r="D323" s="1913"/>
      <c r="E323" s="1913"/>
      <c r="F323" s="1913"/>
      <c r="G323" s="1913"/>
      <c r="H323" s="1913"/>
      <c r="I323" s="1339"/>
      <c r="J323" s="1340"/>
      <c r="K323" s="1341"/>
      <c r="L323" s="1342"/>
      <c r="M323" s="1343"/>
      <c r="N323" s="1344"/>
      <c r="O323" s="1344"/>
      <c r="P323" s="1342"/>
      <c r="Q323" s="1342"/>
    </row>
    <row r="324" spans="1:17" ht="45" customHeight="1" x14ac:dyDescent="0.5">
      <c r="A324" s="1819">
        <v>46258</v>
      </c>
      <c r="B324" s="1338"/>
      <c r="C324" s="1332">
        <v>46259</v>
      </c>
      <c r="D324" s="1913"/>
      <c r="E324" s="1913"/>
      <c r="F324" s="1913"/>
      <c r="G324" s="1913"/>
      <c r="H324" s="1913"/>
      <c r="I324" s="1339"/>
      <c r="J324" s="1340"/>
      <c r="K324" s="1341"/>
      <c r="L324" s="1342"/>
      <c r="M324" s="1343"/>
      <c r="N324" s="1344"/>
      <c r="O324" s="1344"/>
      <c r="P324" s="1342"/>
      <c r="Q324" s="1342"/>
    </row>
    <row r="325" spans="1:17" ht="45" customHeight="1" x14ac:dyDescent="0.5">
      <c r="A325" s="1819">
        <v>46265</v>
      </c>
      <c r="B325" s="1338"/>
      <c r="C325" s="2029" t="s">
        <v>106</v>
      </c>
      <c r="D325" s="2029"/>
      <c r="E325" s="2029"/>
      <c r="F325" s="2029"/>
      <c r="G325" s="2029"/>
      <c r="H325" s="2029"/>
      <c r="I325" s="1339"/>
      <c r="J325" s="1340"/>
      <c r="K325" s="1341"/>
      <c r="L325" s="1342"/>
      <c r="M325" s="1343"/>
      <c r="N325" s="1344"/>
      <c r="O325" s="1344"/>
      <c r="P325" s="1342"/>
      <c r="Q325" s="1342"/>
    </row>
    <row r="326" spans="1:17" ht="45" customHeight="1" x14ac:dyDescent="0.5">
      <c r="A326" s="1819">
        <v>46272</v>
      </c>
      <c r="B326" s="1338"/>
      <c r="C326" s="1332">
        <v>46274</v>
      </c>
      <c r="D326" s="1913"/>
      <c r="E326" s="1913"/>
      <c r="F326" s="1913"/>
      <c r="G326" s="1913"/>
      <c r="H326" s="1913"/>
      <c r="I326" s="1339"/>
      <c r="J326" s="1340"/>
      <c r="K326" s="1341"/>
      <c r="L326" s="1342"/>
      <c r="M326" s="1343"/>
      <c r="N326" s="1344"/>
      <c r="O326" s="1344"/>
      <c r="P326" s="1342"/>
      <c r="Q326" s="1342"/>
    </row>
    <row r="327" spans="1:17" ht="45" customHeight="1" x14ac:dyDescent="0.5">
      <c r="A327" s="1819">
        <v>46279</v>
      </c>
      <c r="B327" s="1338"/>
      <c r="C327" s="1332">
        <v>46280</v>
      </c>
      <c r="D327" s="1913"/>
      <c r="E327" s="1913"/>
      <c r="F327" s="1913"/>
      <c r="G327" s="1913"/>
      <c r="H327" s="1913"/>
      <c r="I327" s="1339"/>
      <c r="J327" s="1340"/>
      <c r="K327" s="1341"/>
      <c r="L327" s="1342"/>
      <c r="M327" s="1343"/>
      <c r="N327" s="1344"/>
      <c r="O327" s="1344"/>
      <c r="P327" s="1342"/>
      <c r="Q327" s="1342"/>
    </row>
    <row r="328" spans="1:17" ht="45" customHeight="1" x14ac:dyDescent="0.5">
      <c r="A328" s="1819">
        <v>46286</v>
      </c>
      <c r="B328" s="1338"/>
      <c r="C328" s="1332">
        <v>46288</v>
      </c>
      <c r="D328" s="1913"/>
      <c r="E328" s="1913"/>
      <c r="F328" s="1913"/>
      <c r="G328" s="1913"/>
      <c r="H328" s="1913"/>
      <c r="I328" s="1339"/>
      <c r="J328" s="1340"/>
      <c r="K328" s="1341"/>
      <c r="L328" s="1342"/>
      <c r="M328" s="1343"/>
      <c r="N328" s="1344"/>
      <c r="O328" s="1344"/>
      <c r="P328" s="1342"/>
      <c r="Q328" s="1342"/>
    </row>
    <row r="329" spans="1:17" ht="45" customHeight="1" x14ac:dyDescent="0.5">
      <c r="A329" s="1819">
        <v>46293</v>
      </c>
      <c r="B329" s="1338"/>
      <c r="C329" s="1332">
        <v>46294</v>
      </c>
      <c r="D329" s="1913"/>
      <c r="E329" s="1913"/>
      <c r="F329" s="1913"/>
      <c r="G329" s="1913"/>
      <c r="H329" s="1913"/>
      <c r="I329" s="1339"/>
      <c r="J329" s="1340"/>
      <c r="K329" s="1341"/>
      <c r="L329" s="1342"/>
      <c r="M329" s="1343"/>
      <c r="N329" s="1344"/>
      <c r="O329" s="1344"/>
      <c r="P329" s="1342"/>
      <c r="Q329" s="1342"/>
    </row>
    <row r="330" spans="1:17" ht="45" customHeight="1" x14ac:dyDescent="0.5">
      <c r="A330" s="1819">
        <v>46300</v>
      </c>
      <c r="B330" s="1338" t="s">
        <v>319</v>
      </c>
      <c r="C330" s="1954"/>
      <c r="D330" s="1913"/>
      <c r="E330" s="1913"/>
      <c r="F330" s="1913" t="s">
        <v>1567</v>
      </c>
      <c r="G330" s="1913"/>
      <c r="H330" s="1913"/>
      <c r="I330" s="1339"/>
      <c r="J330" s="1340"/>
      <c r="K330" s="1341"/>
      <c r="L330" s="1342"/>
      <c r="M330" s="1343"/>
      <c r="N330" s="1344"/>
      <c r="O330" s="1344"/>
      <c r="P330" s="1342"/>
      <c r="Q330" s="1342"/>
    </row>
    <row r="331" spans="1:17" ht="45" customHeight="1" x14ac:dyDescent="0.5">
      <c r="A331" s="1315">
        <v>46309</v>
      </c>
      <c r="B331" s="1914" t="s">
        <v>1166</v>
      </c>
      <c r="C331" s="2025" t="s">
        <v>1568</v>
      </c>
      <c r="D331" s="2025"/>
      <c r="E331" s="2025"/>
      <c r="F331" s="2025"/>
      <c r="G331" s="2025"/>
      <c r="H331" s="2025"/>
      <c r="I331" s="1323"/>
      <c r="J331" s="1248"/>
      <c r="K331" s="1251"/>
      <c r="L331" s="1276"/>
      <c r="M331" s="1277"/>
      <c r="N331" s="1278"/>
      <c r="O331" s="1278"/>
      <c r="P331" s="1276"/>
      <c r="Q331" s="1276"/>
    </row>
    <row r="332" spans="1:17" ht="45" customHeight="1" x14ac:dyDescent="0.5"/>
    <row r="333" spans="1:17" ht="45" customHeight="1" x14ac:dyDescent="0.5"/>
    <row r="334" spans="1:17" ht="45" customHeight="1" x14ac:dyDescent="0.5"/>
    <row r="335" spans="1:17" ht="45" customHeight="1" x14ac:dyDescent="0.5"/>
    <row r="336" spans="1:17" ht="45" customHeight="1" x14ac:dyDescent="0.5"/>
    <row r="337" ht="45" customHeight="1" x14ac:dyDescent="0.5"/>
    <row r="338" ht="45" customHeight="1" x14ac:dyDescent="0.5"/>
    <row r="339" ht="45" customHeight="1" x14ac:dyDescent="0.5"/>
    <row r="340" ht="45" customHeight="1" x14ac:dyDescent="0.5"/>
    <row r="341" ht="45" customHeight="1" x14ac:dyDescent="0.5"/>
    <row r="342" ht="45" customHeight="1" x14ac:dyDescent="0.5"/>
  </sheetData>
  <mergeCells count="142">
    <mergeCell ref="C213:H213"/>
    <mergeCell ref="C117:H117"/>
    <mergeCell ref="C131:H131"/>
    <mergeCell ref="C152:H152"/>
    <mergeCell ref="C151:H151"/>
    <mergeCell ref="C224:H224"/>
    <mergeCell ref="C215:H215"/>
    <mergeCell ref="C223:H223"/>
    <mergeCell ref="C171:H171"/>
    <mergeCell ref="C202:H202"/>
    <mergeCell ref="C222:H222"/>
    <mergeCell ref="C198:H198"/>
    <mergeCell ref="C174:H174"/>
    <mergeCell ref="C177:H177"/>
    <mergeCell ref="C182:H182"/>
    <mergeCell ref="C179:H179"/>
    <mergeCell ref="C175:H175"/>
    <mergeCell ref="C187:H187"/>
    <mergeCell ref="C193:H193"/>
    <mergeCell ref="C196:H196"/>
    <mergeCell ref="C203:H203"/>
    <mergeCell ref="C211:H211"/>
    <mergeCell ref="C197:H197"/>
    <mergeCell ref="C217:H217"/>
    <mergeCell ref="C220:H220"/>
    <mergeCell ref="C1:D1"/>
    <mergeCell ref="C163:H163"/>
    <mergeCell ref="C3:H3"/>
    <mergeCell ref="C69:H69"/>
    <mergeCell ref="C110:H110"/>
    <mergeCell ref="C142:H142"/>
    <mergeCell ref="C143:H143"/>
    <mergeCell ref="C154:H154"/>
    <mergeCell ref="C28:H28"/>
    <mergeCell ref="C62:H62"/>
    <mergeCell ref="C135:H135"/>
    <mergeCell ref="C79:H79"/>
    <mergeCell ref="C7:H7"/>
    <mergeCell ref="C136:H136"/>
    <mergeCell ref="C118:H118"/>
    <mergeCell ref="C128:H128"/>
    <mergeCell ref="C94:H94"/>
    <mergeCell ref="C162:H162"/>
    <mergeCell ref="C159:H159"/>
    <mergeCell ref="C102:H102"/>
    <mergeCell ref="C97:H97"/>
    <mergeCell ref="C126:H126"/>
    <mergeCell ref="C155:H155"/>
    <mergeCell ref="C144:H144"/>
    <mergeCell ref="C181:H181"/>
    <mergeCell ref="C164:H164"/>
    <mergeCell ref="C191:H191"/>
    <mergeCell ref="C208:H208"/>
    <mergeCell ref="C168:H168"/>
    <mergeCell ref="C153:H153"/>
    <mergeCell ref="C113:H113"/>
    <mergeCell ref="C139:H139"/>
    <mergeCell ref="C114:H114"/>
    <mergeCell ref="C125:H125"/>
    <mergeCell ref="C127:H127"/>
    <mergeCell ref="C137:H137"/>
    <mergeCell ref="C206:H206"/>
    <mergeCell ref="C109:H109"/>
    <mergeCell ref="C49:H49"/>
    <mergeCell ref="C101:H101"/>
    <mergeCell ref="C89:H89"/>
    <mergeCell ref="C66:H66"/>
    <mergeCell ref="C58:H58"/>
    <mergeCell ref="C55:H55"/>
    <mergeCell ref="D91:H91"/>
    <mergeCell ref="C77:H77"/>
    <mergeCell ref="C83:H83"/>
    <mergeCell ref="C84:H84"/>
    <mergeCell ref="C96:H96"/>
    <mergeCell ref="C12:H12"/>
    <mergeCell ref="C36:H36"/>
    <mergeCell ref="C26:H26"/>
    <mergeCell ref="C31:H31"/>
    <mergeCell ref="C44:H44"/>
    <mergeCell ref="C40:H40"/>
    <mergeCell ref="C30:H30"/>
    <mergeCell ref="C20:H20"/>
    <mergeCell ref="C23:H23"/>
    <mergeCell ref="C239:H239"/>
    <mergeCell ref="C226:H226"/>
    <mergeCell ref="C236:H236"/>
    <mergeCell ref="C280:H280"/>
    <mergeCell ref="C225:H225"/>
    <mergeCell ref="C229:H229"/>
    <mergeCell ref="C231:H231"/>
    <mergeCell ref="C227:H227"/>
    <mergeCell ref="C228:H228"/>
    <mergeCell ref="C237:H237"/>
    <mergeCell ref="C247:H247"/>
    <mergeCell ref="C235:H235"/>
    <mergeCell ref="C244:H244"/>
    <mergeCell ref="C240:H240"/>
    <mergeCell ref="C259:H259"/>
    <mergeCell ref="C262:H262"/>
    <mergeCell ref="C263:H263"/>
    <mergeCell ref="C253:H253"/>
    <mergeCell ref="C276:H276"/>
    <mergeCell ref="C265:H265"/>
    <mergeCell ref="C273:H273"/>
    <mergeCell ref="C274:H274"/>
    <mergeCell ref="C254:H254"/>
    <mergeCell ref="A264:Q264"/>
    <mergeCell ref="C245:H245"/>
    <mergeCell ref="C248:H248"/>
    <mergeCell ref="C249:H249"/>
    <mergeCell ref="C287:H287"/>
    <mergeCell ref="C297:H297"/>
    <mergeCell ref="C302:H302"/>
    <mergeCell ref="C306:H306"/>
    <mergeCell ref="C307:H307"/>
    <mergeCell ref="C277:H277"/>
    <mergeCell ref="C279:H279"/>
    <mergeCell ref="C284:H284"/>
    <mergeCell ref="C286:H286"/>
    <mergeCell ref="C268:H268"/>
    <mergeCell ref="C258:H258"/>
    <mergeCell ref="C291:H291"/>
    <mergeCell ref="C267:H267"/>
    <mergeCell ref="C266:H266"/>
    <mergeCell ref="C282:H282"/>
    <mergeCell ref="C271:H271"/>
    <mergeCell ref="C292:H292"/>
    <mergeCell ref="C290:H290"/>
    <mergeCell ref="C293:H293"/>
    <mergeCell ref="C300:H300"/>
    <mergeCell ref="C309:H309"/>
    <mergeCell ref="C310:H310"/>
    <mergeCell ref="C318:H318"/>
    <mergeCell ref="C331:H331"/>
    <mergeCell ref="C315:H315"/>
    <mergeCell ref="C317:H317"/>
    <mergeCell ref="C319:H319"/>
    <mergeCell ref="C321:H321"/>
    <mergeCell ref="C322:H322"/>
    <mergeCell ref="C311:H311"/>
    <mergeCell ref="C313:H313"/>
    <mergeCell ref="C325:H325"/>
  </mergeCells>
  <conditionalFormatting sqref="B1 B3:B263 B265:B270 B272:B331">
    <cfRule type="containsText" dxfId="66" priority="1" operator="containsText" text="HFM">
      <formula>NOT(ISERROR(SEARCH("HFM",B1)))</formula>
    </cfRule>
    <cfRule type="containsText" dxfId="65" priority="2" operator="containsText" text="Advertising">
      <formula>NOT(ISERROR(SEARCH("Advertising",B1)))</formula>
    </cfRule>
    <cfRule type="containsText" dxfId="64" priority="3" operator="containsText" text="Corporate Sponsorship">
      <formula>NOT(ISERROR(SEARCH("Corporate Sponsorship",B1)))</formula>
    </cfRule>
    <cfRule type="containsText" dxfId="63" priority="4" operator="containsText" text="ARCH Showcase">
      <formula>NOT(ISERROR(SEARCH("ARCH Showcase",B1)))</formula>
    </cfRule>
    <cfRule type="containsText" dxfId="62" priority="5" operator="containsText" text="Entire Database">
      <formula>NOT(ISERROR(SEARCH("Entire Database",B1)))</formula>
    </cfRule>
    <cfRule type="containsText" dxfId="61" priority="6" operator="containsText" text="PDC">
      <formula>NOT(ISERROR(SEARCH("PDC",B1)))</formula>
    </cfRule>
    <cfRule type="containsText" dxfId="60" priority="7" operator="containsText" text="HFIC">
      <formula>NOT(ISERROR(SEARCH("HFIC",B1)))</formula>
    </cfRule>
  </conditionalFormatting>
  <conditionalFormatting sqref="I172:I263 I265:I270 I272:I331">
    <cfRule type="containsText" dxfId="59" priority="8" operator="containsText" text="Hold">
      <formula>NOT(ISERROR(SEARCH("Hold",I172)))</formula>
    </cfRule>
    <cfRule type="containsText" dxfId="58" priority="9" operator="containsText" text="Ready to Send">
      <formula>NOT(ISERROR(SEARCH("Ready to Send",I172)))</formula>
    </cfRule>
    <cfRule type="containsText" dxfId="57" priority="10" operator="containsText" text="Changes Needed">
      <formula>NOT(ISERROR(SEARCH("Changes Needed",I172)))</formula>
    </cfRule>
    <cfRule type="containsText" dxfId="56" priority="11" operator="containsText" text="Internal Review">
      <formula>NOT(ISERROR(SEARCH("Internal Review",I172)))</formula>
    </cfRule>
    <cfRule type="containsText" dxfId="55" priority="12" operator="containsText" text="In Progress">
      <formula>NOT(ISERROR(SEARCH("In Progress",I172)))</formula>
    </cfRule>
  </conditionalFormatting>
  <dataValidations count="2">
    <dataValidation type="list" allowBlank="1" showInputMessage="1" showErrorMessage="1" sqref="B1 B3:B263 B265:B270 B272:B331" xr:uid="{98DCE119-2178-484D-AC91-EECE33743125}">
      <formula1>"ARCH Showcase,PDC,HFIC,Advertising,HFM,Corporate Sponsorship,Entire Database"</formula1>
    </dataValidation>
    <dataValidation type="list" allowBlank="1" showInputMessage="1" showErrorMessage="1" sqref="I172:I263 I265:I270 I272:I331" xr:uid="{68E47A09-B55D-426E-A160-62AA899A9450}">
      <formula1>"In Progress, Internal Review, Changes Needed, Ready to Send, Hold"</formula1>
    </dataValidation>
  </dataValidations>
  <hyperlinks>
    <hyperlink ref="E18" r:id="rId1" xr:uid="{8897FFDF-D4FC-4CE6-82D7-29908C412454}"/>
    <hyperlink ref="E22" r:id="rId2" xr:uid="{C8DC3DF8-E4B3-4094-BDA2-95353150E319}"/>
    <hyperlink ref="J5" r:id="rId3" xr:uid="{3D1B8786-ADBC-46C4-B036-75976578DE6D}"/>
    <hyperlink ref="J4" r:id="rId4" xr:uid="{8CAC890D-6AE1-4D2F-999C-D20D36DF25D5}"/>
    <hyperlink ref="E8" r:id="rId5" xr:uid="{C73A0F67-4C71-458B-815D-7F7123A99E93}"/>
    <hyperlink ref="E6" r:id="rId6" xr:uid="{8FDC497D-33AB-4283-B92D-650FA9E611A8}"/>
    <hyperlink ref="J6" r:id="rId7" xr:uid="{0E0B159C-C574-4D40-AE4E-97F9AA9ECB3F}"/>
    <hyperlink ref="J8" r:id="rId8" xr:uid="{CF3356A4-96AB-47BA-A7FB-6BEB7E32619A}"/>
    <hyperlink ref="J10" r:id="rId9" xr:uid="{B9712E9F-5A48-4C25-8DE0-22AFB974A2A1}"/>
    <hyperlink ref="J9" r:id="rId10" xr:uid="{83744AE0-B8BE-4F70-8BC4-6E747DB4EA6A}"/>
    <hyperlink ref="E10" r:id="rId11" xr:uid="{97D2793E-66C2-4109-9FCB-0503631333FC}"/>
    <hyperlink ref="E11" r:id="rId12" xr:uid="{E008E1E1-7E59-4A9F-8CDE-0D1F998802FA}"/>
    <hyperlink ref="E13" r:id="rId13" xr:uid="{E23630D5-9BB1-457D-9D06-4D0F23F61C37}"/>
    <hyperlink ref="J18" r:id="rId14" xr:uid="{65AA35FB-9A13-4DDE-87AA-01803CACD281}"/>
    <hyperlink ref="E17" r:id="rId15" xr:uid="{3DC9FD9D-5D4F-4AF4-B806-89D956F5B5C3}"/>
    <hyperlink ref="J17" r:id="rId16" xr:uid="{405088FD-27F5-4B46-8F9A-ED80FC12057D}"/>
    <hyperlink ref="J16" r:id="rId17" xr:uid="{D1C05FC9-F8EA-4B80-8A22-B2EA0C18C069}"/>
    <hyperlink ref="E19" r:id="rId18" xr:uid="{BA58DE06-333D-490F-AE88-F5FD6C2007E7}"/>
    <hyperlink ref="E21" r:id="rId19" xr:uid="{D0C898BC-F90F-4A6F-BCDE-97F77FDF6D65}"/>
    <hyperlink ref="E25" r:id="rId20" xr:uid="{488B652D-26F2-4A3B-B5E6-34FEAFB46F5F}"/>
    <hyperlink ref="E27" r:id="rId21" display="'ASHE@smithbucklin.com" xr:uid="{F8BC36D6-DA3C-44E2-8C52-0FAE78F4611C}"/>
    <hyperlink ref="E33:E35" r:id="rId22" display="ASHE@Smithbucklin.com" xr:uid="{A6F3C149-874F-4B0F-B1E5-93CE040B45A0}"/>
    <hyperlink ref="E29" r:id="rId23" xr:uid="{F0BAA7E1-72A1-401D-A106-D85A3FF7D23D}"/>
    <hyperlink ref="E24" r:id="rId24" xr:uid="{ADE04D1D-BFE2-444F-81FC-102C8790C718}"/>
    <hyperlink ref="J24" r:id="rId25" xr:uid="{C5A1A6CB-7121-44A3-895F-99AA997B1DA6}"/>
    <hyperlink ref="J25" r:id="rId26" xr:uid="{AB44BB49-63BC-402C-912B-476A7AC023C3}"/>
    <hyperlink ref="E37" r:id="rId27" xr:uid="{69CCF3F6-DDA7-4FDB-A673-CFAD28754125}"/>
    <hyperlink ref="J33" r:id="rId28" xr:uid="{19749740-4207-403F-A78D-EB6AA2C192A7}"/>
    <hyperlink ref="E32" r:id="rId29" xr:uid="{C81401DD-A990-4F55-829D-6C0BED6B70A6}"/>
    <hyperlink ref="E50" r:id="rId30" display="'nschuette@smithbucklin.com" xr:uid="{A0C67A1F-6DF2-49CD-9E59-ED1F0E921E53}"/>
    <hyperlink ref="E34" r:id="rId31" xr:uid="{1CECCB6C-ADD7-488B-8678-7711CAB46BE3}"/>
    <hyperlink ref="E39" r:id="rId32" xr:uid="{6B5B47B7-DA9B-4DEF-A8C3-7D4178AA279E}"/>
    <hyperlink ref="E38" r:id="rId33" xr:uid="{A09515F6-9404-4C95-9D78-E1E2BA78F118}"/>
    <hyperlink ref="E65" r:id="rId34" xr:uid="{9855BFD2-F8F5-4491-97C5-1FA3971EDDFE}"/>
    <hyperlink ref="J41" r:id="rId35" xr:uid="{C5196EB7-6600-4E16-BD56-06B768E592F5}"/>
    <hyperlink ref="J43" r:id="rId36" xr:uid="{E5D06DD1-FE29-4A6E-A897-2D7A9E58AC92}"/>
    <hyperlink ref="J42" r:id="rId37" xr:uid="{E4D6C96B-64A7-460C-BF33-7037EFDEE9C8}"/>
    <hyperlink ref="J46" r:id="rId38" xr:uid="{238F8AE6-5B6C-421B-9596-79CD67EA7360}"/>
    <hyperlink ref="J45" r:id="rId39" xr:uid="{546DE2DF-DCC8-4D93-B4C9-465644AB3880}"/>
    <hyperlink ref="E53" r:id="rId40" xr:uid="{4CC404B1-8A9E-459B-A026-E0EA7CC8B5CE}"/>
    <hyperlink ref="E54" r:id="rId41" xr:uid="{5ADA6D38-0EEE-4797-9DD3-A9EA3A07B87D}"/>
    <hyperlink ref="E56" r:id="rId42" xr:uid="{61DA4640-5BD9-4D8B-BF8E-F605CE78BA85}"/>
    <hyperlink ref="E57" r:id="rId43" xr:uid="{FAF36C45-81AB-4C3E-B61C-E3F49EA5064D}"/>
    <hyperlink ref="H70" r:id="rId44" xr:uid="{73CD393E-E361-41FD-991A-3AB4DACF9296}"/>
    <hyperlink ref="E92" r:id="rId45" xr:uid="{41D1709C-1839-49D7-9157-BC8530EF16A6}"/>
    <hyperlink ref="E93" r:id="rId46" xr:uid="{E0EB3674-3320-4376-910A-00D0A5B35E74}"/>
    <hyperlink ref="E95" r:id="rId47" xr:uid="{51A19D27-A4B6-4AE3-A215-76DEBCC9D91F}"/>
    <hyperlink ref="E98" r:id="rId48" xr:uid="{3253E8C1-65F1-4724-985C-9244E48A6B02}"/>
    <hyperlink ref="E100" r:id="rId49" xr:uid="{57D14D7F-033B-498A-AC47-7922EE69E434}"/>
    <hyperlink ref="E82" r:id="rId50" xr:uid="{C5775387-7365-4333-9D10-F8894A0215F6}"/>
    <hyperlink ref="E81" r:id="rId51" xr:uid="{B41C17BE-9B1D-41FB-BEB8-5A4903A93254}"/>
    <hyperlink ref="E87" r:id="rId52" xr:uid="{837E5533-9564-48B2-9213-DD66B46C9068}"/>
    <hyperlink ref="E88" r:id="rId53" xr:uid="{C9180DF5-1082-41E3-AE16-780F97B4E31D}"/>
    <hyperlink ref="E99" r:id="rId54" display="'nschuette@smithbucklin.com" xr:uid="{18BAEABC-67A0-48EA-B12E-DBF457F17517}"/>
    <hyperlink ref="J98" r:id="rId55" xr:uid="{F20FC95E-9CFF-43E4-8346-B92A303508D0}"/>
    <hyperlink ref="J99" r:id="rId56" xr:uid="{DA517687-036E-4ADE-BF87-D337C14A5754}"/>
    <hyperlink ref="E107" r:id="rId57" xr:uid="{C99E6951-AC75-4B5F-975B-93135C80B4FA}"/>
    <hyperlink ref="E104" r:id="rId58" xr:uid="{9BDF70AB-5DD6-44A8-94DE-C0CD77AED39A}"/>
    <hyperlink ref="E103" r:id="rId59" xr:uid="{7AE8B011-9CD2-4503-848C-73120865463C}"/>
    <hyperlink ref="E108" r:id="rId60" xr:uid="{339F0083-310A-475F-84FE-FB3B1F362E56}"/>
    <hyperlink ref="E115" r:id="rId61" xr:uid="{DC61B0DF-8B32-448E-8F45-A012C253A383}"/>
    <hyperlink ref="E116" r:id="rId62" xr:uid="{38F1DCFF-1EBC-4DC9-A2E1-01483186420F}"/>
    <hyperlink ref="E122" r:id="rId63" xr:uid="{2D009909-2B76-4FE6-9C51-36DB2EFD1D19}"/>
    <hyperlink ref="E123" r:id="rId64" xr:uid="{CAC28A37-AB16-4F53-9CE5-BBCFB24E3EC2}"/>
    <hyperlink ref="E124" r:id="rId65" xr:uid="{9791DDE5-CED8-41C8-B996-09FE70DF6CBB}"/>
    <hyperlink ref="E133" r:id="rId66" xr:uid="{96FFE469-07F9-4931-8D74-4A0CF05E8B7B}"/>
    <hyperlink ref="E132" r:id="rId67" xr:uid="{09395B12-27D4-464B-91E9-E9639A859261}"/>
    <hyperlink ref="E145" r:id="rId68" xr:uid="{9B7D706D-7ED5-49C3-85D0-6716EAC6C53A}"/>
    <hyperlink ref="J115" r:id="rId69" xr:uid="{F7249440-693E-444C-AAAA-BE23A58D3B20}"/>
    <hyperlink ref="J120" r:id="rId70" xr:uid="{456CCDEB-AD50-4F1B-9446-A29FAA1F4D48}"/>
    <hyperlink ref="C2" r:id="rId71" display="Target Send Date CHECK ASHE MARKETING CALENDAR       INSIDER every Tuesday" xr:uid="{3799D8D4-4288-4B2C-8900-4CBADD7A66AC}"/>
    <hyperlink ref="E119" r:id="rId72" xr:uid="{7099CD28-919D-4656-92AD-2DFC56983FE7}"/>
    <hyperlink ref="J121" r:id="rId73" xr:uid="{B66BCEB5-AF98-4C36-ADEE-25407FBB669F}"/>
    <hyperlink ref="E120" r:id="rId74" xr:uid="{D0D11C9E-EF20-4893-A04C-CE5678FB9F94}"/>
    <hyperlink ref="E121" r:id="rId75" xr:uid="{9910DEC8-A974-4935-BE6F-686113A9D17C}"/>
    <hyperlink ref="E146" r:id="rId76" xr:uid="{46C2DFE2-1F97-4990-82D9-28DD5E6D03C9}"/>
    <hyperlink ref="E138" r:id="rId77" xr:uid="{24DAF71F-0811-4BF6-99E7-5E0180B4BA5E}"/>
    <hyperlink ref="E134" r:id="rId78" xr:uid="{4C18DC7D-371C-47ED-98EC-1C450E272D38}"/>
    <hyperlink ref="E157" r:id="rId79" xr:uid="{EE3B5CF7-00CE-4A93-9AA5-98826C167246}"/>
    <hyperlink ref="J132" r:id="rId80" xr:uid="{41E56CEF-D665-4554-BE26-C4FF1B2828FC}"/>
    <hyperlink ref="J138" r:id="rId81" xr:uid="{276ABAF0-B2B6-49C0-A496-C1FEE99737E8}"/>
    <hyperlink ref="G145" r:id="rId82" xr:uid="{C8098391-9617-4ACC-B1DF-5C5B007DF26B}"/>
    <hyperlink ref="E148" r:id="rId83" xr:uid="{D1D1011D-935B-4B8F-951D-D45AB4C6E775}"/>
    <hyperlink ref="E140" r:id="rId84" xr:uid="{970F029F-5AD3-4B33-8B1E-D0E4D969D6FB}"/>
    <hyperlink ref="J140" r:id="rId85" xr:uid="{7BA0D469-F01E-40CC-AC1D-21F63A1755E7}"/>
    <hyperlink ref="J141" r:id="rId86" xr:uid="{B3FFDF0E-724A-46B3-B6F5-18BBEACDBFD4}"/>
    <hyperlink ref="E141" r:id="rId87" xr:uid="{57B52279-AA97-4944-8A43-E9053B4C5DC1}"/>
    <hyperlink ref="J145" r:id="rId88" xr:uid="{0B8654CA-D1C6-46FA-9106-F640F793613A}"/>
    <hyperlink ref="E147" r:id="rId89" xr:uid="{46221A78-89B1-46AF-BD01-59ED8B226701}"/>
    <hyperlink ref="J147" r:id="rId90" xr:uid="{99B830C0-C0F5-4E2F-BC05-20B02491172D}"/>
    <hyperlink ref="J146" r:id="rId91" xr:uid="{CF258719-FB3D-4FD4-B24D-2220551FAEA1}"/>
    <hyperlink ref="E158" r:id="rId92" xr:uid="{5F28F604-1E19-4136-9857-E981B1FEB05B}"/>
    <hyperlink ref="E149" r:id="rId93" xr:uid="{C50164B0-4BC5-461F-97E2-E69ACD1EE082}"/>
    <hyperlink ref="E150" r:id="rId94" xr:uid="{82EC04AE-B4D9-43D7-B87B-DB4F8F985C93}"/>
    <hyperlink ref="H160" r:id="rId95" xr:uid="{911F6B73-EFC6-46AD-B1B3-77EE2FA0D5ED}"/>
    <hyperlink ref="E165" r:id="rId96" xr:uid="{879AACE6-D357-4D10-9CD8-22DF999E2AA6}"/>
    <hyperlink ref="E160" r:id="rId97" xr:uid="{FD6C1F65-AA88-4187-B602-3C1F6033F9B2}"/>
    <hyperlink ref="E156" r:id="rId98" xr:uid="{C9C6C898-0DB9-4580-8CF9-D4EF5B37DE6E}"/>
    <hyperlink ref="J148" r:id="rId99" xr:uid="{5A199536-7B45-4DF6-ADF2-A4B594613FE3}"/>
    <hyperlink ref="J149" r:id="rId100" xr:uid="{CA008B0F-6EB8-4385-A0F6-9F41DAB57D55}"/>
    <hyperlink ref="J157" r:id="rId101" xr:uid="{96642E31-0D15-4E8F-A844-60629F6BED29}"/>
    <hyperlink ref="J150" r:id="rId102" xr:uid="{96CB0EA5-00E2-479C-AF8C-4FFEE465F1C3}"/>
    <hyperlink ref="J156" r:id="rId103" xr:uid="{5728FD50-06B5-4354-891D-90F61F709021}"/>
    <hyperlink ref="J158" r:id="rId104" xr:uid="{4F348D23-7862-4BF9-B2BB-2E5CE3193409}"/>
    <hyperlink ref="E161" r:id="rId105" xr:uid="{7A42DA4A-43DB-4162-A272-732FAAA48A52}"/>
    <hyperlink ref="E176" r:id="rId106" xr:uid="{EF09B7EB-A54B-4079-830B-A103705F1EEE}"/>
    <hyperlink ref="E184" r:id="rId107" xr:uid="{47DEBBF3-EB46-4A05-B0F1-DF5A3A33FC78}"/>
    <hyperlink ref="E185" r:id="rId108" xr:uid="{A7FE58B3-ADDD-41A7-B90D-4F1AEDCF17D8}"/>
    <hyperlink ref="E190" r:id="rId109" xr:uid="{79AD7C52-8DBE-46AE-A337-6685568A09E3}"/>
    <hyperlink ref="J161" r:id="rId110" xr:uid="{40556D71-38AA-4177-80E0-FAB77E60E92E}"/>
    <hyperlink ref="J160" r:id="rId111" xr:uid="{F445EC08-B453-41B6-A48D-730FAAC57104}"/>
    <hyperlink ref="E166" r:id="rId112" xr:uid="{445C0A4F-B30E-489B-8E92-442E03686A01}"/>
    <hyperlink ref="E180" r:id="rId113" xr:uid="{499FB3D8-D1A2-4027-BF3D-CAEFB69507B5}"/>
    <hyperlink ref="H166" r:id="rId114" xr:uid="{4E6B9396-5493-43D5-B12C-ECCC4C68543E}"/>
    <hyperlink ref="J165" r:id="rId115" xr:uid="{AD0B3A38-7959-4D42-8250-1E0352577CB5}"/>
    <hyperlink ref="E169" r:id="rId116" xr:uid="{DE00B21D-D3C5-4703-B582-C3A282A9BEE7}"/>
    <hyperlink ref="E172" r:id="rId117" xr:uid="{C626C458-FE27-441C-BA11-EAC1257D45BD}"/>
    <hyperlink ref="E173" r:id="rId118" xr:uid="{EA342E44-6B16-49A8-8448-F7F806D3F944}"/>
    <hyperlink ref="E183" r:id="rId119" xr:uid="{0752D3FE-5114-4752-8CE0-D0FA39C6279D}"/>
    <hyperlink ref="E167" r:id="rId120" xr:uid="{437E2173-ED89-47B1-802D-AF9294CCB771}"/>
    <hyperlink ref="G167" r:id="rId121" xr:uid="{99A84F70-F17C-4176-8F27-D2FDEB57540B}"/>
    <hyperlink ref="J166" r:id="rId122" xr:uid="{2BA14DCD-F4E0-4624-A6FE-F0E0D95488B4}"/>
    <hyperlink ref="E178" r:id="rId123" xr:uid="{37A06948-69AF-4723-9B9A-4E2229BF042C}"/>
    <hyperlink ref="J167" r:id="rId124" xr:uid="{4C4B8CEF-B6BF-41B7-85A9-664773DD5053}"/>
    <hyperlink ref="E170" r:id="rId125" xr:uid="{EE1C91D4-ACA7-4262-A458-38B7D819C492}"/>
    <hyperlink ref="J171" r:id="rId126" xr:uid="{A8BC7FC4-890B-484D-83AE-B785F5BF4717}"/>
    <hyperlink ref="J170" r:id="rId127" xr:uid="{7E6D3B3B-E2E3-42A5-96AE-4CCF55E4C9B6}"/>
    <hyperlink ref="E188" r:id="rId128" display="mailto:ashe@smithbucklin.com" xr:uid="{E5C281FD-CE95-42A9-B17F-37C099636B30}"/>
    <hyperlink ref="J173" r:id="rId129" xr:uid="{2DE09259-4E0F-41AC-AA81-9344E3A96034}"/>
    <hyperlink ref="J172" r:id="rId130" xr:uid="{1655F302-BF8D-47AD-92C9-C1968C5D10CA}"/>
    <hyperlink ref="J176" r:id="rId131" xr:uid="{3074C23C-3D22-444B-A096-45EFFAAB4B97}"/>
    <hyperlink ref="J178" r:id="rId132" xr:uid="{3932071A-69B4-49FC-8284-4E6ED1A660DA}"/>
    <hyperlink ref="J180" r:id="rId133" xr:uid="{D5358727-6C77-4E7E-9DB0-205407A93CAB}"/>
    <hyperlink ref="E186" r:id="rId134" display="mailto:jeiding@smithbucklin.com" xr:uid="{B6654F93-9D22-4054-9F9A-9FCCF8218FFC}"/>
    <hyperlink ref="J182" r:id="rId135" xr:uid="{46CC4E21-AA75-4AE3-8998-52361BF19527}"/>
    <hyperlink ref="J183" r:id="rId136" xr:uid="{1D0427EB-2351-451D-B306-B3596B5CD20A}"/>
    <hyperlink ref="J184" r:id="rId137" xr:uid="{CBB969AE-F1FB-44C4-87E0-93E75F40C98C}"/>
    <hyperlink ref="J185" r:id="rId138" xr:uid="{60E7EB0A-0520-415B-875F-453515724C5B}"/>
    <hyperlink ref="J186" r:id="rId139" xr:uid="{A5165309-8214-4520-B85D-4A8F2CF522A4}"/>
    <hyperlink ref="E195" r:id="rId140" display="mailto:ashe@smithbucklin.com" xr:uid="{7D0014AB-282F-4613-BA23-C9182C17AA0D}"/>
    <hyperlink ref="E192" r:id="rId141" display="mailto:ashe@smithbucklin.com" xr:uid="{6A77D6A6-15DE-475A-98AC-35366516267E}"/>
    <hyperlink ref="E189" r:id="rId142" display="mailto:ashe@smithbucklin.com" xr:uid="{4AADE3D6-2E3C-4110-9304-9DAF04EC54E8}"/>
    <hyperlink ref="H190" r:id="rId143" xr:uid="{05E0FFA7-6D74-4047-8B65-151804A8B7CD}"/>
    <hyperlink ref="E194" r:id="rId144" display="mailto:jeiding@smithbucklin.com" xr:uid="{9E884E76-F437-476D-B682-DD8B9A16144D}"/>
    <hyperlink ref="G194" r:id="rId145" xr:uid="{7BC415B3-6B44-4286-80BB-85D3CEAED187}"/>
    <hyperlink ref="J188" r:id="rId146" xr:uid="{8A2C6437-AFE6-44A6-812E-21A19CE67BE3}"/>
    <hyperlink ref="J189" r:id="rId147" xr:uid="{BFFC37B9-054E-4189-9CA1-43ABF31C75C1}"/>
    <hyperlink ref="J190" r:id="rId148" xr:uid="{2D5E399C-41DC-45D0-89CB-58A7EAD87EE3}"/>
    <hyperlink ref="J192" r:id="rId149" xr:uid="{15CC1C87-550F-4467-A1AB-E0291ECB6F3C}"/>
    <hyperlink ref="E199" r:id="rId150" display="mailto:ashe@smithbucklin.com" xr:uid="{C95F4FE3-0ECC-4816-B1CF-18426307EF98}"/>
    <hyperlink ref="E200" r:id="rId151" display="mailto:ashe@smithbucklin.com" xr:uid="{CB87C0E4-96C4-4FD3-81A4-BB6639B1472E}"/>
    <hyperlink ref="J194" r:id="rId152" xr:uid="{94C0114A-15ED-4AE3-8390-38E895BA61FB}"/>
    <hyperlink ref="J195" r:id="rId153" xr:uid="{8D1933F1-581D-43FB-ADE8-A53852E76B90}"/>
    <hyperlink ref="J196" r:id="rId154" xr:uid="{2B5B1AF0-65AD-483B-AB10-1E393D04F5EA}"/>
    <hyperlink ref="J199" r:id="rId155" xr:uid="{B8643BD6-4C97-474F-892E-4305D0630563}"/>
    <hyperlink ref="H201" r:id="rId156" xr:uid="{B4394650-E2E6-4AA8-8E27-EE0B4DA11C38}"/>
    <hyperlink ref="E201" r:id="rId157" display="mailto:ashe@smithbucklin.com" xr:uid="{2C3E038B-4868-4A6B-9599-3D9319B06EF9}"/>
    <hyperlink ref="E204:E207" r:id="rId158" display="mailto:ashe@smithbucklin.com" xr:uid="{FC81EB05-17E9-4888-A288-1707810671BE}"/>
    <hyperlink ref="J200" r:id="rId159" xr:uid="{0BE49CEB-1FD4-4684-BEC0-EFA9889BA379}"/>
    <hyperlink ref="E207" r:id="rId160" display="mailto:ashe@smithbucklin.com" xr:uid="{E9922263-0A2D-469E-9E63-2668ECDD186D}"/>
    <hyperlink ref="G207" r:id="rId161" xr:uid="{58E4BA15-5149-4166-A263-62358230B259}"/>
    <hyperlink ref="J201" r:id="rId162" xr:uid="{3BBD23A2-6FC3-4176-9DEC-DE55EF643E7B}"/>
    <hyperlink ref="J204" r:id="rId163" xr:uid="{E69377A7-1DF6-45B9-B03C-C61F70AE7A45}"/>
    <hyperlink ref="J203" r:id="rId164" xr:uid="{937910F5-B5D4-4342-96CC-A86259447A47}"/>
    <hyperlink ref="J205" r:id="rId165" xr:uid="{4695C6C0-271B-40E1-96B7-F4510F469329}"/>
    <hyperlink ref="E219" r:id="rId166" display="mailto:ashe@smithbucklin.com" xr:uid="{05545B3C-B3E2-45B4-A30B-469A3C7D03BB}"/>
    <hyperlink ref="E209" r:id="rId167" display="mailto:ashe@smithbucklin.com" xr:uid="{5646BD43-8124-4489-873A-E3E66B8F13CB}"/>
    <hyperlink ref="J207" r:id="rId168" xr:uid="{D75CDA8F-63FD-47CA-BC8F-ADD42F936708}"/>
    <hyperlink ref="J209" r:id="rId169" xr:uid="{BC4DB03D-AC00-49A8-8206-F913E7A28345}"/>
    <hyperlink ref="E213" r:id="rId170" display="mailto:ashe@smithbucklin.com" xr:uid="{295BC95B-FFDA-41FB-9018-80F768166F47}"/>
    <hyperlink ref="J210" r:id="rId171" xr:uid="{F88BFBBC-0C21-4D3D-BF07-039CCB319A7F}"/>
    <hyperlink ref="E212" r:id="rId172" xr:uid="{3A70548B-FE50-49B4-B021-10B89E2F590F}"/>
    <hyperlink ref="J211" r:id="rId173" xr:uid="{C23EAA68-192E-426B-A7DC-C2B53BC901ED}"/>
    <hyperlink ref="J212" r:id="rId174" xr:uid="{D7A25408-3D3B-4225-85DB-F333A57F8418}"/>
    <hyperlink ref="E214" r:id="rId175" xr:uid="{6CC1365D-1C23-4C2F-A697-629B3469AD23}"/>
    <hyperlink ref="J214" r:id="rId176" xr:uid="{126D56ED-69E2-46E0-845D-85614762610F}"/>
    <hyperlink ref="E216" r:id="rId177" display="mailto:ashe@smithbucklin.com" xr:uid="{87F0D368-CF6D-47C7-ADB7-E9C9EA80457E}"/>
    <hyperlink ref="E215" r:id="rId178" display="mailto:ashe@smithbucklin.com" xr:uid="{AA6AF306-765A-4751-8CE4-2F128758282C}"/>
    <hyperlink ref="J216" r:id="rId179" xr:uid="{CE770DF7-1BDC-4778-A61D-4FB17C2B71A1}"/>
    <hyperlink ref="J217" r:id="rId180" xr:uid="{BD199510-CC24-4733-AD45-5A6CA7EE3CC1}"/>
    <hyperlink ref="J218" r:id="rId181" xr:uid="{44D5E1C6-2749-431D-A552-27204456A36E}"/>
    <hyperlink ref="J219" r:id="rId182" xr:uid="{A2204224-9B2A-4DDF-9EE6-E8BAFC3688E9}"/>
    <hyperlink ref="J221" r:id="rId183" xr:uid="{0E249655-55E9-4AA7-85FC-07F387D925E6}"/>
    <hyperlink ref="J223" r:id="rId184" xr:uid="{C9C05AEB-E533-4B15-9BD5-2987D19AA705}"/>
    <hyperlink ref="J224" r:id="rId185" xr:uid="{AC92E833-7C19-4F77-B8FD-2B6C5A52C056}"/>
    <hyperlink ref="E232" r:id="rId186" xr:uid="{AEE73D04-482C-4BC3-946F-8F8C8B607D49}"/>
    <hyperlink ref="J225" r:id="rId187" xr:uid="{CAB861AF-FA75-4433-9C96-C01C0DE8C3D4}"/>
    <hyperlink ref="J229" r:id="rId188" xr:uid="{2034FE48-46C1-460B-A7DD-B335DB0619D7}"/>
    <hyperlink ref="J230" r:id="rId189" xr:uid="{04AB47E2-2D75-4BE6-B5C3-2918D0815464}"/>
    <hyperlink ref="E233" r:id="rId190" display="mailto:jeiding@smithbucklin.com" xr:uid="{1233C5C7-1B9B-48B2-BAB4-58A32B3D601A}"/>
    <hyperlink ref="E230" r:id="rId191" display="mailto:ashe@smithbucklin.com" xr:uid="{B305F937-982A-4F5D-BCCA-9107C2050984}"/>
    <hyperlink ref="E221" r:id="rId192" display="mailto:jeiding@smithbucklin.com" xr:uid="{484B8F27-FFEE-44A2-9B87-9B29D12B843A}"/>
    <hyperlink ref="J232" r:id="rId193" xr:uid="{9D68C477-E57B-4579-AE20-1FFC7E5D6117}"/>
    <hyperlink ref="J233" r:id="rId194" xr:uid="{03320EC3-D33A-4954-A83F-70380402242C}"/>
    <hyperlink ref="E234" r:id="rId195" display="mailto:jeiding@smithbucklin.com" xr:uid="{5F907D79-7B8D-4364-820A-B0CB36BE438A}"/>
    <hyperlink ref="E250" r:id="rId196" display="mailto:jeiding@smithbucklin.com" xr:uid="{EBE0945B-ABC7-4944-8244-D5556681D9F8}"/>
    <hyperlink ref="J234" r:id="rId197" xr:uid="{72CFD3BE-EFFF-464D-99EA-DC4D4122A1F8}"/>
    <hyperlink ref="E235" r:id="rId198" display="mailto:ashe@smithbucklin.com" xr:uid="{3E0A3972-FE9C-40F6-B1D4-D124D03F3EDE}"/>
    <hyperlink ref="J236" r:id="rId199" xr:uid="{EC9C63C3-3CF7-46DD-BD29-0769AFCC72B3}"/>
    <hyperlink ref="E243" r:id="rId200" xr:uid="{7630DB44-DB37-4DB4-BEB0-928231D657A4}"/>
    <hyperlink ref="E242" r:id="rId201" xr:uid="{481D506C-4B7A-4DA4-99FE-9F688755F34F}"/>
    <hyperlink ref="E241" r:id="rId202" xr:uid="{40E542B2-5F28-47A0-95EB-68A9128B2F97}"/>
    <hyperlink ref="J243" r:id="rId203" xr:uid="{C092B02E-22AA-49A7-A34C-145212406E0B}"/>
    <hyperlink ref="E240" r:id="rId204" display="mailto:ashe@smithbucklin.com" xr:uid="{D3AFC4EF-645D-4CE6-8A07-B5F82084E376}"/>
    <hyperlink ref="J242" r:id="rId205" xr:uid="{58004C57-96DA-4AEB-8D79-66AE6D4A6DC6}"/>
    <hyperlink ref="J241" r:id="rId206" xr:uid="{086D9ADB-D8D1-4CEC-8534-DE37E936D61E}"/>
    <hyperlink ref="J247" r:id="rId207" xr:uid="{82FE20C5-50D5-47DB-9185-A2F9809DF714}"/>
    <hyperlink ref="H246" r:id="rId208" xr:uid="{3EB66D70-81C3-4A94-A643-BA23FBB37804}"/>
    <hyperlink ref="E245" r:id="rId209" display="mailto:ashe@smithbucklin.com" xr:uid="{748FF0DF-9640-4EBD-8966-9B4187F5A0D9}"/>
    <hyperlink ref="J246" r:id="rId210" xr:uid="{C6EFDC3D-BB87-47FD-B32F-DC950B81204B}"/>
    <hyperlink ref="E244" r:id="rId211" display="mailto:ashe@smithbucklin.com" xr:uid="{36F3B8E1-E217-4F14-BB73-18851D1471A9}"/>
    <hyperlink ref="J248" r:id="rId212" xr:uid="{AC027DC3-8BB8-4D36-B742-D022F6BF7142}"/>
    <hyperlink ref="J249" r:id="rId213" xr:uid="{4B27B896-8B8D-44B5-B2C5-43DB799919E5}"/>
    <hyperlink ref="J250" r:id="rId214" xr:uid="{67DBE4F8-6BCA-4B89-91DF-9EE361F8F95D}"/>
    <hyperlink ref="E251" r:id="rId215" display="mailto:jeiding@smithbucklin.com" xr:uid="{FB096809-882B-4144-9B1B-B88FEA44965A}"/>
    <hyperlink ref="J251" r:id="rId216" xr:uid="{57577876-D850-4DB2-BC7F-93A736B136C8}"/>
    <hyperlink ref="E256" r:id="rId217" display="mailto:jeiding@smithbucklin.com" xr:uid="{2F1B2E4B-B26C-429A-99F4-D8CE9BC9636A}"/>
    <hyperlink ref="E255" r:id="rId218" display="mailto:jeiding@smithbucklin.com" xr:uid="{9BD7FB96-907F-4A55-B3CE-986F9B01C3D3}"/>
    <hyperlink ref="E252" r:id="rId219" xr:uid="{5C02E55F-4A67-4573-875D-B626D1ECCE68}"/>
    <hyperlink ref="E260" r:id="rId220" xr:uid="{6CAE814C-7BD6-4C4B-B423-04AADD8D069A}"/>
    <hyperlink ref="J252" r:id="rId221" xr:uid="{E48C43DE-EB6C-418C-A1C7-DD9F929AEDCC}"/>
    <hyperlink ref="J255" r:id="rId222" xr:uid="{92B862E6-2DC6-44EC-A9B6-B5DC1199305E}"/>
    <hyperlink ref="J254" r:id="rId223" xr:uid="{D8702A5D-E78B-4765-ADB2-A1C4EC678FCB}"/>
    <hyperlink ref="J256" r:id="rId224" xr:uid="{58B239CD-3CBF-43C8-87E9-7B2FDB065014}"/>
    <hyperlink ref="E257" r:id="rId225" display="mailto:jeiding@smithbucklin.com" xr:uid="{7A107D6B-2FD8-464C-A914-40800121856D}"/>
    <hyperlink ref="J257" r:id="rId226" xr:uid="{DD4E5F5E-7B79-4E92-99B1-9B0231334D0A}"/>
    <hyperlink ref="E261" r:id="rId227" xr:uid="{7B7FCF67-42E5-41E5-892B-B98B35050E9F}"/>
    <hyperlink ref="J261" r:id="rId228" xr:uid="{B5F344D7-2029-4880-AF62-ED577FAF32F3}"/>
    <hyperlink ref="J260" r:id="rId229" xr:uid="{58B7FC20-B0C4-4C7E-B740-EBACA7893C21}"/>
    <hyperlink ref="J266" r:id="rId230" xr:uid="{1FF7B0F0-7505-421B-92A1-8E189669C822}"/>
    <hyperlink ref="J265" r:id="rId231" xr:uid="{AA327AD1-38A7-4850-8D25-30434344F2B7}"/>
    <hyperlink ref="J269" r:id="rId232" xr:uid="{CD4279C1-0D2E-4678-A6EB-C5A50F44B16A}"/>
    <hyperlink ref="J267" r:id="rId233" xr:uid="{A2D44365-D7EB-416B-9021-FA696A4E8ACA}"/>
    <hyperlink ref="J270" r:id="rId234" xr:uid="{A02338B4-CAD7-4A7A-9E87-322DF1EC1CE3}"/>
    <hyperlink ref="J273" r:id="rId235" xr:uid="{2314A655-0732-454B-A4A4-1E39F5E31EE2}"/>
    <hyperlink ref="E270" r:id="rId236" xr:uid="{CA5B2B15-18ED-46C0-954C-D73DA381E5D4}"/>
    <hyperlink ref="E275" r:id="rId237" xr:uid="{A38B6C2F-547B-458D-9DFD-CEE1B9DBFB1E}"/>
    <hyperlink ref="E272" r:id="rId238" xr:uid="{C82A66D5-D452-4F7D-82A8-1EF49733E0D6}"/>
    <hyperlink ref="J272" r:id="rId239" xr:uid="{25CF151D-3585-48CE-AFD7-5885F58DF435}"/>
    <hyperlink ref="J275" r:id="rId240" xr:uid="{0A07F4D7-2177-4D67-B2F3-5E46BA0A65FB}"/>
    <hyperlink ref="J274" r:id="rId241" xr:uid="{3D7FCBF8-7F25-4764-986F-579CED9BEB26}"/>
    <hyperlink ref="E278" r:id="rId242" xr:uid="{F05446A6-DD0B-4698-A4C1-D92D1C826060}"/>
    <hyperlink ref="J278" r:id="rId243" xr:uid="{915DC249-1857-43C1-9137-1E631A236426}"/>
    <hyperlink ref="J277" r:id="rId244" xr:uid="{4CFAAC47-53AD-4F1A-B6CA-6ADD038DC149}"/>
    <hyperlink ref="J280" r:id="rId245" xr:uid="{261A9083-C727-4D7C-B520-28D02B3E9AC4}"/>
    <hyperlink ref="J281" r:id="rId246" xr:uid="{F352F597-61AA-4B62-A44E-CC1F4A0A7CB1}"/>
    <hyperlink ref="E283" r:id="rId247" xr:uid="{65C365EC-6975-4036-B0CA-FE0B2AB94249}"/>
    <hyperlink ref="J283" r:id="rId248" xr:uid="{FF20BF3A-6366-4360-A038-27699B59E0F5}"/>
    <hyperlink ref="J284" r:id="rId249" xr:uid="{EE70E779-DEA1-4776-808E-5C05F1907A9C}"/>
    <hyperlink ref="H285" r:id="rId250" location=":~:text=Submit%20Sponsorship%20Contract-,Venue%20Branding,-Reserve%20your%20sponsorship" display="https://www.ashemarketingsolutions.org/health-care-facilities-innovation-conference/sponsorship-opportunities/ - :~:text=Submit%20Sponsorship%20Contract-,Venue%20Branding,-Reserve%20your%20sponsorship" xr:uid="{BA73B01D-53ED-4EF7-8D12-B72DED26D80D}"/>
    <hyperlink ref="E285" r:id="rId251" display="mailto:ashe@smithbucklin.com" xr:uid="{182B4154-BE37-4C94-A2B6-99326E7F7C82}"/>
    <hyperlink ref="J285" r:id="rId252" xr:uid="{B3F0AAD3-96AE-4435-93DB-E25B094C9EF6}"/>
    <hyperlink ref="E288" r:id="rId253" xr:uid="{A4F371DE-E8D0-4BD8-9415-305543554BCE}"/>
    <hyperlink ref="J288" r:id="rId254" xr:uid="{2AE6F717-F142-4203-836D-3E6E273FBBFD}"/>
    <hyperlink ref="E289" r:id="rId255" display="mailto:ashe@smithbucklin.com" xr:uid="{42D1C6C8-6A88-46CC-AB47-53F1B08CB019}"/>
    <hyperlink ref="J289" r:id="rId256" xr:uid="{F7B71A3A-7A49-4474-955C-8B4556BD350A}"/>
    <hyperlink ref="J290" r:id="rId257" xr:uid="{E179C566-B0D7-4EC6-BA46-CD661BD8FA25}"/>
    <hyperlink ref="J294" r:id="rId258" xr:uid="{9939AE6C-9451-4D66-AFE7-5751AE316DC6}"/>
    <hyperlink ref="E294" r:id="rId259" display="mailto:ashe@smithbucklin.com" xr:uid="{3C85413F-3D71-4119-B4FD-D10A90DD82A3}"/>
    <hyperlink ref="J296" r:id="rId260" xr:uid="{2FEB7690-52CB-47A7-B6EB-C4D4EFBAFFC1}"/>
    <hyperlink ref="J297" r:id="rId261" xr:uid="{959C1512-8BBC-4ED1-9AA5-4439B72CA688}"/>
    <hyperlink ref="J298" r:id="rId262" xr:uid="{F956F67B-3819-4859-A239-06A2F70AA702}"/>
    <hyperlink ref="J299" r:id="rId263" xr:uid="{88FADE57-9B1E-4C86-9DB4-D20156318534}"/>
    <hyperlink ref="J301" r:id="rId264" xr:uid="{9BBF1E1D-FD3D-4CB9-94F5-361F0924E4F8}"/>
    <hyperlink ref="J302" r:id="rId265" xr:uid="{4A373933-F4A6-41BF-823B-64C9341FE8C9}"/>
    <hyperlink ref="J303" r:id="rId266" xr:uid="{A946AE12-2C04-4434-96CE-1B75AB033161}"/>
    <hyperlink ref="J304" r:id="rId267" xr:uid="{F4E259FD-647B-4777-BE90-514953281EA4}"/>
    <hyperlink ref="J306" r:id="rId268" xr:uid="{087497F3-F99E-4C99-8BE0-10DCD75F8538}"/>
    <hyperlink ref="J305" r:id="rId269" xr:uid="{D87D2676-057D-4F98-8964-3F730D7DCBEE}"/>
  </hyperlinks>
  <pageMargins left="0.7" right="0.7" top="0.75" bottom="0.75" header="0.3" footer="0.3"/>
  <pageSetup scale="47" orientation="portrait" r:id="rId270"/>
  <drawing r:id="rId271"/>
  <legacyDrawing r:id="rId27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951B-0909-45AC-AF91-E5341B9594CD}">
  <sheetPr>
    <tabColor rgb="FF003087"/>
  </sheetPr>
  <dimension ref="A1:S189"/>
  <sheetViews>
    <sheetView zoomScale="60" zoomScaleNormal="60" workbookViewId="0">
      <pane ySplit="2" topLeftCell="A135" activePane="bottomLeft" state="frozen"/>
      <selection pane="bottomLeft" activeCell="H145" sqref="H145"/>
    </sheetView>
  </sheetViews>
  <sheetFormatPr defaultColWidth="8.7265625" defaultRowHeight="21" x14ac:dyDescent="0.5"/>
  <cols>
    <col min="1" max="1" width="40.81640625" style="1345" customWidth="1"/>
    <col min="2" max="2" width="24.81640625" style="1345" customWidth="1"/>
    <col min="3" max="3" width="33" style="1345" customWidth="1"/>
    <col min="4" max="4" width="43.54296875" style="1345" customWidth="1"/>
    <col min="5" max="5" width="75" style="1347" customWidth="1"/>
    <col min="6" max="6" width="73.7265625" style="1348" customWidth="1"/>
    <col min="7" max="7" width="32.26953125" style="1348" customWidth="1"/>
    <col min="8" max="8" width="27.81640625" style="1192" customWidth="1"/>
    <col min="9" max="11" width="22.26953125" style="1200" customWidth="1"/>
    <col min="12" max="12" width="16.81640625" style="1200" customWidth="1"/>
    <col min="13" max="13" width="0" style="1353" hidden="1" customWidth="1"/>
    <col min="14" max="14" width="17.1796875" style="1200" customWidth="1"/>
    <col min="15" max="15" width="0" style="1353" hidden="1" customWidth="1"/>
    <col min="16" max="16" width="11.81640625" style="1200" customWidth="1"/>
    <col min="17" max="17" width="13.7265625" style="1353" hidden="1" customWidth="1"/>
    <col min="18" max="18" width="14.54296875" style="1200" customWidth="1"/>
    <col min="19" max="19" width="0" style="1353" hidden="1" customWidth="1"/>
    <col min="20" max="16384" width="8.7265625" style="1192"/>
  </cols>
  <sheetData>
    <row r="1" spans="1:19" ht="99" customHeight="1" x14ac:dyDescent="0.5">
      <c r="A1" s="1192"/>
      <c r="B1" s="2067"/>
      <c r="C1" s="2067"/>
      <c r="D1" s="1349" t="s">
        <v>1569</v>
      </c>
      <c r="E1" s="1350" t="s">
        <v>1570</v>
      </c>
      <c r="F1" s="1351" t="s">
        <v>723</v>
      </c>
      <c r="G1" s="1352">
        <f>AVERAGE(L36:L136)</f>
        <v>0.33410549450549454</v>
      </c>
      <c r="H1" s="1348" t="s">
        <v>724</v>
      </c>
      <c r="I1" s="1352">
        <f>AVERAGE(N36:N136)</f>
        <v>4.3850549450549454E-2</v>
      </c>
    </row>
    <row r="2" spans="1:19" ht="59.25" customHeight="1" x14ac:dyDescent="0.5">
      <c r="A2" s="1354" t="s">
        <v>1</v>
      </c>
      <c r="B2" s="1355" t="s">
        <v>1571</v>
      </c>
      <c r="C2" s="1356" t="s">
        <v>3</v>
      </c>
      <c r="D2" s="1356" t="s">
        <v>4</v>
      </c>
      <c r="E2" s="1356" t="s">
        <v>5</v>
      </c>
      <c r="F2" s="1356" t="s">
        <v>1572</v>
      </c>
      <c r="G2" s="1356" t="s">
        <v>726</v>
      </c>
      <c r="H2" s="1356" t="s">
        <v>9</v>
      </c>
      <c r="I2" s="1356" t="s">
        <v>727</v>
      </c>
      <c r="J2" s="1356" t="s">
        <v>728</v>
      </c>
      <c r="K2" s="1356" t="s">
        <v>1573</v>
      </c>
      <c r="L2" s="1356" t="s">
        <v>433</v>
      </c>
      <c r="M2" s="1357" t="s">
        <v>11</v>
      </c>
      <c r="N2" s="1356" t="s">
        <v>729</v>
      </c>
      <c r="O2" s="1357" t="s">
        <v>652</v>
      </c>
      <c r="P2" s="1356" t="s">
        <v>653</v>
      </c>
      <c r="Q2" s="1357" t="s">
        <v>654</v>
      </c>
      <c r="R2" s="1356" t="s">
        <v>655</v>
      </c>
      <c r="S2" s="1358" t="s">
        <v>656</v>
      </c>
    </row>
    <row r="3" spans="1:19" s="1210" customFormat="1" ht="43.9" hidden="1" customHeight="1" x14ac:dyDescent="0.35">
      <c r="A3" s="1245" t="s">
        <v>991</v>
      </c>
      <c r="B3" s="1253"/>
      <c r="C3" s="1253"/>
      <c r="D3" s="1280"/>
      <c r="E3" s="1256"/>
      <c r="F3" s="1256"/>
      <c r="G3" s="1359"/>
      <c r="H3" s="1291"/>
      <c r="I3" s="1359"/>
      <c r="J3" s="1359"/>
      <c r="K3" s="1359"/>
      <c r="L3" s="1359"/>
      <c r="M3" s="1360"/>
      <c r="N3" s="1359"/>
      <c r="O3" s="1360"/>
      <c r="P3" s="1359"/>
      <c r="Q3" s="1360"/>
      <c r="R3" s="1359"/>
      <c r="S3" s="1361"/>
    </row>
    <row r="4" spans="1:19" s="1210" customFormat="1" ht="43.9" hidden="1" customHeight="1" x14ac:dyDescent="0.35">
      <c r="A4" s="1245" t="s">
        <v>1004</v>
      </c>
      <c r="B4" s="1253"/>
      <c r="C4" s="1253"/>
      <c r="D4" s="1253"/>
      <c r="E4" s="1256"/>
      <c r="F4" s="1256"/>
      <c r="G4" s="1359"/>
      <c r="H4" s="1291"/>
      <c r="I4" s="1359"/>
      <c r="J4" s="1359"/>
      <c r="K4" s="1359"/>
      <c r="L4" s="1359"/>
      <c r="M4" s="1360"/>
      <c r="N4" s="1359"/>
      <c r="O4" s="1360"/>
      <c r="P4" s="1359"/>
      <c r="Q4" s="1360"/>
      <c r="R4" s="1359"/>
      <c r="S4" s="1361"/>
    </row>
    <row r="5" spans="1:19" s="1210" customFormat="1" ht="43.9" hidden="1" customHeight="1" x14ac:dyDescent="0.35">
      <c r="A5" s="1241" t="s">
        <v>705</v>
      </c>
      <c r="B5" s="2047" t="s">
        <v>290</v>
      </c>
      <c r="C5" s="2047"/>
      <c r="D5" s="2047"/>
      <c r="E5" s="2047"/>
      <c r="F5" s="2047"/>
      <c r="G5" s="1244"/>
      <c r="H5" s="1362"/>
      <c r="I5" s="1244"/>
      <c r="J5" s="1244"/>
      <c r="K5" s="1244"/>
      <c r="L5" s="1208"/>
      <c r="M5" s="1363"/>
      <c r="N5" s="1208"/>
      <c r="O5" s="1363"/>
      <c r="P5" s="1208"/>
      <c r="Q5" s="1363"/>
      <c r="R5" s="1208"/>
      <c r="S5" s="1364"/>
    </row>
    <row r="6" spans="1:19" s="1261" customFormat="1" ht="43.9" hidden="1" customHeight="1" x14ac:dyDescent="0.35">
      <c r="A6" s="1245" t="s">
        <v>705</v>
      </c>
      <c r="B6" s="1245"/>
      <c r="C6" s="1245"/>
      <c r="D6" s="1245"/>
      <c r="E6" s="1365"/>
      <c r="F6" s="1365"/>
      <c r="G6" s="1258"/>
      <c r="H6" s="1366"/>
      <c r="I6" s="1258"/>
      <c r="J6" s="1258"/>
      <c r="K6" s="1258"/>
      <c r="L6" s="1260"/>
      <c r="M6" s="1367"/>
      <c r="N6" s="1260"/>
      <c r="O6" s="1367"/>
      <c r="P6" s="1260"/>
      <c r="Q6" s="1367"/>
      <c r="R6" s="1260"/>
      <c r="S6" s="1368"/>
    </row>
    <row r="7" spans="1:19" s="1252" customFormat="1" ht="45.75" hidden="1" customHeight="1" x14ac:dyDescent="0.35">
      <c r="A7" s="1245" t="s">
        <v>1013</v>
      </c>
      <c r="B7" s="1337"/>
      <c r="C7" s="1248"/>
      <c r="D7" s="1280"/>
      <c r="E7" s="1369"/>
      <c r="F7" s="1247"/>
      <c r="G7" s="1247"/>
      <c r="H7" s="1248"/>
      <c r="I7" s="1247"/>
      <c r="J7" s="1247"/>
      <c r="K7" s="1247"/>
      <c r="L7" s="1251"/>
      <c r="M7" s="1370"/>
      <c r="N7" s="1251"/>
      <c r="O7" s="1370"/>
      <c r="P7" s="1251"/>
      <c r="Q7" s="1370"/>
      <c r="R7" s="1251"/>
      <c r="S7" s="1371"/>
    </row>
    <row r="8" spans="1:19" s="1252" customFormat="1" ht="45.75" hidden="1" customHeight="1" x14ac:dyDescent="0.35">
      <c r="A8" s="1223" t="s">
        <v>1016</v>
      </c>
      <c r="B8" s="1372">
        <v>45551</v>
      </c>
      <c r="C8" s="1222" t="s">
        <v>164</v>
      </c>
      <c r="D8" s="1239" t="s">
        <v>1574</v>
      </c>
      <c r="E8" s="1215" t="s">
        <v>1575</v>
      </c>
      <c r="F8" s="1243"/>
      <c r="G8" s="1243"/>
      <c r="H8" s="1222" t="s">
        <v>1576</v>
      </c>
      <c r="I8" s="1243"/>
      <c r="J8" s="1243"/>
      <c r="K8" s="1232">
        <v>577</v>
      </c>
      <c r="L8" s="1232">
        <v>130</v>
      </c>
      <c r="M8" s="1373">
        <f t="shared" ref="M8:M16" si="0">L8/K8</f>
        <v>0.22530329289428075</v>
      </c>
      <c r="N8" s="1232">
        <v>1</v>
      </c>
      <c r="O8" s="1373">
        <f t="shared" ref="O8:O16" si="1">N8/K8</f>
        <v>1.7331022530329288E-3</v>
      </c>
      <c r="P8" s="1232">
        <v>3</v>
      </c>
      <c r="Q8" s="1373">
        <f>P8/K8</f>
        <v>5.1993067590987872E-3</v>
      </c>
      <c r="R8" s="1232">
        <v>0</v>
      </c>
      <c r="S8" s="1374">
        <v>0</v>
      </c>
    </row>
    <row r="9" spans="1:19" s="1210" customFormat="1" ht="43.9" hidden="1" customHeight="1" x14ac:dyDescent="0.35">
      <c r="A9" s="1223" t="s">
        <v>1016</v>
      </c>
      <c r="B9" s="1223">
        <v>45555</v>
      </c>
      <c r="C9" s="1223" t="s">
        <v>1577</v>
      </c>
      <c r="D9" s="1239" t="s">
        <v>1574</v>
      </c>
      <c r="E9" s="1215" t="s">
        <v>1578</v>
      </c>
      <c r="F9" s="1215" t="s">
        <v>1579</v>
      </c>
      <c r="G9" s="1262"/>
      <c r="H9" s="1375" t="s">
        <v>1580</v>
      </c>
      <c r="I9" s="1262"/>
      <c r="J9" s="1262"/>
      <c r="K9" s="1262">
        <v>81</v>
      </c>
      <c r="L9" s="1217">
        <v>29</v>
      </c>
      <c r="M9" s="1376">
        <f t="shared" si="0"/>
        <v>0.35802469135802467</v>
      </c>
      <c r="N9" s="1217">
        <v>5</v>
      </c>
      <c r="O9" s="1376">
        <f t="shared" si="1"/>
        <v>6.1728395061728392E-2</v>
      </c>
      <c r="P9" s="1217">
        <v>0</v>
      </c>
      <c r="Q9" s="1376">
        <v>0</v>
      </c>
      <c r="R9" s="1217">
        <v>2</v>
      </c>
      <c r="S9" s="1377">
        <f>R9/K9</f>
        <v>2.4691358024691357E-2</v>
      </c>
    </row>
    <row r="10" spans="1:19" s="1210" customFormat="1" ht="43.9" hidden="1" customHeight="1" x14ac:dyDescent="0.35">
      <c r="A10" s="1223" t="s">
        <v>1016</v>
      </c>
      <c r="B10" s="1223">
        <v>45555</v>
      </c>
      <c r="C10" s="1223" t="s">
        <v>1577</v>
      </c>
      <c r="D10" s="1239" t="s">
        <v>1574</v>
      </c>
      <c r="E10" s="1215" t="s">
        <v>1581</v>
      </c>
      <c r="F10" s="1215" t="s">
        <v>1579</v>
      </c>
      <c r="G10" s="1262"/>
      <c r="H10" s="1375" t="s">
        <v>1582</v>
      </c>
      <c r="I10" s="1262"/>
      <c r="J10" s="1262"/>
      <c r="K10" s="1262">
        <v>8</v>
      </c>
      <c r="L10" s="1217">
        <v>0</v>
      </c>
      <c r="M10" s="1376">
        <f t="shared" si="0"/>
        <v>0</v>
      </c>
      <c r="N10" s="1217">
        <v>0</v>
      </c>
      <c r="O10" s="1376">
        <f t="shared" si="1"/>
        <v>0</v>
      </c>
      <c r="P10" s="1217">
        <v>0</v>
      </c>
      <c r="Q10" s="1376">
        <v>0</v>
      </c>
      <c r="R10" s="1217">
        <v>0</v>
      </c>
      <c r="S10" s="1377">
        <f>R10/K10</f>
        <v>0</v>
      </c>
    </row>
    <row r="11" spans="1:19" s="1219" customFormat="1" ht="57" hidden="1" customHeight="1" x14ac:dyDescent="0.35">
      <c r="A11" s="1223" t="s">
        <v>1026</v>
      </c>
      <c r="B11" s="1223">
        <v>45559</v>
      </c>
      <c r="C11" s="1211" t="s">
        <v>1577</v>
      </c>
      <c r="D11" s="1239" t="s">
        <v>1574</v>
      </c>
      <c r="E11" s="1215" t="s">
        <v>1583</v>
      </c>
      <c r="F11" s="1215" t="s">
        <v>1584</v>
      </c>
      <c r="G11" s="1264"/>
      <c r="H11" s="1215" t="s">
        <v>1585</v>
      </c>
      <c r="I11" s="1264"/>
      <c r="J11" s="1264"/>
      <c r="K11" s="1264">
        <v>88</v>
      </c>
      <c r="L11" s="1264">
        <v>32</v>
      </c>
      <c r="M11" s="1378">
        <f t="shared" si="0"/>
        <v>0.36363636363636365</v>
      </c>
      <c r="N11" s="1264">
        <v>7</v>
      </c>
      <c r="O11" s="1378">
        <f t="shared" si="1"/>
        <v>7.9545454545454544E-2</v>
      </c>
      <c r="P11" s="1264">
        <v>0</v>
      </c>
      <c r="Q11" s="1378">
        <v>0</v>
      </c>
      <c r="R11" s="1264">
        <v>0</v>
      </c>
      <c r="S11" s="1379">
        <v>0</v>
      </c>
    </row>
    <row r="12" spans="1:19" s="1252" customFormat="1" ht="45.75" hidden="1" customHeight="1" x14ac:dyDescent="0.35">
      <c r="A12" s="1223" t="s">
        <v>1035</v>
      </c>
      <c r="B12" s="1372">
        <v>45565</v>
      </c>
      <c r="C12" s="1222" t="s">
        <v>1577</v>
      </c>
      <c r="D12" s="1239" t="s">
        <v>1574</v>
      </c>
      <c r="E12" s="1215" t="s">
        <v>1586</v>
      </c>
      <c r="F12" s="1222" t="s">
        <v>1587</v>
      </c>
      <c r="G12" s="1243"/>
      <c r="H12" s="1222" t="s">
        <v>1588</v>
      </c>
      <c r="I12" s="1243"/>
      <c r="J12" s="1243"/>
      <c r="K12" s="1264">
        <v>84</v>
      </c>
      <c r="L12" s="1264">
        <v>32</v>
      </c>
      <c r="M12" s="1378">
        <f t="shared" si="0"/>
        <v>0.38095238095238093</v>
      </c>
      <c r="N12" s="1264">
        <v>7</v>
      </c>
      <c r="O12" s="1378">
        <f t="shared" si="1"/>
        <v>8.3333333333333329E-2</v>
      </c>
      <c r="P12" s="1264">
        <v>0</v>
      </c>
      <c r="Q12" s="1378">
        <v>0</v>
      </c>
      <c r="R12" s="1264">
        <v>0</v>
      </c>
      <c r="S12" s="1379">
        <v>0</v>
      </c>
    </row>
    <row r="13" spans="1:19" s="1252" customFormat="1" ht="45.75" hidden="1" customHeight="1" x14ac:dyDescent="0.35">
      <c r="A13" s="1223" t="s">
        <v>1035</v>
      </c>
      <c r="B13" s="1372">
        <v>45567</v>
      </c>
      <c r="C13" s="1222" t="s">
        <v>1589</v>
      </c>
      <c r="D13" s="1239" t="s">
        <v>1574</v>
      </c>
      <c r="E13" s="1215" t="s">
        <v>1590</v>
      </c>
      <c r="F13" s="1222" t="s">
        <v>1591</v>
      </c>
      <c r="G13" s="1243"/>
      <c r="H13" s="1222" t="s">
        <v>1592</v>
      </c>
      <c r="I13" s="1243"/>
      <c r="J13" s="1243"/>
      <c r="K13" s="1233">
        <v>87</v>
      </c>
      <c r="L13" s="1232">
        <v>41</v>
      </c>
      <c r="M13" s="1373">
        <f t="shared" si="0"/>
        <v>0.47126436781609193</v>
      </c>
      <c r="N13" s="1232">
        <v>10</v>
      </c>
      <c r="O13" s="1373">
        <f t="shared" si="1"/>
        <v>0.11494252873563218</v>
      </c>
      <c r="P13" s="1232">
        <v>0</v>
      </c>
      <c r="Q13" s="1373">
        <v>0</v>
      </c>
      <c r="R13" s="1232">
        <v>0</v>
      </c>
      <c r="S13" s="1374">
        <v>0</v>
      </c>
    </row>
    <row r="14" spans="1:19" s="1219" customFormat="1" ht="43.9" hidden="1" customHeight="1" x14ac:dyDescent="0.35">
      <c r="A14" s="1266" t="s">
        <v>706</v>
      </c>
      <c r="B14" s="1223">
        <v>45572</v>
      </c>
      <c r="C14" s="1222" t="s">
        <v>1577</v>
      </c>
      <c r="D14" s="1239" t="s">
        <v>1574</v>
      </c>
      <c r="E14" s="1215" t="s">
        <v>1593</v>
      </c>
      <c r="F14" s="1215" t="s">
        <v>1594</v>
      </c>
      <c r="G14" s="1217"/>
      <c r="H14" s="1380" t="s">
        <v>1595</v>
      </c>
      <c r="I14" s="1217"/>
      <c r="J14" s="1217"/>
      <c r="K14" s="1218">
        <v>85</v>
      </c>
      <c r="L14" s="1217">
        <v>35</v>
      </c>
      <c r="M14" s="1376">
        <f t="shared" si="0"/>
        <v>0.41176470588235292</v>
      </c>
      <c r="N14" s="1217">
        <v>6</v>
      </c>
      <c r="O14" s="1376">
        <f t="shared" si="1"/>
        <v>7.0588235294117646E-2</v>
      </c>
      <c r="P14" s="1217">
        <v>0</v>
      </c>
      <c r="Q14" s="1376">
        <v>0</v>
      </c>
      <c r="R14" s="1217">
        <v>0</v>
      </c>
      <c r="S14" s="1377">
        <v>0</v>
      </c>
    </row>
    <row r="15" spans="1:19" s="1252" customFormat="1" ht="45.75" hidden="1" customHeight="1" x14ac:dyDescent="0.35">
      <c r="A15" s="1266" t="s">
        <v>706</v>
      </c>
      <c r="B15" s="1372">
        <v>45574</v>
      </c>
      <c r="C15" s="1222" t="s">
        <v>1596</v>
      </c>
      <c r="D15" s="1239" t="s">
        <v>1574</v>
      </c>
      <c r="E15" s="1222" t="s">
        <v>1597</v>
      </c>
      <c r="F15" s="1215" t="s">
        <v>1594</v>
      </c>
      <c r="G15" s="1264"/>
      <c r="H15" s="1215" t="s">
        <v>1598</v>
      </c>
      <c r="I15" s="1264"/>
      <c r="J15" s="1264"/>
      <c r="K15" s="1265">
        <v>53</v>
      </c>
      <c r="L15" s="1264">
        <v>10</v>
      </c>
      <c r="M15" s="1378">
        <f t="shared" si="0"/>
        <v>0.18867924528301888</v>
      </c>
      <c r="N15" s="1264">
        <v>1</v>
      </c>
      <c r="O15" s="1378">
        <f t="shared" si="1"/>
        <v>1.8867924528301886E-2</v>
      </c>
      <c r="P15" s="1264">
        <v>0</v>
      </c>
      <c r="Q15" s="1378">
        <v>0</v>
      </c>
      <c r="R15" s="1264">
        <v>0</v>
      </c>
      <c r="S15" s="1379">
        <v>0</v>
      </c>
    </row>
    <row r="16" spans="1:19" s="1252" customFormat="1" ht="45.75" hidden="1" customHeight="1" x14ac:dyDescent="0.35">
      <c r="A16" s="1266" t="s">
        <v>706</v>
      </c>
      <c r="B16" s="1372">
        <v>45576</v>
      </c>
      <c r="C16" s="1222" t="s">
        <v>1577</v>
      </c>
      <c r="D16" s="1239" t="s">
        <v>1574</v>
      </c>
      <c r="E16" s="1222" t="s">
        <v>1599</v>
      </c>
      <c r="F16" s="1215" t="s">
        <v>1594</v>
      </c>
      <c r="G16" s="1264"/>
      <c r="H16" s="1215" t="s">
        <v>1600</v>
      </c>
      <c r="I16" s="1264"/>
      <c r="J16" s="1264"/>
      <c r="K16" s="1265">
        <v>46</v>
      </c>
      <c r="L16" s="1264">
        <v>10</v>
      </c>
      <c r="M16" s="1378">
        <f t="shared" si="0"/>
        <v>0.21739130434782608</v>
      </c>
      <c r="N16" s="1264">
        <v>2</v>
      </c>
      <c r="O16" s="1378">
        <f t="shared" si="1"/>
        <v>4.3478260869565216E-2</v>
      </c>
      <c r="P16" s="1264">
        <v>0</v>
      </c>
      <c r="Q16" s="1378">
        <v>0</v>
      </c>
      <c r="R16" s="1264">
        <v>0</v>
      </c>
      <c r="S16" s="1379">
        <v>0</v>
      </c>
    </row>
    <row r="17" spans="1:19" s="1252" customFormat="1" ht="45.75" hidden="1" customHeight="1" x14ac:dyDescent="0.35">
      <c r="A17" s="1274" t="s">
        <v>1048</v>
      </c>
      <c r="B17" s="2068" t="s">
        <v>1601</v>
      </c>
      <c r="C17" s="2068"/>
      <c r="D17" s="2068"/>
      <c r="E17" s="2068"/>
      <c r="F17" s="2068"/>
      <c r="G17" s="1229"/>
      <c r="H17" s="1207"/>
      <c r="I17" s="1229"/>
      <c r="J17" s="1229"/>
      <c r="K17" s="1270"/>
      <c r="L17" s="1229"/>
      <c r="M17" s="1381"/>
      <c r="N17" s="1229"/>
      <c r="O17" s="1381"/>
      <c r="P17" s="1229"/>
      <c r="Q17" s="1381"/>
      <c r="R17" s="1229"/>
      <c r="S17" s="1382"/>
    </row>
    <row r="18" spans="1:19" s="1252" customFormat="1" ht="45.75" hidden="1" customHeight="1" x14ac:dyDescent="0.35">
      <c r="A18" s="1246" t="s">
        <v>1048</v>
      </c>
      <c r="B18" s="1337">
        <v>45579</v>
      </c>
      <c r="C18" s="1248" t="s">
        <v>1577</v>
      </c>
      <c r="D18" s="1280" t="s">
        <v>1574</v>
      </c>
      <c r="E18" s="1256" t="s">
        <v>1602</v>
      </c>
      <c r="F18" s="1248" t="s">
        <v>1603</v>
      </c>
      <c r="G18" s="1272"/>
      <c r="H18" s="1256"/>
      <c r="I18" s="1272"/>
      <c r="J18" s="1272"/>
      <c r="K18" s="1273"/>
      <c r="L18" s="1272"/>
      <c r="M18" s="1383"/>
      <c r="N18" s="1272"/>
      <c r="O18" s="1383"/>
      <c r="P18" s="1272"/>
      <c r="Q18" s="1383"/>
      <c r="R18" s="1272"/>
      <c r="S18" s="1384"/>
    </row>
    <row r="19" spans="1:19" s="1252" customFormat="1" ht="45.75" hidden="1" customHeight="1" x14ac:dyDescent="0.35">
      <c r="A19" s="1246" t="s">
        <v>1048</v>
      </c>
      <c r="B19" s="1337">
        <v>45581</v>
      </c>
      <c r="C19" s="1248" t="s">
        <v>1577</v>
      </c>
      <c r="D19" s="1280" t="s">
        <v>1574</v>
      </c>
      <c r="E19" s="1256" t="s">
        <v>1604</v>
      </c>
      <c r="F19" s="1248"/>
      <c r="G19" s="1272"/>
      <c r="H19" s="1256"/>
      <c r="I19" s="1272"/>
      <c r="J19" s="1272"/>
      <c r="K19" s="1273"/>
      <c r="L19" s="1272"/>
      <c r="M19" s="1383"/>
      <c r="N19" s="1272"/>
      <c r="O19" s="1383"/>
      <c r="P19" s="1272"/>
      <c r="Q19" s="1383"/>
      <c r="R19" s="1272"/>
      <c r="S19" s="1384"/>
    </row>
    <row r="20" spans="1:19" s="1252" customFormat="1" ht="45.75" hidden="1" customHeight="1" x14ac:dyDescent="0.35">
      <c r="A20" s="1246" t="s">
        <v>708</v>
      </c>
      <c r="B20" s="1337">
        <v>45587</v>
      </c>
      <c r="C20" s="1248" t="s">
        <v>1605</v>
      </c>
      <c r="D20" s="1280" t="s">
        <v>1574</v>
      </c>
      <c r="E20" s="1256" t="s">
        <v>1606</v>
      </c>
      <c r="F20" s="1248"/>
      <c r="G20" s="1276"/>
      <c r="H20" s="1276" t="s">
        <v>1607</v>
      </c>
      <c r="I20" s="1287" t="s">
        <v>1608</v>
      </c>
      <c r="J20" s="1276">
        <v>11</v>
      </c>
      <c r="K20" s="1277">
        <v>36</v>
      </c>
      <c r="L20" s="1278">
        <v>0.16669999999999999</v>
      </c>
      <c r="M20" s="1385"/>
      <c r="N20" s="1278">
        <v>2.7799999999999998E-2</v>
      </c>
      <c r="O20" s="1385"/>
      <c r="P20" s="1276">
        <v>0</v>
      </c>
      <c r="Q20" s="1385"/>
      <c r="R20" s="1279">
        <v>0</v>
      </c>
      <c r="S20" s="1371"/>
    </row>
    <row r="21" spans="1:19" s="1252" customFormat="1" ht="45.75" hidden="1" customHeight="1" x14ac:dyDescent="0.35">
      <c r="A21" s="1246" t="s">
        <v>1073</v>
      </c>
      <c r="B21" s="1337">
        <v>45594</v>
      </c>
      <c r="C21" s="1248" t="s">
        <v>992</v>
      </c>
      <c r="D21" s="1280" t="s">
        <v>1574</v>
      </c>
      <c r="E21" s="1248" t="s">
        <v>1609</v>
      </c>
      <c r="F21" s="1248"/>
      <c r="G21" s="1279"/>
      <c r="H21" s="1279" t="s">
        <v>1610</v>
      </c>
      <c r="I21" s="1386" t="s">
        <v>1611</v>
      </c>
      <c r="J21" s="1279">
        <v>20</v>
      </c>
      <c r="K21" s="1277">
        <v>749</v>
      </c>
      <c r="L21" s="1278">
        <v>0.16059999999999999</v>
      </c>
      <c r="M21" s="1278"/>
      <c r="N21" s="1278">
        <v>1.21E-2</v>
      </c>
      <c r="O21" s="1385"/>
      <c r="P21" s="1279">
        <v>10</v>
      </c>
      <c r="Q21" s="1385"/>
      <c r="R21" s="1279">
        <v>49</v>
      </c>
      <c r="S21" s="1371"/>
    </row>
    <row r="22" spans="1:19" s="1252" customFormat="1" ht="45.75" hidden="1" customHeight="1" x14ac:dyDescent="0.35">
      <c r="A22" s="1268" t="s">
        <v>1078</v>
      </c>
      <c r="B22" s="2068" t="s">
        <v>1612</v>
      </c>
      <c r="C22" s="2068"/>
      <c r="D22" s="2068"/>
      <c r="E22" s="2068"/>
      <c r="F22" s="2068"/>
      <c r="G22" s="1286"/>
      <c r="H22" s="1387"/>
      <c r="I22" s="1286"/>
      <c r="J22" s="1286"/>
      <c r="K22" s="1285"/>
      <c r="L22" s="1286"/>
      <c r="M22" s="1388"/>
      <c r="N22" s="1286"/>
      <c r="O22" s="1388"/>
      <c r="P22" s="1286"/>
      <c r="Q22" s="1388"/>
      <c r="R22" s="1286"/>
      <c r="S22" s="1389"/>
    </row>
    <row r="23" spans="1:19" s="1252" customFormat="1" ht="45.75" hidden="1" customHeight="1" x14ac:dyDescent="0.35">
      <c r="A23" s="1246" t="s">
        <v>1078</v>
      </c>
      <c r="B23" s="1337">
        <v>45603</v>
      </c>
      <c r="C23" s="1248" t="s">
        <v>1613</v>
      </c>
      <c r="D23" s="1275" t="s">
        <v>1005</v>
      </c>
      <c r="E23" s="1248" t="s">
        <v>1614</v>
      </c>
      <c r="F23" s="1248"/>
      <c r="G23" s="1279"/>
      <c r="H23" s="1279" t="s">
        <v>1084</v>
      </c>
      <c r="I23" s="1386" t="s">
        <v>1615</v>
      </c>
      <c r="J23" s="1279">
        <v>37</v>
      </c>
      <c r="K23" s="1277">
        <v>614</v>
      </c>
      <c r="L23" s="1278">
        <v>8.7900000000000006E-2</v>
      </c>
      <c r="M23" s="1278"/>
      <c r="N23" s="1278">
        <v>8.0999999999999996E-3</v>
      </c>
      <c r="O23" s="1390"/>
      <c r="P23" s="1279">
        <v>4</v>
      </c>
      <c r="Q23" s="1385"/>
      <c r="R23" s="1279">
        <v>1</v>
      </c>
      <c r="S23" s="1371"/>
    </row>
    <row r="24" spans="1:19" s="1252" customFormat="1" ht="45.75" hidden="1" customHeight="1" x14ac:dyDescent="0.35">
      <c r="A24" s="1268" t="s">
        <v>711</v>
      </c>
      <c r="B24" s="2069" t="s">
        <v>712</v>
      </c>
      <c r="C24" s="2069"/>
      <c r="D24" s="2069"/>
      <c r="E24" s="2069"/>
      <c r="F24" s="2069"/>
      <c r="G24" s="1284"/>
      <c r="H24" s="1392"/>
      <c r="I24" s="1284"/>
      <c r="J24" s="1284"/>
      <c r="K24" s="1285"/>
      <c r="L24" s="1284"/>
      <c r="M24" s="1388"/>
      <c r="N24" s="1284"/>
      <c r="O24" s="1388"/>
      <c r="P24" s="1284"/>
      <c r="Q24" s="1388"/>
      <c r="R24" s="1284"/>
      <c r="S24" s="1389"/>
    </row>
    <row r="25" spans="1:19" s="1252" customFormat="1" ht="45.75" hidden="1" customHeight="1" x14ac:dyDescent="0.35">
      <c r="A25" s="1246" t="s">
        <v>711</v>
      </c>
      <c r="B25" s="1248">
        <v>45610</v>
      </c>
      <c r="C25" s="1248" t="s">
        <v>86</v>
      </c>
      <c r="D25" s="1275" t="s">
        <v>1005</v>
      </c>
      <c r="E25" s="1248" t="s">
        <v>1616</v>
      </c>
      <c r="F25" s="1248" t="s">
        <v>1617</v>
      </c>
      <c r="G25" s="1276"/>
      <c r="H25" s="1276" t="s">
        <v>1618</v>
      </c>
      <c r="I25" s="1287" t="s">
        <v>1619</v>
      </c>
      <c r="J25" s="1276">
        <v>32</v>
      </c>
      <c r="K25" s="1277">
        <v>169</v>
      </c>
      <c r="L25" s="1278">
        <v>0.20119999999999999</v>
      </c>
      <c r="M25" s="1385"/>
      <c r="N25" s="1278">
        <v>4.1399999999999999E-2</v>
      </c>
      <c r="O25" s="1385"/>
      <c r="P25" s="1276">
        <v>6</v>
      </c>
      <c r="Q25" s="1385"/>
      <c r="R25" s="1276">
        <v>0</v>
      </c>
      <c r="S25" s="1371"/>
    </row>
    <row r="26" spans="1:19" s="1252" customFormat="1" ht="45.75" hidden="1" customHeight="1" x14ac:dyDescent="0.35">
      <c r="A26" s="1246" t="s">
        <v>713</v>
      </c>
      <c r="B26" s="1337">
        <v>45615</v>
      </c>
      <c r="C26" s="1248" t="s">
        <v>86</v>
      </c>
      <c r="D26" s="1275" t="s">
        <v>1005</v>
      </c>
      <c r="E26" s="1248" t="s">
        <v>1620</v>
      </c>
      <c r="F26" s="1248"/>
      <c r="G26" s="1276"/>
      <c r="H26" s="1276" t="s">
        <v>1621</v>
      </c>
      <c r="I26" s="1287" t="s">
        <v>1622</v>
      </c>
      <c r="J26" s="1276">
        <v>32</v>
      </c>
      <c r="K26" s="1277">
        <v>29</v>
      </c>
      <c r="L26" s="1278">
        <v>0.68969999999999998</v>
      </c>
      <c r="M26" s="1385"/>
      <c r="N26" s="1278">
        <v>6.9000000000000006E-2</v>
      </c>
      <c r="O26" s="1385"/>
      <c r="P26" s="1276">
        <v>0</v>
      </c>
      <c r="Q26" s="1385"/>
      <c r="R26" s="1276">
        <v>0</v>
      </c>
      <c r="S26" s="1371"/>
    </row>
    <row r="27" spans="1:19" s="1252" customFormat="1" ht="45.75" hidden="1" customHeight="1" x14ac:dyDescent="0.35">
      <c r="A27" s="1246" t="s">
        <v>717</v>
      </c>
      <c r="B27" s="1337">
        <v>45622</v>
      </c>
      <c r="C27" s="2068" t="s">
        <v>106</v>
      </c>
      <c r="D27" s="2068"/>
      <c r="E27" s="2068"/>
      <c r="F27" s="2068"/>
      <c r="G27" s="1251"/>
      <c r="H27" s="1276"/>
      <c r="I27" s="1251"/>
      <c r="J27" s="1251"/>
      <c r="K27" s="1250"/>
      <c r="L27" s="1251"/>
      <c r="M27" s="1370"/>
      <c r="N27" s="1251"/>
      <c r="O27" s="1370"/>
      <c r="P27" s="1251"/>
      <c r="Q27" s="1370"/>
      <c r="R27" s="1251"/>
      <c r="S27" s="1371"/>
    </row>
    <row r="28" spans="1:19" s="1252" customFormat="1" ht="45.75" hidden="1" customHeight="1" x14ac:dyDescent="0.35">
      <c r="A28" s="1268" t="s">
        <v>717</v>
      </c>
      <c r="B28" s="2068" t="s">
        <v>718</v>
      </c>
      <c r="C28" s="2068"/>
      <c r="D28" s="2068"/>
      <c r="E28" s="2068"/>
      <c r="F28" s="2068"/>
      <c r="G28" s="1284"/>
      <c r="H28" s="1392"/>
      <c r="I28" s="1284"/>
      <c r="J28" s="1284"/>
      <c r="K28" s="1285"/>
      <c r="L28" s="1284"/>
      <c r="M28" s="1388"/>
      <c r="N28" s="1284"/>
      <c r="O28" s="1388"/>
      <c r="P28" s="1284"/>
      <c r="Q28" s="1388"/>
      <c r="R28" s="1284"/>
      <c r="S28" s="1389"/>
    </row>
    <row r="29" spans="1:19" s="1252" customFormat="1" ht="45.75" hidden="1" customHeight="1" x14ac:dyDescent="0.35">
      <c r="A29" s="1248" t="s">
        <v>719</v>
      </c>
      <c r="B29" s="1248"/>
      <c r="C29" s="1248" t="s">
        <v>86</v>
      </c>
      <c r="D29" s="1275" t="s">
        <v>1005</v>
      </c>
      <c r="E29" s="1248" t="s">
        <v>1623</v>
      </c>
      <c r="F29" s="1275" t="s">
        <v>1624</v>
      </c>
      <c r="G29" s="1276"/>
      <c r="H29" s="1276" t="s">
        <v>1625</v>
      </c>
      <c r="I29" s="1287" t="s">
        <v>1626</v>
      </c>
      <c r="J29" s="1276">
        <v>60</v>
      </c>
      <c r="K29" s="1277">
        <v>169</v>
      </c>
      <c r="L29" s="1278">
        <v>0.23080000000000001</v>
      </c>
      <c r="M29" s="1385"/>
      <c r="N29" s="1278">
        <v>1.18E-2</v>
      </c>
      <c r="O29" s="1385"/>
      <c r="P29" s="1276">
        <v>0</v>
      </c>
      <c r="Q29" s="1385"/>
      <c r="R29" s="1276">
        <v>0</v>
      </c>
      <c r="S29" s="1371"/>
    </row>
    <row r="30" spans="1:19" s="1252" customFormat="1" ht="45.75" hidden="1" customHeight="1" x14ac:dyDescent="0.35">
      <c r="A30" s="1246" t="s">
        <v>720</v>
      </c>
      <c r="B30" s="1337"/>
      <c r="C30" s="1248" t="s">
        <v>1627</v>
      </c>
      <c r="D30" s="1275" t="s">
        <v>1005</v>
      </c>
      <c r="E30" s="1248" t="s">
        <v>1628</v>
      </c>
      <c r="F30" s="1248" t="s">
        <v>1629</v>
      </c>
      <c r="G30" s="1276"/>
      <c r="H30" s="1276" t="s">
        <v>1125</v>
      </c>
      <c r="I30" s="1287" t="s">
        <v>1630</v>
      </c>
      <c r="J30" s="1276">
        <v>58</v>
      </c>
      <c r="K30" s="1277">
        <v>476</v>
      </c>
      <c r="L30" s="1278">
        <v>0.19120000000000001</v>
      </c>
      <c r="M30" s="1385"/>
      <c r="N30" s="1278">
        <v>1.6799999999999999E-2</v>
      </c>
      <c r="O30" s="1385"/>
      <c r="P30" s="1276">
        <v>3</v>
      </c>
      <c r="Q30" s="1385"/>
      <c r="R30" s="1276">
        <v>5</v>
      </c>
      <c r="S30" s="1371"/>
    </row>
    <row r="31" spans="1:19" s="1252" customFormat="1" ht="45.75" hidden="1" customHeight="1" x14ac:dyDescent="0.35">
      <c r="A31" s="1246" t="s">
        <v>720</v>
      </c>
      <c r="B31" s="1337"/>
      <c r="C31" s="1248" t="s">
        <v>1627</v>
      </c>
      <c r="D31" s="1275" t="s">
        <v>759</v>
      </c>
      <c r="E31" s="1248" t="s">
        <v>1628</v>
      </c>
      <c r="F31" s="1248" t="s">
        <v>913</v>
      </c>
      <c r="G31" s="1276"/>
      <c r="H31" s="1276" t="s">
        <v>1125</v>
      </c>
      <c r="I31" s="1287" t="s">
        <v>1631</v>
      </c>
      <c r="J31" s="1276">
        <v>58</v>
      </c>
      <c r="K31" s="1277">
        <v>303</v>
      </c>
      <c r="L31" s="1278">
        <v>0.19139999999999999</v>
      </c>
      <c r="M31" s="1385"/>
      <c r="N31" s="1278">
        <v>1.9800000000000002E-2</v>
      </c>
      <c r="O31" s="1385"/>
      <c r="P31" s="1276">
        <v>0</v>
      </c>
      <c r="Q31" s="1385"/>
      <c r="R31" s="1276">
        <v>5</v>
      </c>
      <c r="S31" s="1371"/>
    </row>
    <row r="32" spans="1:19" s="1252" customFormat="1" ht="45.75" hidden="1" customHeight="1" x14ac:dyDescent="0.35">
      <c r="A32" s="1246" t="s">
        <v>721</v>
      </c>
      <c r="B32" s="1337"/>
      <c r="C32" s="1248" t="s">
        <v>86</v>
      </c>
      <c r="D32" s="1275" t="s">
        <v>1005</v>
      </c>
      <c r="E32" s="1248" t="s">
        <v>1632</v>
      </c>
      <c r="F32" s="1248" t="s">
        <v>1629</v>
      </c>
      <c r="G32" s="1276"/>
      <c r="H32" s="1276" t="s">
        <v>1633</v>
      </c>
      <c r="I32" s="1287" t="s">
        <v>1634</v>
      </c>
      <c r="J32" s="1276">
        <v>64</v>
      </c>
      <c r="K32" s="1277">
        <v>468</v>
      </c>
      <c r="L32" s="1278">
        <v>0.16239999999999999</v>
      </c>
      <c r="M32" s="1385"/>
      <c r="N32" s="1278">
        <v>6.4000000000000003E-3</v>
      </c>
      <c r="O32" s="1385"/>
      <c r="P32" s="1276">
        <v>1</v>
      </c>
      <c r="Q32" s="1385"/>
      <c r="R32" s="1276">
        <v>3</v>
      </c>
      <c r="S32" s="1371"/>
    </row>
    <row r="33" spans="1:19" s="1252" customFormat="1" ht="47.25" hidden="1" customHeight="1" x14ac:dyDescent="0.35">
      <c r="A33" s="1246" t="s">
        <v>721</v>
      </c>
      <c r="B33" s="1337"/>
      <c r="C33" s="1248" t="s">
        <v>86</v>
      </c>
      <c r="D33" s="1275" t="s">
        <v>759</v>
      </c>
      <c r="E33" s="1248" t="s">
        <v>1632</v>
      </c>
      <c r="F33" s="1248" t="s">
        <v>913</v>
      </c>
      <c r="G33" s="1276"/>
      <c r="H33" s="1276" t="s">
        <v>1633</v>
      </c>
      <c r="I33" s="1287" t="s">
        <v>1635</v>
      </c>
      <c r="J33" s="1276">
        <v>64</v>
      </c>
      <c r="K33" s="1277">
        <v>363</v>
      </c>
      <c r="L33" s="1278">
        <v>0.18179999999999999</v>
      </c>
      <c r="M33" s="1385"/>
      <c r="N33" s="1278">
        <v>8.3000000000000001E-3</v>
      </c>
      <c r="O33" s="1385"/>
      <c r="P33" s="1276">
        <v>5</v>
      </c>
      <c r="Q33" s="1385"/>
      <c r="R33" s="1276">
        <v>0</v>
      </c>
      <c r="S33" s="1371"/>
    </row>
    <row r="34" spans="1:19" s="1252" customFormat="1" ht="45.75" hidden="1" customHeight="1" x14ac:dyDescent="0.35">
      <c r="A34" s="1298" t="s">
        <v>722</v>
      </c>
      <c r="B34" s="2041" t="s">
        <v>425</v>
      </c>
      <c r="C34" s="2041"/>
      <c r="D34" s="2041"/>
      <c r="E34" s="2041"/>
      <c r="F34" s="2041"/>
      <c r="G34" s="1284"/>
      <c r="H34" s="1392"/>
      <c r="I34" s="1284"/>
      <c r="J34" s="1284"/>
      <c r="K34" s="1285"/>
      <c r="L34" s="1284"/>
      <c r="M34" s="1388"/>
      <c r="N34" s="1284"/>
      <c r="O34" s="1388"/>
      <c r="P34" s="1284"/>
      <c r="Q34" s="1388"/>
      <c r="R34" s="1284"/>
      <c r="S34" s="1389"/>
    </row>
    <row r="35" spans="1:19" s="1252" customFormat="1" ht="45.75" hidden="1" customHeight="1" x14ac:dyDescent="0.35">
      <c r="A35" s="1298" t="s">
        <v>657</v>
      </c>
      <c r="B35" s="2041" t="s">
        <v>1636</v>
      </c>
      <c r="C35" s="2041"/>
      <c r="D35" s="2041"/>
      <c r="E35" s="2041"/>
      <c r="F35" s="2041"/>
      <c r="G35" s="1284"/>
      <c r="H35" s="1392"/>
      <c r="I35" s="1284"/>
      <c r="J35" s="1284"/>
      <c r="K35" s="1285"/>
      <c r="L35" s="1284"/>
      <c r="M35" s="1388"/>
      <c r="N35" s="1284"/>
      <c r="O35" s="1388"/>
      <c r="P35" s="1284"/>
      <c r="Q35" s="1388"/>
      <c r="R35" s="1284"/>
      <c r="S35" s="1389"/>
    </row>
    <row r="36" spans="1:19" s="1252" customFormat="1" ht="45.75" hidden="1" customHeight="1" x14ac:dyDescent="0.35">
      <c r="A36" s="1246" t="s">
        <v>659</v>
      </c>
      <c r="B36" s="1248"/>
      <c r="C36" s="1248" t="s">
        <v>86</v>
      </c>
      <c r="D36" s="1275" t="s">
        <v>1005</v>
      </c>
      <c r="E36" s="1248" t="s">
        <v>1637</v>
      </c>
      <c r="F36" s="1275" t="s">
        <v>1638</v>
      </c>
      <c r="G36" s="1276"/>
      <c r="H36" s="1276" t="s">
        <v>1141</v>
      </c>
      <c r="I36" s="1287" t="s">
        <v>1639</v>
      </c>
      <c r="J36" s="1276">
        <v>115</v>
      </c>
      <c r="K36" s="1277">
        <v>509</v>
      </c>
      <c r="L36" s="1278">
        <v>0.15720000000000001</v>
      </c>
      <c r="M36" s="1385"/>
      <c r="N36" s="1278">
        <v>9.7999999999999997E-3</v>
      </c>
      <c r="O36" s="1385"/>
      <c r="P36" s="1276">
        <v>2</v>
      </c>
      <c r="Q36" s="1385"/>
      <c r="R36" s="1276">
        <v>0</v>
      </c>
      <c r="S36" s="1389"/>
    </row>
    <row r="37" spans="1:19" s="1252" customFormat="1" ht="45.75" hidden="1" customHeight="1" x14ac:dyDescent="0.35">
      <c r="A37" s="1246" t="s">
        <v>659</v>
      </c>
      <c r="B37" s="1248"/>
      <c r="C37" s="1248" t="s">
        <v>86</v>
      </c>
      <c r="D37" s="1275" t="s">
        <v>759</v>
      </c>
      <c r="E37" s="1248" t="s">
        <v>1637</v>
      </c>
      <c r="F37" s="1275" t="s">
        <v>1638</v>
      </c>
      <c r="G37" s="1276"/>
      <c r="H37" s="1276" t="s">
        <v>1141</v>
      </c>
      <c r="I37" s="1287" t="s">
        <v>1640</v>
      </c>
      <c r="J37" s="1276">
        <v>115</v>
      </c>
      <c r="K37" s="1277">
        <v>344</v>
      </c>
      <c r="L37" s="1278">
        <v>0.1424</v>
      </c>
      <c r="M37" s="1385"/>
      <c r="N37" s="1278">
        <v>8.6999999999999994E-3</v>
      </c>
      <c r="O37" s="1385"/>
      <c r="P37" s="1276">
        <v>3</v>
      </c>
      <c r="Q37" s="1385"/>
      <c r="R37" s="1276">
        <v>1</v>
      </c>
      <c r="S37" s="1389"/>
    </row>
    <row r="38" spans="1:19" s="1252" customFormat="1" ht="45.75" hidden="1" customHeight="1" x14ac:dyDescent="0.35">
      <c r="A38" s="1246" t="s">
        <v>660</v>
      </c>
      <c r="B38" s="1248"/>
      <c r="C38" s="1248" t="s">
        <v>86</v>
      </c>
      <c r="D38" s="1275" t="s">
        <v>1005</v>
      </c>
      <c r="E38" s="1248" t="s">
        <v>1641</v>
      </c>
      <c r="F38" s="1248" t="s">
        <v>1642</v>
      </c>
      <c r="G38" s="1276"/>
      <c r="H38" s="1276" t="s">
        <v>1643</v>
      </c>
      <c r="I38" s="1287" t="s">
        <v>1644</v>
      </c>
      <c r="J38" s="1276">
        <v>119</v>
      </c>
      <c r="K38" s="1277">
        <v>509</v>
      </c>
      <c r="L38" s="1278">
        <v>0.17879999999999999</v>
      </c>
      <c r="M38" s="1385"/>
      <c r="N38" s="1278">
        <v>9.7999999999999997E-3</v>
      </c>
      <c r="O38" s="1385"/>
      <c r="P38" s="1276">
        <v>3</v>
      </c>
      <c r="Q38" s="1385"/>
      <c r="R38" s="1276">
        <v>0</v>
      </c>
      <c r="S38" s="1389"/>
    </row>
    <row r="39" spans="1:19" s="1252" customFormat="1" ht="45.75" hidden="1" customHeight="1" x14ac:dyDescent="0.35">
      <c r="A39" s="1246" t="s">
        <v>660</v>
      </c>
      <c r="B39" s="1248"/>
      <c r="C39" s="1248" t="s">
        <v>86</v>
      </c>
      <c r="D39" s="1275" t="s">
        <v>759</v>
      </c>
      <c r="E39" s="1248" t="s">
        <v>1641</v>
      </c>
      <c r="F39" s="1248" t="s">
        <v>1642</v>
      </c>
      <c r="G39" s="1276"/>
      <c r="H39" s="1276" t="s">
        <v>1643</v>
      </c>
      <c r="I39" s="1287" t="s">
        <v>1645</v>
      </c>
      <c r="J39" s="1276">
        <v>119</v>
      </c>
      <c r="K39" s="1277">
        <v>344</v>
      </c>
      <c r="L39" s="1278">
        <v>0.15409999999999999</v>
      </c>
      <c r="M39" s="1385"/>
      <c r="N39" s="1278">
        <v>1.1599999999999999E-2</v>
      </c>
      <c r="O39" s="1385"/>
      <c r="P39" s="1276">
        <v>3</v>
      </c>
      <c r="Q39" s="1385"/>
      <c r="R39" s="1276">
        <v>1</v>
      </c>
      <c r="S39" s="1389"/>
    </row>
    <row r="40" spans="1:19" s="1252" customFormat="1" ht="45.75" hidden="1" customHeight="1" x14ac:dyDescent="0.35">
      <c r="A40" s="1246" t="s">
        <v>661</v>
      </c>
      <c r="B40" s="1248"/>
      <c r="C40" s="1248" t="s">
        <v>1646</v>
      </c>
      <c r="D40" s="1275" t="s">
        <v>1005</v>
      </c>
      <c r="E40" s="1248" t="s">
        <v>1647</v>
      </c>
      <c r="F40" s="1275" t="s">
        <v>1648</v>
      </c>
      <c r="G40" s="1276"/>
      <c r="H40" s="1276" t="s">
        <v>1649</v>
      </c>
      <c r="I40" s="1287" t="s">
        <v>1650</v>
      </c>
      <c r="J40" s="1276">
        <v>60</v>
      </c>
      <c r="K40" s="1277">
        <v>463</v>
      </c>
      <c r="L40" s="1278">
        <v>0.1706</v>
      </c>
      <c r="M40" s="1385"/>
      <c r="N40" s="1278">
        <v>1.2999999999999999E-2</v>
      </c>
      <c r="O40" s="1385"/>
      <c r="P40" s="1276">
        <v>0</v>
      </c>
      <c r="Q40" s="1385"/>
      <c r="R40" s="1276">
        <v>1</v>
      </c>
      <c r="S40" s="1389"/>
    </row>
    <row r="41" spans="1:19" s="1252" customFormat="1" ht="45.75" hidden="1" customHeight="1" x14ac:dyDescent="0.35">
      <c r="A41" s="1246" t="s">
        <v>661</v>
      </c>
      <c r="B41" s="1248"/>
      <c r="C41" s="1248" t="s">
        <v>1646</v>
      </c>
      <c r="D41" s="1275" t="s">
        <v>759</v>
      </c>
      <c r="E41" s="1248" t="s">
        <v>1647</v>
      </c>
      <c r="F41" s="1275" t="s">
        <v>1648</v>
      </c>
      <c r="G41" s="1276"/>
      <c r="H41" s="1276" t="s">
        <v>1649</v>
      </c>
      <c r="I41" s="1287" t="s">
        <v>1651</v>
      </c>
      <c r="J41" s="1276">
        <v>60</v>
      </c>
      <c r="K41" s="1277">
        <v>290</v>
      </c>
      <c r="L41" s="1278">
        <v>0.16550000000000001</v>
      </c>
      <c r="M41" s="1385"/>
      <c r="N41" s="1278">
        <v>3.3999999999999998E-3</v>
      </c>
      <c r="O41" s="1385"/>
      <c r="P41" s="1276">
        <v>0</v>
      </c>
      <c r="Q41" s="1385"/>
      <c r="R41" s="1276">
        <v>0</v>
      </c>
      <c r="S41" s="1389"/>
    </row>
    <row r="42" spans="1:19" s="1252" customFormat="1" ht="45.75" hidden="1" customHeight="1" x14ac:dyDescent="0.35">
      <c r="A42" s="1246" t="s">
        <v>662</v>
      </c>
      <c r="B42" s="1248"/>
      <c r="C42" s="1248" t="s">
        <v>86</v>
      </c>
      <c r="D42" s="1275" t="s">
        <v>1005</v>
      </c>
      <c r="E42" s="1248" t="s">
        <v>1652</v>
      </c>
      <c r="F42" s="1275" t="s">
        <v>1624</v>
      </c>
      <c r="G42" s="1276"/>
      <c r="H42" s="1276" t="s">
        <v>1160</v>
      </c>
      <c r="I42" s="1287" t="s">
        <v>1653</v>
      </c>
      <c r="J42" s="1276">
        <v>75</v>
      </c>
      <c r="K42" s="1277">
        <v>500</v>
      </c>
      <c r="L42" s="1278">
        <v>0.214</v>
      </c>
      <c r="M42" s="1385"/>
      <c r="N42" s="1278">
        <v>8.0000000000000002E-3</v>
      </c>
      <c r="O42" s="1385"/>
      <c r="P42" s="1276">
        <v>5</v>
      </c>
      <c r="Q42" s="1385"/>
      <c r="R42" s="1276">
        <v>1</v>
      </c>
      <c r="S42" s="1389"/>
    </row>
    <row r="43" spans="1:19" s="1252" customFormat="1" ht="45.75" hidden="1" customHeight="1" x14ac:dyDescent="0.35">
      <c r="A43" s="1246" t="s">
        <v>662</v>
      </c>
      <c r="B43" s="1248"/>
      <c r="C43" s="1248" t="s">
        <v>86</v>
      </c>
      <c r="D43" s="1275" t="s">
        <v>759</v>
      </c>
      <c r="E43" s="1248" t="s">
        <v>1652</v>
      </c>
      <c r="F43" s="1275" t="s">
        <v>1624</v>
      </c>
      <c r="G43" s="1276"/>
      <c r="H43" s="1276" t="s">
        <v>1160</v>
      </c>
      <c r="I43" s="1287" t="s">
        <v>1654</v>
      </c>
      <c r="J43" s="1276">
        <v>75</v>
      </c>
      <c r="K43" s="1277">
        <v>339</v>
      </c>
      <c r="L43" s="1278">
        <v>0.2271</v>
      </c>
      <c r="M43" s="1385"/>
      <c r="N43" s="1278">
        <v>1.18E-2</v>
      </c>
      <c r="O43" s="1385"/>
      <c r="P43" s="1276">
        <v>0</v>
      </c>
      <c r="Q43" s="1385"/>
      <c r="R43" s="1276">
        <v>0</v>
      </c>
      <c r="S43" s="1389"/>
    </row>
    <row r="44" spans="1:19" s="1252" customFormat="1" ht="45.75" hidden="1" customHeight="1" x14ac:dyDescent="0.35">
      <c r="A44" s="1246" t="s">
        <v>663</v>
      </c>
      <c r="B44" s="1248">
        <v>45692</v>
      </c>
      <c r="C44" s="1248" t="s">
        <v>86</v>
      </c>
      <c r="D44" s="1275" t="s">
        <v>1005</v>
      </c>
      <c r="E44" s="1248" t="s">
        <v>1655</v>
      </c>
      <c r="F44" s="1248" t="s">
        <v>1656</v>
      </c>
      <c r="G44" s="1311"/>
      <c r="H44" s="1276" t="s">
        <v>1657</v>
      </c>
      <c r="I44" s="1287" t="s">
        <v>1658</v>
      </c>
      <c r="J44" s="1276">
        <v>144</v>
      </c>
      <c r="K44" s="1277">
        <v>475</v>
      </c>
      <c r="L44" s="1278">
        <v>0.19789999999999999</v>
      </c>
      <c r="M44" s="1385"/>
      <c r="N44" s="1278">
        <v>1.1900000000000001E-2</v>
      </c>
      <c r="O44" s="1385"/>
      <c r="P44" s="1276">
        <v>1</v>
      </c>
      <c r="Q44" s="1385"/>
      <c r="R44" s="1276">
        <v>0</v>
      </c>
      <c r="S44" s="1389"/>
    </row>
    <row r="45" spans="1:19" s="1252" customFormat="1" ht="45.75" hidden="1" customHeight="1" x14ac:dyDescent="0.35">
      <c r="A45" s="1246" t="s">
        <v>663</v>
      </c>
      <c r="B45" s="1248">
        <v>45692</v>
      </c>
      <c r="C45" s="1248" t="s">
        <v>86</v>
      </c>
      <c r="D45" s="1275" t="s">
        <v>759</v>
      </c>
      <c r="E45" s="1248" t="s">
        <v>1655</v>
      </c>
      <c r="F45" s="1248" t="s">
        <v>1656</v>
      </c>
      <c r="G45" s="1311"/>
      <c r="H45" s="1276" t="s">
        <v>1657</v>
      </c>
      <c r="I45" s="1287" t="s">
        <v>1659</v>
      </c>
      <c r="J45" s="1276">
        <v>144</v>
      </c>
      <c r="K45" s="1277">
        <v>336</v>
      </c>
      <c r="L45" s="1278">
        <v>0.2024</v>
      </c>
      <c r="M45" s="1385"/>
      <c r="N45" s="1278">
        <v>1.26E-2</v>
      </c>
      <c r="O45" s="1385"/>
      <c r="P45" s="1276">
        <v>4</v>
      </c>
      <c r="Q45" s="1385"/>
      <c r="R45" s="1276">
        <v>0</v>
      </c>
      <c r="S45" s="1389"/>
    </row>
    <row r="46" spans="1:19" s="1252" customFormat="1" ht="45.75" hidden="1" customHeight="1" x14ac:dyDescent="0.35">
      <c r="A46" s="1246" t="s">
        <v>663</v>
      </c>
      <c r="B46" s="1248">
        <v>45693</v>
      </c>
      <c r="C46" s="1248" t="s">
        <v>1660</v>
      </c>
      <c r="D46" s="1275" t="s">
        <v>1005</v>
      </c>
      <c r="E46" s="1248" t="s">
        <v>1661</v>
      </c>
      <c r="F46" s="1248" t="s">
        <v>1662</v>
      </c>
      <c r="G46" s="1311"/>
      <c r="H46" s="1276" t="s">
        <v>1171</v>
      </c>
      <c r="I46" s="1287" t="s">
        <v>1663</v>
      </c>
      <c r="J46" s="1276">
        <v>164</v>
      </c>
      <c r="K46" s="1277">
        <v>23</v>
      </c>
      <c r="L46" s="1278">
        <v>0.4783</v>
      </c>
      <c r="M46" s="1385"/>
      <c r="N46" s="1278">
        <v>0.1739</v>
      </c>
      <c r="O46" s="1385"/>
      <c r="P46" s="1276">
        <v>0</v>
      </c>
      <c r="Q46" s="1385"/>
      <c r="R46" s="1276">
        <v>0</v>
      </c>
      <c r="S46" s="1389"/>
    </row>
    <row r="47" spans="1:19" s="1252" customFormat="1" ht="45.75" hidden="1" customHeight="1" x14ac:dyDescent="0.35">
      <c r="A47" s="1393" t="s">
        <v>663</v>
      </c>
      <c r="B47" s="1248">
        <v>45693</v>
      </c>
      <c r="C47" s="1248" t="s">
        <v>1660</v>
      </c>
      <c r="D47" s="1275" t="s">
        <v>759</v>
      </c>
      <c r="E47" s="1248" t="s">
        <v>1661</v>
      </c>
      <c r="F47" s="1248" t="s">
        <v>1662</v>
      </c>
      <c r="G47" s="1311"/>
      <c r="H47" s="1276" t="s">
        <v>1171</v>
      </c>
      <c r="I47" s="1287" t="s">
        <v>1664</v>
      </c>
      <c r="J47" s="1276">
        <v>164</v>
      </c>
      <c r="K47" s="1277">
        <v>24</v>
      </c>
      <c r="L47" s="1278">
        <v>0.5</v>
      </c>
      <c r="M47" s="1385"/>
      <c r="N47" s="1278">
        <v>0.16669999999999999</v>
      </c>
      <c r="O47" s="1385"/>
      <c r="P47" s="1276">
        <v>0</v>
      </c>
      <c r="Q47" s="1385"/>
      <c r="R47" s="1276">
        <v>0</v>
      </c>
      <c r="S47" s="1389"/>
    </row>
    <row r="48" spans="1:19" s="1252" customFormat="1" ht="45.75" hidden="1" customHeight="1" x14ac:dyDescent="0.35">
      <c r="A48" s="1246" t="s">
        <v>667</v>
      </c>
      <c r="B48" s="1248">
        <v>45699</v>
      </c>
      <c r="C48" s="1248" t="s">
        <v>1646</v>
      </c>
      <c r="D48" s="1275" t="s">
        <v>1005</v>
      </c>
      <c r="E48" s="1248" t="s">
        <v>1665</v>
      </c>
      <c r="F48" s="1394" t="s">
        <v>1666</v>
      </c>
      <c r="G48" s="1311"/>
      <c r="H48" s="1276" t="s">
        <v>1667</v>
      </c>
      <c r="I48" s="1287" t="s">
        <v>1668</v>
      </c>
      <c r="J48" s="1276">
        <v>33</v>
      </c>
      <c r="K48" s="1277">
        <v>424</v>
      </c>
      <c r="L48" s="1278">
        <v>0.17449999999999999</v>
      </c>
      <c r="M48" s="1385"/>
      <c r="N48" s="1278">
        <v>9.4000000000000004E-3</v>
      </c>
      <c r="O48" s="1385"/>
      <c r="P48" s="1276">
        <v>0</v>
      </c>
      <c r="Q48" s="1385"/>
      <c r="R48" s="1276">
        <v>1</v>
      </c>
      <c r="S48" s="1389"/>
    </row>
    <row r="49" spans="1:19" s="1252" customFormat="1" ht="45.75" hidden="1" customHeight="1" x14ac:dyDescent="0.35">
      <c r="A49" s="1246" t="s">
        <v>670</v>
      </c>
      <c r="B49" s="1248">
        <v>45706</v>
      </c>
      <c r="C49" s="1248" t="s">
        <v>1646</v>
      </c>
      <c r="D49" s="1275" t="s">
        <v>759</v>
      </c>
      <c r="E49" s="1248" t="s">
        <v>1665</v>
      </c>
      <c r="F49" s="1394" t="s">
        <v>1666</v>
      </c>
      <c r="G49" s="1313"/>
      <c r="H49" s="1276" t="s">
        <v>1182</v>
      </c>
      <c r="I49" s="1287" t="s">
        <v>1669</v>
      </c>
      <c r="J49" s="1276">
        <v>82</v>
      </c>
      <c r="K49" s="1277">
        <v>266</v>
      </c>
      <c r="L49" s="1278">
        <v>0.1842</v>
      </c>
      <c r="M49" s="1385"/>
      <c r="N49" s="1278">
        <v>3.8E-3</v>
      </c>
      <c r="O49" s="1385"/>
      <c r="P49" s="1276">
        <v>0</v>
      </c>
      <c r="Q49" s="1385"/>
      <c r="R49" s="1276">
        <v>1</v>
      </c>
      <c r="S49" s="1389"/>
    </row>
    <row r="50" spans="1:19" s="1252" customFormat="1" ht="45.75" hidden="1" customHeight="1" x14ac:dyDescent="0.35">
      <c r="A50" s="1246" t="s">
        <v>672</v>
      </c>
      <c r="B50" s="1248">
        <v>45713</v>
      </c>
      <c r="C50" s="1248" t="s">
        <v>86</v>
      </c>
      <c r="D50" s="1275" t="s">
        <v>1005</v>
      </c>
      <c r="E50" s="1248" t="s">
        <v>1670</v>
      </c>
      <c r="F50" s="1248" t="s">
        <v>1671</v>
      </c>
      <c r="G50" s="1311"/>
      <c r="H50" s="1276" t="s">
        <v>1672</v>
      </c>
      <c r="I50" s="1287" t="s">
        <v>1673</v>
      </c>
      <c r="J50" s="1276">
        <v>86</v>
      </c>
      <c r="K50" s="1277">
        <v>448</v>
      </c>
      <c r="L50" s="1278">
        <v>0.16520000000000001</v>
      </c>
      <c r="M50" s="1278"/>
      <c r="N50" s="1278">
        <v>4.4999999999999997E-3</v>
      </c>
      <c r="O50" s="1385"/>
      <c r="P50" s="1276">
        <v>0</v>
      </c>
      <c r="Q50" s="1385"/>
      <c r="R50" s="1276">
        <v>5</v>
      </c>
      <c r="S50" s="1389"/>
    </row>
    <row r="51" spans="1:19" s="1252" customFormat="1" ht="45.75" hidden="1" customHeight="1" x14ac:dyDescent="0.35">
      <c r="A51" s="1246" t="s">
        <v>672</v>
      </c>
      <c r="B51" s="1248">
        <v>45713</v>
      </c>
      <c r="C51" s="1248" t="s">
        <v>86</v>
      </c>
      <c r="D51" s="1275" t="s">
        <v>759</v>
      </c>
      <c r="E51" s="1248" t="s">
        <v>1670</v>
      </c>
      <c r="F51" s="1248" t="s">
        <v>1671</v>
      </c>
      <c r="G51" s="1311"/>
      <c r="H51" s="1276" t="s">
        <v>1672</v>
      </c>
      <c r="I51" s="1287" t="s">
        <v>1674</v>
      </c>
      <c r="J51" s="1276">
        <v>86</v>
      </c>
      <c r="K51" s="1277">
        <v>305</v>
      </c>
      <c r="L51" s="1278">
        <v>0.18029999999999999</v>
      </c>
      <c r="M51" s="1278"/>
      <c r="N51" s="1278">
        <v>3.3E-3</v>
      </c>
      <c r="O51" s="1385"/>
      <c r="P51" s="1276">
        <v>1</v>
      </c>
      <c r="Q51" s="1385"/>
      <c r="R51" s="1276">
        <v>2</v>
      </c>
      <c r="S51" s="1389"/>
    </row>
    <row r="52" spans="1:19" s="1252" customFormat="1" ht="45.75" hidden="1" customHeight="1" x14ac:dyDescent="0.35">
      <c r="A52" s="1246" t="s">
        <v>674</v>
      </c>
      <c r="B52" s="1248">
        <v>45720</v>
      </c>
      <c r="C52" s="1248" t="s">
        <v>1675</v>
      </c>
      <c r="D52" s="1275" t="s">
        <v>1005</v>
      </c>
      <c r="E52" s="1248" t="s">
        <v>1676</v>
      </c>
      <c r="F52" s="1248" t="s">
        <v>1677</v>
      </c>
      <c r="G52" s="1313"/>
      <c r="H52" s="1276" t="s">
        <v>1198</v>
      </c>
      <c r="I52" s="1287" t="s">
        <v>1678</v>
      </c>
      <c r="J52" s="1276">
        <v>119</v>
      </c>
      <c r="K52" s="1277">
        <v>22</v>
      </c>
      <c r="L52" s="1278">
        <v>0.40910000000000002</v>
      </c>
      <c r="M52" s="1278"/>
      <c r="N52" s="1278">
        <v>0</v>
      </c>
      <c r="O52" s="1385"/>
      <c r="P52" s="1276">
        <v>0</v>
      </c>
      <c r="Q52" s="1385"/>
      <c r="R52" s="1276">
        <v>0</v>
      </c>
      <c r="S52" s="1389"/>
    </row>
    <row r="53" spans="1:19" s="1252" customFormat="1" ht="45.75" hidden="1" customHeight="1" x14ac:dyDescent="0.35">
      <c r="A53" s="1246" t="s">
        <v>674</v>
      </c>
      <c r="B53" s="1248">
        <v>45720</v>
      </c>
      <c r="C53" s="1248" t="s">
        <v>1675</v>
      </c>
      <c r="D53" s="1275" t="s">
        <v>759</v>
      </c>
      <c r="E53" s="1248" t="s">
        <v>1676</v>
      </c>
      <c r="F53" s="1248" t="s">
        <v>1677</v>
      </c>
      <c r="G53" s="1313"/>
      <c r="H53" s="1276" t="s">
        <v>1198</v>
      </c>
      <c r="I53" s="1287" t="s">
        <v>1679</v>
      </c>
      <c r="J53" s="1276">
        <v>119</v>
      </c>
      <c r="K53" s="1277">
        <v>22</v>
      </c>
      <c r="L53" s="1278">
        <v>0.31819999999999998</v>
      </c>
      <c r="M53" s="1278"/>
      <c r="N53" s="1278">
        <v>9.0899999999999995E-2</v>
      </c>
      <c r="O53" s="1385"/>
      <c r="P53" s="1276">
        <v>0</v>
      </c>
      <c r="Q53" s="1385"/>
      <c r="R53" s="1276">
        <v>0</v>
      </c>
      <c r="S53" s="1389"/>
    </row>
    <row r="54" spans="1:19" s="1252" customFormat="1" ht="45.75" hidden="1" customHeight="1" x14ac:dyDescent="0.35">
      <c r="A54" s="1246" t="s">
        <v>1204</v>
      </c>
      <c r="B54" s="1248">
        <v>45727</v>
      </c>
      <c r="C54" s="1248" t="s">
        <v>1660</v>
      </c>
      <c r="D54" s="1275" t="s">
        <v>1005</v>
      </c>
      <c r="E54" s="1248" t="s">
        <v>1680</v>
      </c>
      <c r="F54" s="1248" t="s">
        <v>1681</v>
      </c>
      <c r="G54" s="1313"/>
      <c r="H54" s="1276" t="s">
        <v>1682</v>
      </c>
      <c r="I54" s="1287" t="s">
        <v>1683</v>
      </c>
      <c r="J54" s="1276">
        <v>26</v>
      </c>
      <c r="K54" s="1277">
        <v>22</v>
      </c>
      <c r="L54" s="1278">
        <v>0.31819999999999998</v>
      </c>
      <c r="M54" s="1278"/>
      <c r="N54" s="1278">
        <v>4.5400000000000003E-2</v>
      </c>
      <c r="O54" s="1385"/>
      <c r="P54" s="1276">
        <v>0</v>
      </c>
      <c r="Q54" s="1385"/>
      <c r="R54" s="1276">
        <v>0</v>
      </c>
      <c r="S54" s="1389"/>
    </row>
    <row r="55" spans="1:19" s="1252" customFormat="1" ht="45.75" hidden="1" customHeight="1" x14ac:dyDescent="0.35">
      <c r="A55" s="1246" t="s">
        <v>1204</v>
      </c>
      <c r="B55" s="1248">
        <v>45727</v>
      </c>
      <c r="C55" s="1248" t="s">
        <v>1660</v>
      </c>
      <c r="D55" s="1275" t="s">
        <v>759</v>
      </c>
      <c r="E55" s="1248" t="s">
        <v>1680</v>
      </c>
      <c r="F55" s="1248" t="s">
        <v>1681</v>
      </c>
      <c r="G55" s="1313"/>
      <c r="H55" s="1276" t="s">
        <v>1682</v>
      </c>
      <c r="I55" s="1287" t="s">
        <v>1684</v>
      </c>
      <c r="J55" s="1276">
        <v>26</v>
      </c>
      <c r="K55" s="1277">
        <v>27</v>
      </c>
      <c r="L55" s="1278">
        <v>0.33329999999999999</v>
      </c>
      <c r="M55" s="1278"/>
      <c r="N55" s="1278">
        <v>3.6999999999999998E-2</v>
      </c>
      <c r="O55" s="1385"/>
      <c r="P55" s="1276">
        <v>0</v>
      </c>
      <c r="Q55" s="1385"/>
      <c r="R55" s="1276">
        <v>0</v>
      </c>
      <c r="S55" s="1389"/>
    </row>
    <row r="56" spans="1:19" s="1252" customFormat="1" ht="45.75" hidden="1" customHeight="1" x14ac:dyDescent="0.35">
      <c r="A56" s="1246" t="s">
        <v>1204</v>
      </c>
      <c r="B56" s="1248">
        <v>45729</v>
      </c>
      <c r="C56" s="1248" t="s">
        <v>1685</v>
      </c>
      <c r="D56" s="1275" t="s">
        <v>1005</v>
      </c>
      <c r="E56" s="1248" t="s">
        <v>1686</v>
      </c>
      <c r="F56" s="1248" t="s">
        <v>1687</v>
      </c>
      <c r="G56" s="1313"/>
      <c r="H56" s="1276" t="s">
        <v>1688</v>
      </c>
      <c r="I56" s="1287" t="s">
        <v>1689</v>
      </c>
      <c r="J56" s="1276">
        <v>39</v>
      </c>
      <c r="K56" s="1277">
        <v>7</v>
      </c>
      <c r="L56" s="1278">
        <v>0.71430000000000005</v>
      </c>
      <c r="M56" s="1278"/>
      <c r="N56" s="1278">
        <v>0</v>
      </c>
      <c r="O56" s="1385"/>
      <c r="P56" s="1276">
        <v>0</v>
      </c>
      <c r="Q56" s="1385"/>
      <c r="R56" s="1276">
        <v>0</v>
      </c>
      <c r="S56" s="1389"/>
    </row>
    <row r="57" spans="1:19" s="1252" customFormat="1" ht="45.75" hidden="1" customHeight="1" x14ac:dyDescent="0.35">
      <c r="A57" s="1246" t="s">
        <v>1204</v>
      </c>
      <c r="B57" s="1248">
        <v>45729</v>
      </c>
      <c r="C57" s="1248" t="s">
        <v>1685</v>
      </c>
      <c r="D57" s="1275" t="s">
        <v>759</v>
      </c>
      <c r="E57" s="1248" t="s">
        <v>1686</v>
      </c>
      <c r="F57" s="1248" t="s">
        <v>1687</v>
      </c>
      <c r="G57" s="1313"/>
      <c r="H57" s="1276" t="s">
        <v>1688</v>
      </c>
      <c r="I57" s="1287" t="s">
        <v>1690</v>
      </c>
      <c r="J57" s="1276">
        <v>39</v>
      </c>
      <c r="K57" s="1277">
        <v>9</v>
      </c>
      <c r="L57" s="1278">
        <v>0.77780000000000005</v>
      </c>
      <c r="M57" s="1278"/>
      <c r="N57" s="1278">
        <v>0</v>
      </c>
      <c r="O57" s="1385"/>
      <c r="P57" s="1276">
        <v>0</v>
      </c>
      <c r="Q57" s="1385"/>
      <c r="R57" s="1276">
        <v>0</v>
      </c>
      <c r="S57" s="1389"/>
    </row>
    <row r="58" spans="1:19" s="1252" customFormat="1" ht="45.75" hidden="1" customHeight="1" x14ac:dyDescent="0.35">
      <c r="A58" s="1246" t="s">
        <v>681</v>
      </c>
      <c r="B58" s="1248">
        <v>45734</v>
      </c>
      <c r="C58" s="1248" t="s">
        <v>1660</v>
      </c>
      <c r="D58" s="1275" t="s">
        <v>1005</v>
      </c>
      <c r="E58" s="1248" t="s">
        <v>1691</v>
      </c>
      <c r="F58" s="1275" t="s">
        <v>1692</v>
      </c>
      <c r="G58" s="1313"/>
      <c r="H58" s="1276" t="s">
        <v>1215</v>
      </c>
      <c r="I58" s="1287" t="s">
        <v>1693</v>
      </c>
      <c r="J58" s="1276">
        <v>100</v>
      </c>
      <c r="K58" s="1277">
        <v>32</v>
      </c>
      <c r="L58" s="1278">
        <v>0.3125</v>
      </c>
      <c r="M58" s="1385"/>
      <c r="N58" s="1278">
        <v>3.1300000000000001E-2</v>
      </c>
      <c r="O58" s="1385"/>
      <c r="P58" s="1276">
        <v>0</v>
      </c>
      <c r="Q58" s="1385"/>
      <c r="R58" s="1276">
        <v>0</v>
      </c>
      <c r="S58" s="1389"/>
    </row>
    <row r="59" spans="1:19" s="1252" customFormat="1" ht="45.75" hidden="1" customHeight="1" x14ac:dyDescent="0.35">
      <c r="A59" s="1246" t="s">
        <v>681</v>
      </c>
      <c r="B59" s="1248">
        <v>45734</v>
      </c>
      <c r="C59" s="1248" t="s">
        <v>1660</v>
      </c>
      <c r="D59" s="1275" t="s">
        <v>759</v>
      </c>
      <c r="E59" s="1248" t="s">
        <v>1691</v>
      </c>
      <c r="F59" s="1275" t="s">
        <v>1692</v>
      </c>
      <c r="G59" s="1313"/>
      <c r="H59" s="1276" t="s">
        <v>1215</v>
      </c>
      <c r="I59" s="1287" t="s">
        <v>1694</v>
      </c>
      <c r="J59" s="1276">
        <v>100</v>
      </c>
      <c r="K59" s="1277">
        <v>32</v>
      </c>
      <c r="L59" s="1278">
        <v>0.3125</v>
      </c>
      <c r="M59" s="1385"/>
      <c r="N59" s="1395">
        <v>0</v>
      </c>
      <c r="O59" s="1385"/>
      <c r="P59" s="1276">
        <v>0</v>
      </c>
      <c r="Q59" s="1385"/>
      <c r="R59" s="1276">
        <v>0</v>
      </c>
      <c r="S59" s="1389"/>
    </row>
    <row r="60" spans="1:19" s="1252" customFormat="1" ht="45.75" hidden="1" customHeight="1" x14ac:dyDescent="0.35">
      <c r="A60" s="1246" t="s">
        <v>684</v>
      </c>
      <c r="B60" s="1248">
        <v>45741</v>
      </c>
      <c r="C60" s="1248" t="s">
        <v>1660</v>
      </c>
      <c r="D60" s="1275" t="s">
        <v>1005</v>
      </c>
      <c r="E60" s="1248" t="s">
        <v>1695</v>
      </c>
      <c r="F60" s="1275"/>
      <c r="G60" s="1313"/>
      <c r="H60" s="1276" t="s">
        <v>1224</v>
      </c>
      <c r="I60" s="1287" t="s">
        <v>1696</v>
      </c>
      <c r="J60" s="1276">
        <v>24</v>
      </c>
      <c r="K60" s="1277">
        <v>22</v>
      </c>
      <c r="L60" s="1278">
        <v>0.36359999999999998</v>
      </c>
      <c r="M60" s="1385"/>
      <c r="N60" s="1278">
        <v>4.5400000000000003E-2</v>
      </c>
      <c r="O60" s="1385"/>
      <c r="P60" s="1276">
        <v>0</v>
      </c>
      <c r="Q60" s="1385"/>
      <c r="R60" s="1276">
        <v>0</v>
      </c>
      <c r="S60" s="1389"/>
    </row>
    <row r="61" spans="1:19" s="1252" customFormat="1" ht="45.75" hidden="1" customHeight="1" x14ac:dyDescent="0.35">
      <c r="A61" s="1246" t="s">
        <v>684</v>
      </c>
      <c r="B61" s="1248">
        <v>45741</v>
      </c>
      <c r="C61" s="1248" t="s">
        <v>1660</v>
      </c>
      <c r="D61" s="1275" t="s">
        <v>759</v>
      </c>
      <c r="E61" s="1248" t="s">
        <v>1695</v>
      </c>
      <c r="F61" s="1248"/>
      <c r="G61" s="1313"/>
      <c r="H61" s="1276" t="s">
        <v>1224</v>
      </c>
      <c r="I61" s="1287" t="s">
        <v>1697</v>
      </c>
      <c r="J61" s="1276">
        <v>24</v>
      </c>
      <c r="K61" s="1277">
        <v>22</v>
      </c>
      <c r="L61" s="1278">
        <v>0.45450000000000002</v>
      </c>
      <c r="M61" s="1385"/>
      <c r="N61" s="1395">
        <v>0</v>
      </c>
      <c r="O61" s="1385"/>
      <c r="P61" s="1276">
        <v>0</v>
      </c>
      <c r="Q61" s="1385"/>
      <c r="R61" s="1276">
        <v>0</v>
      </c>
      <c r="S61" s="1389"/>
    </row>
    <row r="62" spans="1:19" s="1252" customFormat="1" ht="45.75" hidden="1" customHeight="1" x14ac:dyDescent="0.35">
      <c r="A62" s="1246" t="s">
        <v>685</v>
      </c>
      <c r="B62" s="1248">
        <v>45748</v>
      </c>
      <c r="C62" s="1248" t="s">
        <v>1660</v>
      </c>
      <c r="D62" s="1275" t="s">
        <v>1005</v>
      </c>
      <c r="E62" s="1248" t="s">
        <v>1698</v>
      </c>
      <c r="F62" s="1248" t="s">
        <v>1699</v>
      </c>
      <c r="G62" s="1313"/>
      <c r="H62" s="1276" t="s">
        <v>1700</v>
      </c>
      <c r="I62" s="1287" t="s">
        <v>1701</v>
      </c>
      <c r="J62" s="1276">
        <v>32</v>
      </c>
      <c r="K62" s="1277">
        <v>22</v>
      </c>
      <c r="L62" s="1278">
        <v>0.36359999999999998</v>
      </c>
      <c r="M62" s="1385"/>
      <c r="N62" s="1278">
        <v>4.5400000000000003E-2</v>
      </c>
      <c r="O62" s="1385"/>
      <c r="P62" s="1276">
        <v>0</v>
      </c>
      <c r="Q62" s="1385"/>
      <c r="R62" s="1276">
        <v>0</v>
      </c>
      <c r="S62" s="1389"/>
    </row>
    <row r="63" spans="1:19" s="1252" customFormat="1" ht="45.75" hidden="1" customHeight="1" x14ac:dyDescent="0.35">
      <c r="A63" s="1246" t="s">
        <v>685</v>
      </c>
      <c r="B63" s="1248">
        <v>45748</v>
      </c>
      <c r="C63" s="1248" t="s">
        <v>1660</v>
      </c>
      <c r="D63" s="1275" t="s">
        <v>759</v>
      </c>
      <c r="E63" s="1248" t="s">
        <v>1698</v>
      </c>
      <c r="F63" s="1248" t="s">
        <v>1699</v>
      </c>
      <c r="G63" s="1313"/>
      <c r="H63" s="1276" t="s">
        <v>1700</v>
      </c>
      <c r="I63" s="1287" t="s">
        <v>1702</v>
      </c>
      <c r="J63" s="1276">
        <v>32</v>
      </c>
      <c r="K63" s="1277">
        <v>22</v>
      </c>
      <c r="L63" s="1278">
        <v>0.40910000000000002</v>
      </c>
      <c r="M63" s="1385"/>
      <c r="N63" s="1278">
        <v>4.5400000000000003E-2</v>
      </c>
      <c r="O63" s="1385"/>
      <c r="P63" s="1276">
        <v>0</v>
      </c>
      <c r="Q63" s="1385"/>
      <c r="R63" s="1276">
        <v>0</v>
      </c>
      <c r="S63" s="1389"/>
    </row>
    <row r="64" spans="1:19" s="1252" customFormat="1" ht="45.75" hidden="1" customHeight="1" x14ac:dyDescent="0.35">
      <c r="A64" s="1246" t="s">
        <v>686</v>
      </c>
      <c r="B64" s="1248">
        <v>45755</v>
      </c>
      <c r="C64" s="1248" t="s">
        <v>1239</v>
      </c>
      <c r="D64" s="1275" t="s">
        <v>413</v>
      </c>
      <c r="E64" s="1248" t="s">
        <v>1703</v>
      </c>
      <c r="F64" s="1301" t="s">
        <v>1704</v>
      </c>
      <c r="G64" s="1313"/>
      <c r="H64" s="1276" t="s">
        <v>1705</v>
      </c>
      <c r="I64" s="1287" t="s">
        <v>1706</v>
      </c>
      <c r="J64" s="1396">
        <v>30</v>
      </c>
      <c r="K64" s="1397">
        <v>68</v>
      </c>
      <c r="L64" s="1398">
        <v>0.29409999999999997</v>
      </c>
      <c r="M64" s="1399"/>
      <c r="N64" s="1400">
        <v>0</v>
      </c>
      <c r="O64" s="1399"/>
      <c r="P64" s="1396">
        <v>1</v>
      </c>
      <c r="Q64" s="1399"/>
      <c r="R64" s="1396">
        <v>1</v>
      </c>
      <c r="S64" s="1389"/>
    </row>
    <row r="65" spans="1:19" s="1252" customFormat="1" ht="45.75" hidden="1" customHeight="1" x14ac:dyDescent="0.35">
      <c r="A65" s="1246" t="s">
        <v>687</v>
      </c>
      <c r="B65" s="1248">
        <v>45762</v>
      </c>
      <c r="C65" s="1248" t="s">
        <v>41</v>
      </c>
      <c r="D65" s="1275" t="s">
        <v>1005</v>
      </c>
      <c r="E65" s="1248" t="s">
        <v>1707</v>
      </c>
      <c r="F65" s="1301"/>
      <c r="G65" s="1313"/>
      <c r="H65" s="1276" t="s">
        <v>1708</v>
      </c>
      <c r="I65" s="1287" t="s">
        <v>1709</v>
      </c>
      <c r="J65" s="1276">
        <v>51</v>
      </c>
      <c r="K65" s="1277">
        <v>490</v>
      </c>
      <c r="L65" s="1278">
        <v>0.21429999999999999</v>
      </c>
      <c r="M65" s="1385"/>
      <c r="N65" s="1278">
        <v>1.6299999999999999E-2</v>
      </c>
      <c r="O65" s="1385"/>
      <c r="P65" s="1276">
        <v>4</v>
      </c>
      <c r="Q65" s="1385"/>
      <c r="R65" s="1276">
        <v>3</v>
      </c>
      <c r="S65" s="1389"/>
    </row>
    <row r="66" spans="1:19" s="1252" customFormat="1" ht="45.75" hidden="1" customHeight="1" x14ac:dyDescent="0.35">
      <c r="A66" s="1246" t="s">
        <v>688</v>
      </c>
      <c r="B66" s="1248">
        <v>45769</v>
      </c>
      <c r="C66" s="1248" t="s">
        <v>1710</v>
      </c>
      <c r="D66" s="1275" t="s">
        <v>1005</v>
      </c>
      <c r="E66" s="1248" t="s">
        <v>1711</v>
      </c>
      <c r="F66" s="1248" t="s">
        <v>1712</v>
      </c>
      <c r="G66" s="1313"/>
      <c r="H66" s="1276" t="s">
        <v>1713</v>
      </c>
      <c r="I66" s="1287" t="s">
        <v>1714</v>
      </c>
      <c r="J66" s="1276">
        <v>51</v>
      </c>
      <c r="K66" s="1277">
        <v>18</v>
      </c>
      <c r="L66" s="1278">
        <v>0.33329999999999999</v>
      </c>
      <c r="M66" s="1385"/>
      <c r="N66" s="1278">
        <v>0</v>
      </c>
      <c r="O66" s="1385"/>
      <c r="P66" s="1276">
        <v>0</v>
      </c>
      <c r="Q66" s="1385"/>
      <c r="R66" s="1276">
        <v>0</v>
      </c>
      <c r="S66" s="1389"/>
    </row>
    <row r="67" spans="1:19" s="1252" customFormat="1" ht="45.75" hidden="1" customHeight="1" x14ac:dyDescent="0.35">
      <c r="A67" s="1246" t="s">
        <v>689</v>
      </c>
      <c r="B67" s="1248">
        <v>45776</v>
      </c>
      <c r="C67" s="1248" t="s">
        <v>41</v>
      </c>
      <c r="D67" s="1275" t="s">
        <v>1005</v>
      </c>
      <c r="E67" s="1248" t="s">
        <v>1715</v>
      </c>
      <c r="F67" s="1275" t="s">
        <v>1716</v>
      </c>
      <c r="G67" s="1313"/>
      <c r="H67" s="1276" t="s">
        <v>1717</v>
      </c>
      <c r="I67" s="1287" t="s">
        <v>1718</v>
      </c>
      <c r="J67" s="1276">
        <v>29</v>
      </c>
      <c r="K67" s="1277">
        <v>494</v>
      </c>
      <c r="L67" s="1278">
        <v>0.28949999999999998</v>
      </c>
      <c r="M67" s="1385"/>
      <c r="N67" s="1278">
        <v>6.1000000000000004E-3</v>
      </c>
      <c r="O67" s="1385"/>
      <c r="P67" s="1276">
        <v>0</v>
      </c>
      <c r="Q67" s="1385"/>
      <c r="R67" s="1276">
        <v>1</v>
      </c>
      <c r="S67" s="1389"/>
    </row>
    <row r="68" spans="1:19" s="1252" customFormat="1" ht="45.75" hidden="1" customHeight="1" x14ac:dyDescent="0.35">
      <c r="A68" s="1246" t="s">
        <v>689</v>
      </c>
      <c r="B68" s="1248">
        <v>45776</v>
      </c>
      <c r="C68" s="1248" t="s">
        <v>1239</v>
      </c>
      <c r="D68" s="1275" t="s">
        <v>413</v>
      </c>
      <c r="E68" s="1248" t="s">
        <v>1719</v>
      </c>
      <c r="F68" s="1248" t="s">
        <v>1720</v>
      </c>
      <c r="G68" s="1313"/>
      <c r="H68" s="1276" t="s">
        <v>1721</v>
      </c>
      <c r="I68" s="1287" t="s">
        <v>1722</v>
      </c>
      <c r="J68" s="1276">
        <v>51</v>
      </c>
      <c r="K68" s="1277">
        <v>92</v>
      </c>
      <c r="L68" s="1278">
        <v>0.13039999999999999</v>
      </c>
      <c r="M68" s="1385"/>
      <c r="N68" s="1278">
        <v>0</v>
      </c>
      <c r="O68" s="1385"/>
      <c r="P68" s="1276">
        <v>0</v>
      </c>
      <c r="Q68" s="1385"/>
      <c r="R68" s="1276">
        <v>4</v>
      </c>
      <c r="S68" s="1389"/>
    </row>
    <row r="69" spans="1:19" s="1252" customFormat="1" ht="45.75" hidden="1" customHeight="1" x14ac:dyDescent="0.35">
      <c r="A69" s="1246" t="s">
        <v>691</v>
      </c>
      <c r="B69" s="1248">
        <v>45783</v>
      </c>
      <c r="C69" s="1248" t="s">
        <v>1723</v>
      </c>
      <c r="D69" s="1275" t="s">
        <v>1005</v>
      </c>
      <c r="E69" s="1248" t="s">
        <v>1724</v>
      </c>
      <c r="F69" s="1248" t="s">
        <v>1725</v>
      </c>
      <c r="G69" s="1313"/>
      <c r="H69" s="1276" t="s">
        <v>1726</v>
      </c>
      <c r="I69" s="1287" t="s">
        <v>1727</v>
      </c>
      <c r="J69" s="1276">
        <v>56</v>
      </c>
      <c r="K69" s="1277">
        <v>346</v>
      </c>
      <c r="L69" s="1278">
        <v>0.31790000000000002</v>
      </c>
      <c r="M69" s="1385"/>
      <c r="N69" s="1278">
        <v>1.4500000000000001E-2</v>
      </c>
      <c r="O69" s="1385"/>
      <c r="P69" s="1276">
        <v>0</v>
      </c>
      <c r="Q69" s="1385"/>
      <c r="R69" s="1276">
        <v>5</v>
      </c>
      <c r="S69" s="1389"/>
    </row>
    <row r="70" spans="1:19" s="1252" customFormat="1" ht="45.75" hidden="1" customHeight="1" x14ac:dyDescent="0.35">
      <c r="A70" s="1246" t="s">
        <v>692</v>
      </c>
      <c r="B70" s="1248">
        <v>45790</v>
      </c>
      <c r="C70" s="1248" t="s">
        <v>1660</v>
      </c>
      <c r="D70" s="1275" t="s">
        <v>1005</v>
      </c>
      <c r="E70" s="1248" t="s">
        <v>1728</v>
      </c>
      <c r="F70" s="1248" t="s">
        <v>1729</v>
      </c>
      <c r="G70" s="1313"/>
      <c r="H70" s="1276" t="s">
        <v>1730</v>
      </c>
      <c r="I70" s="1287" t="s">
        <v>1731</v>
      </c>
      <c r="J70" s="1276">
        <v>81</v>
      </c>
      <c r="K70" s="1277">
        <v>58</v>
      </c>
      <c r="L70" s="1278">
        <v>0.4138</v>
      </c>
      <c r="M70" s="1385"/>
      <c r="N70" s="1278">
        <v>5.1700000000000003E-2</v>
      </c>
      <c r="O70" s="1385"/>
      <c r="P70" s="1276">
        <v>0</v>
      </c>
      <c r="Q70" s="1385"/>
      <c r="R70" s="1276">
        <v>0</v>
      </c>
      <c r="S70" s="1389"/>
    </row>
    <row r="71" spans="1:19" s="1252" customFormat="1" ht="45.75" hidden="1" customHeight="1" x14ac:dyDescent="0.35">
      <c r="A71" s="1246" t="s">
        <v>693</v>
      </c>
      <c r="B71" s="1248">
        <v>45797</v>
      </c>
      <c r="C71" s="1248" t="s">
        <v>41</v>
      </c>
      <c r="D71" s="1275" t="s">
        <v>1005</v>
      </c>
      <c r="E71" s="1248" t="s">
        <v>1166</v>
      </c>
      <c r="F71" s="1248" t="s">
        <v>1732</v>
      </c>
      <c r="G71" s="1313"/>
      <c r="H71" s="1276" t="s">
        <v>1266</v>
      </c>
      <c r="I71" s="1287" t="s">
        <v>1733</v>
      </c>
      <c r="J71" s="1276">
        <v>86</v>
      </c>
      <c r="K71" s="1277">
        <v>456</v>
      </c>
      <c r="L71" s="1278">
        <v>0.27629999999999999</v>
      </c>
      <c r="M71" s="1385"/>
      <c r="N71" s="1278">
        <v>1.0999999999999999E-2</v>
      </c>
      <c r="O71" s="1385"/>
      <c r="P71" s="1276">
        <v>0</v>
      </c>
      <c r="Q71" s="1385"/>
      <c r="R71" s="1276">
        <v>0</v>
      </c>
      <c r="S71" s="1389"/>
    </row>
    <row r="72" spans="1:19" s="1252" customFormat="1" ht="45.75" hidden="1" customHeight="1" x14ac:dyDescent="0.35">
      <c r="A72" s="1246" t="s">
        <v>696</v>
      </c>
      <c r="B72" s="1248">
        <v>45805</v>
      </c>
      <c r="C72" s="1248" t="s">
        <v>1239</v>
      </c>
      <c r="D72" s="1275" t="s">
        <v>1005</v>
      </c>
      <c r="E72" s="1248" t="s">
        <v>1734</v>
      </c>
      <c r="F72" s="1248" t="s">
        <v>1735</v>
      </c>
      <c r="G72" s="1313"/>
      <c r="H72" s="1276" t="s">
        <v>1736</v>
      </c>
      <c r="I72" s="1287" t="s">
        <v>1737</v>
      </c>
      <c r="J72" s="1276">
        <v>63</v>
      </c>
      <c r="K72" s="1277">
        <v>56</v>
      </c>
      <c r="L72" s="1278">
        <v>0.26790000000000003</v>
      </c>
      <c r="M72" s="1385"/>
      <c r="N72" s="1395">
        <v>0</v>
      </c>
      <c r="O72" s="1385"/>
      <c r="P72" s="1276">
        <v>0</v>
      </c>
      <c r="Q72" s="1385"/>
      <c r="R72" s="1276">
        <v>0</v>
      </c>
      <c r="S72" s="1389"/>
    </row>
    <row r="73" spans="1:19" s="1252" customFormat="1" ht="45.75" hidden="1" customHeight="1" x14ac:dyDescent="0.35">
      <c r="A73" s="1246" t="s">
        <v>696</v>
      </c>
      <c r="B73" s="1248">
        <v>45806</v>
      </c>
      <c r="C73" s="1248" t="s">
        <v>1660</v>
      </c>
      <c r="D73" s="1275" t="s">
        <v>1574</v>
      </c>
      <c r="E73" s="1248" t="s">
        <v>1378</v>
      </c>
      <c r="F73" s="1281" t="s">
        <v>1118</v>
      </c>
      <c r="G73" s="1313"/>
      <c r="H73" s="1276" t="s">
        <v>1274</v>
      </c>
      <c r="I73" s="1287" t="s">
        <v>1738</v>
      </c>
      <c r="J73" s="1276">
        <v>107</v>
      </c>
      <c r="K73" s="1277">
        <v>50</v>
      </c>
      <c r="L73" s="1395">
        <v>0.57999999999999996</v>
      </c>
      <c r="M73" s="1385"/>
      <c r="N73" s="1395">
        <v>0.2</v>
      </c>
      <c r="O73" s="1385"/>
      <c r="P73" s="1276">
        <v>0</v>
      </c>
      <c r="Q73" s="1385"/>
      <c r="R73" s="1276">
        <v>0</v>
      </c>
      <c r="S73" s="1389"/>
    </row>
    <row r="74" spans="1:19" s="1252" customFormat="1" ht="45.75" hidden="1" customHeight="1" x14ac:dyDescent="0.35">
      <c r="A74" s="1246" t="s">
        <v>697</v>
      </c>
      <c r="B74" s="1248">
        <v>45811</v>
      </c>
      <c r="C74" s="1248" t="s">
        <v>1723</v>
      </c>
      <c r="D74" s="1275" t="s">
        <v>1005</v>
      </c>
      <c r="E74" s="1248" t="s">
        <v>1739</v>
      </c>
      <c r="F74" s="1248" t="s">
        <v>1740</v>
      </c>
      <c r="G74" s="1313"/>
      <c r="H74" s="1276" t="s">
        <v>1277</v>
      </c>
      <c r="I74" s="1287" t="s">
        <v>1741</v>
      </c>
      <c r="J74" s="1276">
        <v>44</v>
      </c>
      <c r="K74" s="1277">
        <v>23</v>
      </c>
      <c r="L74" s="1278">
        <v>0.30430000000000001</v>
      </c>
      <c r="M74" s="1385"/>
      <c r="N74" s="1278">
        <v>4.3499999999999997E-2</v>
      </c>
      <c r="O74" s="1385"/>
      <c r="P74" s="1276">
        <v>0</v>
      </c>
      <c r="Q74" s="1385"/>
      <c r="R74" s="1276">
        <v>0</v>
      </c>
      <c r="S74" s="1389"/>
    </row>
    <row r="75" spans="1:19" s="1252" customFormat="1" ht="45.75" hidden="1" customHeight="1" x14ac:dyDescent="0.35">
      <c r="A75" s="1246" t="s">
        <v>698</v>
      </c>
      <c r="B75" s="1248">
        <v>45818</v>
      </c>
      <c r="C75" s="1248" t="s">
        <v>41</v>
      </c>
      <c r="D75" s="1275" t="s">
        <v>1005</v>
      </c>
      <c r="E75" s="1248" t="s">
        <v>1742</v>
      </c>
      <c r="F75" s="1248" t="s">
        <v>1743</v>
      </c>
      <c r="G75" s="1313"/>
      <c r="H75" s="1276" t="s">
        <v>1286</v>
      </c>
      <c r="I75" s="1287" t="s">
        <v>1744</v>
      </c>
      <c r="J75" s="1276">
        <v>52</v>
      </c>
      <c r="K75" s="1277">
        <v>464</v>
      </c>
      <c r="L75" s="1278">
        <v>0.3276</v>
      </c>
      <c r="M75" s="1385"/>
      <c r="N75" s="1278">
        <v>1.9400000000000001E-2</v>
      </c>
      <c r="O75" s="1385"/>
      <c r="P75" s="1276">
        <v>2</v>
      </c>
      <c r="Q75" s="1385"/>
      <c r="R75" s="1276">
        <v>1</v>
      </c>
      <c r="S75" s="1389"/>
    </row>
    <row r="76" spans="1:19" s="1252" customFormat="1" ht="45.75" hidden="1" customHeight="1" x14ac:dyDescent="0.35">
      <c r="A76" s="1246" t="s">
        <v>699</v>
      </c>
      <c r="B76" s="1248">
        <v>45825</v>
      </c>
      <c r="C76" s="1248" t="s">
        <v>1745</v>
      </c>
      <c r="D76" s="1275" t="s">
        <v>1005</v>
      </c>
      <c r="E76" s="1248" t="s">
        <v>1746</v>
      </c>
      <c r="F76" s="1248" t="s">
        <v>1747</v>
      </c>
      <c r="G76" s="1313"/>
      <c r="H76" s="1276" t="s">
        <v>1748</v>
      </c>
      <c r="I76" s="1287" t="s">
        <v>1749</v>
      </c>
      <c r="J76" s="1276">
        <v>132</v>
      </c>
      <c r="K76" s="1277">
        <v>324</v>
      </c>
      <c r="L76" s="1278">
        <v>0.29010000000000002</v>
      </c>
      <c r="M76" s="1385"/>
      <c r="N76" s="1278">
        <v>2.47E-2</v>
      </c>
      <c r="O76" s="1385"/>
      <c r="P76" s="1276">
        <v>1</v>
      </c>
      <c r="Q76" s="1385"/>
      <c r="R76" s="1276">
        <v>0</v>
      </c>
      <c r="S76" s="1389"/>
    </row>
    <row r="77" spans="1:19" s="1252" customFormat="1" ht="45.75" hidden="1" customHeight="1" x14ac:dyDescent="0.35">
      <c r="A77" s="1246" t="s">
        <v>700</v>
      </c>
      <c r="B77" s="1248">
        <v>45832</v>
      </c>
      <c r="C77" s="1248" t="s">
        <v>1745</v>
      </c>
      <c r="D77" s="1275" t="s">
        <v>1005</v>
      </c>
      <c r="E77" s="1248" t="s">
        <v>1750</v>
      </c>
      <c r="F77" s="1248" t="s">
        <v>1751</v>
      </c>
      <c r="G77" s="1313"/>
      <c r="H77" s="1276" t="s">
        <v>1291</v>
      </c>
      <c r="I77" s="1287" t="s">
        <v>1752</v>
      </c>
      <c r="J77" s="1276">
        <v>112</v>
      </c>
      <c r="K77" s="1277">
        <v>92</v>
      </c>
      <c r="L77" s="1278">
        <v>0.5978</v>
      </c>
      <c r="M77" s="1385"/>
      <c r="N77" s="1278">
        <v>1.09E-2</v>
      </c>
      <c r="O77" s="1385"/>
      <c r="P77" s="1276">
        <v>0</v>
      </c>
      <c r="Q77" s="1385"/>
      <c r="R77" s="1276">
        <v>0</v>
      </c>
      <c r="S77" s="1389"/>
    </row>
    <row r="78" spans="1:19" s="1252" customFormat="1" ht="45.75" hidden="1" customHeight="1" x14ac:dyDescent="0.35">
      <c r="A78" s="1246" t="s">
        <v>701</v>
      </c>
      <c r="B78" s="1248">
        <v>45838</v>
      </c>
      <c r="C78" s="1248" t="s">
        <v>1660</v>
      </c>
      <c r="D78" s="1275" t="s">
        <v>1574</v>
      </c>
      <c r="E78" s="1248" t="s">
        <v>1404</v>
      </c>
      <c r="F78" s="1281" t="s">
        <v>1118</v>
      </c>
      <c r="G78" s="1313"/>
      <c r="H78" s="1276" t="s">
        <v>1753</v>
      </c>
      <c r="I78" s="1287" t="s">
        <v>1754</v>
      </c>
      <c r="J78" s="1276">
        <v>97</v>
      </c>
      <c r="K78" s="1277">
        <v>59</v>
      </c>
      <c r="L78" s="1278">
        <v>0.40679999999999999</v>
      </c>
      <c r="M78" s="1385"/>
      <c r="N78" s="1278">
        <v>8.4699999999999998E-2</v>
      </c>
      <c r="O78" s="1385"/>
      <c r="P78" s="1276">
        <v>0</v>
      </c>
      <c r="Q78" s="1385"/>
      <c r="R78" s="1276">
        <v>0</v>
      </c>
      <c r="S78" s="1389"/>
    </row>
    <row r="79" spans="1:19" s="1252" customFormat="1" ht="45.75" hidden="1" customHeight="1" x14ac:dyDescent="0.35">
      <c r="A79" s="1246" t="s">
        <v>703</v>
      </c>
      <c r="B79" s="1248">
        <v>45846</v>
      </c>
      <c r="C79" s="1248" t="s">
        <v>41</v>
      </c>
      <c r="D79" s="1275" t="s">
        <v>1005</v>
      </c>
      <c r="E79" s="1248" t="s">
        <v>1755</v>
      </c>
      <c r="F79" s="1248" t="s">
        <v>1756</v>
      </c>
      <c r="G79" s="1313"/>
      <c r="H79" s="1276" t="s">
        <v>1302</v>
      </c>
      <c r="I79" s="1287" t="s">
        <v>1757</v>
      </c>
      <c r="J79" s="1276">
        <v>91</v>
      </c>
      <c r="K79" s="1277">
        <v>457</v>
      </c>
      <c r="L79" s="1278">
        <v>0.27789999999999998</v>
      </c>
      <c r="M79" s="1385"/>
      <c r="N79" s="1278">
        <v>1.5299999999999999E-2</v>
      </c>
      <c r="O79" s="1385"/>
      <c r="P79" s="1276">
        <v>3</v>
      </c>
      <c r="Q79" s="1385"/>
      <c r="R79" s="1276">
        <v>4</v>
      </c>
      <c r="S79" s="1389"/>
    </row>
    <row r="80" spans="1:19" s="1252" customFormat="1" ht="45.75" hidden="1" customHeight="1" x14ac:dyDescent="0.35">
      <c r="A80" s="1246" t="s">
        <v>703</v>
      </c>
      <c r="B80" s="1248">
        <v>45846</v>
      </c>
      <c r="C80" s="1248" t="s">
        <v>1660</v>
      </c>
      <c r="D80" s="1275" t="s">
        <v>1758</v>
      </c>
      <c r="E80" s="1248" t="s">
        <v>1759</v>
      </c>
      <c r="F80" s="1248" t="s">
        <v>1760</v>
      </c>
      <c r="G80" s="1313"/>
      <c r="H80" s="1276" t="s">
        <v>1761</v>
      </c>
      <c r="I80" s="1287" t="s">
        <v>1762</v>
      </c>
      <c r="J80" s="1276">
        <v>112</v>
      </c>
      <c r="K80" s="1277">
        <v>84</v>
      </c>
      <c r="L80" s="1278">
        <v>0.28570000000000001</v>
      </c>
      <c r="M80" s="1385"/>
      <c r="N80" s="1278">
        <v>2.3800000000000002E-2</v>
      </c>
      <c r="O80" s="1385"/>
      <c r="P80" s="1276">
        <v>0</v>
      </c>
      <c r="Q80" s="1385"/>
      <c r="R80" s="1276">
        <v>0</v>
      </c>
      <c r="S80" s="1389"/>
    </row>
    <row r="81" spans="1:19" s="1252" customFormat="1" ht="45.75" hidden="1" customHeight="1" x14ac:dyDescent="0.35">
      <c r="A81" s="1246" t="s">
        <v>1304</v>
      </c>
      <c r="B81" s="1248">
        <v>45853</v>
      </c>
      <c r="C81" s="1248" t="s">
        <v>1723</v>
      </c>
      <c r="D81" s="1275" t="s">
        <v>1005</v>
      </c>
      <c r="E81" s="1248" t="s">
        <v>1763</v>
      </c>
      <c r="F81" s="1248" t="s">
        <v>1764</v>
      </c>
      <c r="G81" s="1313"/>
      <c r="H81" s="1276" t="s">
        <v>1308</v>
      </c>
      <c r="I81" s="1287" t="s">
        <v>1765</v>
      </c>
      <c r="J81" s="1276">
        <v>77</v>
      </c>
      <c r="K81" s="1277">
        <v>22</v>
      </c>
      <c r="L81" s="1278">
        <v>0.2273</v>
      </c>
      <c r="M81" s="1385"/>
      <c r="N81" s="1395">
        <v>0</v>
      </c>
      <c r="O81" s="1385"/>
      <c r="P81" s="1276">
        <v>0</v>
      </c>
      <c r="Q81" s="1385"/>
      <c r="R81" s="1276">
        <v>0</v>
      </c>
      <c r="S81" s="1389"/>
    </row>
    <row r="82" spans="1:19" s="1252" customFormat="1" ht="45.75" hidden="1" customHeight="1" x14ac:dyDescent="0.35">
      <c r="A82" s="1246" t="s">
        <v>1310</v>
      </c>
      <c r="B82" s="1248">
        <v>45860</v>
      </c>
      <c r="C82" s="1248" t="s">
        <v>1660</v>
      </c>
      <c r="D82" s="1275" t="s">
        <v>1005</v>
      </c>
      <c r="E82" s="1248" t="s">
        <v>1766</v>
      </c>
      <c r="F82" s="1248" t="s">
        <v>1767</v>
      </c>
      <c r="G82" s="1313"/>
      <c r="H82" s="1276" t="s">
        <v>1319</v>
      </c>
      <c r="I82" s="1287" t="s">
        <v>1768</v>
      </c>
      <c r="J82" s="1276">
        <v>99</v>
      </c>
      <c r="K82" s="1277">
        <v>82</v>
      </c>
      <c r="L82" s="1278">
        <v>0.32929999999999998</v>
      </c>
      <c r="M82" s="1385"/>
      <c r="N82" s="1278">
        <v>2.4400000000000002E-2</v>
      </c>
      <c r="O82" s="1385"/>
      <c r="P82" s="1276">
        <v>0</v>
      </c>
      <c r="Q82" s="1385"/>
      <c r="R82" s="1276">
        <v>0</v>
      </c>
      <c r="S82" s="1389"/>
    </row>
    <row r="83" spans="1:19" s="1252" customFormat="1" ht="45.75" hidden="1" customHeight="1" x14ac:dyDescent="0.35">
      <c r="A83" s="1246" t="s">
        <v>1323</v>
      </c>
      <c r="B83" s="2055" t="s">
        <v>106</v>
      </c>
      <c r="C83" s="2055"/>
      <c r="D83" s="2055"/>
      <c r="E83" s="2055"/>
      <c r="F83" s="2055"/>
      <c r="G83" s="1313"/>
      <c r="H83" s="1276"/>
      <c r="I83" s="1287"/>
      <c r="J83" s="1276"/>
      <c r="K83" s="1277"/>
      <c r="L83" s="1278"/>
      <c r="M83" s="1385"/>
      <c r="N83" s="1278"/>
      <c r="O83" s="1385"/>
      <c r="P83" s="1276"/>
      <c r="Q83" s="1385"/>
      <c r="R83" s="1276"/>
      <c r="S83" s="1389"/>
    </row>
    <row r="84" spans="1:19" s="1252" customFormat="1" ht="45.75" hidden="1" customHeight="1" x14ac:dyDescent="0.35">
      <c r="A84" s="1246" t="s">
        <v>1769</v>
      </c>
      <c r="B84" s="1248">
        <v>45875</v>
      </c>
      <c r="C84" s="1248" t="s">
        <v>1660</v>
      </c>
      <c r="D84" s="1275" t="s">
        <v>1005</v>
      </c>
      <c r="E84" s="1248" t="s">
        <v>1770</v>
      </c>
      <c r="F84" s="1248" t="s">
        <v>1771</v>
      </c>
      <c r="G84" s="1313"/>
      <c r="H84" s="1276" t="s">
        <v>1772</v>
      </c>
      <c r="I84" s="1287" t="s">
        <v>1773</v>
      </c>
      <c r="J84" s="1276">
        <v>106</v>
      </c>
      <c r="K84" s="1277">
        <v>85</v>
      </c>
      <c r="L84" s="1278">
        <v>0.42349999999999999</v>
      </c>
      <c r="M84" s="1385"/>
      <c r="N84" s="1278">
        <v>9.4100000000000003E-2</v>
      </c>
      <c r="O84" s="1385"/>
      <c r="P84" s="1276">
        <v>0</v>
      </c>
      <c r="Q84" s="1385"/>
      <c r="R84" s="1276">
        <v>0</v>
      </c>
      <c r="S84" s="1389"/>
    </row>
    <row r="85" spans="1:19" s="1252" customFormat="1" ht="45.75" hidden="1" customHeight="1" x14ac:dyDescent="0.35">
      <c r="A85" s="1246" t="s">
        <v>1769</v>
      </c>
      <c r="B85" s="1248">
        <v>45875</v>
      </c>
      <c r="C85" s="1248" t="s">
        <v>1660</v>
      </c>
      <c r="D85" s="1275" t="s">
        <v>1574</v>
      </c>
      <c r="E85" s="1248" t="s">
        <v>1434</v>
      </c>
      <c r="F85" s="1281" t="s">
        <v>1118</v>
      </c>
      <c r="G85" s="1313"/>
      <c r="H85" s="1276" t="s">
        <v>1327</v>
      </c>
      <c r="I85" s="1287" t="s">
        <v>1774</v>
      </c>
      <c r="J85" s="1276">
        <v>103</v>
      </c>
      <c r="K85" s="1277">
        <v>67</v>
      </c>
      <c r="L85" s="1278">
        <v>0.44779999999999998</v>
      </c>
      <c r="M85" s="1385"/>
      <c r="N85" s="1278">
        <v>0.16420000000000001</v>
      </c>
      <c r="O85" s="1385"/>
      <c r="P85" s="1276">
        <v>0</v>
      </c>
      <c r="Q85" s="1385"/>
      <c r="R85" s="1276">
        <v>0</v>
      </c>
      <c r="S85" s="1389"/>
    </row>
    <row r="86" spans="1:19" s="1252" customFormat="1" ht="45.75" hidden="1" customHeight="1" x14ac:dyDescent="0.35">
      <c r="A86" s="1246" t="s">
        <v>1328</v>
      </c>
      <c r="B86" s="1248">
        <v>45881</v>
      </c>
      <c r="C86" s="1248" t="s">
        <v>1660</v>
      </c>
      <c r="D86" s="1275" t="s">
        <v>1005</v>
      </c>
      <c r="E86" s="1248" t="s">
        <v>1775</v>
      </c>
      <c r="F86" s="1248" t="s">
        <v>1776</v>
      </c>
      <c r="G86" s="1313"/>
      <c r="H86" s="1276" t="s">
        <v>1331</v>
      </c>
      <c r="I86" s="1287" t="s">
        <v>1777</v>
      </c>
      <c r="J86" s="1276">
        <v>78</v>
      </c>
      <c r="K86" s="1277">
        <v>90</v>
      </c>
      <c r="L86" s="1395">
        <v>0.4</v>
      </c>
      <c r="M86" s="1385"/>
      <c r="N86" s="1278">
        <v>2.2200000000000001E-2</v>
      </c>
      <c r="O86" s="1385"/>
      <c r="P86" s="1276">
        <v>0</v>
      </c>
      <c r="Q86" s="1385"/>
      <c r="R86" s="1276">
        <v>0</v>
      </c>
      <c r="S86" s="1389"/>
    </row>
    <row r="87" spans="1:19" s="1252" customFormat="1" ht="45.75" hidden="1" customHeight="1" x14ac:dyDescent="0.35">
      <c r="A87" s="1246" t="s">
        <v>1333</v>
      </c>
      <c r="B87" s="1248">
        <v>45888</v>
      </c>
      <c r="C87" s="1248" t="s">
        <v>41</v>
      </c>
      <c r="D87" s="1275" t="s">
        <v>1005</v>
      </c>
      <c r="E87" s="1248" t="s">
        <v>1715</v>
      </c>
      <c r="F87" s="1281" t="s">
        <v>1778</v>
      </c>
      <c r="G87" s="1313"/>
      <c r="H87" s="1276" t="s">
        <v>1779</v>
      </c>
      <c r="I87" s="1287" t="s">
        <v>1780</v>
      </c>
      <c r="J87" s="1276">
        <v>114</v>
      </c>
      <c r="K87" s="1277">
        <v>504</v>
      </c>
      <c r="L87" s="1278">
        <v>0.30359999999999998</v>
      </c>
      <c r="M87" s="1385"/>
      <c r="N87" s="1278">
        <v>9.9000000000000008E-3</v>
      </c>
      <c r="O87" s="1385"/>
      <c r="P87" s="1276">
        <v>4</v>
      </c>
      <c r="Q87" s="1385"/>
      <c r="R87" s="1276">
        <v>1</v>
      </c>
      <c r="S87" s="1389"/>
    </row>
    <row r="88" spans="1:19" s="1252" customFormat="1" ht="45.75" hidden="1" customHeight="1" x14ac:dyDescent="0.35">
      <c r="A88" s="1246" t="s">
        <v>1338</v>
      </c>
      <c r="B88" s="1248">
        <v>45895</v>
      </c>
      <c r="C88" s="1248" t="s">
        <v>1660</v>
      </c>
      <c r="D88" s="1275" t="s">
        <v>1005</v>
      </c>
      <c r="E88" s="1248" t="s">
        <v>1781</v>
      </c>
      <c r="F88" s="1248" t="s">
        <v>1782</v>
      </c>
      <c r="G88" s="1313"/>
      <c r="H88" s="1276" t="s">
        <v>1783</v>
      </c>
      <c r="I88" s="1287" t="s">
        <v>1784</v>
      </c>
      <c r="J88" s="1276">
        <v>101</v>
      </c>
      <c r="K88" s="1277">
        <v>95</v>
      </c>
      <c r="L88" s="1278">
        <v>0.38950000000000001</v>
      </c>
      <c r="M88" s="1385"/>
      <c r="N88" s="1278">
        <v>5.2600000000000001E-2</v>
      </c>
      <c r="O88" s="1385"/>
      <c r="P88" s="1276">
        <v>0</v>
      </c>
      <c r="Q88" s="1385"/>
      <c r="R88" s="1276">
        <v>0</v>
      </c>
      <c r="S88" s="1389"/>
    </row>
    <row r="89" spans="1:19" s="1252" customFormat="1" ht="45.75" hidden="1" customHeight="1" x14ac:dyDescent="0.35">
      <c r="A89" s="1246" t="s">
        <v>1341</v>
      </c>
      <c r="B89" s="1248">
        <v>45905</v>
      </c>
      <c r="C89" s="1248" t="s">
        <v>1723</v>
      </c>
      <c r="D89" s="1275" t="s">
        <v>1005</v>
      </c>
      <c r="E89" s="1248" t="s">
        <v>1785</v>
      </c>
      <c r="F89" s="1248" t="s">
        <v>1739</v>
      </c>
      <c r="G89" s="1313"/>
      <c r="H89" s="1276" t="s">
        <v>1786</v>
      </c>
      <c r="I89" s="1287" t="s">
        <v>1787</v>
      </c>
      <c r="J89" s="1276">
        <v>39</v>
      </c>
      <c r="K89" s="1277">
        <v>36</v>
      </c>
      <c r="L89" s="1278">
        <v>0.47220000000000001</v>
      </c>
      <c r="M89" s="1385"/>
      <c r="N89" s="1395">
        <v>0</v>
      </c>
      <c r="O89" s="1385"/>
      <c r="P89" s="1276">
        <v>0</v>
      </c>
      <c r="Q89" s="1385"/>
      <c r="R89" s="1276">
        <v>1</v>
      </c>
      <c r="S89" s="1389"/>
    </row>
    <row r="90" spans="1:19" s="1252" customFormat="1" ht="45.75" hidden="1" customHeight="1" x14ac:dyDescent="0.35">
      <c r="A90" s="1246" t="s">
        <v>1347</v>
      </c>
      <c r="B90" s="1248">
        <v>45909</v>
      </c>
      <c r="C90" s="1248" t="s">
        <v>41</v>
      </c>
      <c r="D90" s="1275" t="s">
        <v>1005</v>
      </c>
      <c r="E90" s="1248" t="s">
        <v>1788</v>
      </c>
      <c r="F90" s="1248" t="s">
        <v>1789</v>
      </c>
      <c r="G90" s="1313"/>
      <c r="H90" s="1276" t="s">
        <v>1790</v>
      </c>
      <c r="I90" s="1287" t="s">
        <v>1791</v>
      </c>
      <c r="J90" s="1276">
        <v>98</v>
      </c>
      <c r="K90" s="1277">
        <v>496</v>
      </c>
      <c r="L90" s="1278">
        <v>0.2722</v>
      </c>
      <c r="M90" s="1385"/>
      <c r="N90" s="1278">
        <v>1.01E-2</v>
      </c>
      <c r="O90" s="1385"/>
      <c r="P90" s="1276">
        <v>5</v>
      </c>
      <c r="Q90" s="1385"/>
      <c r="R90" s="1276">
        <v>2</v>
      </c>
      <c r="S90" s="1389"/>
    </row>
    <row r="91" spans="1:19" s="1252" customFormat="1" ht="45.75" hidden="1" customHeight="1" x14ac:dyDescent="0.35">
      <c r="A91" s="1246" t="s">
        <v>1348</v>
      </c>
      <c r="B91" s="1248">
        <v>45916</v>
      </c>
      <c r="C91" s="1248" t="s">
        <v>1660</v>
      </c>
      <c r="D91" s="1275" t="s">
        <v>1574</v>
      </c>
      <c r="E91" s="1248" t="s">
        <v>1792</v>
      </c>
      <c r="F91" s="1281" t="s">
        <v>1793</v>
      </c>
      <c r="G91" s="1313"/>
      <c r="H91" s="1276" t="s">
        <v>1794</v>
      </c>
      <c r="I91" s="1287" t="s">
        <v>1795</v>
      </c>
      <c r="J91" s="1276">
        <v>96</v>
      </c>
      <c r="K91" s="1277">
        <v>138</v>
      </c>
      <c r="L91" s="1278">
        <v>0.57330000000000003</v>
      </c>
      <c r="M91" s="1385"/>
      <c r="N91" s="1395">
        <v>0.12</v>
      </c>
      <c r="O91" s="1385"/>
      <c r="P91" s="1276">
        <v>0</v>
      </c>
      <c r="Q91" s="1385"/>
      <c r="R91" s="1276">
        <v>0</v>
      </c>
      <c r="S91" s="1389"/>
    </row>
    <row r="92" spans="1:19" s="1252" customFormat="1" ht="45.75" hidden="1" customHeight="1" x14ac:dyDescent="0.35">
      <c r="A92" s="1246" t="s">
        <v>1348</v>
      </c>
      <c r="B92" s="1248">
        <v>45916</v>
      </c>
      <c r="C92" s="1248" t="s">
        <v>1660</v>
      </c>
      <c r="D92" s="1275" t="s">
        <v>1574</v>
      </c>
      <c r="E92" s="1248" t="s">
        <v>1555</v>
      </c>
      <c r="F92" s="1281" t="s">
        <v>1796</v>
      </c>
      <c r="G92" s="1313"/>
      <c r="H92" s="1276" t="s">
        <v>1351</v>
      </c>
      <c r="I92" s="1287" t="s">
        <v>1797</v>
      </c>
      <c r="J92" s="1276">
        <v>127</v>
      </c>
      <c r="K92" s="1277">
        <v>75</v>
      </c>
      <c r="L92" s="1278">
        <v>0.31879999999999997</v>
      </c>
      <c r="M92" s="1385"/>
      <c r="N92" s="1278">
        <v>1.4500000000000001E-2</v>
      </c>
      <c r="O92" s="1385"/>
      <c r="P92" s="1276">
        <v>0</v>
      </c>
      <c r="Q92" s="1385"/>
      <c r="R92" s="1276">
        <v>0</v>
      </c>
      <c r="S92" s="1389"/>
    </row>
    <row r="93" spans="1:19" s="1252" customFormat="1" ht="45.75" hidden="1" customHeight="1" x14ac:dyDescent="0.35">
      <c r="A93" s="1246" t="s">
        <v>1354</v>
      </c>
      <c r="B93" s="1248">
        <v>45923</v>
      </c>
      <c r="C93" s="1248" t="s">
        <v>1660</v>
      </c>
      <c r="D93" s="1275" t="s">
        <v>1005</v>
      </c>
      <c r="E93" s="1248" t="s">
        <v>1798</v>
      </c>
      <c r="F93" s="1248" t="s">
        <v>1799</v>
      </c>
      <c r="G93" s="1313"/>
      <c r="H93" s="1276" t="s">
        <v>1800</v>
      </c>
      <c r="I93" s="1287" t="s">
        <v>1801</v>
      </c>
      <c r="J93" s="1276">
        <v>105</v>
      </c>
      <c r="K93" s="1277">
        <v>138</v>
      </c>
      <c r="L93" s="1278">
        <v>0.3261</v>
      </c>
      <c r="M93" s="1385"/>
      <c r="N93" s="1278">
        <v>1.4500000000000001E-2</v>
      </c>
      <c r="O93" s="1385"/>
      <c r="P93" s="1276">
        <v>0</v>
      </c>
      <c r="Q93" s="1385"/>
      <c r="R93" s="1276">
        <v>0</v>
      </c>
      <c r="S93" s="1389"/>
    </row>
    <row r="94" spans="1:19" s="1252" customFormat="1" ht="45.75" hidden="1" customHeight="1" x14ac:dyDescent="0.35">
      <c r="A94" s="1246" t="s">
        <v>1357</v>
      </c>
      <c r="B94" s="1248">
        <v>45930</v>
      </c>
      <c r="C94" s="1248" t="s">
        <v>1660</v>
      </c>
      <c r="D94" s="1275" t="s">
        <v>1574</v>
      </c>
      <c r="E94" s="1248" t="s">
        <v>1802</v>
      </c>
      <c r="F94" s="1281" t="s">
        <v>1118</v>
      </c>
      <c r="G94" s="1313"/>
      <c r="H94" s="1276" t="s">
        <v>1803</v>
      </c>
      <c r="I94" s="1287" t="s">
        <v>1804</v>
      </c>
      <c r="J94" s="1276">
        <v>109</v>
      </c>
      <c r="K94" s="1277">
        <v>79</v>
      </c>
      <c r="L94" s="1278">
        <v>0.62029999999999996</v>
      </c>
      <c r="M94" s="1385"/>
      <c r="N94" s="1278">
        <v>0.1013</v>
      </c>
      <c r="O94" s="1385"/>
      <c r="P94" s="1276">
        <v>0</v>
      </c>
      <c r="Q94" s="1385"/>
      <c r="R94" s="1276">
        <v>0</v>
      </c>
      <c r="S94" s="1389"/>
    </row>
    <row r="95" spans="1:19" s="1252" customFormat="1" ht="45.75" hidden="1" customHeight="1" x14ac:dyDescent="0.35">
      <c r="A95" s="1246" t="s">
        <v>1358</v>
      </c>
      <c r="B95" s="1248">
        <v>45937</v>
      </c>
      <c r="C95" s="1248" t="s">
        <v>1660</v>
      </c>
      <c r="D95" s="1275" t="s">
        <v>1574</v>
      </c>
      <c r="E95" s="1248" t="s">
        <v>1805</v>
      </c>
      <c r="F95" s="1281" t="s">
        <v>1118</v>
      </c>
      <c r="G95" s="1313"/>
      <c r="H95" s="1276" t="s">
        <v>1806</v>
      </c>
      <c r="I95" s="1287" t="s">
        <v>1807</v>
      </c>
      <c r="J95" s="1276">
        <v>133</v>
      </c>
      <c r="K95" s="1277">
        <v>86</v>
      </c>
      <c r="L95" s="1278">
        <v>0.62790000000000001</v>
      </c>
      <c r="M95" s="1385"/>
      <c r="N95" s="1278">
        <v>0.2326</v>
      </c>
      <c r="O95" s="1385"/>
      <c r="P95" s="1276">
        <v>0</v>
      </c>
      <c r="Q95" s="1385"/>
      <c r="R95" s="1276">
        <v>0</v>
      </c>
      <c r="S95" s="1389"/>
    </row>
    <row r="96" spans="1:19" s="1252" customFormat="1" ht="45.75" hidden="1" customHeight="1" x14ac:dyDescent="0.35">
      <c r="A96" s="1246" t="s">
        <v>1358</v>
      </c>
      <c r="B96" s="1248">
        <v>45938</v>
      </c>
      <c r="C96" s="1248" t="s">
        <v>1660</v>
      </c>
      <c r="D96" s="1275" t="s">
        <v>1574</v>
      </c>
      <c r="E96" s="1248" t="s">
        <v>1808</v>
      </c>
      <c r="F96" s="1281" t="s">
        <v>1118</v>
      </c>
      <c r="G96" s="1313"/>
      <c r="H96" s="1276" t="s">
        <v>1367</v>
      </c>
      <c r="I96" s="1287" t="s">
        <v>1809</v>
      </c>
      <c r="J96" s="1276">
        <v>78</v>
      </c>
      <c r="K96" s="1277">
        <v>79</v>
      </c>
      <c r="L96" s="1278">
        <v>0.51900000000000002</v>
      </c>
      <c r="M96" s="1385"/>
      <c r="N96" s="1278">
        <v>5.0599999999999999E-2</v>
      </c>
      <c r="O96" s="1385"/>
      <c r="P96" s="1276">
        <v>0</v>
      </c>
      <c r="Q96" s="1385"/>
      <c r="R96" s="1276">
        <v>0</v>
      </c>
      <c r="S96" s="1389"/>
    </row>
    <row r="97" spans="1:19" s="1252" customFormat="1" ht="45.75" hidden="1" customHeight="1" x14ac:dyDescent="0.35">
      <c r="A97" s="1246" t="s">
        <v>1370</v>
      </c>
      <c r="B97" s="1248">
        <v>45945</v>
      </c>
      <c r="C97" s="1248" t="s">
        <v>1660</v>
      </c>
      <c r="D97" s="1275" t="s">
        <v>1574</v>
      </c>
      <c r="E97" s="1248" t="s">
        <v>1810</v>
      </c>
      <c r="F97" s="1281" t="s">
        <v>1118</v>
      </c>
      <c r="G97" s="1313"/>
      <c r="H97" s="1276" t="s">
        <v>1811</v>
      </c>
      <c r="I97" s="1287" t="s">
        <v>1812</v>
      </c>
      <c r="J97" s="1276">
        <v>46</v>
      </c>
      <c r="K97" s="1277">
        <v>81</v>
      </c>
      <c r="L97" s="1278">
        <v>0.35799999999999998</v>
      </c>
      <c r="M97" s="1385"/>
      <c r="N97" s="1278">
        <v>0.66169999999999995</v>
      </c>
      <c r="O97" s="1385"/>
      <c r="P97" s="1276">
        <v>0</v>
      </c>
      <c r="Q97" s="1385"/>
      <c r="R97" s="1276">
        <v>0</v>
      </c>
      <c r="S97" s="1389"/>
    </row>
    <row r="98" spans="1:19" s="1252" customFormat="1" ht="45.75" hidden="1" customHeight="1" x14ac:dyDescent="0.35">
      <c r="A98" s="1274" t="s">
        <v>1813</v>
      </c>
      <c r="B98" s="2045" t="s">
        <v>1814</v>
      </c>
      <c r="C98" s="2045"/>
      <c r="D98" s="2045"/>
      <c r="E98" s="2045"/>
      <c r="F98" s="2045"/>
      <c r="G98" s="1313"/>
      <c r="H98" s="1276"/>
      <c r="I98" s="1251"/>
      <c r="J98" s="1251"/>
      <c r="K98" s="1250"/>
      <c r="L98" s="1251"/>
      <c r="M98" s="1370"/>
      <c r="N98" s="1251"/>
      <c r="O98" s="1370"/>
      <c r="P98" s="1251"/>
      <c r="Q98" s="1370"/>
      <c r="R98" s="1251"/>
      <c r="S98" s="1389"/>
    </row>
    <row r="99" spans="1:19" s="1252" customFormat="1" ht="45" hidden="1" customHeight="1" x14ac:dyDescent="0.35">
      <c r="A99" s="1246" t="s">
        <v>1371</v>
      </c>
      <c r="B99" s="1248">
        <v>45952</v>
      </c>
      <c r="C99" s="1248" t="s">
        <v>1660</v>
      </c>
      <c r="D99" s="1275" t="s">
        <v>1574</v>
      </c>
      <c r="E99" s="1248" t="s">
        <v>1566</v>
      </c>
      <c r="F99" s="1281" t="s">
        <v>1815</v>
      </c>
      <c r="G99" s="1313"/>
      <c r="H99" s="1276" t="s">
        <v>1816</v>
      </c>
      <c r="I99" s="1287" t="s">
        <v>1817</v>
      </c>
      <c r="J99" s="1276">
        <v>39</v>
      </c>
      <c r="K99" s="1277">
        <v>81</v>
      </c>
      <c r="L99" s="1278">
        <v>0.37040000000000001</v>
      </c>
      <c r="M99" s="1385"/>
      <c r="N99" s="1278">
        <v>8.6400000000000005E-2</v>
      </c>
      <c r="O99" s="1385"/>
      <c r="P99" s="1276">
        <v>0</v>
      </c>
      <c r="Q99" s="1385"/>
      <c r="R99" s="1276">
        <v>0</v>
      </c>
      <c r="S99" s="1389"/>
    </row>
    <row r="100" spans="1:19" s="1252" customFormat="1" ht="45" hidden="1" customHeight="1" x14ac:dyDescent="0.35">
      <c r="A100" s="1246" t="s">
        <v>1372</v>
      </c>
      <c r="B100" s="1248">
        <v>45958</v>
      </c>
      <c r="C100" s="1248" t="s">
        <v>41</v>
      </c>
      <c r="D100" s="1275" t="s">
        <v>1005</v>
      </c>
      <c r="E100" s="1248" t="s">
        <v>1818</v>
      </c>
      <c r="F100" s="1275" t="s">
        <v>1819</v>
      </c>
      <c r="G100" s="1313"/>
      <c r="H100" s="1276" t="s">
        <v>1820</v>
      </c>
      <c r="I100" s="1287" t="s">
        <v>1821</v>
      </c>
      <c r="J100" s="1276">
        <v>66</v>
      </c>
      <c r="K100" s="1277">
        <v>553</v>
      </c>
      <c r="L100" s="1278">
        <v>0.2477</v>
      </c>
      <c r="M100" s="1385"/>
      <c r="N100" s="1278">
        <v>1.2699999999999999E-2</v>
      </c>
      <c r="O100" s="1385"/>
      <c r="P100" s="1276">
        <v>4</v>
      </c>
      <c r="Q100" s="1385"/>
      <c r="R100" s="1276">
        <v>2</v>
      </c>
      <c r="S100" s="1389"/>
    </row>
    <row r="101" spans="1:19" s="1252" customFormat="1" ht="45" hidden="1" customHeight="1" x14ac:dyDescent="0.35">
      <c r="A101" s="1246" t="s">
        <v>1381</v>
      </c>
      <c r="B101" s="2055" t="s">
        <v>106</v>
      </c>
      <c r="C101" s="2055"/>
      <c r="D101" s="2055"/>
      <c r="E101" s="2055"/>
      <c r="F101" s="2055"/>
      <c r="G101" s="1313"/>
      <c r="H101" s="1276"/>
      <c r="I101" s="1287"/>
      <c r="J101" s="1276"/>
      <c r="K101" s="1277"/>
      <c r="L101" s="1278"/>
      <c r="M101" s="1385"/>
      <c r="N101" s="1278"/>
      <c r="O101" s="1385"/>
      <c r="P101" s="1276"/>
      <c r="Q101" s="1385"/>
      <c r="R101" s="1276"/>
      <c r="S101" s="1389"/>
    </row>
    <row r="102" spans="1:19" s="1252" customFormat="1" ht="45" hidden="1" customHeight="1" x14ac:dyDescent="0.35">
      <c r="A102" s="1248" t="s">
        <v>1390</v>
      </c>
      <c r="B102" s="1248">
        <v>45974</v>
      </c>
      <c r="C102" s="1248" t="s">
        <v>1660</v>
      </c>
      <c r="D102" s="1275" t="s">
        <v>1574</v>
      </c>
      <c r="E102" s="1248" t="s">
        <v>1822</v>
      </c>
      <c r="F102" s="1248" t="s">
        <v>1823</v>
      </c>
      <c r="G102" s="1313"/>
      <c r="H102" s="1276" t="s">
        <v>1395</v>
      </c>
      <c r="I102" s="1287" t="s">
        <v>1824</v>
      </c>
      <c r="J102" s="1276">
        <v>76</v>
      </c>
      <c r="K102" s="1277">
        <v>254</v>
      </c>
      <c r="L102" s="1278">
        <v>0.27950000000000003</v>
      </c>
      <c r="M102" s="1385"/>
      <c r="N102" s="1278">
        <v>1.5699999999999999E-2</v>
      </c>
      <c r="O102" s="1385"/>
      <c r="P102" s="1276">
        <v>1</v>
      </c>
      <c r="Q102" s="1385"/>
      <c r="R102" s="1276">
        <v>0</v>
      </c>
      <c r="S102" s="1389"/>
    </row>
    <row r="103" spans="1:19" ht="45" hidden="1" customHeight="1" x14ac:dyDescent="0.5">
      <c r="A103" s="1246" t="s">
        <v>1396</v>
      </c>
      <c r="B103" s="1248">
        <v>45979</v>
      </c>
      <c r="C103" s="1248" t="s">
        <v>41</v>
      </c>
      <c r="D103" s="1275" t="s">
        <v>1005</v>
      </c>
      <c r="E103" s="1248" t="s">
        <v>1825</v>
      </c>
      <c r="F103" s="1248" t="s">
        <v>1826</v>
      </c>
      <c r="G103" s="1313"/>
      <c r="H103" s="1248" t="s">
        <v>1401</v>
      </c>
      <c r="I103" s="1275" t="s">
        <v>1827</v>
      </c>
      <c r="J103" s="1276">
        <v>43</v>
      </c>
      <c r="K103" s="1277">
        <v>550</v>
      </c>
      <c r="L103" s="1278">
        <v>0.29820000000000002</v>
      </c>
      <c r="M103" s="1385"/>
      <c r="N103" s="1278">
        <v>1.2699999999999999E-2</v>
      </c>
      <c r="O103" s="1385"/>
      <c r="P103" s="1276">
        <v>8</v>
      </c>
      <c r="Q103" s="1385"/>
      <c r="R103" s="1276">
        <v>1</v>
      </c>
    </row>
    <row r="104" spans="1:19" ht="45" hidden="1" customHeight="1" x14ac:dyDescent="0.5">
      <c r="A104" s="1248" t="s">
        <v>1402</v>
      </c>
      <c r="B104" s="2055" t="s">
        <v>1828</v>
      </c>
      <c r="C104" s="2055"/>
      <c r="D104" s="2055"/>
      <c r="E104" s="2055"/>
      <c r="F104" s="2055"/>
      <c r="G104" s="1313"/>
      <c r="H104" s="1248"/>
      <c r="I104" s="1248"/>
      <c r="J104" s="1248"/>
      <c r="K104" s="1248"/>
      <c r="L104" s="1278"/>
      <c r="M104" s="1385"/>
      <c r="N104" s="1278"/>
      <c r="O104" s="1385"/>
      <c r="P104" s="1276"/>
      <c r="Q104" s="1385"/>
      <c r="R104" s="1276"/>
    </row>
    <row r="105" spans="1:19" ht="45" customHeight="1" x14ac:dyDescent="0.5">
      <c r="A105" s="1248" t="s">
        <v>1403</v>
      </c>
      <c r="B105" s="2055" t="s">
        <v>106</v>
      </c>
      <c r="C105" s="2055"/>
      <c r="D105" s="2055"/>
      <c r="E105" s="2055"/>
      <c r="F105" s="2055"/>
      <c r="G105" s="1313"/>
      <c r="H105" s="1248"/>
      <c r="I105" s="1248"/>
      <c r="J105" s="1248"/>
      <c r="K105" s="1248"/>
      <c r="L105" s="1278"/>
      <c r="M105" s="1385"/>
      <c r="N105" s="1278"/>
      <c r="O105" s="1385"/>
      <c r="P105" s="1276"/>
      <c r="Q105" s="1385"/>
      <c r="R105" s="1276"/>
    </row>
    <row r="106" spans="1:19" ht="45" customHeight="1" x14ac:dyDescent="0.5">
      <c r="A106" s="1248" t="s">
        <v>1416</v>
      </c>
      <c r="B106" s="1248">
        <v>46000</v>
      </c>
      <c r="C106" s="1248" t="s">
        <v>41</v>
      </c>
      <c r="D106" s="1275" t="s">
        <v>1574</v>
      </c>
      <c r="E106" s="1248" t="s">
        <v>1829</v>
      </c>
      <c r="F106" s="1248" t="s">
        <v>1830</v>
      </c>
      <c r="G106" s="1313"/>
      <c r="H106" s="1248" t="s">
        <v>1831</v>
      </c>
      <c r="I106" s="1275" t="s">
        <v>1832</v>
      </c>
      <c r="J106" s="1276">
        <v>50</v>
      </c>
      <c r="K106" s="1277">
        <v>543</v>
      </c>
      <c r="L106" s="1278">
        <v>0.30199999999999999</v>
      </c>
      <c r="M106" s="1385"/>
      <c r="N106" s="1278">
        <v>2.76E-2</v>
      </c>
      <c r="O106" s="1385"/>
      <c r="P106" s="1276">
        <v>2</v>
      </c>
      <c r="Q106" s="1385"/>
      <c r="R106" s="1276">
        <v>2</v>
      </c>
    </row>
    <row r="107" spans="1:19" ht="45" customHeight="1" x14ac:dyDescent="0.5">
      <c r="A107" s="1248" t="s">
        <v>1422</v>
      </c>
      <c r="B107" s="1248">
        <v>46007</v>
      </c>
      <c r="C107" s="1248" t="s">
        <v>1833</v>
      </c>
      <c r="D107" s="1275" t="s">
        <v>1005</v>
      </c>
      <c r="E107" s="1248" t="s">
        <v>1834</v>
      </c>
      <c r="F107" s="1248" t="s">
        <v>1835</v>
      </c>
      <c r="G107" s="1313"/>
      <c r="H107" s="1248" t="s">
        <v>1425</v>
      </c>
      <c r="I107" s="1275" t="s">
        <v>1836</v>
      </c>
      <c r="J107" s="1276">
        <v>54</v>
      </c>
      <c r="K107" s="1277">
        <v>198</v>
      </c>
      <c r="L107" s="1278">
        <v>0.32319999999999999</v>
      </c>
      <c r="M107" s="1385"/>
      <c r="N107" s="1278">
        <v>3.0300000000000001E-2</v>
      </c>
      <c r="O107" s="1385"/>
      <c r="P107" s="1276">
        <v>1</v>
      </c>
      <c r="Q107" s="1385"/>
      <c r="R107" s="1276">
        <v>0</v>
      </c>
    </row>
    <row r="108" spans="1:19" ht="45" customHeight="1" x14ac:dyDescent="0.5">
      <c r="A108" s="1248" t="s">
        <v>1422</v>
      </c>
      <c r="B108" s="1248">
        <v>46008</v>
      </c>
      <c r="C108" s="1248" t="s">
        <v>41</v>
      </c>
      <c r="D108" s="1275" t="s">
        <v>1574</v>
      </c>
      <c r="E108" s="1248" t="s">
        <v>1837</v>
      </c>
      <c r="F108" s="1248" t="s">
        <v>1838</v>
      </c>
      <c r="G108" s="1313"/>
      <c r="H108" s="1248" t="s">
        <v>1839</v>
      </c>
      <c r="I108" s="1275" t="s">
        <v>1840</v>
      </c>
      <c r="J108" s="1276">
        <v>28</v>
      </c>
      <c r="K108" s="1277">
        <v>531</v>
      </c>
      <c r="L108" s="1278">
        <v>0.25609999999999999</v>
      </c>
      <c r="M108" s="1385"/>
      <c r="N108" s="1278">
        <v>1.9E-3</v>
      </c>
      <c r="O108" s="1385"/>
      <c r="P108" s="1276">
        <v>2</v>
      </c>
      <c r="Q108" s="1385"/>
      <c r="R108" s="1276">
        <v>1</v>
      </c>
    </row>
    <row r="109" spans="1:19" ht="45" customHeight="1" x14ac:dyDescent="0.5">
      <c r="A109" s="1248" t="s">
        <v>1429</v>
      </c>
      <c r="B109" s="2055" t="s">
        <v>1841</v>
      </c>
      <c r="C109" s="2055"/>
      <c r="D109" s="2055"/>
      <c r="E109" s="2055"/>
      <c r="F109" s="2055"/>
      <c r="G109" s="1313"/>
      <c r="H109" s="1248"/>
      <c r="I109" s="1248"/>
      <c r="J109" s="1276"/>
      <c r="K109" s="1277"/>
      <c r="L109" s="1278"/>
      <c r="M109" s="1385"/>
      <c r="N109" s="1278"/>
      <c r="O109" s="1385"/>
      <c r="P109" s="1276"/>
      <c r="Q109" s="1385"/>
      <c r="R109" s="1276"/>
    </row>
    <row r="110" spans="1:19" ht="45" customHeight="1" x14ac:dyDescent="0.5">
      <c r="A110" s="1248" t="s">
        <v>1431</v>
      </c>
      <c r="B110" s="2055" t="s">
        <v>1842</v>
      </c>
      <c r="C110" s="2055"/>
      <c r="D110" s="2055"/>
      <c r="E110" s="2055"/>
      <c r="F110" s="2055"/>
      <c r="G110" s="1313"/>
      <c r="H110" s="1248"/>
      <c r="I110" s="1248"/>
      <c r="J110" s="1276"/>
      <c r="K110" s="1277"/>
      <c r="L110" s="1278"/>
      <c r="M110" s="1385"/>
      <c r="N110" s="1278"/>
      <c r="O110" s="1385"/>
      <c r="P110" s="1276"/>
      <c r="Q110" s="1385"/>
      <c r="R110" s="1276"/>
    </row>
    <row r="111" spans="1:19" ht="45" customHeight="1" x14ac:dyDescent="0.5">
      <c r="A111" s="1248" t="s">
        <v>1433</v>
      </c>
      <c r="B111" s="1302"/>
      <c r="C111" s="1248" t="s">
        <v>41</v>
      </c>
      <c r="D111" s="1275" t="s">
        <v>1005</v>
      </c>
      <c r="E111" s="1291" t="s">
        <v>1843</v>
      </c>
      <c r="F111" s="1248" t="s">
        <v>1844</v>
      </c>
      <c r="G111" s="1313"/>
      <c r="H111" s="1248" t="s">
        <v>1436</v>
      </c>
      <c r="I111" s="1275" t="s">
        <v>1845</v>
      </c>
      <c r="J111" s="1276">
        <v>64</v>
      </c>
      <c r="K111" s="1277">
        <v>516</v>
      </c>
      <c r="L111" s="1278">
        <v>0.27329999999999999</v>
      </c>
      <c r="M111" s="1385"/>
      <c r="N111" s="1278">
        <v>7.7999999999999996E-3</v>
      </c>
      <c r="O111" s="1385"/>
      <c r="P111" s="1276">
        <v>5</v>
      </c>
      <c r="Q111" s="1385"/>
      <c r="R111" s="1276">
        <v>1</v>
      </c>
    </row>
    <row r="112" spans="1:19" ht="45" customHeight="1" x14ac:dyDescent="0.5">
      <c r="A112" s="1248" t="s">
        <v>1440</v>
      </c>
      <c r="B112" s="2055" t="s">
        <v>106</v>
      </c>
      <c r="C112" s="2055"/>
      <c r="D112" s="2055"/>
      <c r="E112" s="2055"/>
      <c r="F112" s="2055"/>
      <c r="G112" s="1313"/>
      <c r="H112" s="1248"/>
      <c r="I112" s="1248"/>
      <c r="J112" s="1276"/>
      <c r="K112" s="1277"/>
      <c r="L112" s="1278"/>
      <c r="M112" s="1385"/>
      <c r="N112" s="1278"/>
      <c r="O112" s="1385"/>
      <c r="P112" s="1276"/>
      <c r="Q112" s="1385"/>
      <c r="R112" s="1276"/>
    </row>
    <row r="113" spans="1:18" ht="45" customHeight="1" x14ac:dyDescent="0.5">
      <c r="A113" s="1248" t="s">
        <v>1449</v>
      </c>
      <c r="B113" s="1248">
        <v>46042</v>
      </c>
      <c r="C113" s="1248" t="s">
        <v>1846</v>
      </c>
      <c r="D113" s="1275" t="s">
        <v>1005</v>
      </c>
      <c r="E113" s="1291" t="s">
        <v>1847</v>
      </c>
      <c r="F113" s="1248" t="s">
        <v>1848</v>
      </c>
      <c r="G113" s="1313"/>
      <c r="H113" s="1248" t="s">
        <v>1849</v>
      </c>
      <c r="I113" s="1275" t="s">
        <v>1850</v>
      </c>
      <c r="J113" s="1276">
        <v>185</v>
      </c>
      <c r="K113" s="1277">
        <v>11</v>
      </c>
      <c r="L113" s="1278">
        <v>0.54549999999999998</v>
      </c>
      <c r="M113" s="1385"/>
      <c r="N113" s="1278">
        <v>0.18179999999999999</v>
      </c>
      <c r="O113" s="1385"/>
      <c r="P113" s="1276">
        <v>0</v>
      </c>
      <c r="Q113" s="1385"/>
      <c r="R113" s="1276">
        <v>0</v>
      </c>
    </row>
    <row r="114" spans="1:18" ht="45" customHeight="1" x14ac:dyDescent="0.5">
      <c r="A114" s="1248" t="s">
        <v>1449</v>
      </c>
      <c r="B114" s="1248">
        <v>46043</v>
      </c>
      <c r="C114" s="1248" t="s">
        <v>41</v>
      </c>
      <c r="D114" s="1275" t="s">
        <v>1005</v>
      </c>
      <c r="E114" s="1401" t="s">
        <v>1851</v>
      </c>
      <c r="F114" s="1248"/>
      <c r="G114" s="1313"/>
      <c r="H114" s="1248" t="s">
        <v>1452</v>
      </c>
      <c r="I114" s="1275" t="s">
        <v>1852</v>
      </c>
      <c r="J114" s="1276">
        <v>192</v>
      </c>
      <c r="K114" s="1277">
        <v>510</v>
      </c>
      <c r="L114" s="1278">
        <v>0.29220000000000002</v>
      </c>
      <c r="M114" s="1385"/>
      <c r="N114" s="1278">
        <v>3.3300000000000003E-2</v>
      </c>
      <c r="O114" s="1385"/>
      <c r="P114" s="1276">
        <v>0</v>
      </c>
      <c r="Q114" s="1385"/>
      <c r="R114" s="1276">
        <v>1</v>
      </c>
    </row>
    <row r="115" spans="1:18" ht="45" customHeight="1" x14ac:dyDescent="0.5">
      <c r="A115" s="1248" t="s">
        <v>1453</v>
      </c>
      <c r="B115" s="1248">
        <v>46049</v>
      </c>
      <c r="C115" s="1248" t="s">
        <v>41</v>
      </c>
      <c r="D115" s="1275" t="s">
        <v>1005</v>
      </c>
      <c r="E115" s="1291" t="s">
        <v>1853</v>
      </c>
      <c r="F115" s="1302"/>
      <c r="G115" s="1313"/>
      <c r="H115" s="1248" t="s">
        <v>1854</v>
      </c>
      <c r="I115" s="1275" t="s">
        <v>1855</v>
      </c>
      <c r="J115" s="1276">
        <v>98</v>
      </c>
      <c r="K115" s="1277">
        <v>112</v>
      </c>
      <c r="L115" s="1278">
        <v>0.38390000000000002</v>
      </c>
      <c r="M115" s="1385"/>
      <c r="N115" s="1278">
        <v>3.5700000000000003E-2</v>
      </c>
      <c r="O115" s="1385"/>
      <c r="P115" s="1276">
        <v>0</v>
      </c>
      <c r="Q115" s="1385"/>
      <c r="R115" s="1276">
        <v>0</v>
      </c>
    </row>
    <row r="116" spans="1:18" ht="45" customHeight="1" x14ac:dyDescent="0.5">
      <c r="A116" s="1248" t="s">
        <v>1454</v>
      </c>
      <c r="B116" s="1248">
        <v>46057</v>
      </c>
      <c r="C116" s="1248" t="s">
        <v>1856</v>
      </c>
      <c r="D116" s="1275" t="s">
        <v>1005</v>
      </c>
      <c r="E116" s="1291" t="s">
        <v>1857</v>
      </c>
      <c r="F116" s="1331" t="s">
        <v>1858</v>
      </c>
      <c r="G116" s="1313"/>
      <c r="H116" s="1248" t="s">
        <v>1463</v>
      </c>
      <c r="I116" s="1275" t="s">
        <v>1859</v>
      </c>
      <c r="J116" s="1276">
        <v>96</v>
      </c>
      <c r="K116" s="1277">
        <v>37</v>
      </c>
      <c r="L116" s="1278">
        <v>0.43240000000000001</v>
      </c>
      <c r="M116" s="1385"/>
      <c r="N116" s="1278">
        <v>5.4100000000000002E-2</v>
      </c>
      <c r="O116" s="1385"/>
      <c r="P116" s="1276">
        <v>0</v>
      </c>
      <c r="Q116" s="1385"/>
      <c r="R116" s="1276">
        <v>0</v>
      </c>
    </row>
    <row r="117" spans="1:18" ht="45" customHeight="1" x14ac:dyDescent="0.5">
      <c r="A117" s="1248" t="s">
        <v>1464</v>
      </c>
      <c r="B117" s="1248">
        <v>46065</v>
      </c>
      <c r="C117" s="1248" t="s">
        <v>41</v>
      </c>
      <c r="D117" s="1275" t="s">
        <v>1005</v>
      </c>
      <c r="E117" s="1403" t="s">
        <v>1860</v>
      </c>
      <c r="F117" s="1331" t="s">
        <v>1861</v>
      </c>
      <c r="G117" s="1313"/>
      <c r="H117" s="1248" t="s">
        <v>1862</v>
      </c>
      <c r="I117" s="1275" t="s">
        <v>1863</v>
      </c>
      <c r="J117" s="1276">
        <v>55</v>
      </c>
      <c r="K117" s="1277">
        <v>500</v>
      </c>
      <c r="L117" s="1278">
        <v>0.254</v>
      </c>
      <c r="M117" s="1385"/>
      <c r="N117" s="1278">
        <v>8.0000000000000002E-3</v>
      </c>
      <c r="O117" s="1385"/>
      <c r="P117" s="1276">
        <v>4</v>
      </c>
      <c r="Q117" s="1385"/>
      <c r="R117" s="1276">
        <v>1</v>
      </c>
    </row>
    <row r="118" spans="1:18" ht="45" customHeight="1" x14ac:dyDescent="0.5">
      <c r="A118" s="1248" t="s">
        <v>1470</v>
      </c>
      <c r="B118" s="1248">
        <v>46073</v>
      </c>
      <c r="C118" s="1248" t="s">
        <v>1856</v>
      </c>
      <c r="D118" s="1275" t="s">
        <v>1005</v>
      </c>
      <c r="E118" s="1403" t="s">
        <v>1864</v>
      </c>
      <c r="F118" s="1404"/>
      <c r="G118" s="1313"/>
      <c r="H118" s="1248" t="s">
        <v>1865</v>
      </c>
      <c r="I118" s="1275" t="s">
        <v>1866</v>
      </c>
      <c r="J118" s="1276">
        <v>34</v>
      </c>
      <c r="K118" s="1277">
        <v>37</v>
      </c>
      <c r="L118" s="1278">
        <v>0.45950000000000002</v>
      </c>
      <c r="M118" s="1385"/>
      <c r="N118" s="1278">
        <v>5.4100000000000002E-2</v>
      </c>
      <c r="O118" s="1385"/>
      <c r="P118" s="1276">
        <v>0</v>
      </c>
      <c r="Q118" s="1385"/>
      <c r="R118" s="1276">
        <v>0</v>
      </c>
    </row>
    <row r="119" spans="1:18" ht="45" customHeight="1" x14ac:dyDescent="0.5">
      <c r="A119" s="1248" t="s">
        <v>1472</v>
      </c>
      <c r="B119" s="1248">
        <v>46077</v>
      </c>
      <c r="C119" s="1248" t="s">
        <v>32</v>
      </c>
      <c r="D119" s="1275" t="s">
        <v>1005</v>
      </c>
      <c r="E119" s="1403" t="s">
        <v>1867</v>
      </c>
      <c r="F119" s="1331" t="s">
        <v>1868</v>
      </c>
      <c r="G119" s="1313"/>
      <c r="H119" s="1248" t="s">
        <v>1869</v>
      </c>
      <c r="I119" s="1275" t="s">
        <v>1870</v>
      </c>
      <c r="J119" s="1276">
        <v>70</v>
      </c>
      <c r="K119" s="1277">
        <v>427</v>
      </c>
      <c r="L119" s="1278">
        <v>0.27400000000000002</v>
      </c>
      <c r="M119" s="1385"/>
      <c r="N119" s="1278">
        <v>1.6400000000000001E-2</v>
      </c>
      <c r="O119" s="1385"/>
      <c r="P119" s="1276">
        <v>1</v>
      </c>
      <c r="Q119" s="1385"/>
      <c r="R119" s="1276">
        <v>0</v>
      </c>
    </row>
    <row r="120" spans="1:18" ht="45" customHeight="1" x14ac:dyDescent="0.5">
      <c r="A120" s="1248" t="s">
        <v>1483</v>
      </c>
      <c r="B120" s="1248">
        <v>46085</v>
      </c>
      <c r="C120" s="1248" t="s">
        <v>1871</v>
      </c>
      <c r="D120" s="1275" t="s">
        <v>1005</v>
      </c>
      <c r="E120" s="1403" t="s">
        <v>1872</v>
      </c>
      <c r="F120" s="1331" t="s">
        <v>1873</v>
      </c>
      <c r="G120" s="1313"/>
      <c r="H120" s="1248" t="s">
        <v>1874</v>
      </c>
      <c r="I120" s="1275" t="s">
        <v>1875</v>
      </c>
      <c r="J120" s="1276">
        <v>40</v>
      </c>
      <c r="K120" s="1277">
        <v>11</v>
      </c>
      <c r="L120" s="1278">
        <v>0.36359999999999998</v>
      </c>
      <c r="M120" s="1385"/>
      <c r="N120" s="1278">
        <v>9.0899999999999995E-2</v>
      </c>
      <c r="O120" s="1385"/>
      <c r="P120" s="1276">
        <v>0</v>
      </c>
      <c r="Q120" s="1385"/>
      <c r="R120" s="1276">
        <v>0</v>
      </c>
    </row>
    <row r="121" spans="1:18" ht="45" customHeight="1" x14ac:dyDescent="0.5">
      <c r="A121" s="1248" t="s">
        <v>1487</v>
      </c>
      <c r="B121" s="1248">
        <v>46092</v>
      </c>
      <c r="C121" s="1248" t="s">
        <v>41</v>
      </c>
      <c r="D121" s="1275" t="s">
        <v>1005</v>
      </c>
      <c r="E121" s="1403" t="s">
        <v>1876</v>
      </c>
      <c r="F121" s="1331" t="s">
        <v>1877</v>
      </c>
      <c r="G121" s="1313"/>
      <c r="H121" s="1248" t="s">
        <v>1500</v>
      </c>
      <c r="I121" s="1275" t="s">
        <v>1878</v>
      </c>
      <c r="J121" s="1276">
        <v>51</v>
      </c>
      <c r="K121" s="1277">
        <v>488</v>
      </c>
      <c r="L121" s="1278">
        <v>0.26640000000000003</v>
      </c>
      <c r="M121" s="1385"/>
      <c r="N121" s="1278">
        <v>8.2000000000000007E-3</v>
      </c>
      <c r="O121" s="1385"/>
      <c r="P121" s="1276">
        <v>2</v>
      </c>
      <c r="Q121" s="1385"/>
      <c r="R121" s="1276">
        <v>0</v>
      </c>
    </row>
    <row r="122" spans="1:18" ht="45" customHeight="1" x14ac:dyDescent="0.5">
      <c r="A122" s="1248" t="s">
        <v>1501</v>
      </c>
      <c r="B122" s="1248">
        <v>46100</v>
      </c>
      <c r="C122" s="1248" t="s">
        <v>1879</v>
      </c>
      <c r="D122" s="1275" t="s">
        <v>1005</v>
      </c>
      <c r="E122" s="1403" t="s">
        <v>1880</v>
      </c>
      <c r="F122" s="1780" t="s">
        <v>1881</v>
      </c>
      <c r="G122" s="1313"/>
      <c r="H122" s="1248" t="s">
        <v>1882</v>
      </c>
      <c r="I122" s="517" t="s">
        <v>1883</v>
      </c>
      <c r="J122" s="1342">
        <v>93</v>
      </c>
      <c r="K122" s="1343">
        <v>182</v>
      </c>
      <c r="L122" s="1344">
        <v>0.28570000000000001</v>
      </c>
      <c r="M122" s="1824"/>
      <c r="N122" s="1344">
        <v>1.0999999999999999E-2</v>
      </c>
      <c r="O122" s="1824"/>
      <c r="P122" s="1342">
        <v>0</v>
      </c>
      <c r="Q122" s="1824"/>
      <c r="R122" s="1342">
        <v>0</v>
      </c>
    </row>
    <row r="123" spans="1:18" ht="45" customHeight="1" x14ac:dyDescent="0.5">
      <c r="A123" s="1248" t="s">
        <v>1884</v>
      </c>
      <c r="B123" s="1248">
        <v>46108</v>
      </c>
      <c r="C123" s="1248" t="s">
        <v>32</v>
      </c>
      <c r="D123" s="1275" t="s">
        <v>1005</v>
      </c>
      <c r="E123" s="1403" t="s">
        <v>1885</v>
      </c>
      <c r="F123" s="1331" t="s">
        <v>1886</v>
      </c>
      <c r="G123" s="1313"/>
      <c r="H123" s="1248" t="s">
        <v>1887</v>
      </c>
      <c r="I123" s="1823" t="s">
        <v>1888</v>
      </c>
      <c r="J123" s="1835"/>
      <c r="K123" s="1835">
        <v>427</v>
      </c>
      <c r="L123" s="1836">
        <v>0.27400000000000002</v>
      </c>
      <c r="M123" s="1837"/>
      <c r="N123" s="1836">
        <v>1.6400000000000001E-2</v>
      </c>
      <c r="O123" s="1837"/>
      <c r="P123" s="1835">
        <v>3</v>
      </c>
      <c r="Q123" s="1837"/>
      <c r="R123" s="1835">
        <v>0</v>
      </c>
    </row>
    <row r="124" spans="1:18" ht="45" customHeight="1" x14ac:dyDescent="0.5">
      <c r="A124" s="1248" t="s">
        <v>1889</v>
      </c>
      <c r="B124" s="1248">
        <v>46112</v>
      </c>
      <c r="C124" s="1248" t="s">
        <v>1856</v>
      </c>
      <c r="D124" s="1275" t="s">
        <v>1005</v>
      </c>
      <c r="E124" s="1403" t="s">
        <v>1890</v>
      </c>
      <c r="F124" s="1275" t="s">
        <v>1891</v>
      </c>
      <c r="G124" s="1313"/>
      <c r="H124" s="1248" t="s">
        <v>1892</v>
      </c>
      <c r="I124" s="517" t="s">
        <v>1893</v>
      </c>
      <c r="J124" s="1825">
        <v>169</v>
      </c>
      <c r="K124" s="1683">
        <v>47</v>
      </c>
      <c r="L124" s="1826">
        <v>0.31909999999999999</v>
      </c>
      <c r="M124" s="1827"/>
      <c r="N124" s="1826">
        <v>0</v>
      </c>
      <c r="O124" s="1827"/>
      <c r="P124" s="1825">
        <v>0</v>
      </c>
      <c r="Q124" s="1827"/>
      <c r="R124" s="1825">
        <v>0</v>
      </c>
    </row>
    <row r="125" spans="1:18" ht="45" customHeight="1" x14ac:dyDescent="0.5">
      <c r="A125" s="1248" t="s">
        <v>1894</v>
      </c>
      <c r="B125" s="1248">
        <v>46121</v>
      </c>
      <c r="C125" s="1248" t="s">
        <v>1856</v>
      </c>
      <c r="D125" s="1275" t="s">
        <v>1005</v>
      </c>
      <c r="E125" s="1403" t="s">
        <v>1895</v>
      </c>
      <c r="F125" s="1404"/>
      <c r="G125" s="1313"/>
      <c r="H125" s="1248" t="s">
        <v>1516</v>
      </c>
      <c r="I125" s="517" t="s">
        <v>1896</v>
      </c>
      <c r="J125" s="1276">
        <v>80</v>
      </c>
      <c r="K125" s="1277">
        <v>55</v>
      </c>
      <c r="L125" s="1278">
        <v>0.35449999999999998</v>
      </c>
      <c r="M125" s="1385"/>
      <c r="N125" s="1278">
        <v>1.8200000000000001E-2</v>
      </c>
      <c r="O125" s="1385"/>
      <c r="P125" s="1276">
        <v>0</v>
      </c>
      <c r="Q125" s="1385"/>
      <c r="R125" s="1276">
        <v>0</v>
      </c>
    </row>
    <row r="126" spans="1:18" ht="45" customHeight="1" x14ac:dyDescent="0.5">
      <c r="A126" s="1248" t="s">
        <v>1897</v>
      </c>
      <c r="B126" s="1248">
        <v>46127</v>
      </c>
      <c r="C126" s="1248" t="s">
        <v>1856</v>
      </c>
      <c r="D126" s="1275" t="s">
        <v>1574</v>
      </c>
      <c r="E126" s="1792" t="s">
        <v>1898</v>
      </c>
      <c r="F126" s="1331" t="s">
        <v>1899</v>
      </c>
      <c r="G126" s="1313"/>
      <c r="H126" s="1248" t="s">
        <v>1900</v>
      </c>
      <c r="I126" s="517" t="s">
        <v>1901</v>
      </c>
      <c r="J126" s="1276">
        <v>136</v>
      </c>
      <c r="K126" s="1277">
        <v>1010</v>
      </c>
      <c r="L126" s="1278">
        <v>0.16039999999999999</v>
      </c>
      <c r="M126" s="1385"/>
      <c r="N126" s="1278">
        <v>5.8999999999999999E-3</v>
      </c>
      <c r="O126" s="1385"/>
      <c r="P126" s="1276">
        <v>2</v>
      </c>
      <c r="Q126" s="1385"/>
      <c r="R126" s="1276">
        <v>14</v>
      </c>
    </row>
    <row r="127" spans="1:18" ht="45" customHeight="1" x14ac:dyDescent="0.5">
      <c r="A127" s="1248" t="s">
        <v>1897</v>
      </c>
      <c r="B127" s="1248">
        <v>46129</v>
      </c>
      <c r="C127" s="1248" t="s">
        <v>41</v>
      </c>
      <c r="D127" s="1275" t="s">
        <v>1005</v>
      </c>
      <c r="E127" s="1403" t="s">
        <v>1902</v>
      </c>
      <c r="F127" s="1831" t="s">
        <v>1903</v>
      </c>
      <c r="G127" s="1313"/>
      <c r="H127" s="1248" t="s">
        <v>1904</v>
      </c>
      <c r="I127" s="517" t="s">
        <v>1905</v>
      </c>
      <c r="J127" s="1276">
        <v>136</v>
      </c>
      <c r="K127" s="1277">
        <v>533</v>
      </c>
      <c r="L127" s="1278">
        <v>0.22700000000000001</v>
      </c>
      <c r="M127" s="1385"/>
      <c r="N127" s="1278">
        <v>1.3100000000000001E-2</v>
      </c>
      <c r="O127" s="1385"/>
      <c r="P127" s="1276">
        <v>1</v>
      </c>
      <c r="Q127" s="1385"/>
      <c r="R127" s="1276">
        <v>0</v>
      </c>
    </row>
    <row r="128" spans="1:18" ht="45" customHeight="1" x14ac:dyDescent="0.5">
      <c r="A128" s="1248" t="s">
        <v>1906</v>
      </c>
      <c r="B128" s="1248">
        <v>46133</v>
      </c>
      <c r="C128" s="1248" t="s">
        <v>32</v>
      </c>
      <c r="D128" s="1275" t="s">
        <v>1005</v>
      </c>
      <c r="E128" s="1403" t="s">
        <v>1868</v>
      </c>
      <c r="F128" s="1331" t="s">
        <v>1907</v>
      </c>
      <c r="G128" s="1313"/>
      <c r="H128" s="1248" t="s">
        <v>1908</v>
      </c>
      <c r="I128" s="517" t="s">
        <v>1909</v>
      </c>
      <c r="J128" s="1276">
        <v>127</v>
      </c>
      <c r="K128" s="1277">
        <v>916</v>
      </c>
      <c r="L128" s="1278">
        <v>0.11459999999999999</v>
      </c>
      <c r="M128" s="1385"/>
      <c r="N128" s="1278">
        <v>8.6999999999999994E-3</v>
      </c>
      <c r="O128" s="1385"/>
      <c r="P128" s="1276">
        <v>4</v>
      </c>
      <c r="Q128" s="1385"/>
      <c r="R128" s="1276">
        <v>0</v>
      </c>
    </row>
    <row r="129" spans="1:18" ht="45" customHeight="1" x14ac:dyDescent="0.5">
      <c r="A129" s="1248" t="s">
        <v>1910</v>
      </c>
      <c r="B129" s="1248">
        <v>46140</v>
      </c>
      <c r="C129" s="1820" t="s">
        <v>1856</v>
      </c>
      <c r="D129" s="1275" t="s">
        <v>1005</v>
      </c>
      <c r="E129" s="1403" t="s">
        <v>1911</v>
      </c>
      <c r="F129" s="1331" t="s">
        <v>1912</v>
      </c>
      <c r="G129" s="1313"/>
      <c r="H129" s="1248" t="s">
        <v>1523</v>
      </c>
      <c r="I129" s="1859" t="s">
        <v>1913</v>
      </c>
      <c r="J129" s="1276">
        <v>107</v>
      </c>
      <c r="K129" s="1277">
        <v>57</v>
      </c>
      <c r="L129" s="1278">
        <v>0.35089999999999999</v>
      </c>
      <c r="M129" s="1385"/>
      <c r="N129" s="1278">
        <v>0</v>
      </c>
      <c r="O129" s="1385"/>
      <c r="P129" s="1276">
        <v>0</v>
      </c>
      <c r="Q129" s="1385"/>
      <c r="R129" s="1276">
        <v>0</v>
      </c>
    </row>
    <row r="130" spans="1:18" ht="45" customHeight="1" x14ac:dyDescent="0.5">
      <c r="A130" s="1248" t="s">
        <v>1914</v>
      </c>
      <c r="B130" s="1248">
        <v>46149</v>
      </c>
      <c r="C130" s="1248" t="s">
        <v>1915</v>
      </c>
      <c r="D130" s="1275" t="s">
        <v>1005</v>
      </c>
      <c r="E130" s="1403" t="s">
        <v>1916</v>
      </c>
      <c r="F130" s="1331" t="s">
        <v>1711</v>
      </c>
      <c r="G130" s="1313"/>
      <c r="H130" s="1248" t="s">
        <v>1917</v>
      </c>
      <c r="I130" s="517" t="s">
        <v>1918</v>
      </c>
      <c r="J130" s="1276">
        <v>111</v>
      </c>
      <c r="K130" s="1277">
        <v>55</v>
      </c>
      <c r="L130" s="1278">
        <v>0.30909999999999999</v>
      </c>
      <c r="M130" s="1385"/>
      <c r="N130" s="1278">
        <v>5.45E-2</v>
      </c>
      <c r="O130" s="1385"/>
      <c r="P130" s="1276">
        <v>0</v>
      </c>
      <c r="Q130" s="1385"/>
      <c r="R130" s="1276">
        <v>0</v>
      </c>
    </row>
    <row r="131" spans="1:18" ht="45" customHeight="1" x14ac:dyDescent="0.5">
      <c r="A131" s="1248" t="s">
        <v>1919</v>
      </c>
      <c r="B131" s="2054" t="s">
        <v>106</v>
      </c>
      <c r="C131" s="2055"/>
      <c r="D131" s="2055"/>
      <c r="E131" s="2055"/>
      <c r="F131" s="2055"/>
      <c r="G131" s="1313"/>
      <c r="H131" s="1248"/>
      <c r="I131" s="1248"/>
      <c r="J131" s="1276"/>
      <c r="K131" s="1277"/>
      <c r="L131" s="1278"/>
      <c r="M131" s="1385"/>
      <c r="N131" s="1278"/>
      <c r="O131" s="1385"/>
      <c r="P131" s="1276"/>
      <c r="Q131" s="1385"/>
      <c r="R131" s="1276"/>
    </row>
    <row r="132" spans="1:18" ht="45" customHeight="1" x14ac:dyDescent="0.5">
      <c r="A132" s="1884" t="s">
        <v>1920</v>
      </c>
      <c r="B132" s="1340">
        <v>46161</v>
      </c>
      <c r="C132" s="1876" t="s">
        <v>1915</v>
      </c>
      <c r="D132" s="1861" t="s">
        <v>1005</v>
      </c>
      <c r="E132" s="1329" t="s">
        <v>1921</v>
      </c>
      <c r="F132" s="1862" t="s">
        <v>1922</v>
      </c>
      <c r="G132" s="1339"/>
      <c r="H132" s="1248" t="s">
        <v>1923</v>
      </c>
      <c r="I132" s="517" t="s">
        <v>1924</v>
      </c>
      <c r="J132" s="1276">
        <v>151</v>
      </c>
      <c r="K132" s="1277">
        <v>17</v>
      </c>
      <c r="L132" s="1278">
        <v>0.52939999999999998</v>
      </c>
      <c r="M132" s="1385"/>
      <c r="N132" s="1278">
        <v>0</v>
      </c>
      <c r="O132" s="1385"/>
      <c r="P132" s="1276">
        <v>1</v>
      </c>
      <c r="Q132" s="1385"/>
      <c r="R132" s="1276">
        <v>0</v>
      </c>
    </row>
    <row r="133" spans="1:18" ht="45" customHeight="1" x14ac:dyDescent="0.5">
      <c r="A133" s="1884" t="s">
        <v>1920</v>
      </c>
      <c r="B133" s="1842">
        <v>46161</v>
      </c>
      <c r="C133" s="1842" t="s">
        <v>32</v>
      </c>
      <c r="D133" s="1880" t="s">
        <v>1005</v>
      </c>
      <c r="E133" s="1883" t="s">
        <v>1925</v>
      </c>
      <c r="F133" s="1882" t="s">
        <v>1926</v>
      </c>
      <c r="G133" s="1313"/>
      <c r="H133" s="1331" t="s">
        <v>1923</v>
      </c>
      <c r="I133" s="517" t="s">
        <v>1927</v>
      </c>
      <c r="J133" s="1276">
        <v>151</v>
      </c>
      <c r="K133" s="1277">
        <v>507</v>
      </c>
      <c r="L133" s="1278">
        <v>0.2505</v>
      </c>
      <c r="M133" s="1385"/>
      <c r="N133" s="1278">
        <v>1.5800000000000002E-2</v>
      </c>
      <c r="O133" s="1385"/>
      <c r="P133" s="1276">
        <v>3</v>
      </c>
      <c r="Q133" s="1385"/>
      <c r="R133" s="1276">
        <v>0</v>
      </c>
    </row>
    <row r="134" spans="1:18" ht="45" customHeight="1" x14ac:dyDescent="0.5">
      <c r="A134" s="1248" t="s">
        <v>1928</v>
      </c>
      <c r="B134" s="1864">
        <v>46170</v>
      </c>
      <c r="C134" s="1877" t="s">
        <v>41</v>
      </c>
      <c r="D134" s="1874" t="s">
        <v>1005</v>
      </c>
      <c r="E134" s="1873" t="s">
        <v>1929</v>
      </c>
      <c r="F134" s="1875" t="s">
        <v>1930</v>
      </c>
      <c r="G134" s="1335"/>
      <c r="H134" s="1248" t="s">
        <v>1931</v>
      </c>
      <c r="I134" s="517" t="s">
        <v>1932</v>
      </c>
      <c r="J134" s="1276" t="s">
        <v>1933</v>
      </c>
      <c r="K134" s="1277">
        <v>630</v>
      </c>
      <c r="L134" s="1278">
        <v>0.219</v>
      </c>
      <c r="M134" s="1385"/>
      <c r="N134" s="1278">
        <v>6.3E-3</v>
      </c>
      <c r="O134" s="1385"/>
      <c r="P134" s="1276">
        <v>4</v>
      </c>
      <c r="Q134" s="1385"/>
      <c r="R134" s="1276">
        <v>1</v>
      </c>
    </row>
    <row r="135" spans="1:18" ht="45" customHeight="1" x14ac:dyDescent="0.5">
      <c r="A135" s="1878">
        <v>46168</v>
      </c>
      <c r="B135" s="2065" t="s">
        <v>1520</v>
      </c>
      <c r="C135" s="2066"/>
      <c r="D135" s="2066"/>
      <c r="E135" s="2066"/>
      <c r="F135" s="2066"/>
      <c r="G135" s="1323"/>
      <c r="H135" s="1248"/>
      <c r="I135" s="1248"/>
      <c r="J135" s="1276"/>
      <c r="K135" s="1277"/>
      <c r="L135" s="1278"/>
      <c r="M135" s="1385"/>
      <c r="N135" s="1278"/>
      <c r="O135" s="1385"/>
      <c r="P135" s="1276"/>
      <c r="Q135" s="1385"/>
      <c r="R135" s="1276"/>
    </row>
    <row r="136" spans="1:18" ht="45" customHeight="1" x14ac:dyDescent="0.5">
      <c r="A136" s="1860">
        <v>46170</v>
      </c>
      <c r="B136" s="2053" t="s">
        <v>1934</v>
      </c>
      <c r="C136" s="2053"/>
      <c r="D136" s="2053"/>
      <c r="E136" s="2053"/>
      <c r="F136" s="2053"/>
      <c r="G136" s="1323"/>
      <c r="H136" s="1248" t="s">
        <v>1542</v>
      </c>
      <c r="I136" s="517" t="s">
        <v>1935</v>
      </c>
      <c r="J136" s="1276" t="s">
        <v>1933</v>
      </c>
      <c r="K136" s="1277">
        <v>49</v>
      </c>
      <c r="L136" s="1278">
        <v>0.59179999999999999</v>
      </c>
      <c r="M136" s="1385"/>
      <c r="N136" s="1278">
        <v>0.26529999999999998</v>
      </c>
      <c r="O136" s="1385"/>
      <c r="P136" s="1276">
        <v>0</v>
      </c>
      <c r="Q136" s="1385"/>
      <c r="R136" s="1276">
        <v>0</v>
      </c>
    </row>
    <row r="137" spans="1:18" ht="45" customHeight="1" x14ac:dyDescent="0.5">
      <c r="A137" s="1333" t="s">
        <v>1936</v>
      </c>
      <c r="B137" s="1333">
        <v>46176</v>
      </c>
      <c r="C137" s="1830" t="s">
        <v>1937</v>
      </c>
      <c r="D137" s="1863" t="s">
        <v>1005</v>
      </c>
      <c r="E137" s="1821" t="s">
        <v>1938</v>
      </c>
      <c r="F137" s="1864" t="s">
        <v>1907</v>
      </c>
      <c r="G137" s="1313"/>
      <c r="H137" s="1248" t="s">
        <v>1540</v>
      </c>
      <c r="I137" s="517" t="s">
        <v>1939</v>
      </c>
      <c r="J137" s="1276" t="s">
        <v>1933</v>
      </c>
      <c r="K137" s="1277">
        <v>493</v>
      </c>
      <c r="L137" s="1278">
        <v>0.2394</v>
      </c>
      <c r="M137" s="1385"/>
      <c r="N137" s="1278">
        <v>1.01E-2</v>
      </c>
      <c r="O137" s="1385"/>
      <c r="P137" s="1276">
        <v>1</v>
      </c>
      <c r="Q137" s="1385"/>
      <c r="R137" s="1276">
        <v>3</v>
      </c>
    </row>
    <row r="138" spans="1:18" ht="45" customHeight="1" x14ac:dyDescent="0.5">
      <c r="A138" s="1248" t="s">
        <v>1940</v>
      </c>
      <c r="B138" s="1340">
        <v>46183</v>
      </c>
      <c r="C138" s="1879" t="s">
        <v>1856</v>
      </c>
      <c r="D138" s="1861" t="s">
        <v>1005</v>
      </c>
      <c r="E138" s="1879" t="s">
        <v>1941</v>
      </c>
      <c r="F138" s="1855" t="s">
        <v>1942</v>
      </c>
      <c r="G138" s="1313"/>
      <c r="H138" s="1248" t="s">
        <v>1546</v>
      </c>
      <c r="I138" s="517" t="s">
        <v>1943</v>
      </c>
      <c r="J138" s="1324"/>
      <c r="K138" s="1325"/>
      <c r="L138" s="1326"/>
      <c r="M138" s="1902"/>
      <c r="N138" s="1326"/>
      <c r="O138" s="1902"/>
      <c r="P138" s="1324"/>
      <c r="Q138" s="1902"/>
      <c r="R138" s="1324"/>
    </row>
    <row r="139" spans="1:18" ht="45" customHeight="1" x14ac:dyDescent="0.5">
      <c r="A139" s="1838" t="s">
        <v>1944</v>
      </c>
      <c r="B139" s="1842">
        <v>46189</v>
      </c>
      <c r="C139" s="1842" t="s">
        <v>1856</v>
      </c>
      <c r="D139" s="1880" t="s">
        <v>1005</v>
      </c>
      <c r="E139" s="1842" t="s">
        <v>1945</v>
      </c>
      <c r="F139" s="1881" t="s">
        <v>1946</v>
      </c>
      <c r="G139" s="1323"/>
      <c r="H139" s="1248" t="s">
        <v>1550</v>
      </c>
      <c r="I139" s="517" t="s">
        <v>1947</v>
      </c>
      <c r="J139" s="1324"/>
      <c r="K139" s="1325"/>
      <c r="L139" s="1326"/>
      <c r="M139" s="1902"/>
      <c r="N139" s="1326"/>
      <c r="O139" s="1902"/>
      <c r="P139" s="1324"/>
      <c r="Q139" s="1902"/>
      <c r="R139" s="1324"/>
    </row>
    <row r="140" spans="1:18" ht="45" customHeight="1" x14ac:dyDescent="0.5">
      <c r="A140" s="1916">
        <v>46195</v>
      </c>
      <c r="B140" s="2059" t="s">
        <v>1948</v>
      </c>
      <c r="C140" s="2060"/>
      <c r="D140" s="2060"/>
      <c r="E140" s="2062"/>
      <c r="F140" s="2063"/>
      <c r="G140" s="1313" t="s">
        <v>1949</v>
      </c>
      <c r="H140" s="1248"/>
      <c r="I140" s="1248"/>
      <c r="J140" s="1276"/>
      <c r="K140" s="1277"/>
      <c r="L140" s="1278"/>
      <c r="M140" s="1385"/>
      <c r="N140" s="1278"/>
      <c r="O140" s="1385"/>
      <c r="P140" s="1276"/>
      <c r="Q140" s="1385"/>
      <c r="R140" s="1276"/>
    </row>
    <row r="141" spans="1:18" ht="45" customHeight="1" x14ac:dyDescent="0.5">
      <c r="A141" s="1916" t="s">
        <v>1950</v>
      </c>
      <c r="B141" s="1842">
        <v>46196</v>
      </c>
      <c r="C141" s="1842" t="s">
        <v>35</v>
      </c>
      <c r="D141" s="1880" t="s">
        <v>1005</v>
      </c>
      <c r="E141" s="1844" t="s">
        <v>1951</v>
      </c>
      <c r="F141" s="1844"/>
      <c r="G141" s="1323" t="s">
        <v>1952</v>
      </c>
      <c r="H141" s="1248"/>
      <c r="I141" s="1248"/>
      <c r="J141" s="1276"/>
      <c r="K141" s="1277"/>
      <c r="L141" s="1278"/>
      <c r="M141" s="1385"/>
      <c r="N141" s="1278"/>
      <c r="O141" s="1385"/>
      <c r="P141" s="1276"/>
      <c r="Q141" s="1385"/>
      <c r="R141" s="1276"/>
    </row>
    <row r="142" spans="1:18" ht="45" customHeight="1" x14ac:dyDescent="0.5">
      <c r="A142" s="1804" t="s">
        <v>1953</v>
      </c>
      <c r="B142" s="2055" t="s">
        <v>1954</v>
      </c>
      <c r="C142" s="2055"/>
      <c r="D142" s="2055"/>
      <c r="E142" s="2055"/>
      <c r="F142" s="2055"/>
      <c r="G142" s="1313"/>
      <c r="H142" s="1248"/>
      <c r="I142" s="1248"/>
      <c r="J142" s="1276"/>
      <c r="K142" s="1277"/>
      <c r="L142" s="1278"/>
      <c r="M142" s="1385"/>
      <c r="N142" s="1278"/>
      <c r="O142" s="1385"/>
      <c r="P142" s="1276"/>
      <c r="Q142" s="1385"/>
      <c r="R142" s="1276"/>
    </row>
    <row r="143" spans="1:18" ht="45" customHeight="1" x14ac:dyDescent="0.5">
      <c r="A143" s="1917" t="s">
        <v>1955</v>
      </c>
      <c r="B143" s="2050" t="s">
        <v>1956</v>
      </c>
      <c r="C143" s="2051"/>
      <c r="D143" s="2051"/>
      <c r="E143" s="2060"/>
      <c r="F143" s="2061"/>
      <c r="G143" s="1323"/>
      <c r="H143" s="1248"/>
      <c r="I143" s="1248"/>
      <c r="J143" s="1276"/>
      <c r="K143" s="1277"/>
      <c r="L143" s="1278"/>
      <c r="M143" s="1385"/>
      <c r="N143" s="1278"/>
      <c r="O143" s="1385"/>
      <c r="P143" s="1276"/>
      <c r="Q143" s="1385"/>
      <c r="R143" s="1276"/>
    </row>
    <row r="144" spans="1:18" ht="45" customHeight="1" x14ac:dyDescent="0.5">
      <c r="A144" s="1804" t="s">
        <v>1957</v>
      </c>
      <c r="B144" s="1912">
        <v>46210</v>
      </c>
      <c r="C144" s="1927" t="s">
        <v>32</v>
      </c>
      <c r="D144" s="1880" t="s">
        <v>1005</v>
      </c>
      <c r="E144" s="1927" t="s">
        <v>1958</v>
      </c>
      <c r="F144" s="286" t="s">
        <v>1959</v>
      </c>
      <c r="G144" s="1313"/>
      <c r="H144" s="1248"/>
      <c r="I144" s="1248"/>
      <c r="J144" s="1276"/>
      <c r="K144" s="1277"/>
      <c r="L144" s="1278"/>
      <c r="M144" s="1385"/>
      <c r="N144" s="1278"/>
      <c r="O144" s="1385"/>
      <c r="P144" s="1276"/>
      <c r="Q144" s="1385"/>
      <c r="R144" s="1276"/>
    </row>
    <row r="145" spans="1:18" ht="45" customHeight="1" x14ac:dyDescent="0.5">
      <c r="A145" s="1804" t="s">
        <v>1960</v>
      </c>
      <c r="B145" s="1913">
        <v>46218</v>
      </c>
      <c r="C145" s="1928" t="s">
        <v>1856</v>
      </c>
      <c r="D145" s="1880" t="s">
        <v>1005</v>
      </c>
      <c r="E145" s="1928" t="s">
        <v>1961</v>
      </c>
      <c r="F145" s="1928" t="s">
        <v>1962</v>
      </c>
      <c r="G145" s="1313"/>
      <c r="H145" s="1248"/>
      <c r="I145" s="1248"/>
      <c r="J145" s="1276"/>
      <c r="K145" s="1277"/>
      <c r="L145" s="1278"/>
      <c r="M145" s="1385"/>
      <c r="N145" s="1278"/>
      <c r="O145" s="1385"/>
      <c r="P145" s="1276"/>
      <c r="Q145" s="1385"/>
      <c r="R145" s="1276"/>
    </row>
    <row r="146" spans="1:18" ht="45" customHeight="1" x14ac:dyDescent="0.5">
      <c r="A146" s="1917" t="s">
        <v>1963</v>
      </c>
      <c r="B146" s="1912">
        <v>46225</v>
      </c>
      <c r="C146" s="1927" t="s">
        <v>41</v>
      </c>
      <c r="D146" s="1880" t="s">
        <v>1005</v>
      </c>
      <c r="E146" s="1927" t="s">
        <v>1964</v>
      </c>
      <c r="F146" s="1927" t="s">
        <v>1965</v>
      </c>
      <c r="G146" s="1323"/>
      <c r="H146" s="1248"/>
      <c r="I146" s="1248"/>
      <c r="J146" s="1276"/>
      <c r="K146" s="1277"/>
      <c r="L146" s="1278"/>
      <c r="M146" s="1385"/>
      <c r="N146" s="1278"/>
      <c r="O146" s="1385"/>
      <c r="P146" s="1276"/>
      <c r="Q146" s="1385"/>
      <c r="R146" s="1276"/>
    </row>
    <row r="147" spans="1:18" ht="45" customHeight="1" x14ac:dyDescent="0.5">
      <c r="A147" s="1916">
        <v>46230</v>
      </c>
      <c r="B147" s="2050" t="s">
        <v>1434</v>
      </c>
      <c r="C147" s="2051"/>
      <c r="D147" s="2051"/>
      <c r="E147" s="2060"/>
      <c r="F147" s="2061"/>
      <c r="G147" s="1313"/>
      <c r="H147" s="1248"/>
      <c r="I147" s="1248"/>
      <c r="J147" s="1276"/>
      <c r="K147" s="1277"/>
      <c r="L147" s="1278"/>
      <c r="M147" s="1385"/>
      <c r="N147" s="1278"/>
      <c r="O147" s="1385"/>
      <c r="P147" s="1276"/>
      <c r="Q147" s="1385"/>
      <c r="R147" s="1276"/>
    </row>
    <row r="148" spans="1:18" ht="63" x14ac:dyDescent="0.5">
      <c r="A148" s="1917" t="s">
        <v>1966</v>
      </c>
      <c r="B148" s="1912">
        <v>46233</v>
      </c>
      <c r="C148" s="1927" t="s">
        <v>1967</v>
      </c>
      <c r="D148" s="1880" t="s">
        <v>1005</v>
      </c>
      <c r="E148" s="1927" t="s">
        <v>1968</v>
      </c>
      <c r="F148" s="1927" t="s">
        <v>1969</v>
      </c>
      <c r="G148" s="1323"/>
      <c r="H148" s="1248"/>
      <c r="I148" s="1248"/>
      <c r="J148" s="1276"/>
      <c r="K148" s="1277"/>
      <c r="L148" s="1278"/>
      <c r="M148" s="1385"/>
      <c r="N148" s="1278"/>
      <c r="O148" s="1385"/>
      <c r="P148" s="1276"/>
      <c r="Q148" s="1385"/>
      <c r="R148" s="1276"/>
    </row>
    <row r="149" spans="1:18" ht="45" customHeight="1" x14ac:dyDescent="0.5">
      <c r="A149" s="1917" t="s">
        <v>1970</v>
      </c>
      <c r="B149" s="1912">
        <v>46239</v>
      </c>
      <c r="C149" s="1927" t="s">
        <v>41</v>
      </c>
      <c r="D149" s="1880" t="s">
        <v>1005</v>
      </c>
      <c r="E149" s="1927" t="s">
        <v>1971</v>
      </c>
      <c r="F149" s="1927" t="s">
        <v>1972</v>
      </c>
      <c r="G149" s="1323"/>
      <c r="H149" s="1248"/>
      <c r="I149" s="1248"/>
      <c r="J149" s="1276"/>
      <c r="K149" s="1277"/>
      <c r="L149" s="1278"/>
      <c r="M149" s="1385"/>
      <c r="N149" s="1278"/>
      <c r="O149" s="1385"/>
      <c r="P149" s="1276"/>
      <c r="Q149" s="1385"/>
      <c r="R149" s="1276"/>
    </row>
    <row r="150" spans="1:18" ht="45" customHeight="1" x14ac:dyDescent="0.5">
      <c r="A150" s="1917" t="s">
        <v>1973</v>
      </c>
      <c r="B150" s="1913">
        <v>46246</v>
      </c>
      <c r="C150" s="1928" t="s">
        <v>1856</v>
      </c>
      <c r="D150" s="1880" t="s">
        <v>1005</v>
      </c>
      <c r="E150" s="1928" t="s">
        <v>1974</v>
      </c>
      <c r="F150" s="1928" t="s">
        <v>1975</v>
      </c>
      <c r="G150" s="1323"/>
      <c r="H150" s="1248"/>
      <c r="I150" s="1248"/>
      <c r="J150" s="1276"/>
      <c r="K150" s="1277"/>
      <c r="L150" s="1278"/>
      <c r="M150" s="1385"/>
      <c r="N150" s="1278"/>
      <c r="O150" s="1385"/>
      <c r="P150" s="1276"/>
      <c r="Q150" s="1385"/>
      <c r="R150" s="1276"/>
    </row>
    <row r="151" spans="1:18" ht="45" customHeight="1" x14ac:dyDescent="0.5">
      <c r="A151" s="1917" t="s">
        <v>1976</v>
      </c>
      <c r="B151" s="1912">
        <v>46253</v>
      </c>
      <c r="C151" s="1927" t="s">
        <v>1856</v>
      </c>
      <c r="D151" s="1880" t="s">
        <v>1005</v>
      </c>
      <c r="E151" s="1927" t="s">
        <v>1977</v>
      </c>
      <c r="F151" s="1927" t="s">
        <v>1978</v>
      </c>
      <c r="G151" s="1323"/>
      <c r="H151" s="1248"/>
      <c r="I151" s="1248"/>
      <c r="J151" s="1276"/>
      <c r="K151" s="1277"/>
      <c r="L151" s="1278"/>
      <c r="M151" s="1385"/>
      <c r="N151" s="1278"/>
      <c r="O151" s="1385"/>
      <c r="P151" s="1276"/>
      <c r="Q151" s="1385"/>
      <c r="R151" s="1276"/>
    </row>
    <row r="152" spans="1:18" ht="63" x14ac:dyDescent="0.5">
      <c r="A152" s="1917" t="s">
        <v>1979</v>
      </c>
      <c r="B152" s="1912">
        <v>46259</v>
      </c>
      <c r="C152" s="1927" t="s">
        <v>1967</v>
      </c>
      <c r="D152" s="1880" t="s">
        <v>1005</v>
      </c>
      <c r="E152" s="1927" t="s">
        <v>1980</v>
      </c>
      <c r="F152" s="1927" t="s">
        <v>1981</v>
      </c>
      <c r="G152" s="1323"/>
      <c r="H152" s="1248"/>
      <c r="I152" s="1248"/>
      <c r="J152" s="1276"/>
      <c r="K152" s="1277"/>
      <c r="L152" s="1278"/>
      <c r="M152" s="1385"/>
      <c r="N152" s="1278"/>
      <c r="O152" s="1385"/>
      <c r="P152" s="1276"/>
      <c r="Q152" s="1385"/>
      <c r="R152" s="1276"/>
    </row>
    <row r="153" spans="1:18" ht="45" customHeight="1" x14ac:dyDescent="0.5">
      <c r="A153" s="1804">
        <v>46258</v>
      </c>
      <c r="B153" s="2064" t="s">
        <v>1555</v>
      </c>
      <c r="C153" s="2060"/>
      <c r="D153" s="2060"/>
      <c r="E153" s="2060"/>
      <c r="F153" s="2061"/>
      <c r="G153" s="1313"/>
      <c r="H153" s="1248"/>
      <c r="I153" s="1248"/>
      <c r="J153" s="1276"/>
      <c r="K153" s="1277"/>
      <c r="L153" s="1278"/>
      <c r="M153" s="1385"/>
      <c r="N153" s="1278"/>
      <c r="O153" s="1385"/>
      <c r="P153" s="1276"/>
      <c r="Q153" s="1385"/>
      <c r="R153" s="1276"/>
    </row>
    <row r="154" spans="1:18" ht="45" customHeight="1" x14ac:dyDescent="0.5">
      <c r="A154" s="1804">
        <v>46259</v>
      </c>
      <c r="B154" s="2050" t="s">
        <v>1558</v>
      </c>
      <c r="C154" s="2051"/>
      <c r="D154" s="2051"/>
      <c r="E154" s="2051"/>
      <c r="F154" s="2052"/>
      <c r="G154" s="1313"/>
      <c r="H154" s="1248"/>
      <c r="I154" s="1248"/>
      <c r="J154" s="1276"/>
      <c r="K154" s="1277"/>
      <c r="L154" s="1278"/>
      <c r="M154" s="1385"/>
      <c r="N154" s="1278"/>
      <c r="O154" s="1385"/>
      <c r="P154" s="1276"/>
      <c r="Q154" s="1385"/>
      <c r="R154" s="1276"/>
    </row>
    <row r="155" spans="1:18" ht="45" customHeight="1" x14ac:dyDescent="0.5">
      <c r="A155" s="1804" t="s">
        <v>1982</v>
      </c>
      <c r="B155" s="2054" t="s">
        <v>1983</v>
      </c>
      <c r="C155" s="2054"/>
      <c r="D155" s="2054"/>
      <c r="E155" s="2054"/>
      <c r="F155" s="2054"/>
      <c r="G155" s="1313"/>
      <c r="H155" s="1248"/>
      <c r="I155" s="1248"/>
      <c r="J155" s="1276"/>
      <c r="K155" s="1277"/>
      <c r="L155" s="1278"/>
      <c r="M155" s="1385"/>
      <c r="N155" s="1278"/>
      <c r="O155" s="1385"/>
      <c r="P155" s="1276"/>
      <c r="Q155" s="1385"/>
      <c r="R155" s="1276"/>
    </row>
    <row r="156" spans="1:18" ht="45" customHeight="1" x14ac:dyDescent="0.5">
      <c r="A156" s="1804">
        <v>46272</v>
      </c>
      <c r="B156" s="2050" t="s">
        <v>1471</v>
      </c>
      <c r="C156" s="2051"/>
      <c r="D156" s="2051"/>
      <c r="E156" s="2051"/>
      <c r="F156" s="2052"/>
      <c r="G156" s="1313"/>
      <c r="H156" s="1248"/>
      <c r="I156" s="1248"/>
      <c r="J156" s="1276"/>
      <c r="K156" s="1277"/>
      <c r="L156" s="1278"/>
      <c r="M156" s="1385"/>
      <c r="N156" s="1278"/>
      <c r="O156" s="1385"/>
      <c r="P156" s="1276"/>
      <c r="Q156" s="1385"/>
      <c r="R156" s="1276"/>
    </row>
    <row r="157" spans="1:18" ht="45" customHeight="1" x14ac:dyDescent="0.5">
      <c r="A157" s="1804" t="s">
        <v>1984</v>
      </c>
      <c r="B157" s="1912">
        <v>46274</v>
      </c>
      <c r="C157" s="1912" t="s">
        <v>1856</v>
      </c>
      <c r="D157" s="1880" t="s">
        <v>1005</v>
      </c>
      <c r="E157" s="1927" t="s">
        <v>1985</v>
      </c>
      <c r="F157" s="1927" t="s">
        <v>1986</v>
      </c>
      <c r="G157" s="1313"/>
      <c r="H157" s="1248"/>
      <c r="I157" s="1248"/>
      <c r="J157" s="1276"/>
      <c r="K157" s="1277"/>
      <c r="L157" s="1278"/>
      <c r="M157" s="1385"/>
      <c r="N157" s="1278"/>
      <c r="O157" s="1385"/>
      <c r="P157" s="1276"/>
      <c r="Q157" s="1385"/>
      <c r="R157" s="1276"/>
    </row>
    <row r="158" spans="1:18" ht="45" customHeight="1" x14ac:dyDescent="0.5">
      <c r="A158" s="1804">
        <v>46279</v>
      </c>
      <c r="B158" s="2050" t="s">
        <v>1987</v>
      </c>
      <c r="C158" s="2051"/>
      <c r="D158" s="2051"/>
      <c r="E158" s="2051"/>
      <c r="F158" s="2052"/>
      <c r="G158" s="1313"/>
      <c r="H158" s="1248"/>
      <c r="I158" s="1248"/>
      <c r="J158" s="1276"/>
      <c r="K158" s="1277"/>
      <c r="L158" s="1278"/>
      <c r="M158" s="1385"/>
      <c r="N158" s="1278"/>
      <c r="O158" s="1385"/>
      <c r="P158" s="1276"/>
      <c r="Q158" s="1385"/>
      <c r="R158" s="1276"/>
    </row>
    <row r="159" spans="1:18" ht="63" x14ac:dyDescent="0.5">
      <c r="A159" s="1804" t="s">
        <v>1988</v>
      </c>
      <c r="B159" s="1912">
        <v>46281</v>
      </c>
      <c r="C159" s="1912" t="s">
        <v>41</v>
      </c>
      <c r="D159" s="1880" t="s">
        <v>1005</v>
      </c>
      <c r="E159" s="1912" t="s">
        <v>1989</v>
      </c>
      <c r="F159" s="1912" t="s">
        <v>1990</v>
      </c>
      <c r="G159" s="1313"/>
      <c r="H159" s="1248"/>
      <c r="I159" s="1248"/>
      <c r="J159" s="1276"/>
      <c r="K159" s="1277"/>
      <c r="L159" s="1278"/>
      <c r="M159" s="1385"/>
      <c r="N159" s="1278"/>
      <c r="O159" s="1385"/>
      <c r="P159" s="1276"/>
      <c r="Q159" s="1385"/>
      <c r="R159" s="1276"/>
    </row>
    <row r="160" spans="1:18" ht="45" customHeight="1" x14ac:dyDescent="0.5">
      <c r="A160" s="1804">
        <v>46286</v>
      </c>
      <c r="B160" s="2050" t="s">
        <v>1562</v>
      </c>
      <c r="C160" s="2051"/>
      <c r="D160" s="2051"/>
      <c r="E160" s="2051"/>
      <c r="F160" s="2052"/>
      <c r="G160" s="1313"/>
      <c r="H160" s="1248"/>
      <c r="I160" s="1248"/>
      <c r="J160" s="1276"/>
      <c r="K160" s="1277"/>
      <c r="L160" s="1278"/>
      <c r="M160" s="1385"/>
      <c r="N160" s="1278"/>
      <c r="O160" s="1385"/>
      <c r="P160" s="1276"/>
      <c r="Q160" s="1385"/>
      <c r="R160" s="1276"/>
    </row>
    <row r="161" spans="1:18" ht="45" customHeight="1" x14ac:dyDescent="0.5">
      <c r="A161" s="1804" t="s">
        <v>1991</v>
      </c>
      <c r="B161" s="1912">
        <v>46288</v>
      </c>
      <c r="C161" s="1912" t="s">
        <v>1856</v>
      </c>
      <c r="D161" s="1880" t="s">
        <v>1005</v>
      </c>
      <c r="E161" s="1912" t="s">
        <v>1992</v>
      </c>
      <c r="F161" s="1912" t="s">
        <v>1993</v>
      </c>
      <c r="G161" s="1313"/>
      <c r="H161" s="1248"/>
      <c r="I161" s="1248"/>
      <c r="J161" s="1276"/>
      <c r="K161" s="1277"/>
      <c r="L161" s="1278"/>
      <c r="M161" s="1385"/>
      <c r="N161" s="1278"/>
      <c r="O161" s="1385"/>
      <c r="P161" s="1276"/>
      <c r="Q161" s="1385"/>
      <c r="R161" s="1276"/>
    </row>
    <row r="162" spans="1:18" ht="45" customHeight="1" x14ac:dyDescent="0.5">
      <c r="A162" s="1804">
        <v>46289</v>
      </c>
      <c r="B162" s="2056" t="s">
        <v>1563</v>
      </c>
      <c r="C162" s="2057"/>
      <c r="D162" s="2057"/>
      <c r="E162" s="2057"/>
      <c r="F162" s="2058"/>
      <c r="G162" s="1313"/>
      <c r="H162" s="1248"/>
      <c r="I162" s="1248"/>
      <c r="J162" s="1276"/>
      <c r="K162" s="1277"/>
      <c r="L162" s="1278"/>
      <c r="M162" s="1385"/>
      <c r="N162" s="1278"/>
      <c r="O162" s="1385"/>
      <c r="P162" s="1276"/>
      <c r="Q162" s="1385"/>
      <c r="R162" s="1276"/>
    </row>
    <row r="163" spans="1:18" ht="45" customHeight="1" x14ac:dyDescent="0.5">
      <c r="A163" s="1917" t="s">
        <v>1994</v>
      </c>
      <c r="B163" s="1912">
        <v>46294</v>
      </c>
      <c r="C163" s="1912" t="s">
        <v>41</v>
      </c>
      <c r="D163" s="1880" t="s">
        <v>1005</v>
      </c>
      <c r="E163" s="1912" t="s">
        <v>1995</v>
      </c>
      <c r="F163" s="1912" t="s">
        <v>1996</v>
      </c>
      <c r="G163" s="1323"/>
      <c r="H163" s="1248"/>
      <c r="I163" s="1248"/>
      <c r="J163" s="1276"/>
      <c r="K163" s="1277"/>
      <c r="L163" s="1278"/>
      <c r="M163" s="1385"/>
      <c r="N163" s="1278"/>
      <c r="O163" s="1385"/>
      <c r="P163" s="1276"/>
      <c r="Q163" s="1385"/>
      <c r="R163" s="1276"/>
    </row>
    <row r="164" spans="1:18" ht="45" customHeight="1" x14ac:dyDescent="0.5">
      <c r="A164" s="1804">
        <v>46296</v>
      </c>
      <c r="B164" s="2059" t="s">
        <v>1498</v>
      </c>
      <c r="C164" s="2060"/>
      <c r="D164" s="2060"/>
      <c r="E164" s="2060"/>
      <c r="F164" s="2061"/>
      <c r="G164" s="1313"/>
      <c r="H164" s="1248"/>
      <c r="I164" s="1248"/>
      <c r="J164" s="1276"/>
      <c r="K164" s="1277"/>
      <c r="L164" s="1278"/>
      <c r="M164" s="1385"/>
      <c r="N164" s="1278"/>
      <c r="O164" s="1385"/>
      <c r="P164" s="1276"/>
      <c r="Q164" s="1385"/>
      <c r="R164" s="1276"/>
    </row>
    <row r="165" spans="1:18" ht="45" customHeight="1" x14ac:dyDescent="0.5">
      <c r="A165" s="1804">
        <v>46302</v>
      </c>
      <c r="B165" s="2050" t="s">
        <v>1997</v>
      </c>
      <c r="C165" s="2051"/>
      <c r="D165" s="2051"/>
      <c r="E165" s="2051"/>
      <c r="F165" s="2052"/>
      <c r="G165" s="1313"/>
      <c r="H165" s="1248"/>
      <c r="I165" s="1248"/>
      <c r="J165" s="1276"/>
      <c r="K165" s="1277"/>
      <c r="L165" s="1278"/>
      <c r="M165" s="1385"/>
      <c r="N165" s="1278"/>
      <c r="O165" s="1385"/>
      <c r="P165" s="1276"/>
      <c r="Q165" s="1385"/>
      <c r="R165" s="1276"/>
    </row>
    <row r="166" spans="1:18" ht="45" customHeight="1" x14ac:dyDescent="0.5">
      <c r="A166" s="1804">
        <v>46307</v>
      </c>
      <c r="B166" s="2050" t="s">
        <v>1998</v>
      </c>
      <c r="C166" s="2051"/>
      <c r="D166" s="2051"/>
      <c r="E166" s="2051"/>
      <c r="F166" s="2052"/>
      <c r="G166" s="1313"/>
      <c r="H166" s="1248"/>
      <c r="I166" s="1248"/>
      <c r="J166" s="1276"/>
      <c r="K166" s="1277"/>
      <c r="L166" s="1278"/>
      <c r="M166" s="1385"/>
      <c r="N166" s="1278"/>
      <c r="O166" s="1385"/>
      <c r="P166" s="1276"/>
      <c r="Q166" s="1385"/>
      <c r="R166" s="1276"/>
    </row>
    <row r="167" spans="1:18" ht="45" customHeight="1" x14ac:dyDescent="0.5">
      <c r="A167" s="1405"/>
      <c r="B167" s="1405"/>
      <c r="C167" s="1405"/>
      <c r="D167" s="1405"/>
      <c r="E167" s="1405"/>
      <c r="F167" s="1405"/>
      <c r="G167" s="1405"/>
      <c r="H167" s="1405"/>
      <c r="I167" s="1405"/>
      <c r="J167" s="1405"/>
      <c r="K167" s="1405"/>
      <c r="L167" s="1405"/>
      <c r="M167" s="1405"/>
      <c r="N167" s="1405"/>
      <c r="O167" s="1405"/>
      <c r="P167" s="1405"/>
      <c r="Q167" s="1405"/>
      <c r="R167" s="1405"/>
    </row>
    <row r="168" spans="1:18" ht="231" x14ac:dyDescent="0.5">
      <c r="A168" s="1405" t="s">
        <v>1999</v>
      </c>
      <c r="B168" s="1405"/>
      <c r="C168" s="1405"/>
      <c r="D168" s="1405"/>
      <c r="E168" s="1405"/>
      <c r="F168" s="1405"/>
      <c r="G168" s="1405"/>
      <c r="H168" s="1405"/>
      <c r="I168" s="1405"/>
      <c r="J168" s="1405"/>
      <c r="K168" s="1405"/>
      <c r="L168" s="1405"/>
      <c r="M168" s="1405"/>
      <c r="N168" s="1405"/>
      <c r="O168" s="1405"/>
      <c r="P168" s="1405"/>
      <c r="Q168" s="1405"/>
      <c r="R168" s="1405"/>
    </row>
    <row r="169" spans="1:18" ht="45" customHeight="1" x14ac:dyDescent="0.5">
      <c r="A169" s="1405" t="s">
        <v>2000</v>
      </c>
      <c r="B169" s="1405"/>
      <c r="C169" s="1405"/>
      <c r="D169" s="1405"/>
      <c r="E169" s="1405"/>
      <c r="F169" s="1405"/>
      <c r="G169" s="1405"/>
      <c r="H169" s="1405"/>
      <c r="I169" s="1405"/>
      <c r="J169" s="1405"/>
      <c r="K169" s="1405"/>
      <c r="L169" s="1405"/>
      <c r="M169" s="1405"/>
      <c r="N169" s="1405"/>
      <c r="O169" s="1405"/>
      <c r="P169" s="1405"/>
      <c r="Q169" s="1405"/>
      <c r="R169" s="1405"/>
    </row>
    <row r="170" spans="1:18" ht="45" customHeight="1" x14ac:dyDescent="0.5">
      <c r="A170" s="1405" t="s">
        <v>2001</v>
      </c>
      <c r="B170" s="1405" t="s">
        <v>2002</v>
      </c>
      <c r="C170" s="1405"/>
      <c r="D170" s="1405"/>
      <c r="E170" s="1405"/>
      <c r="F170" s="1405"/>
      <c r="G170" s="1405"/>
      <c r="H170" s="1405"/>
      <c r="I170" s="1405"/>
      <c r="J170" s="1405"/>
      <c r="K170" s="1405"/>
      <c r="L170" s="1405"/>
      <c r="M170" s="1405"/>
      <c r="N170" s="1405"/>
      <c r="O170" s="1405"/>
      <c r="P170" s="1405"/>
      <c r="Q170" s="1405"/>
      <c r="R170" s="1405"/>
    </row>
    <row r="171" spans="1:18" ht="45" customHeight="1" x14ac:dyDescent="0.5">
      <c r="A171" s="1405" t="s">
        <v>2001</v>
      </c>
      <c r="B171" s="1405" t="s">
        <v>2003</v>
      </c>
      <c r="C171" s="1405"/>
      <c r="D171" s="1405"/>
      <c r="E171" s="1405"/>
      <c r="F171" s="1405"/>
      <c r="G171" s="1405"/>
      <c r="H171" s="1405"/>
      <c r="I171" s="1405"/>
      <c r="J171" s="1405"/>
      <c r="K171" s="1405"/>
      <c r="L171" s="1405"/>
      <c r="M171" s="1405"/>
      <c r="N171" s="1405"/>
      <c r="O171" s="1405"/>
      <c r="P171" s="1405"/>
      <c r="Q171" s="1405"/>
      <c r="R171" s="1405"/>
    </row>
    <row r="172" spans="1:18" ht="45" customHeight="1" x14ac:dyDescent="0.5">
      <c r="A172" s="1405" t="s">
        <v>2001</v>
      </c>
      <c r="B172" s="1405" t="s">
        <v>2004</v>
      </c>
      <c r="C172" s="1405"/>
      <c r="D172" s="1405"/>
      <c r="E172" s="1405"/>
      <c r="F172" s="1405"/>
      <c r="G172" s="1405"/>
      <c r="H172" s="1405"/>
      <c r="I172" s="1405"/>
      <c r="J172" s="1405"/>
      <c r="K172" s="1405"/>
      <c r="L172" s="1405"/>
      <c r="M172" s="1405"/>
      <c r="N172" s="1405"/>
      <c r="O172" s="1405"/>
      <c r="P172" s="1405"/>
      <c r="Q172" s="1405"/>
      <c r="R172" s="1405"/>
    </row>
    <row r="173" spans="1:18" ht="45" customHeight="1" x14ac:dyDescent="0.5">
      <c r="A173" s="1405" t="s">
        <v>2001</v>
      </c>
      <c r="B173" s="1405" t="s">
        <v>2005</v>
      </c>
      <c r="C173" s="1405"/>
      <c r="D173" s="1405"/>
      <c r="E173" s="1405"/>
      <c r="F173" s="1405"/>
      <c r="G173" s="1405"/>
      <c r="H173" s="1405"/>
      <c r="I173" s="1405"/>
      <c r="J173" s="1405"/>
      <c r="K173" s="1405"/>
      <c r="L173" s="1405"/>
      <c r="M173" s="1405"/>
      <c r="N173" s="1405"/>
      <c r="O173" s="1405"/>
      <c r="P173" s="1405"/>
      <c r="Q173" s="1405"/>
      <c r="R173" s="1405"/>
    </row>
    <row r="174" spans="1:18" ht="45" customHeight="1" x14ac:dyDescent="0.5">
      <c r="A174" s="1405" t="s">
        <v>2001</v>
      </c>
      <c r="B174" s="1405" t="s">
        <v>2006</v>
      </c>
      <c r="C174" s="1405"/>
      <c r="D174" s="1405"/>
      <c r="E174" s="1405"/>
      <c r="F174" s="1405"/>
      <c r="G174" s="1405"/>
      <c r="H174" s="1405"/>
      <c r="I174" s="1405"/>
      <c r="J174" s="1405"/>
      <c r="K174" s="1405"/>
      <c r="L174" s="1405"/>
      <c r="M174" s="1405"/>
      <c r="N174" s="1405"/>
      <c r="O174" s="1405"/>
      <c r="P174" s="1405"/>
      <c r="Q174" s="1405"/>
      <c r="R174" s="1405"/>
    </row>
    <row r="175" spans="1:18" ht="45" customHeight="1" x14ac:dyDescent="0.5">
      <c r="A175" s="1405" t="s">
        <v>2001</v>
      </c>
      <c r="B175" s="1405" t="s">
        <v>2007</v>
      </c>
      <c r="C175" s="1405"/>
      <c r="D175" s="1405"/>
      <c r="E175" s="1405"/>
      <c r="F175" s="1405"/>
      <c r="G175" s="1405"/>
      <c r="H175" s="1405"/>
      <c r="I175" s="1405"/>
      <c r="J175" s="1405"/>
      <c r="K175" s="1405"/>
      <c r="L175" s="1405"/>
      <c r="M175" s="1405"/>
      <c r="N175" s="1405"/>
      <c r="O175" s="1405"/>
      <c r="P175" s="1405"/>
      <c r="Q175" s="1405"/>
      <c r="R175" s="1405"/>
    </row>
    <row r="176" spans="1:18" ht="45" customHeight="1" x14ac:dyDescent="0.5">
      <c r="A176" s="1405"/>
      <c r="B176" s="1405"/>
      <c r="C176" s="1405"/>
      <c r="D176" s="1405"/>
      <c r="E176" s="1405"/>
      <c r="F176" s="1405"/>
      <c r="G176" s="1405"/>
      <c r="H176" s="1405"/>
      <c r="I176" s="1405"/>
      <c r="J176" s="1405"/>
      <c r="K176" s="1405"/>
      <c r="L176" s="1405"/>
      <c r="M176" s="1405"/>
      <c r="N176" s="1405"/>
      <c r="O176" s="1405"/>
      <c r="P176" s="1405"/>
      <c r="Q176" s="1405"/>
      <c r="R176" s="1405"/>
    </row>
    <row r="177" spans="1:18" ht="45" customHeight="1" x14ac:dyDescent="0.5">
      <c r="A177" s="1405"/>
      <c r="B177" s="1405"/>
      <c r="C177" s="1405"/>
      <c r="D177" s="1405"/>
      <c r="E177" s="1405"/>
      <c r="F177" s="1405"/>
      <c r="G177" s="1405"/>
      <c r="H177" s="1405"/>
      <c r="I177" s="1405"/>
      <c r="J177" s="1405"/>
      <c r="K177" s="1405"/>
      <c r="L177" s="1405"/>
      <c r="M177" s="1405"/>
      <c r="N177" s="1405"/>
      <c r="O177" s="1405"/>
      <c r="P177" s="1405"/>
      <c r="Q177" s="1405"/>
      <c r="R177" s="1405"/>
    </row>
    <row r="178" spans="1:18" ht="45" customHeight="1" x14ac:dyDescent="0.5">
      <c r="A178" s="1405"/>
      <c r="B178" s="1405"/>
      <c r="C178" s="1405"/>
      <c r="D178" s="1405"/>
      <c r="E178" s="1405"/>
      <c r="F178" s="1405"/>
      <c r="G178" s="1405"/>
      <c r="H178" s="1405"/>
      <c r="I178" s="1405"/>
      <c r="J178" s="1405"/>
      <c r="K178" s="1405"/>
      <c r="L178" s="1405"/>
      <c r="M178" s="1405"/>
      <c r="N178" s="1405"/>
      <c r="O178" s="1405"/>
      <c r="P178" s="1405"/>
      <c r="Q178" s="1405"/>
      <c r="R178" s="1405"/>
    </row>
    <row r="189" spans="1:18" x14ac:dyDescent="0.5">
      <c r="D189" s="1406"/>
    </row>
  </sheetData>
  <mergeCells count="34">
    <mergeCell ref="B1:C1"/>
    <mergeCell ref="B34:F34"/>
    <mergeCell ref="B35:F35"/>
    <mergeCell ref="B22:F22"/>
    <mergeCell ref="B24:F24"/>
    <mergeCell ref="B28:F28"/>
    <mergeCell ref="B17:F17"/>
    <mergeCell ref="C27:F27"/>
    <mergeCell ref="B5:F5"/>
    <mergeCell ref="B98:F98"/>
    <mergeCell ref="B135:F135"/>
    <mergeCell ref="B83:F83"/>
    <mergeCell ref="B101:F101"/>
    <mergeCell ref="B105:F105"/>
    <mergeCell ref="B112:F112"/>
    <mergeCell ref="B110:F110"/>
    <mergeCell ref="B109:F109"/>
    <mergeCell ref="B104:F104"/>
    <mergeCell ref="B166:F166"/>
    <mergeCell ref="B136:F136"/>
    <mergeCell ref="B131:F131"/>
    <mergeCell ref="B142:F142"/>
    <mergeCell ref="B158:F158"/>
    <mergeCell ref="B160:F160"/>
    <mergeCell ref="B162:F162"/>
    <mergeCell ref="B164:F164"/>
    <mergeCell ref="B165:F165"/>
    <mergeCell ref="B140:F140"/>
    <mergeCell ref="B147:F147"/>
    <mergeCell ref="B153:F153"/>
    <mergeCell ref="B154:F154"/>
    <mergeCell ref="B156:F156"/>
    <mergeCell ref="B155:F155"/>
    <mergeCell ref="B143:F143"/>
  </mergeCells>
  <conditionalFormatting sqref="G44:G166">
    <cfRule type="containsText" dxfId="54" priority="1" operator="containsText" text="Hold">
      <formula>NOT(ISERROR(SEARCH("Hold",G44)))</formula>
    </cfRule>
    <cfRule type="containsText" dxfId="53" priority="2" operator="containsText" text="Ready to Send">
      <formula>NOT(ISERROR(SEARCH("Ready to Send",G44)))</formula>
    </cfRule>
    <cfRule type="containsText" dxfId="52" priority="3" operator="containsText" text="Changes Needed">
      <formula>NOT(ISERROR(SEARCH("Changes Needed",G44)))</formula>
    </cfRule>
    <cfRule type="containsText" dxfId="51" priority="4" operator="containsText" text="Internal Review">
      <formula>NOT(ISERROR(SEARCH("Internal Review",G44)))</formula>
    </cfRule>
    <cfRule type="containsText" dxfId="50" priority="5" operator="containsText" text="In Progress">
      <formula>NOT(ISERROR(SEARCH("In Progress",G44)))</formula>
    </cfRule>
  </conditionalFormatting>
  <dataValidations count="1">
    <dataValidation type="list" allowBlank="1" showInputMessage="1" showErrorMessage="1" sqref="G44:G141 G142:G166" xr:uid="{55AC824F-0E3D-4F1D-BBB7-D9F5F707DEDA}">
      <formula1>"In Progress, Internal Review, Changes Needed, Ready to Send, Hold"</formula1>
    </dataValidation>
  </dataValidations>
  <hyperlinks>
    <hyperlink ref="I20" r:id="rId1" xr:uid="{A13E9974-7AC4-49BE-A507-0998D5C4209B}"/>
    <hyperlink ref="I21" r:id="rId2" xr:uid="{29293948-13A9-4A37-8D48-2EABB686EC47}"/>
    <hyperlink ref="I23" r:id="rId3" xr:uid="{659357E1-2C5C-400A-A3E3-B0AD83E95EAB}"/>
    <hyperlink ref="I25" r:id="rId4" xr:uid="{AC5C9CA5-DD96-45C1-A0CF-9E9EDC69C222}"/>
    <hyperlink ref="I26" r:id="rId5" xr:uid="{A181905F-A2E7-477F-906C-48763518584E}"/>
    <hyperlink ref="I29" r:id="rId6" xr:uid="{B75ABFC2-86D3-46B3-B4E3-6FF3E1C3BAEE}"/>
    <hyperlink ref="I30" r:id="rId7" xr:uid="{2F780C46-3049-4C46-B492-20C368D6A651}"/>
    <hyperlink ref="I31" r:id="rId8" xr:uid="{E187D08A-EAFE-4F2D-B43C-13AE7329CFE5}"/>
    <hyperlink ref="I33" r:id="rId9" xr:uid="{9DDD5787-86B2-4ACA-96F0-668064FA3438}"/>
    <hyperlink ref="I32" r:id="rId10" xr:uid="{0E320D84-C041-49BC-8556-AEAC7A68CF91}"/>
    <hyperlink ref="I37" r:id="rId11" xr:uid="{1EE6D9BF-80CB-47CC-B740-5E87D878FF6E}"/>
    <hyperlink ref="I36" r:id="rId12" xr:uid="{CAD239ED-1074-4F61-B105-FCE69B5AA016}"/>
    <hyperlink ref="I38" r:id="rId13" xr:uid="{9C1CAC1F-392B-41C5-ABCF-EF4288C89E1E}"/>
    <hyperlink ref="I39" r:id="rId14" xr:uid="{FF038EE1-BF4F-4AFD-8983-F4F8D45C6FAE}"/>
    <hyperlink ref="I40" r:id="rId15" xr:uid="{90B40F3A-94E9-4435-9090-C5EDA201C5FC}"/>
    <hyperlink ref="I41" r:id="rId16" xr:uid="{E191D07D-AE25-4EDB-9590-8944D6867C0E}"/>
    <hyperlink ref="I43" r:id="rId17" xr:uid="{86A6018A-971E-4B13-B896-4B412F0449E7}"/>
    <hyperlink ref="I42" r:id="rId18" xr:uid="{C61F66C7-35BE-4562-9769-CA31937F73A6}"/>
    <hyperlink ref="I45" r:id="rId19" xr:uid="{29436ACE-4C63-4763-AA5F-A0F4AFB81AC5}"/>
    <hyperlink ref="D45" r:id="rId20" display="mailto:sgriffin@smithbucklin.com" xr:uid="{539AE40F-AD59-47C7-9F46-D87FF71DC026}"/>
    <hyperlink ref="D44" r:id="rId21" display="mailto:jeiding@smithbucklin.com" xr:uid="{F5BAA76B-D578-4E67-9427-9A361F58D6B9}"/>
    <hyperlink ref="D43" r:id="rId22" display="mailto:sgriffin@smithbucklin.com" xr:uid="{666006EE-487C-4A66-B318-3AE514B6ECF9}"/>
    <hyperlink ref="D42" r:id="rId23" display="mailto:jeiding@smithbucklin.com" xr:uid="{32D8AD20-A655-4AB3-B102-125C2F12C2DB}"/>
    <hyperlink ref="F43" r:id="rId24" xr:uid="{F8968C3C-2D95-45A4-A58F-050B827594A9}"/>
    <hyperlink ref="F41" r:id="rId25" xr:uid="{A8ED6F75-283E-4097-94B4-69EB296D485F}"/>
    <hyperlink ref="D41" r:id="rId26" display="mailto:sgriffin@smithbucklin.com" xr:uid="{88E28183-859D-42E7-98D5-22B0C27368A3}"/>
    <hyperlink ref="D40" r:id="rId27" display="mailto:jeiding@smithbucklin.com" xr:uid="{DBE8C19B-AF04-48D6-83E0-BD5A07CD233B}"/>
    <hyperlink ref="D39" r:id="rId28" display="mailto:sgriffin@smithbucklin.com" xr:uid="{EC5317E5-F315-4047-95DF-D22B31676AE9}"/>
    <hyperlink ref="D38" r:id="rId29" display="mailto:jeiding@smithbucklin.com" xr:uid="{DAF94D57-6548-4129-AEA8-35489867E062}"/>
    <hyperlink ref="F40" r:id="rId30" xr:uid="{2D84B559-33E0-4F01-B5A7-F10D3CB8DB26}"/>
    <hyperlink ref="F58" r:id="rId31" xr:uid="{BA0A0888-C44F-4CA5-B13F-43B6F1FAE92F}"/>
    <hyperlink ref="F42" r:id="rId32" xr:uid="{3544EF63-C853-47AE-8DC4-69004D7498E9}"/>
    <hyperlink ref="F37" r:id="rId33" location=":~:text=NEW%20OPPORTUNITIES!,-Take%20advantage%20of" display="https://www.shsmdmediakit.org/year-round-digital-advertising/ - :~:text=NEW%20OPPORTUNITIES!,-Take%20advantage%20of" xr:uid="{790E3C64-0310-4083-BE3D-C54009258C84}"/>
    <hyperlink ref="D37" r:id="rId34" display="mailto:sgriffin@smithbucklin.com" xr:uid="{D1D40044-67C9-4364-81FC-08DB4B6B41D9}"/>
    <hyperlink ref="D36" r:id="rId35" display="mailto:jeiding@smithbucklin.com" xr:uid="{2F3CAF1C-B161-49E2-94CD-B79FE1AAFEFE}"/>
    <hyperlink ref="D33" r:id="rId36" display="mailto:sgriffin@smithbucklin.com" xr:uid="{02524F74-33C0-4E42-A2EF-1800DFD1F19C}"/>
    <hyperlink ref="D32" r:id="rId37" display="mailto:jeiding@smithbucklin.com" xr:uid="{D7E3841A-AC34-44A4-A319-ADEFD803E3B9}"/>
    <hyperlink ref="F36" r:id="rId38" location=":~:text=NEW%20OPPORTUNITIES!,-Take%20advantage%20of" display="https://www.shsmdmediakit.org/year-round-digital-advertising/ - :~:text=NEW%20OPPORTUNITIES!,-Take%20advantage%20of" xr:uid="{01DE50FB-D95E-4CA9-9C5D-CAB79B30EB32}"/>
    <hyperlink ref="D30" r:id="rId39" display="mailto:jeiding@smithbucklin.com" xr:uid="{66654550-86E8-4176-A775-85FE6A9ADB74}"/>
    <hyperlink ref="D31" r:id="rId40" display="mailto:sgriffin@smithbucklin.com" xr:uid="{8913DCCA-10D5-4C6A-8A0C-EF8AB3B03028}"/>
    <hyperlink ref="D21" r:id="rId41" display="mailto:shsmd@smithbucklin.com" xr:uid="{EFC64E09-BA49-4B28-B390-9E2C3CAC45A5}"/>
    <hyperlink ref="D23" r:id="rId42" display="mailto:jeiding@smithbucklin.com" xr:uid="{6A9DCA08-A173-4319-BDB0-F832D0C123A2}"/>
    <hyperlink ref="D29" r:id="rId43" display="mailto:jeiding@smithbucklin.com" xr:uid="{6C262ECB-39AD-4411-99F0-7D6AEAE74EFA}"/>
    <hyperlink ref="D26" r:id="rId44" display="mailto:jeiding@smithbucklin.com" xr:uid="{4AFF760B-279C-4B39-BD69-6F3B7BF5F2ED}"/>
    <hyperlink ref="F29" r:id="rId45" xr:uid="{638F4641-202A-44B3-88F8-70A6CCE60F39}"/>
    <hyperlink ref="D1" r:id="rId46" display="https://app.smartsheet.com/b/publish?EQBCT=58674b3f806f4d01aefe4183d6804aad" xr:uid="{97A3A7ED-C4C8-4033-8451-9A5EABDB4917}"/>
    <hyperlink ref="D25" r:id="rId47" display="mailto:jeiding@smithbucklin.com" xr:uid="{7A626A5C-F289-47FE-B908-F07F01AC777F}"/>
    <hyperlink ref="D20" r:id="rId48" display="mailto:shsmd@smithbucklin.com" xr:uid="{4807A743-2A2F-4916-96B6-E6B4F06E9B93}"/>
    <hyperlink ref="D19" r:id="rId49" display="mailto:shsmd@smithbucklin.com" xr:uid="{4305FF4B-DE6A-4FE5-A3A8-629DE8344CF0}"/>
    <hyperlink ref="D10" r:id="rId50" display="mailto:shsmd@smithbucklin.com" xr:uid="{F1042F0B-2DEC-4A50-8EA8-26E090F16300}"/>
    <hyperlink ref="B2" r:id="rId51" display="Target Send Date CHECK ASHE MARKETING CALENDAR       INSIDER every Tuesday" xr:uid="{CDC7740B-9614-43FF-A538-CDA6F67C60D2}"/>
    <hyperlink ref="D8" r:id="rId52" display="mailto:shsmd@smithbucklin.com" xr:uid="{3A2B7956-8E74-4BF2-8B51-A4EB55EDE847}"/>
    <hyperlink ref="D13" r:id="rId53" display="mailto:shsmd@smithbucklin.com" xr:uid="{A1EFD019-DB03-44BB-AA2B-E4A09B911C5F}"/>
    <hyperlink ref="D9" r:id="rId54" display="mailto:shsmd@smithbucklin.com" xr:uid="{CE5665C4-F584-48FC-B3D6-31BD2737AAFE}"/>
    <hyperlink ref="D18" r:id="rId55" display="mailto:shsmd@smithbucklin.com" xr:uid="{50CB4289-0503-4102-BB12-8ACF2760EE29}"/>
    <hyperlink ref="D16" r:id="rId56" display="mailto:shsmd@smithbucklin.com" xr:uid="{0D4759CB-FD4E-4D73-B3A2-E698B87D4CD8}"/>
    <hyperlink ref="D15" r:id="rId57" display="mailto:shsmd@smithbucklin.com" xr:uid="{2D6B33B2-030E-4DF9-AB0A-57A3C48E9A98}"/>
    <hyperlink ref="D14" r:id="rId58" display="mailto:shsmd@smithbucklin.com" xr:uid="{449FB8EC-F608-44E4-9B18-405283F98938}"/>
    <hyperlink ref="D12" r:id="rId59" display="mailto:shsmd@smithbucklin.com" xr:uid="{5508668C-6EEF-4D3B-A5E0-57297D019722}"/>
    <hyperlink ref="D11" r:id="rId60" display="mailto:shsmd@smithbucklin.com" xr:uid="{4D0FBBFA-972C-4E48-82B1-5CA38C492D4C}"/>
    <hyperlink ref="I44" r:id="rId61" xr:uid="{41001B92-3F09-43C9-8427-3F72E41B8C4F}"/>
    <hyperlink ref="D48" r:id="rId62" display="mailto:jeiding@smithbucklin.com" xr:uid="{2DEA6541-1BD0-4FDB-8EBE-949D52AC007B}"/>
    <hyperlink ref="I48" r:id="rId63" xr:uid="{07A90D53-A760-4E16-BC07-4CEF48F9C484}"/>
    <hyperlink ref="D46" r:id="rId64" xr:uid="{3785446E-6E1C-44F0-8F0F-EB4E7B388A02}"/>
    <hyperlink ref="D47" r:id="rId65" xr:uid="{B6F05781-691C-4CFA-8A8D-8C8D17FCB4C8}"/>
    <hyperlink ref="I46" r:id="rId66" xr:uid="{2EBE1D9E-A057-41EA-A69E-7FF41AC7113F}"/>
    <hyperlink ref="I47" r:id="rId67" xr:uid="{5AD0C7C0-39AB-4CB8-92C9-A80334D96BBC}"/>
    <hyperlink ref="D49" r:id="rId68" display="mailto:sgriffin@smithbucklin.com" xr:uid="{AB1CCD25-C025-41C6-950C-F5008AFC230F}"/>
    <hyperlink ref="I49" r:id="rId69" xr:uid="{B1A7D23E-2468-4EB7-993D-96F05A345067}"/>
    <hyperlink ref="I50" r:id="rId70" xr:uid="{403E9CEB-B0A9-48D5-82C1-A0C387990632}"/>
    <hyperlink ref="D50" r:id="rId71" display="mailto:jeiding@smithbucklin.com" xr:uid="{B10AF2EE-3203-4969-9C97-5C82753A1BE0}"/>
    <hyperlink ref="D51" r:id="rId72" display="mailto:sgriffin@smithbucklin.com" xr:uid="{4A257724-C9CB-4F2C-9583-20D45FA390ED}"/>
    <hyperlink ref="I51" r:id="rId73" xr:uid="{EDE88965-E5ED-4AF7-8DBA-EF57BF8C150D}"/>
    <hyperlink ref="D52" r:id="rId74" display="mailto:jeiding@smithbucklin.com" xr:uid="{B2D02F11-F118-48D3-8B29-9314B766C716}"/>
    <hyperlink ref="I52" r:id="rId75" xr:uid="{BD18BE6C-B040-4B69-9E21-CDB816F1E40D}"/>
    <hyperlink ref="D53" r:id="rId76" display="mailto:sgriffin@smithbucklin.com" xr:uid="{71EF9B1A-7389-4134-B825-7ADB6656C3ED}"/>
    <hyperlink ref="I53" r:id="rId77" xr:uid="{891D09FA-C48D-487A-8B38-CF13E9E98E39}"/>
    <hyperlink ref="I55" r:id="rId78" xr:uid="{50362A97-FFFA-4AB5-9B47-CAED2FAD059C}"/>
    <hyperlink ref="D54" r:id="rId79" display="mailto:jeiding@smithbucklin.com" xr:uid="{A7C71341-F725-4901-B316-D67995745765}"/>
    <hyperlink ref="D55" r:id="rId80" display="mailto:sgriffin@smithbucklin.com" xr:uid="{991A09A7-6316-4ABA-B655-7492DCB7E6DC}"/>
    <hyperlink ref="I54" r:id="rId81" xr:uid="{9E326238-AA09-4624-A704-0AE37E3A9CA5}"/>
    <hyperlink ref="D56" r:id="rId82" display="mailto:jeiding@smithbucklin.com" xr:uid="{85806448-19A7-4214-B24A-0B284B687B3A}"/>
    <hyperlink ref="D57" r:id="rId83" display="mailto:sgriffin@smithbucklin.com" xr:uid="{5EDC6B93-34FA-4C3C-B848-F361C842C584}"/>
    <hyperlink ref="I57" r:id="rId84" xr:uid="{A7563564-B1EB-45A9-AB01-5FD4833B27E6}"/>
    <hyperlink ref="I56" r:id="rId85" xr:uid="{D17FDF06-F964-4B38-BAE2-53CD94D1815C}"/>
    <hyperlink ref="I59" r:id="rId86" xr:uid="{2A1EC46C-EB41-4B3C-BA1F-F0B71D48558E}"/>
    <hyperlink ref="D58" r:id="rId87" display="mailto:jeiding@smithbucklin.com" xr:uid="{0366B775-F4CD-4DC9-9485-D9B89333F787}"/>
    <hyperlink ref="D59" r:id="rId88" display="mailto:sgriffin@smithbucklin.com" xr:uid="{5DC54FBE-4388-4EC1-BEA9-F9ED657C008C}"/>
    <hyperlink ref="F59" r:id="rId89" xr:uid="{4C9BD71B-6EE9-4855-82D2-ACF4C74A4990}"/>
    <hyperlink ref="I58" r:id="rId90" xr:uid="{01B9E89C-4616-4B55-AE9D-2AB171DEB8A4}"/>
    <hyperlink ref="I60" r:id="rId91" xr:uid="{4B6D4FA3-2989-4808-983B-2EFAD11CBD3B}"/>
    <hyperlink ref="D60" r:id="rId92" display="mailto:jeiding@smithbucklin.com" xr:uid="{B99CBDFB-DB4E-4856-80AC-20CA15C8EC60}"/>
    <hyperlink ref="D61" r:id="rId93" display="mailto:sgriffin@smithbucklin.com" xr:uid="{417EAD4E-1F4A-4915-B2AE-45C28803064D}"/>
    <hyperlink ref="I61" r:id="rId94" xr:uid="{C9FB7104-D4DC-4828-83F3-7390D2CA74F5}"/>
    <hyperlink ref="I63" r:id="rId95" xr:uid="{2386D912-A46D-41A3-AF3C-86979ED9EA9C}"/>
    <hyperlink ref="D62" r:id="rId96" display="mailto:jeiding@smithbucklin.com" xr:uid="{61E44D46-ADA8-4D8D-AEA6-B7FF26D97524}"/>
    <hyperlink ref="D63" r:id="rId97" display="mailto:sgriffin@smithbucklin.com" xr:uid="{4D4BC2D4-3204-45A2-A60B-180F26A97286}"/>
    <hyperlink ref="I62" r:id="rId98" xr:uid="{5A74CC0A-6160-40A3-ACF0-1AF14FB5E2A5}"/>
    <hyperlink ref="I64" r:id="rId99" xr:uid="{EA832407-F9A1-4233-9BD8-463EFC0D1752}"/>
    <hyperlink ref="D64" r:id="rId100" xr:uid="{791AF0BC-B5AB-4991-A211-402830FFB67E}"/>
    <hyperlink ref="I65" r:id="rId101" xr:uid="{BFC5C206-D83D-4219-B823-430B3B00014A}"/>
    <hyperlink ref="D65" r:id="rId102" display="mailto:jeiding@smithbucklin.com" xr:uid="{62D8C476-3FB7-4AC7-9501-5524B2D53D4A}"/>
    <hyperlink ref="D66" r:id="rId103" display="mailto:jeiding@smithbucklin.com" xr:uid="{A72F3881-94CF-48BD-9471-D827CD7FB9CF}"/>
    <hyperlink ref="F67" r:id="rId104" xr:uid="{31E9E9A4-639A-45C5-B73D-2F4F3D4A6B58}"/>
    <hyperlink ref="I66" r:id="rId105" xr:uid="{08228678-51F9-474A-B364-55B951A16142}"/>
    <hyperlink ref="D68" r:id="rId106" display="mailto:nschuette@smithbucklin.com" xr:uid="{459350C2-5879-4CE9-9815-FC401E3AC45F}"/>
    <hyperlink ref="I68" r:id="rId107" xr:uid="{5A764427-9018-4372-BAFA-436B77261603}"/>
    <hyperlink ref="I67" r:id="rId108" xr:uid="{1B001DC7-4DDB-4BD8-99CC-A10482C10A3A}"/>
    <hyperlink ref="I69" r:id="rId109" xr:uid="{8AF456D6-F3E4-47EA-8DC4-1307F45B4D03}"/>
    <hyperlink ref="I70" r:id="rId110" xr:uid="{D4E3544E-79AF-4B44-BAA6-0582D350EF3B}"/>
    <hyperlink ref="I71" r:id="rId111" xr:uid="{4ECB50F3-0602-4E82-8C54-C7A2313A6A2E}"/>
    <hyperlink ref="D73" r:id="rId112" xr:uid="{D763D097-3971-48DE-B733-252F15A975EE}"/>
    <hyperlink ref="I72" r:id="rId113" xr:uid="{95A79B44-AD57-48AD-AAC9-20ECE7DEF043}"/>
    <hyperlink ref="D78" r:id="rId114" display="mailto:shsmd@smithbucklin.com" xr:uid="{C2E1F8F2-F728-4875-8801-A335741A6168}"/>
    <hyperlink ref="D85" r:id="rId115" display="mailto:shsmd@smithbucklin.com" xr:uid="{5FB9C52B-2659-4612-94D6-1E639328084A}"/>
    <hyperlink ref="D92" r:id="rId116" display="mailto:shsmd@smithbucklin.com" xr:uid="{EC2B97E5-B2CE-4014-A740-6EB0CF577AF5}"/>
    <hyperlink ref="D91" r:id="rId117" xr:uid="{BC82956D-BC05-4E21-9DC7-9EBF06148896}"/>
    <hyperlink ref="D94" r:id="rId118" display="mailto:shsmd@smithbucklin.com" xr:uid="{AC25F6DA-99D7-4172-B22D-9A62BFF55321}"/>
    <hyperlink ref="D93" r:id="rId119" xr:uid="{0612C713-980A-41E3-8766-7E417622AA75}"/>
    <hyperlink ref="D95" r:id="rId120" display="mailto:shsmd@smithbucklin.com" xr:uid="{5C45607E-0776-4169-9075-25822024754A}"/>
    <hyperlink ref="D96" r:id="rId121" display="mailto:shsmd@smithbucklin.com" xr:uid="{53E1E807-30A7-47A3-B1D8-E3C1F718288E}"/>
    <hyperlink ref="D99" r:id="rId122" display="mailto:shsmd@smithbucklin.com" xr:uid="{533C3D86-E8FF-4D29-A0FC-5E90783823A8}"/>
    <hyperlink ref="D97" r:id="rId123" display="mailto:shsmd@smithbucklin.com" xr:uid="{F28CF024-2A4C-4237-9810-EC5BD90EA036}"/>
    <hyperlink ref="I73" r:id="rId124" xr:uid="{0024B005-A926-4491-A34A-42BDA0CE611B}"/>
    <hyperlink ref="I74" r:id="rId125" xr:uid="{C9B304A5-8377-402B-B798-9A825CD48C42}"/>
    <hyperlink ref="I75" r:id="rId126" xr:uid="{9BF2CF00-3329-4F08-AB83-551EC3EFBC37}"/>
    <hyperlink ref="I76" r:id="rId127" xr:uid="{C8D0E078-0155-445A-ADBB-1DF1886D2965}"/>
    <hyperlink ref="D80" r:id="rId128" xr:uid="{DEE207EB-4E4F-44E5-B274-3CED80A541E8}"/>
    <hyperlink ref="I77" r:id="rId129" xr:uid="{1CA97222-4C72-4D46-BEAF-C4BC0A53B2C6}"/>
    <hyperlink ref="I79" r:id="rId130" xr:uid="{BABC658D-9D5B-4830-B74C-4E2FF571306B}"/>
    <hyperlink ref="I78" r:id="rId131" xr:uid="{BCEBAEC8-C2CE-42D0-AF4B-1413B7120AE4}"/>
    <hyperlink ref="I80" r:id="rId132" xr:uid="{A2920048-C1DB-4CC7-8B8D-934ABD02E3AE}"/>
    <hyperlink ref="I81" r:id="rId133" xr:uid="{0AE048FA-76C7-46C1-9188-689EF879A0CA}"/>
    <hyperlink ref="I82" r:id="rId134" xr:uid="{FE16C01B-E345-48CB-BC04-BE0A8EDEDBC7}"/>
    <hyperlink ref="I85" r:id="rId135" xr:uid="{EB6AC849-0593-4B1C-9F0C-5DA600355865}"/>
    <hyperlink ref="I84" r:id="rId136" xr:uid="{8BCC197F-C030-4D44-913E-6357FF2B13C4}"/>
    <hyperlink ref="I86" r:id="rId137" xr:uid="{6C5D2756-DF29-406B-BED5-F8066EB17039}"/>
    <hyperlink ref="I87" r:id="rId138" xr:uid="{D6B5B07A-8FA1-45C1-B771-23D1F3D2D2AC}"/>
    <hyperlink ref="I88" r:id="rId139" xr:uid="{5E65DE60-AA2A-4A15-8D32-336B35B0D572}"/>
    <hyperlink ref="I89" r:id="rId140" xr:uid="{D1CF7958-F7C3-4DF1-ABDD-5A3298273786}"/>
    <hyperlink ref="I90" r:id="rId141" xr:uid="{A85B2BE6-B1D2-45ED-9EB9-9473394CBCE5}"/>
    <hyperlink ref="I91" r:id="rId142" xr:uid="{C673DE36-4756-4640-BABC-293B6848ACA7}"/>
    <hyperlink ref="I93" r:id="rId143" xr:uid="{C433935B-02B5-4AD1-A02B-DB9928F3C32E}"/>
    <hyperlink ref="I92" r:id="rId144" xr:uid="{86A10446-F7FE-4F0A-ACA5-B7012BDF8BCF}"/>
    <hyperlink ref="I94" r:id="rId145" xr:uid="{91DD091C-7DAE-436C-AF0F-FC1ABCCB3B83}"/>
    <hyperlink ref="D108" r:id="rId146" display="mailto:shsmd@smithbucklin.com" xr:uid="{7E7031BE-3371-482E-933A-A319758EAF01}"/>
    <hyperlink ref="I95" r:id="rId147" xr:uid="{9BE25FEA-36FE-49F9-B244-B001EA1E345E}"/>
    <hyperlink ref="I96" r:id="rId148" xr:uid="{F1E78F51-73DA-4B5E-AEC0-7D7A39B6A3D0}"/>
    <hyperlink ref="I97" r:id="rId149" xr:uid="{6677CD47-DA74-4A87-9C05-3027A6BE29D7}"/>
    <hyperlink ref="I99" r:id="rId150" xr:uid="{7FC06C4C-C425-4CBF-9C0E-3B11ABD7ABA2}"/>
    <hyperlink ref="D100" r:id="rId151" xr:uid="{3029B31B-6FCC-46AD-BD33-7F36CC87301F}"/>
    <hyperlink ref="F100" r:id="rId152" xr:uid="{188E5733-1531-4A34-8193-7DE27EB49D36}"/>
    <hyperlink ref="D102" r:id="rId153" xr:uid="{F030CAEB-4668-4C26-B14C-F895A9F05408}"/>
    <hyperlink ref="I100" r:id="rId154" xr:uid="{FCECA50B-8850-4C59-A981-3C2D261E6CFF}"/>
    <hyperlink ref="I102" r:id="rId155" xr:uid="{4A7E09F1-6F23-47C2-B17D-32B055BC4417}"/>
    <hyperlink ref="D106" r:id="rId156" display="mailto:shsmd@smithbucklin.com" xr:uid="{5CBFDC99-2BB2-42F9-8A21-8A223E7CF893}"/>
    <hyperlink ref="D103" r:id="rId157" xr:uid="{376F3EDE-287F-4A7F-BFAE-45F8595164D7}"/>
    <hyperlink ref="I103" r:id="rId158" xr:uid="{6FD0F67D-E130-4B6F-981B-310ACD69F9C8}"/>
    <hyperlink ref="I106" r:id="rId159" xr:uid="{F0A8B6BF-C6D3-40F6-9CB5-E7186A92E255}"/>
    <hyperlink ref="I108" r:id="rId160" xr:uid="{069D4253-BAA8-43D6-8B64-511077E9427F}"/>
    <hyperlink ref="I107" r:id="rId161" xr:uid="{AE308210-75EA-4B8F-A8DD-5E006FBD688A}"/>
    <hyperlink ref="I111" r:id="rId162" xr:uid="{061E6077-560B-4995-B234-C9138A060B62}"/>
    <hyperlink ref="I114" r:id="rId163" xr:uid="{E518825D-82F5-475C-B2EB-44B58B19C2A0}"/>
    <hyperlink ref="I113" r:id="rId164" xr:uid="{CF282170-5AD1-4CFD-A20E-7441252DB30C}"/>
    <hyperlink ref="I115" r:id="rId165" xr:uid="{668B21AE-942B-4F4D-8041-0AA23F67AFDB}"/>
    <hyperlink ref="I116" r:id="rId166" xr:uid="{481A9970-836D-4E0F-A3CC-7B257DA09C77}"/>
    <hyperlink ref="I117" r:id="rId167" xr:uid="{483B4143-3B7E-43EB-932D-4F5CFAAAD84E}"/>
    <hyperlink ref="D119" r:id="rId168" xr:uid="{E99F3FEE-A454-46DF-9174-780F17ACC62F}"/>
    <hyperlink ref="I118" r:id="rId169" xr:uid="{75C3347D-1554-4A19-A04E-F53AC69D92D9}"/>
    <hyperlink ref="I119" r:id="rId170" xr:uid="{00F2F1A6-3076-44A7-8771-8E6319FAE061}"/>
    <hyperlink ref="I121" r:id="rId171" xr:uid="{1B6F6399-45BD-4664-8E1E-B9AA598C322C}"/>
    <hyperlink ref="I120" r:id="rId172" xr:uid="{F1C2CA93-ECCE-481A-990E-82B5EFAEBE11}"/>
    <hyperlink ref="F124" r:id="rId173" xr:uid="{15754ABB-B447-4234-BA8B-A3B1498D2645}"/>
    <hyperlink ref="D126" r:id="rId174" xr:uid="{00C255A7-CCB1-4843-BEC2-101D6BAC0941}"/>
    <hyperlink ref="I122" r:id="rId175" xr:uid="{D553795D-AEBD-4346-9A46-26233CD82BB9}"/>
    <hyperlink ref="I123" r:id="rId176" xr:uid="{CCFF601A-A7F4-4ADD-8E8C-DDCDF1292ECB}"/>
    <hyperlink ref="F138" r:id="rId177" xr:uid="{DBA50B17-5605-4312-A615-743AF48BAC47}"/>
    <hyperlink ref="I124" r:id="rId178" xr:uid="{BE747DBB-94BC-4682-81B1-A1D5B33A7455}"/>
    <hyperlink ref="I126" r:id="rId179" xr:uid="{C905F267-827E-4E66-8B1A-B4F5076F9250}"/>
    <hyperlink ref="I125" r:id="rId180" xr:uid="{01753EF8-6390-4E3B-9A1C-BAD7CB4D6A55}"/>
    <hyperlink ref="I127" r:id="rId181" xr:uid="{A7B01935-CA10-4BBD-8FBC-E806813C6DCA}"/>
    <hyperlink ref="I128" r:id="rId182" xr:uid="{B2E2551F-D235-4B97-A62A-C000F3608745}"/>
    <hyperlink ref="I129" r:id="rId183" xr:uid="{77CB6034-F3F3-41CF-8C44-40D775E0E5C0}"/>
    <hyperlink ref="F134" r:id="rId184" xr:uid="{F58E9A6A-2FF9-47AE-8700-29462CE6931C}"/>
    <hyperlink ref="I130" r:id="rId185" xr:uid="{A1AB03A1-180F-4F4D-97B1-50331A3FC017}"/>
    <hyperlink ref="I132" r:id="rId186" xr:uid="{43C54511-1A27-452D-A5A4-522A8AB6BC8D}"/>
    <hyperlink ref="I133" r:id="rId187" xr:uid="{ABFFD6B6-21B7-4119-A83D-196F08365E90}"/>
    <hyperlink ref="I134" r:id="rId188" xr:uid="{BF9F472F-7804-49F7-85EE-D4F540355169}"/>
    <hyperlink ref="I136" r:id="rId189" xr:uid="{1A69AD61-120D-43EC-9223-74760FCEA10B}"/>
    <hyperlink ref="I137" r:id="rId190" xr:uid="{D70D60EC-2923-4B9C-A464-AD7D8132F7F0}"/>
    <hyperlink ref="I138" r:id="rId191" xr:uid="{CA1E92E0-5702-4DDB-884E-27FE761E2ECD}"/>
    <hyperlink ref="F144" r:id="rId192" xr:uid="{C32D346F-93E3-41B6-BDE0-F89A0947C31A}"/>
    <hyperlink ref="I139" r:id="rId193" xr:uid="{CFCBF8D4-5FAB-4AB3-A114-486B6D250C90}"/>
  </hyperlinks>
  <pageMargins left="0.7" right="0.7" top="0.75" bottom="0.75" header="0.3" footer="0.3"/>
  <pageSetup scale="47" orientation="portrait" r:id="rId194"/>
  <drawing r:id="rId19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6295-ADE8-413F-9CB8-B8369D4E8F0A}">
  <sheetPr>
    <tabColor rgb="FF307FE2"/>
  </sheetPr>
  <dimension ref="A1:T273"/>
  <sheetViews>
    <sheetView zoomScale="60" zoomScaleNormal="60" workbookViewId="0">
      <pane ySplit="2" topLeftCell="A179" activePane="bottomLeft" state="frozen"/>
      <selection pane="bottomLeft" activeCell="H183" sqref="H183"/>
    </sheetView>
  </sheetViews>
  <sheetFormatPr defaultColWidth="8.81640625" defaultRowHeight="21" x14ac:dyDescent="0.5"/>
  <cols>
    <col min="1" max="1" width="45.1796875" style="1593" customWidth="1"/>
    <col min="2" max="2" width="30.54296875" style="1593" customWidth="1"/>
    <col min="3" max="3" width="22.81640625" style="1593" customWidth="1"/>
    <col min="4" max="4" width="46.1796875" style="1593" customWidth="1"/>
    <col min="5" max="5" width="89.26953125" style="1593" customWidth="1"/>
    <col min="6" max="6" width="29.7265625" style="1593" customWidth="1"/>
    <col min="7" max="7" width="41.7265625" style="1588" customWidth="1"/>
    <col min="8" max="8" width="26.453125" style="1588" customWidth="1"/>
    <col min="9" max="9" width="30.81640625" style="1588" customWidth="1"/>
    <col min="10" max="10" width="26" style="1589" customWidth="1"/>
    <col min="11" max="11" width="20.7265625" style="1590" customWidth="1"/>
    <col min="12" max="16" width="20.7265625" style="1591" customWidth="1"/>
    <col min="17" max="17" width="0" style="1592" hidden="1" customWidth="1"/>
    <col min="18" max="16384" width="8.81640625" style="1593"/>
  </cols>
  <sheetData>
    <row r="1" spans="1:17" ht="72" customHeight="1" x14ac:dyDescent="0.5">
      <c r="A1" s="2088"/>
      <c r="B1" s="2088"/>
      <c r="C1" s="2088"/>
      <c r="D1" s="1586" t="s">
        <v>723</v>
      </c>
      <c r="E1" s="1195">
        <f>AVERAGE(M83:M222)</f>
        <v>0.29591718749999996</v>
      </c>
      <c r="F1" s="1193" t="s">
        <v>724</v>
      </c>
      <c r="G1" s="1523">
        <f>AVERAGE(N83:N222)</f>
        <v>4.9129687500000012E-2</v>
      </c>
      <c r="H1" s="1587"/>
      <c r="I1" s="1791" t="s">
        <v>2008</v>
      </c>
    </row>
    <row r="2" spans="1:17" ht="72" customHeight="1" x14ac:dyDescent="0.5">
      <c r="A2" s="1594" t="s">
        <v>1</v>
      </c>
      <c r="B2" s="1594" t="s">
        <v>431</v>
      </c>
      <c r="C2" s="1595" t="s">
        <v>3</v>
      </c>
      <c r="D2" s="1595" t="s">
        <v>4</v>
      </c>
      <c r="E2" s="1595" t="s">
        <v>5</v>
      </c>
      <c r="F2" s="1595" t="s">
        <v>6</v>
      </c>
      <c r="G2" s="1595" t="s">
        <v>7</v>
      </c>
      <c r="H2" s="1595" t="s">
        <v>726</v>
      </c>
      <c r="I2" s="1595" t="s">
        <v>727</v>
      </c>
      <c r="J2" s="1595" t="s">
        <v>2009</v>
      </c>
      <c r="K2" s="1596" t="s">
        <v>728</v>
      </c>
      <c r="L2" s="1596" t="s">
        <v>1573</v>
      </c>
      <c r="M2" s="1596" t="s">
        <v>433</v>
      </c>
      <c r="N2" s="1596" t="s">
        <v>729</v>
      </c>
      <c r="O2" s="1596" t="s">
        <v>653</v>
      </c>
      <c r="P2" s="1596" t="s">
        <v>655</v>
      </c>
      <c r="Q2" s="1597" t="s">
        <v>2010</v>
      </c>
    </row>
    <row r="3" spans="1:17" s="1425" customFormat="1" ht="43.9" hidden="1" customHeight="1" x14ac:dyDescent="0.35">
      <c r="A3" s="1206" t="s">
        <v>730</v>
      </c>
      <c r="B3" s="2040" t="s">
        <v>658</v>
      </c>
      <c r="C3" s="2047"/>
      <c r="D3" s="2047"/>
      <c r="E3" s="2047"/>
      <c r="F3" s="2047"/>
      <c r="G3" s="2047"/>
      <c r="H3" s="1230"/>
      <c r="I3" s="1207"/>
      <c r="J3" s="1229"/>
      <c r="K3" s="1270"/>
      <c r="L3" s="1209"/>
      <c r="M3" s="1209"/>
      <c r="N3" s="1209"/>
      <c r="O3" s="1209"/>
      <c r="P3" s="1209"/>
      <c r="Q3" s="1364"/>
    </row>
    <row r="4" spans="1:17" s="1425" customFormat="1" ht="43.9" hidden="1" customHeight="1" x14ac:dyDescent="0.5">
      <c r="A4" s="1211" t="s">
        <v>739</v>
      </c>
      <c r="B4" s="1223">
        <v>45301</v>
      </c>
      <c r="C4" s="1211" t="s">
        <v>2011</v>
      </c>
      <c r="D4" s="1220" t="s">
        <v>2012</v>
      </c>
      <c r="E4" s="1215" t="s">
        <v>2013</v>
      </c>
      <c r="F4" s="1215" t="s">
        <v>2014</v>
      </c>
      <c r="G4" s="1215"/>
      <c r="H4" s="1215"/>
      <c r="I4" s="1598" t="s">
        <v>2015</v>
      </c>
      <c r="J4" s="1264" t="s">
        <v>2016</v>
      </c>
      <c r="K4" s="1265">
        <v>58</v>
      </c>
      <c r="L4" s="1218">
        <v>431</v>
      </c>
      <c r="M4" s="1218">
        <v>82</v>
      </c>
      <c r="N4" s="1218">
        <v>5</v>
      </c>
      <c r="O4" s="1218">
        <v>82</v>
      </c>
      <c r="P4" s="1218">
        <v>5</v>
      </c>
      <c r="Q4" s="1377"/>
    </row>
    <row r="5" spans="1:17" s="1425" customFormat="1" ht="43.9" hidden="1" customHeight="1" x14ac:dyDescent="0.35">
      <c r="A5" s="1211" t="s">
        <v>761</v>
      </c>
      <c r="B5" s="1223">
        <v>45308</v>
      </c>
      <c r="C5" s="1211" t="s">
        <v>2017</v>
      </c>
      <c r="D5" s="1220" t="s">
        <v>2012</v>
      </c>
      <c r="E5" s="1215" t="s">
        <v>2013</v>
      </c>
      <c r="F5" s="1215" t="s">
        <v>2014</v>
      </c>
      <c r="G5" s="1215" t="s">
        <v>2018</v>
      </c>
      <c r="H5" s="1215"/>
      <c r="I5" s="1215"/>
      <c r="J5" s="1264" t="s">
        <v>2019</v>
      </c>
      <c r="K5" s="1265">
        <v>23</v>
      </c>
      <c r="L5" s="1218">
        <v>337</v>
      </c>
      <c r="M5" s="1218">
        <v>38</v>
      </c>
      <c r="N5" s="1218">
        <v>2</v>
      </c>
      <c r="O5" s="1218">
        <v>38</v>
      </c>
      <c r="P5" s="1218">
        <v>2</v>
      </c>
      <c r="Q5" s="1377"/>
    </row>
    <row r="6" spans="1:17" s="1425" customFormat="1" ht="43.9" hidden="1" customHeight="1" x14ac:dyDescent="0.35">
      <c r="A6" s="1599" t="s">
        <v>766</v>
      </c>
      <c r="B6" s="1253"/>
      <c r="C6" s="1253"/>
      <c r="D6" s="1280"/>
      <c r="E6" s="1256"/>
      <c r="F6" s="1256"/>
      <c r="G6" s="1256"/>
      <c r="H6" s="1256"/>
      <c r="I6" s="1256"/>
      <c r="J6" s="1272"/>
      <c r="K6" s="1273"/>
      <c r="L6" s="1600"/>
      <c r="M6" s="1600"/>
      <c r="N6" s="1600"/>
      <c r="O6" s="1600"/>
      <c r="P6" s="1600"/>
      <c r="Q6" s="1361"/>
    </row>
    <row r="7" spans="1:17" s="1425" customFormat="1" ht="43.9" hidden="1" customHeight="1" x14ac:dyDescent="0.35">
      <c r="A7" s="1599" t="s">
        <v>788</v>
      </c>
      <c r="B7" s="1253"/>
      <c r="C7" s="1253"/>
      <c r="D7" s="1280"/>
      <c r="E7" s="1256"/>
      <c r="F7" s="1256"/>
      <c r="G7" s="1256"/>
      <c r="H7" s="1256"/>
      <c r="I7" s="1256"/>
      <c r="J7" s="1272"/>
      <c r="K7" s="1273"/>
      <c r="L7" s="1600"/>
      <c r="M7" s="1600"/>
      <c r="N7" s="1600"/>
      <c r="O7" s="1600"/>
      <c r="P7" s="1600"/>
      <c r="Q7" s="1361"/>
    </row>
    <row r="8" spans="1:17" s="1425" customFormat="1" ht="43.9" hidden="1" customHeight="1" x14ac:dyDescent="0.35">
      <c r="A8" s="1211" t="s">
        <v>798</v>
      </c>
      <c r="B8" s="1223">
        <v>45337</v>
      </c>
      <c r="C8" s="1211" t="s">
        <v>86</v>
      </c>
      <c r="D8" s="1239"/>
      <c r="E8" s="1215" t="s">
        <v>2020</v>
      </c>
      <c r="F8" s="1215" t="s">
        <v>2021</v>
      </c>
      <c r="G8" s="1215" t="s">
        <v>2022</v>
      </c>
      <c r="H8" s="1215"/>
      <c r="I8" s="1216" t="s">
        <v>2023</v>
      </c>
      <c r="J8" s="1264" t="s">
        <v>2024</v>
      </c>
      <c r="K8" s="1265">
        <v>96</v>
      </c>
      <c r="L8" s="1218">
        <v>441</v>
      </c>
      <c r="M8" s="1218">
        <v>187</v>
      </c>
      <c r="N8" s="1218">
        <v>7</v>
      </c>
      <c r="O8" s="1218">
        <v>0</v>
      </c>
      <c r="P8" s="1218">
        <v>10</v>
      </c>
      <c r="Q8" s="1377">
        <f>P8/L8</f>
        <v>2.2675736961451247E-2</v>
      </c>
    </row>
    <row r="9" spans="1:17" s="1425" customFormat="1" ht="43.9" hidden="1" customHeight="1" x14ac:dyDescent="0.5">
      <c r="A9" s="1211" t="s">
        <v>806</v>
      </c>
      <c r="B9" s="1223">
        <v>45344</v>
      </c>
      <c r="C9" s="1211" t="s">
        <v>2025</v>
      </c>
      <c r="D9" s="1239"/>
      <c r="E9" s="1215" t="s">
        <v>2026</v>
      </c>
      <c r="F9" s="1215"/>
      <c r="G9" s="1264"/>
      <c r="H9" s="1215"/>
      <c r="I9" s="1601"/>
      <c r="J9" s="1264" t="s">
        <v>2027</v>
      </c>
      <c r="K9" s="1265">
        <v>46</v>
      </c>
      <c r="L9" s="1218">
        <v>37</v>
      </c>
      <c r="M9" s="1218">
        <v>11</v>
      </c>
      <c r="N9" s="1218">
        <v>0</v>
      </c>
      <c r="O9" s="1218">
        <v>0</v>
      </c>
      <c r="P9" s="1218">
        <v>0</v>
      </c>
      <c r="Q9" s="1377">
        <v>0</v>
      </c>
    </row>
    <row r="10" spans="1:17" s="1425" customFormat="1" ht="43.9" hidden="1" customHeight="1" x14ac:dyDescent="0.35">
      <c r="A10" s="1211" t="s">
        <v>816</v>
      </c>
      <c r="B10" s="1223">
        <v>45349</v>
      </c>
      <c r="C10" s="1211" t="s">
        <v>2028</v>
      </c>
      <c r="D10" s="1239"/>
      <c r="E10" s="1215" t="s">
        <v>2029</v>
      </c>
      <c r="F10" s="1215"/>
      <c r="G10" s="1215"/>
      <c r="H10" s="1215"/>
      <c r="I10" s="1215"/>
      <c r="J10" s="1264" t="s">
        <v>2030</v>
      </c>
      <c r="K10" s="1265">
        <v>50</v>
      </c>
      <c r="L10" s="1218">
        <v>35</v>
      </c>
      <c r="M10" s="1218">
        <v>9</v>
      </c>
      <c r="N10" s="1218">
        <v>1</v>
      </c>
      <c r="O10" s="1218">
        <v>1</v>
      </c>
      <c r="P10" s="1218">
        <v>2</v>
      </c>
      <c r="Q10" s="1377">
        <f t="shared" ref="Q10:Q18" si="0">P10/L10</f>
        <v>5.7142857142857141E-2</v>
      </c>
    </row>
    <row r="11" spans="1:17" s="1425" customFormat="1" ht="43.9" hidden="1" customHeight="1" x14ac:dyDescent="0.35">
      <c r="A11" s="1211" t="s">
        <v>816</v>
      </c>
      <c r="B11" s="1223">
        <v>45349</v>
      </c>
      <c r="C11" s="1211" t="s">
        <v>2031</v>
      </c>
      <c r="D11" s="1239"/>
      <c r="E11" s="1215" t="s">
        <v>2032</v>
      </c>
      <c r="F11" s="1215"/>
      <c r="G11" s="1215"/>
      <c r="H11" s="1215"/>
      <c r="I11" s="1215"/>
      <c r="J11" s="1264" t="s">
        <v>2030</v>
      </c>
      <c r="K11" s="1265">
        <v>50</v>
      </c>
      <c r="L11" s="1218">
        <v>129</v>
      </c>
      <c r="M11" s="1218">
        <v>30</v>
      </c>
      <c r="N11" s="1218">
        <v>6</v>
      </c>
      <c r="O11" s="1218">
        <v>0</v>
      </c>
      <c r="P11" s="1218">
        <v>7</v>
      </c>
      <c r="Q11" s="1377">
        <f t="shared" si="0"/>
        <v>5.4263565891472867E-2</v>
      </c>
    </row>
    <row r="12" spans="1:17" s="1425" customFormat="1" ht="43.9" hidden="1" customHeight="1" x14ac:dyDescent="0.35">
      <c r="A12" s="1211" t="s">
        <v>829</v>
      </c>
      <c r="B12" s="1223">
        <v>45365</v>
      </c>
      <c r="C12" s="1211" t="s">
        <v>905</v>
      </c>
      <c r="D12" s="1220" t="s">
        <v>2033</v>
      </c>
      <c r="E12" s="1215" t="s">
        <v>2034</v>
      </c>
      <c r="F12" s="1224" t="s">
        <v>2035</v>
      </c>
      <c r="G12" s="1223" t="s">
        <v>2036</v>
      </c>
      <c r="H12" s="1223"/>
      <c r="I12" s="1239" t="s">
        <v>2037</v>
      </c>
      <c r="J12" s="1602" t="s">
        <v>2038</v>
      </c>
      <c r="K12" s="1265">
        <v>17</v>
      </c>
      <c r="L12" s="1265">
        <v>51</v>
      </c>
      <c r="M12" s="1265">
        <v>10</v>
      </c>
      <c r="N12" s="1265">
        <v>0</v>
      </c>
      <c r="O12" s="1265">
        <v>1</v>
      </c>
      <c r="P12" s="1265">
        <v>2</v>
      </c>
      <c r="Q12" s="1379">
        <f t="shared" si="0"/>
        <v>3.9215686274509803E-2</v>
      </c>
    </row>
    <row r="13" spans="1:17" s="1425" customFormat="1" ht="43.9" hidden="1" customHeight="1" x14ac:dyDescent="0.35">
      <c r="A13" s="1211" t="s">
        <v>829</v>
      </c>
      <c r="B13" s="1223">
        <v>45364</v>
      </c>
      <c r="C13" s="1211" t="s">
        <v>2039</v>
      </c>
      <c r="D13" s="1220" t="s">
        <v>2033</v>
      </c>
      <c r="E13" s="1215" t="s">
        <v>2040</v>
      </c>
      <c r="F13" s="1215"/>
      <c r="G13" s="1215"/>
      <c r="H13" s="1215"/>
      <c r="I13" s="1215"/>
      <c r="J13" s="1264" t="s">
        <v>2041</v>
      </c>
      <c r="K13" s="1265">
        <v>14</v>
      </c>
      <c r="L13" s="1265">
        <v>26</v>
      </c>
      <c r="M13" s="1218">
        <v>1</v>
      </c>
      <c r="N13" s="1218">
        <v>1</v>
      </c>
      <c r="O13" s="1218">
        <v>0</v>
      </c>
      <c r="P13" s="1218">
        <v>2</v>
      </c>
      <c r="Q13" s="1377">
        <f t="shared" si="0"/>
        <v>7.6923076923076927E-2</v>
      </c>
    </row>
    <row r="14" spans="1:17" s="1425" customFormat="1" ht="43.9" hidden="1" customHeight="1" x14ac:dyDescent="0.35">
      <c r="A14" s="1211" t="s">
        <v>829</v>
      </c>
      <c r="B14" s="1223">
        <v>45364</v>
      </c>
      <c r="C14" s="1211" t="s">
        <v>2039</v>
      </c>
      <c r="D14" s="1220" t="s">
        <v>2033</v>
      </c>
      <c r="E14" s="1215" t="s">
        <v>2042</v>
      </c>
      <c r="F14" s="1215"/>
      <c r="G14" s="1215"/>
      <c r="H14" s="1215"/>
      <c r="I14" s="1215"/>
      <c r="J14" s="1264" t="s">
        <v>2041</v>
      </c>
      <c r="K14" s="1265">
        <v>14</v>
      </c>
      <c r="L14" s="1218">
        <v>95</v>
      </c>
      <c r="M14" s="1218">
        <v>1</v>
      </c>
      <c r="N14" s="1218">
        <v>0</v>
      </c>
      <c r="O14" s="1218">
        <v>0</v>
      </c>
      <c r="P14" s="1218">
        <v>2</v>
      </c>
      <c r="Q14" s="1377">
        <f t="shared" si="0"/>
        <v>2.1052631578947368E-2</v>
      </c>
    </row>
    <row r="15" spans="1:17" s="1425" customFormat="1" ht="43.9" hidden="1" customHeight="1" x14ac:dyDescent="0.35">
      <c r="A15" s="1211" t="s">
        <v>848</v>
      </c>
      <c r="B15" s="1223">
        <v>45377</v>
      </c>
      <c r="C15" s="1211" t="s">
        <v>2043</v>
      </c>
      <c r="D15" s="1220" t="s">
        <v>413</v>
      </c>
      <c r="E15" s="1215" t="s">
        <v>2044</v>
      </c>
      <c r="F15" s="1215"/>
      <c r="G15" s="1215"/>
      <c r="H15" s="1215"/>
      <c r="I15" s="1215"/>
      <c r="J15" s="1264" t="s">
        <v>2045</v>
      </c>
      <c r="K15" s="1265">
        <v>49</v>
      </c>
      <c r="L15" s="1218">
        <v>39</v>
      </c>
      <c r="M15" s="1218">
        <v>4</v>
      </c>
      <c r="N15" s="1218">
        <v>1</v>
      </c>
      <c r="O15" s="1218">
        <v>0</v>
      </c>
      <c r="P15" s="1218">
        <v>1</v>
      </c>
      <c r="Q15" s="1377">
        <f t="shared" si="0"/>
        <v>2.564102564102564E-2</v>
      </c>
    </row>
    <row r="16" spans="1:17" s="1425" customFormat="1" ht="84" hidden="1" x14ac:dyDescent="0.35">
      <c r="A16" s="1603" t="s">
        <v>848</v>
      </c>
      <c r="B16" s="1604">
        <v>45379</v>
      </c>
      <c r="C16" s="1603" t="s">
        <v>86</v>
      </c>
      <c r="D16" s="1605" t="s">
        <v>413</v>
      </c>
      <c r="E16" s="1606" t="s">
        <v>2046</v>
      </c>
      <c r="F16" s="1606"/>
      <c r="G16" s="1607" t="s">
        <v>2047</v>
      </c>
      <c r="H16" s="1606"/>
      <c r="I16" s="1606"/>
      <c r="J16" s="1607" t="s">
        <v>2048</v>
      </c>
      <c r="K16" s="1608">
        <v>40</v>
      </c>
      <c r="L16" s="1609">
        <v>371</v>
      </c>
      <c r="M16" s="1609">
        <v>20</v>
      </c>
      <c r="N16" s="1609">
        <v>3</v>
      </c>
      <c r="O16" s="1609">
        <v>0</v>
      </c>
      <c r="P16" s="1609">
        <v>48</v>
      </c>
      <c r="Q16" s="1610">
        <f t="shared" si="0"/>
        <v>0.1293800539083558</v>
      </c>
    </row>
    <row r="17" spans="1:17" s="1448" customFormat="1" ht="45" hidden="1" customHeight="1" x14ac:dyDescent="0.35">
      <c r="A17" s="1611" t="s">
        <v>857</v>
      </c>
      <c r="B17" s="1612">
        <v>45384</v>
      </c>
      <c r="C17" s="1611" t="s">
        <v>2049</v>
      </c>
      <c r="D17" s="1613" t="s">
        <v>2033</v>
      </c>
      <c r="E17" s="1614" t="s">
        <v>2050</v>
      </c>
      <c r="F17" s="1614"/>
      <c r="G17" s="1614"/>
      <c r="H17" s="1614"/>
      <c r="I17" s="1614"/>
      <c r="J17" s="1615" t="s">
        <v>2051</v>
      </c>
      <c r="K17" s="1616">
        <v>41</v>
      </c>
      <c r="L17" s="1617">
        <v>85</v>
      </c>
      <c r="M17" s="1617">
        <v>7</v>
      </c>
      <c r="N17" s="1617">
        <v>0</v>
      </c>
      <c r="O17" s="1617">
        <v>1</v>
      </c>
      <c r="P17" s="1617">
        <v>14</v>
      </c>
      <c r="Q17" s="1618">
        <f t="shared" si="0"/>
        <v>0.16470588235294117</v>
      </c>
    </row>
    <row r="18" spans="1:17" s="1448" customFormat="1" ht="45.75" hidden="1" customHeight="1" x14ac:dyDescent="0.35">
      <c r="A18" s="1211" t="s">
        <v>857</v>
      </c>
      <c r="B18" s="1223">
        <v>45386</v>
      </c>
      <c r="C18" s="1211" t="s">
        <v>905</v>
      </c>
      <c r="D18" s="1220" t="s">
        <v>413</v>
      </c>
      <c r="E18" s="1215" t="s">
        <v>2052</v>
      </c>
      <c r="F18" s="1215"/>
      <c r="G18" s="1215" t="s">
        <v>2053</v>
      </c>
      <c r="H18" s="1215"/>
      <c r="I18" s="1215"/>
      <c r="J18" s="1264" t="s">
        <v>2054</v>
      </c>
      <c r="K18" s="1265">
        <v>42</v>
      </c>
      <c r="L18" s="1218">
        <v>57</v>
      </c>
      <c r="M18" s="1218">
        <v>14</v>
      </c>
      <c r="N18" s="1218">
        <v>2</v>
      </c>
      <c r="O18" s="1218">
        <v>0</v>
      </c>
      <c r="P18" s="1218">
        <v>0</v>
      </c>
      <c r="Q18" s="1377">
        <f t="shared" si="0"/>
        <v>0</v>
      </c>
    </row>
    <row r="19" spans="1:17" s="1448" customFormat="1" ht="45.75" hidden="1" customHeight="1" x14ac:dyDescent="0.35">
      <c r="A19" s="1211" t="s">
        <v>859</v>
      </c>
      <c r="B19" s="1223">
        <v>45390</v>
      </c>
      <c r="C19" s="1211" t="s">
        <v>905</v>
      </c>
      <c r="D19" s="1220" t="s">
        <v>413</v>
      </c>
      <c r="E19" s="1215" t="s">
        <v>2055</v>
      </c>
      <c r="F19" s="1215"/>
      <c r="G19" s="1215" t="s">
        <v>2053</v>
      </c>
      <c r="H19" s="1215"/>
      <c r="I19" s="1215"/>
      <c r="J19" s="1264" t="s">
        <v>2056</v>
      </c>
      <c r="K19" s="1265">
        <v>27</v>
      </c>
      <c r="L19" s="1218">
        <v>43</v>
      </c>
      <c r="M19" s="1218">
        <v>2</v>
      </c>
      <c r="N19" s="1218">
        <v>0</v>
      </c>
      <c r="O19" s="1218">
        <v>0</v>
      </c>
      <c r="P19" s="1218">
        <v>0</v>
      </c>
      <c r="Q19" s="1377">
        <v>0</v>
      </c>
    </row>
    <row r="20" spans="1:17" s="1425" customFormat="1" ht="62.25" hidden="1" customHeight="1" x14ac:dyDescent="0.35">
      <c r="A20" s="1211" t="s">
        <v>859</v>
      </c>
      <c r="B20" s="1223">
        <v>45393</v>
      </c>
      <c r="C20" s="1211" t="s">
        <v>2057</v>
      </c>
      <c r="D20" s="1220" t="s">
        <v>413</v>
      </c>
      <c r="E20" s="1215" t="s">
        <v>2058</v>
      </c>
      <c r="F20" s="1215"/>
      <c r="G20" s="1215"/>
      <c r="H20" s="1215"/>
      <c r="I20" s="1215"/>
      <c r="J20" s="1264" t="s">
        <v>2059</v>
      </c>
      <c r="K20" s="1265">
        <v>33</v>
      </c>
      <c r="L20" s="1218">
        <v>28</v>
      </c>
      <c r="M20" s="1218">
        <v>2</v>
      </c>
      <c r="N20" s="1218">
        <v>1</v>
      </c>
      <c r="O20" s="1218">
        <v>0</v>
      </c>
      <c r="P20" s="1218">
        <v>1</v>
      </c>
      <c r="Q20" s="1377">
        <f>P20/L20</f>
        <v>3.5714285714285712E-2</v>
      </c>
    </row>
    <row r="21" spans="1:17" s="1425" customFormat="1" ht="62.25" hidden="1" customHeight="1" x14ac:dyDescent="0.35">
      <c r="A21" s="1211" t="s">
        <v>859</v>
      </c>
      <c r="B21" s="1223">
        <v>45393</v>
      </c>
      <c r="C21" s="1211" t="s">
        <v>2060</v>
      </c>
      <c r="D21" s="1220" t="s">
        <v>413</v>
      </c>
      <c r="E21" s="1215" t="s">
        <v>2032</v>
      </c>
      <c r="F21" s="1215"/>
      <c r="G21" s="1215"/>
      <c r="H21" s="1215"/>
      <c r="I21" s="1215"/>
      <c r="J21" s="1264" t="s">
        <v>2059</v>
      </c>
      <c r="K21" s="1265">
        <v>33</v>
      </c>
      <c r="L21" s="1218">
        <v>126</v>
      </c>
      <c r="M21" s="1218">
        <v>6</v>
      </c>
      <c r="N21" s="1218">
        <v>0</v>
      </c>
      <c r="O21" s="1218">
        <v>0</v>
      </c>
      <c r="P21" s="1218">
        <v>3</v>
      </c>
      <c r="Q21" s="1377">
        <f>P21/L21</f>
        <v>2.3809523809523808E-2</v>
      </c>
    </row>
    <row r="22" spans="1:17" s="1425" customFormat="1" ht="43.9" hidden="1" customHeight="1" x14ac:dyDescent="0.35">
      <c r="A22" s="1619" t="s">
        <v>865</v>
      </c>
      <c r="B22" s="1620">
        <v>45398</v>
      </c>
      <c r="C22" s="1619" t="s">
        <v>2061</v>
      </c>
      <c r="D22" s="1621" t="s">
        <v>413</v>
      </c>
      <c r="E22" s="1622" t="s">
        <v>2062</v>
      </c>
      <c r="F22" s="1622"/>
      <c r="G22" s="1622"/>
      <c r="H22" s="1622"/>
      <c r="I22" s="1622"/>
      <c r="J22" s="1623" t="s">
        <v>2063</v>
      </c>
      <c r="K22" s="1624"/>
      <c r="L22" s="1625">
        <v>25</v>
      </c>
      <c r="M22" s="1625">
        <v>0</v>
      </c>
      <c r="N22" s="1625">
        <v>0</v>
      </c>
      <c r="O22" s="1625">
        <v>0</v>
      </c>
      <c r="P22" s="1625">
        <v>0</v>
      </c>
      <c r="Q22" s="1626">
        <v>0</v>
      </c>
    </row>
    <row r="23" spans="1:17" s="1478" customFormat="1" ht="43.9" hidden="1" customHeight="1" x14ac:dyDescent="0.35">
      <c r="A23" s="1211" t="s">
        <v>865</v>
      </c>
      <c r="B23" s="1223">
        <v>45398</v>
      </c>
      <c r="C23" s="1211" t="s">
        <v>2061</v>
      </c>
      <c r="D23" s="1220" t="s">
        <v>413</v>
      </c>
      <c r="E23" s="1215" t="s">
        <v>2064</v>
      </c>
      <c r="F23" s="1215"/>
      <c r="G23" s="1215"/>
      <c r="H23" s="1215"/>
      <c r="I23" s="1215"/>
      <c r="J23" s="1264" t="s">
        <v>2063</v>
      </c>
      <c r="K23" s="1265">
        <v>46</v>
      </c>
      <c r="L23" s="1218">
        <v>117</v>
      </c>
      <c r="M23" s="1218">
        <v>4</v>
      </c>
      <c r="N23" s="1218">
        <v>4</v>
      </c>
      <c r="O23" s="1218">
        <v>0</v>
      </c>
      <c r="P23" s="1218">
        <v>0</v>
      </c>
      <c r="Q23" s="1377">
        <v>0</v>
      </c>
    </row>
    <row r="24" spans="1:17" s="1478" customFormat="1" ht="43.9" hidden="1" customHeight="1" x14ac:dyDescent="0.35">
      <c r="A24" s="1627" t="s">
        <v>868</v>
      </c>
      <c r="B24" s="1628"/>
      <c r="C24" s="1628"/>
      <c r="D24" s="1628"/>
      <c r="E24" s="1629" t="s">
        <v>2065</v>
      </c>
      <c r="F24" s="1630"/>
      <c r="G24" s="1630"/>
      <c r="H24" s="1630"/>
      <c r="I24" s="1630"/>
      <c r="J24" s="1631"/>
      <c r="K24" s="1632"/>
      <c r="L24" s="1633"/>
      <c r="M24" s="1633"/>
      <c r="N24" s="1633"/>
      <c r="O24" s="1633"/>
      <c r="P24" s="1633"/>
      <c r="Q24" s="1634"/>
    </row>
    <row r="25" spans="1:17" s="1425" customFormat="1" ht="126" hidden="1" x14ac:dyDescent="0.35">
      <c r="A25" s="1211" t="s">
        <v>868</v>
      </c>
      <c r="B25" s="1223">
        <v>45405</v>
      </c>
      <c r="C25" s="1211" t="s">
        <v>86</v>
      </c>
      <c r="D25" s="1220" t="s">
        <v>2033</v>
      </c>
      <c r="E25" s="1215" t="s">
        <v>2066</v>
      </c>
      <c r="F25" s="1215" t="s">
        <v>2067</v>
      </c>
      <c r="G25" s="1215" t="s">
        <v>2068</v>
      </c>
      <c r="H25" s="1215"/>
      <c r="I25" s="1216" t="s">
        <v>2069</v>
      </c>
      <c r="J25" s="1264" t="s">
        <v>2070</v>
      </c>
      <c r="K25" s="1265">
        <v>69</v>
      </c>
      <c r="L25" s="1218">
        <v>502</v>
      </c>
      <c r="M25" s="1218">
        <v>56</v>
      </c>
      <c r="N25" s="1218">
        <v>5</v>
      </c>
      <c r="O25" s="1218">
        <v>1</v>
      </c>
      <c r="P25" s="1218">
        <v>6</v>
      </c>
      <c r="Q25" s="1377">
        <f>P25/L25</f>
        <v>1.1952191235059761E-2</v>
      </c>
    </row>
    <row r="26" spans="1:17" s="1425" customFormat="1" ht="43.9" hidden="1" customHeight="1" x14ac:dyDescent="0.35">
      <c r="A26" s="1211" t="s">
        <v>880</v>
      </c>
      <c r="B26" s="1223">
        <v>45412</v>
      </c>
      <c r="C26" s="1211" t="s">
        <v>86</v>
      </c>
      <c r="D26" s="1220" t="s">
        <v>2033</v>
      </c>
      <c r="E26" s="1215" t="s">
        <v>2071</v>
      </c>
      <c r="F26" s="1215" t="s">
        <v>2067</v>
      </c>
      <c r="G26" s="1215"/>
      <c r="H26" s="1215"/>
      <c r="I26" s="1215"/>
      <c r="J26" s="1264" t="s">
        <v>2072</v>
      </c>
      <c r="K26" s="1265">
        <v>59</v>
      </c>
      <c r="L26" s="1265">
        <v>442</v>
      </c>
      <c r="M26" s="1218">
        <v>19</v>
      </c>
      <c r="N26" s="1218">
        <v>3</v>
      </c>
      <c r="O26" s="1218">
        <v>3</v>
      </c>
      <c r="P26" s="1218">
        <v>0</v>
      </c>
      <c r="Q26" s="1377">
        <v>0</v>
      </c>
    </row>
    <row r="27" spans="1:17" s="1478" customFormat="1" ht="43.9" hidden="1" customHeight="1" x14ac:dyDescent="0.35">
      <c r="A27" s="1635" t="s">
        <v>885</v>
      </c>
      <c r="B27" s="1628"/>
      <c r="C27" s="1628"/>
      <c r="D27" s="1628"/>
      <c r="E27" s="1629" t="s">
        <v>2073</v>
      </c>
      <c r="F27" s="1630"/>
      <c r="G27" s="1630"/>
      <c r="H27" s="1630"/>
      <c r="I27" s="1630"/>
      <c r="J27" s="1631"/>
      <c r="K27" s="1632"/>
      <c r="L27" s="1633"/>
      <c r="M27" s="1633"/>
      <c r="N27" s="1633"/>
      <c r="O27" s="1633"/>
      <c r="P27" s="1633"/>
      <c r="Q27" s="1634"/>
    </row>
    <row r="28" spans="1:17" s="1425" customFormat="1" ht="147" hidden="1" x14ac:dyDescent="0.35">
      <c r="A28" s="1211" t="s">
        <v>885</v>
      </c>
      <c r="B28" s="1223">
        <v>45419</v>
      </c>
      <c r="C28" s="1211" t="s">
        <v>1577</v>
      </c>
      <c r="D28" s="1220" t="s">
        <v>413</v>
      </c>
      <c r="E28" s="1215" t="s">
        <v>2074</v>
      </c>
      <c r="F28" s="1215" t="s">
        <v>2075</v>
      </c>
      <c r="G28" s="1215" t="s">
        <v>2076</v>
      </c>
      <c r="H28" s="1215"/>
      <c r="I28" s="1215"/>
      <c r="J28" s="1264" t="s">
        <v>2077</v>
      </c>
      <c r="K28" s="1265">
        <v>96</v>
      </c>
      <c r="L28" s="1218">
        <v>76</v>
      </c>
      <c r="M28" s="1218">
        <v>16</v>
      </c>
      <c r="N28" s="1218">
        <v>0</v>
      </c>
      <c r="O28" s="1218">
        <v>1</v>
      </c>
      <c r="P28" s="1218">
        <v>1</v>
      </c>
      <c r="Q28" s="1438">
        <f>P28/L28</f>
        <v>1.3157894736842105E-2</v>
      </c>
    </row>
    <row r="29" spans="1:17" s="1425" customFormat="1" ht="126" hidden="1" x14ac:dyDescent="0.35">
      <c r="A29" s="1211" t="s">
        <v>885</v>
      </c>
      <c r="B29" s="1223">
        <v>45419</v>
      </c>
      <c r="C29" s="1211" t="s">
        <v>2057</v>
      </c>
      <c r="D29" s="1220" t="s">
        <v>413</v>
      </c>
      <c r="E29" s="1215" t="s">
        <v>2058</v>
      </c>
      <c r="F29" s="1215" t="s">
        <v>2078</v>
      </c>
      <c r="G29" s="1215" t="s">
        <v>2076</v>
      </c>
      <c r="H29" s="1215"/>
      <c r="I29" s="1215"/>
      <c r="J29" s="1264" t="s">
        <v>2077</v>
      </c>
      <c r="K29" s="1265">
        <v>96</v>
      </c>
      <c r="L29" s="1218">
        <v>20</v>
      </c>
      <c r="M29" s="1218">
        <v>3</v>
      </c>
      <c r="N29" s="1218">
        <v>0</v>
      </c>
      <c r="O29" s="1218">
        <v>0</v>
      </c>
      <c r="P29" s="1218">
        <v>0</v>
      </c>
      <c r="Q29" s="1377">
        <v>0</v>
      </c>
    </row>
    <row r="30" spans="1:17" s="1425" customFormat="1" ht="126" hidden="1" x14ac:dyDescent="0.35">
      <c r="A30" s="1211" t="s">
        <v>885</v>
      </c>
      <c r="B30" s="1223">
        <v>45419</v>
      </c>
      <c r="C30" s="1211" t="s">
        <v>2060</v>
      </c>
      <c r="D30" s="1220" t="s">
        <v>413</v>
      </c>
      <c r="E30" s="1215" t="s">
        <v>2079</v>
      </c>
      <c r="F30" s="1215" t="s">
        <v>2078</v>
      </c>
      <c r="G30" s="1215" t="s">
        <v>2076</v>
      </c>
      <c r="H30" s="1215"/>
      <c r="I30" s="1215"/>
      <c r="J30" s="1264" t="s">
        <v>2077</v>
      </c>
      <c r="K30" s="1265">
        <v>96</v>
      </c>
      <c r="L30" s="1218">
        <v>116</v>
      </c>
      <c r="M30" s="1218">
        <v>5</v>
      </c>
      <c r="N30" s="1218">
        <v>0</v>
      </c>
      <c r="O30" s="1218">
        <v>0</v>
      </c>
      <c r="P30" s="1218">
        <v>0</v>
      </c>
      <c r="Q30" s="1377">
        <v>0</v>
      </c>
    </row>
    <row r="31" spans="1:17" s="1425" customFormat="1" ht="43.9" hidden="1" customHeight="1" x14ac:dyDescent="0.35">
      <c r="A31" s="1211" t="s">
        <v>895</v>
      </c>
      <c r="B31" s="1223">
        <v>45426</v>
      </c>
      <c r="C31" s="1211" t="s">
        <v>1577</v>
      </c>
      <c r="D31" s="1220" t="s">
        <v>413</v>
      </c>
      <c r="E31" s="1215" t="s">
        <v>2080</v>
      </c>
      <c r="F31" s="1215"/>
      <c r="G31" s="1215"/>
      <c r="H31" s="1215"/>
      <c r="I31" s="1215"/>
      <c r="J31" s="1264" t="s">
        <v>2081</v>
      </c>
      <c r="K31" s="1265">
        <v>83</v>
      </c>
      <c r="L31" s="1218">
        <v>56</v>
      </c>
      <c r="M31" s="1218">
        <v>6</v>
      </c>
      <c r="N31" s="1218">
        <v>0</v>
      </c>
      <c r="O31" s="1218">
        <v>0</v>
      </c>
      <c r="P31" s="1218">
        <v>0</v>
      </c>
      <c r="Q31" s="1377">
        <v>0</v>
      </c>
    </row>
    <row r="32" spans="1:17" s="1425" customFormat="1" ht="43.9" hidden="1" customHeight="1" x14ac:dyDescent="0.35">
      <c r="A32" s="1211" t="s">
        <v>895</v>
      </c>
      <c r="B32" s="1223">
        <v>45426</v>
      </c>
      <c r="C32" s="1211" t="s">
        <v>2057</v>
      </c>
      <c r="D32" s="1220" t="s">
        <v>413</v>
      </c>
      <c r="E32" s="1215" t="s">
        <v>2082</v>
      </c>
      <c r="F32" s="1215"/>
      <c r="G32" s="1215"/>
      <c r="H32" s="1215"/>
      <c r="I32" s="1215"/>
      <c r="J32" s="1264" t="s">
        <v>2081</v>
      </c>
      <c r="K32" s="1265">
        <v>83</v>
      </c>
      <c r="L32" s="1218">
        <v>18</v>
      </c>
      <c r="M32" s="1218">
        <v>4</v>
      </c>
      <c r="N32" s="1218">
        <v>0</v>
      </c>
      <c r="O32" s="1218">
        <v>0</v>
      </c>
      <c r="P32" s="1218">
        <v>0</v>
      </c>
      <c r="Q32" s="1377">
        <v>0</v>
      </c>
    </row>
    <row r="33" spans="1:17" s="1425" customFormat="1" ht="43.9" hidden="1" customHeight="1" x14ac:dyDescent="0.35">
      <c r="A33" s="1211" t="s">
        <v>895</v>
      </c>
      <c r="B33" s="1223">
        <v>45426</v>
      </c>
      <c r="C33" s="1211" t="s">
        <v>2060</v>
      </c>
      <c r="D33" s="1220" t="s">
        <v>413</v>
      </c>
      <c r="E33" s="1215" t="s">
        <v>2083</v>
      </c>
      <c r="F33" s="1215"/>
      <c r="G33" s="1215"/>
      <c r="H33" s="1215"/>
      <c r="I33" s="1215"/>
      <c r="J33" s="1264" t="s">
        <v>2081</v>
      </c>
      <c r="K33" s="1265">
        <v>83</v>
      </c>
      <c r="L33" s="1218">
        <v>111</v>
      </c>
      <c r="M33" s="1218">
        <v>4</v>
      </c>
      <c r="N33" s="1218">
        <v>1</v>
      </c>
      <c r="O33" s="1218">
        <v>0</v>
      </c>
      <c r="P33" s="1218">
        <v>0</v>
      </c>
      <c r="Q33" s="1377">
        <v>0</v>
      </c>
    </row>
    <row r="34" spans="1:17" s="1413" customFormat="1" ht="147" hidden="1" x14ac:dyDescent="0.35">
      <c r="A34" s="1211" t="s">
        <v>903</v>
      </c>
      <c r="B34" s="1223">
        <v>45433</v>
      </c>
      <c r="C34" s="1211" t="s">
        <v>86</v>
      </c>
      <c r="D34" s="1220" t="s">
        <v>2033</v>
      </c>
      <c r="E34" s="1215" t="s">
        <v>2084</v>
      </c>
      <c r="F34" s="1215" t="s">
        <v>2085</v>
      </c>
      <c r="G34" s="1215"/>
      <c r="H34" s="1215"/>
      <c r="I34" s="1215"/>
      <c r="J34" s="1264" t="s">
        <v>2086</v>
      </c>
      <c r="K34" s="1265">
        <v>68</v>
      </c>
      <c r="L34" s="1218">
        <v>518</v>
      </c>
      <c r="M34" s="1218">
        <v>59</v>
      </c>
      <c r="N34" s="1218">
        <v>2</v>
      </c>
      <c r="O34" s="1218">
        <v>3</v>
      </c>
      <c r="P34" s="1218">
        <v>5</v>
      </c>
      <c r="Q34" s="1377">
        <f>P34/L34</f>
        <v>9.6525096525096523E-3</v>
      </c>
    </row>
    <row r="35" spans="1:17" s="1425" customFormat="1" ht="43.9" hidden="1" customHeight="1" x14ac:dyDescent="0.35">
      <c r="A35" s="1206" t="s">
        <v>911</v>
      </c>
      <c r="B35" s="2046" t="s">
        <v>912</v>
      </c>
      <c r="C35" s="2046"/>
      <c r="D35" s="2046"/>
      <c r="E35" s="2046"/>
      <c r="F35" s="2046"/>
      <c r="G35" s="2046"/>
      <c r="H35" s="1636"/>
      <c r="I35" s="1208"/>
      <c r="J35" s="1208"/>
      <c r="K35" s="1209"/>
      <c r="L35" s="1209"/>
      <c r="M35" s="1209"/>
      <c r="N35" s="1209"/>
      <c r="O35" s="1209"/>
      <c r="P35" s="1209"/>
      <c r="Q35" s="1364"/>
    </row>
    <row r="36" spans="1:17" s="1448" customFormat="1" ht="43.9" hidden="1" customHeight="1" x14ac:dyDescent="0.35">
      <c r="A36" s="1211" t="s">
        <v>917</v>
      </c>
      <c r="B36" s="1223">
        <v>45447</v>
      </c>
      <c r="C36" s="1211" t="s">
        <v>2087</v>
      </c>
      <c r="D36" s="1220" t="s">
        <v>2033</v>
      </c>
      <c r="E36" s="1215" t="s">
        <v>2088</v>
      </c>
      <c r="F36" s="1215"/>
      <c r="G36" s="1215"/>
      <c r="H36" s="1215"/>
      <c r="I36" s="1215"/>
      <c r="J36" s="1264" t="s">
        <v>2089</v>
      </c>
      <c r="K36" s="1265">
        <v>83</v>
      </c>
      <c r="L36" s="1233">
        <v>450</v>
      </c>
      <c r="M36" s="1233">
        <v>47</v>
      </c>
      <c r="N36" s="1218">
        <v>12</v>
      </c>
      <c r="O36" s="1233">
        <v>1</v>
      </c>
      <c r="P36" s="1218">
        <v>0</v>
      </c>
      <c r="Q36" s="1374">
        <v>0</v>
      </c>
    </row>
    <row r="37" spans="1:17" s="1448" customFormat="1" ht="43.9" hidden="1" customHeight="1" x14ac:dyDescent="0.35">
      <c r="A37" s="1211" t="s">
        <v>917</v>
      </c>
      <c r="B37" s="1223">
        <v>45449</v>
      </c>
      <c r="C37" s="1211" t="s">
        <v>2090</v>
      </c>
      <c r="D37" s="1220" t="s">
        <v>2091</v>
      </c>
      <c r="E37" s="1215" t="s">
        <v>2092</v>
      </c>
      <c r="F37" s="1215"/>
      <c r="G37" s="1215"/>
      <c r="H37" s="1215"/>
      <c r="I37" s="1215"/>
      <c r="J37" s="1264" t="s">
        <v>2093</v>
      </c>
      <c r="K37" s="1265">
        <v>60</v>
      </c>
      <c r="L37" s="1233">
        <v>54</v>
      </c>
      <c r="M37" s="1233">
        <v>20</v>
      </c>
      <c r="N37" s="1218">
        <v>5</v>
      </c>
      <c r="O37" s="1233">
        <v>0</v>
      </c>
      <c r="P37" s="1218">
        <v>0</v>
      </c>
      <c r="Q37" s="1374">
        <v>0</v>
      </c>
    </row>
    <row r="38" spans="1:17" s="1413" customFormat="1" ht="74.25" hidden="1" customHeight="1" x14ac:dyDescent="0.35">
      <c r="A38" s="1637" t="s">
        <v>921</v>
      </c>
      <c r="B38" s="1638">
        <v>45454</v>
      </c>
      <c r="C38" s="1637" t="s">
        <v>1577</v>
      </c>
      <c r="D38" s="1639" t="s">
        <v>413</v>
      </c>
      <c r="E38" s="1263" t="s">
        <v>2094</v>
      </c>
      <c r="F38" s="1263" t="s">
        <v>2095</v>
      </c>
      <c r="G38" s="1263"/>
      <c r="H38" s="1263"/>
      <c r="I38" s="1640"/>
      <c r="J38" s="1641" t="s">
        <v>2096</v>
      </c>
      <c r="K38" s="1642">
        <v>67</v>
      </c>
      <c r="L38" s="1643">
        <v>60</v>
      </c>
      <c r="M38" s="1643">
        <v>20</v>
      </c>
      <c r="N38" s="1643">
        <v>1</v>
      </c>
      <c r="O38" s="1643">
        <v>0</v>
      </c>
      <c r="P38" s="1643">
        <v>0</v>
      </c>
      <c r="Q38" s="1644">
        <v>0</v>
      </c>
    </row>
    <row r="39" spans="1:17" s="1413" customFormat="1" ht="65.25" hidden="1" customHeight="1" x14ac:dyDescent="0.35">
      <c r="A39" s="1211" t="s">
        <v>934</v>
      </c>
      <c r="B39" s="1223">
        <v>45463</v>
      </c>
      <c r="C39" s="1211" t="s">
        <v>86</v>
      </c>
      <c r="D39" s="1220" t="s">
        <v>2097</v>
      </c>
      <c r="E39" s="1215" t="s">
        <v>2098</v>
      </c>
      <c r="F39" s="1215"/>
      <c r="G39" s="1215" t="s">
        <v>2099</v>
      </c>
      <c r="H39" s="1215"/>
      <c r="I39" s="1225"/>
      <c r="J39" s="1645" t="s">
        <v>2100</v>
      </c>
      <c r="K39" s="1265">
        <v>55</v>
      </c>
      <c r="L39" s="1218">
        <v>490</v>
      </c>
      <c r="M39" s="1218">
        <v>70</v>
      </c>
      <c r="N39" s="1218">
        <v>2</v>
      </c>
      <c r="O39" s="1218">
        <v>2</v>
      </c>
      <c r="P39" s="1218">
        <v>4</v>
      </c>
      <c r="Q39" s="1377">
        <f>P39/L39</f>
        <v>8.1632653061224497E-3</v>
      </c>
    </row>
    <row r="40" spans="1:17" s="1413" customFormat="1" ht="65.25" hidden="1" customHeight="1" x14ac:dyDescent="0.35">
      <c r="A40" s="1211" t="s">
        <v>940</v>
      </c>
      <c r="B40" s="1223">
        <v>45468</v>
      </c>
      <c r="C40" s="1646" t="s">
        <v>86</v>
      </c>
      <c r="D40" s="1242" t="s">
        <v>2091</v>
      </c>
      <c r="E40" s="1646" t="s">
        <v>2101</v>
      </c>
      <c r="F40" s="1646"/>
      <c r="G40" s="1215"/>
      <c r="H40" s="1215"/>
      <c r="I40" s="1215"/>
      <c r="J40" s="1264" t="s">
        <v>2102</v>
      </c>
      <c r="K40" s="1265">
        <v>88</v>
      </c>
      <c r="L40" s="1218">
        <v>50</v>
      </c>
      <c r="M40" s="1218">
        <v>23</v>
      </c>
      <c r="N40" s="1218">
        <v>10</v>
      </c>
      <c r="O40" s="1218">
        <v>0</v>
      </c>
      <c r="P40" s="1218">
        <v>0</v>
      </c>
      <c r="Q40" s="1377">
        <v>0</v>
      </c>
    </row>
    <row r="41" spans="1:17" s="1413" customFormat="1" ht="65.25" hidden="1" customHeight="1" x14ac:dyDescent="0.35">
      <c r="A41" s="1234" t="s">
        <v>946</v>
      </c>
      <c r="B41" s="2041" t="s">
        <v>702</v>
      </c>
      <c r="C41" s="2041"/>
      <c r="D41" s="2041"/>
      <c r="E41" s="2041"/>
      <c r="F41" s="2041"/>
      <c r="G41" s="2041"/>
      <c r="H41" s="1299"/>
      <c r="I41" s="1236"/>
      <c r="J41" s="1391"/>
      <c r="K41" s="1285"/>
      <c r="L41" s="1238"/>
      <c r="M41" s="1238"/>
      <c r="N41" s="1238"/>
      <c r="O41" s="1238"/>
      <c r="P41" s="1238"/>
      <c r="Q41" s="1647"/>
    </row>
    <row r="42" spans="1:17" s="1413" customFormat="1" ht="45.75" hidden="1" customHeight="1" x14ac:dyDescent="0.35">
      <c r="A42" s="1223" t="s">
        <v>946</v>
      </c>
      <c r="B42" s="1223">
        <v>45475</v>
      </c>
      <c r="C42" s="1646" t="s">
        <v>2103</v>
      </c>
      <c r="D42" s="1242" t="s">
        <v>2091</v>
      </c>
      <c r="E42" s="1646" t="s">
        <v>2104</v>
      </c>
      <c r="F42" s="1646"/>
      <c r="G42" s="1263"/>
      <c r="H42" s="1263"/>
      <c r="I42" s="1215"/>
      <c r="J42" s="1264" t="s">
        <v>2105</v>
      </c>
      <c r="K42" s="1265">
        <v>72</v>
      </c>
      <c r="L42" s="1265">
        <v>30</v>
      </c>
      <c r="M42" s="1265">
        <v>7</v>
      </c>
      <c r="N42" s="1265">
        <v>2</v>
      </c>
      <c r="O42" s="1265">
        <v>0</v>
      </c>
      <c r="P42" s="1265">
        <v>0</v>
      </c>
      <c r="Q42" s="1379">
        <v>0</v>
      </c>
    </row>
    <row r="43" spans="1:17" s="1502" customFormat="1" ht="61.5" hidden="1" customHeight="1" x14ac:dyDescent="0.5">
      <c r="A43" s="1223" t="s">
        <v>947</v>
      </c>
      <c r="B43" s="1223">
        <v>45483</v>
      </c>
      <c r="C43" s="1646" t="s">
        <v>2106</v>
      </c>
      <c r="D43" s="1242" t="s">
        <v>2091</v>
      </c>
      <c r="E43" s="1646" t="s">
        <v>2107</v>
      </c>
      <c r="F43" s="1646" t="s">
        <v>2108</v>
      </c>
      <c r="G43" s="1215" t="s">
        <v>2109</v>
      </c>
      <c r="H43" s="1215"/>
      <c r="I43" s="1215"/>
      <c r="J43" s="1264" t="s">
        <v>954</v>
      </c>
      <c r="K43" s="1265">
        <v>66</v>
      </c>
      <c r="L43" s="1265">
        <v>65</v>
      </c>
      <c r="M43" s="1265">
        <v>24</v>
      </c>
      <c r="N43" s="1265">
        <v>3</v>
      </c>
      <c r="O43" s="1265">
        <v>0</v>
      </c>
      <c r="P43" s="1265">
        <v>0</v>
      </c>
      <c r="Q43" s="1379">
        <v>0</v>
      </c>
    </row>
    <row r="44" spans="1:17" s="1502" customFormat="1" ht="61.5" hidden="1" customHeight="1" x14ac:dyDescent="0.5">
      <c r="A44" s="1223" t="s">
        <v>947</v>
      </c>
      <c r="B44" s="1223">
        <v>45485</v>
      </c>
      <c r="C44" s="1646" t="s">
        <v>2110</v>
      </c>
      <c r="D44" s="1242" t="s">
        <v>2091</v>
      </c>
      <c r="E44" s="1646" t="s">
        <v>2111</v>
      </c>
      <c r="F44" s="1646"/>
      <c r="G44" s="1215" t="s">
        <v>2112</v>
      </c>
      <c r="H44" s="1215"/>
      <c r="I44" s="1215"/>
      <c r="J44" s="1264" t="s">
        <v>2113</v>
      </c>
      <c r="K44" s="1265">
        <v>66</v>
      </c>
      <c r="L44" s="1265">
        <v>66</v>
      </c>
      <c r="M44" s="1265">
        <v>23</v>
      </c>
      <c r="N44" s="1265">
        <v>4</v>
      </c>
      <c r="O44" s="1265">
        <v>0</v>
      </c>
      <c r="P44" s="1265">
        <v>0</v>
      </c>
      <c r="Q44" s="1379">
        <v>0</v>
      </c>
    </row>
    <row r="45" spans="1:17" s="1502" customFormat="1" ht="61.5" hidden="1" customHeight="1" x14ac:dyDescent="0.5">
      <c r="A45" s="1223" t="s">
        <v>704</v>
      </c>
      <c r="B45" s="1223">
        <v>45492</v>
      </c>
      <c r="C45" s="1646" t="s">
        <v>2106</v>
      </c>
      <c r="D45" s="1242" t="s">
        <v>2091</v>
      </c>
      <c r="E45" s="1646" t="s">
        <v>2114</v>
      </c>
      <c r="F45" s="1646" t="s">
        <v>2108</v>
      </c>
      <c r="G45" s="1215" t="s">
        <v>2109</v>
      </c>
      <c r="H45" s="1215"/>
      <c r="I45" s="1215"/>
      <c r="J45" s="1264" t="s">
        <v>970</v>
      </c>
      <c r="K45" s="1265">
        <v>38</v>
      </c>
      <c r="L45" s="1265">
        <v>59</v>
      </c>
      <c r="M45" s="1265">
        <v>28</v>
      </c>
      <c r="N45" s="1265">
        <v>2</v>
      </c>
      <c r="O45" s="1265">
        <v>0</v>
      </c>
      <c r="P45" s="1265">
        <v>0</v>
      </c>
      <c r="Q45" s="1379">
        <v>0</v>
      </c>
    </row>
    <row r="46" spans="1:17" s="1502" customFormat="1" ht="44.25" hidden="1" customHeight="1" x14ac:dyDescent="0.5">
      <c r="A46" s="1234" t="s">
        <v>971</v>
      </c>
      <c r="B46" s="2041" t="s">
        <v>2115</v>
      </c>
      <c r="C46" s="2041"/>
      <c r="D46" s="2041"/>
      <c r="E46" s="2041"/>
      <c r="F46" s="2041"/>
      <c r="G46" s="2041"/>
      <c r="H46" s="1299"/>
      <c r="I46" s="1236"/>
      <c r="J46" s="1391"/>
      <c r="K46" s="1285"/>
      <c r="L46" s="1238"/>
      <c r="M46" s="1238"/>
      <c r="N46" s="1238"/>
      <c r="O46" s="1238"/>
      <c r="P46" s="1238"/>
      <c r="Q46" s="1647"/>
    </row>
    <row r="47" spans="1:17" s="1413" customFormat="1" ht="45.75" hidden="1" customHeight="1" x14ac:dyDescent="0.35">
      <c r="A47" s="1234" t="s">
        <v>971</v>
      </c>
      <c r="B47" s="2041" t="s">
        <v>2116</v>
      </c>
      <c r="C47" s="2041"/>
      <c r="D47" s="2041"/>
      <c r="E47" s="2041"/>
      <c r="F47" s="2041"/>
      <c r="G47" s="2041"/>
      <c r="H47" s="1299"/>
      <c r="I47" s="1236"/>
      <c r="J47" s="1391"/>
      <c r="K47" s="1285"/>
      <c r="L47" s="1238"/>
      <c r="M47" s="1238"/>
      <c r="N47" s="1238"/>
      <c r="O47" s="1238"/>
      <c r="P47" s="1238"/>
      <c r="Q47" s="1647"/>
    </row>
    <row r="48" spans="1:17" s="1413" customFormat="1" ht="45.75" hidden="1" customHeight="1" x14ac:dyDescent="0.35">
      <c r="A48" s="1223" t="s">
        <v>971</v>
      </c>
      <c r="B48" s="1223" t="s">
        <v>2117</v>
      </c>
      <c r="C48" s="1646" t="s">
        <v>2106</v>
      </c>
      <c r="D48" s="1242" t="s">
        <v>2091</v>
      </c>
      <c r="E48" s="1646" t="s">
        <v>2118</v>
      </c>
      <c r="F48" s="1646" t="s">
        <v>2108</v>
      </c>
      <c r="G48" s="1215" t="s">
        <v>2119</v>
      </c>
      <c r="H48" s="1215"/>
      <c r="I48" s="1215"/>
      <c r="J48" s="1264" t="s">
        <v>2120</v>
      </c>
      <c r="K48" s="1265">
        <v>87</v>
      </c>
      <c r="L48" s="1265">
        <v>59</v>
      </c>
      <c r="M48" s="1265">
        <v>22</v>
      </c>
      <c r="N48" s="1265">
        <v>2</v>
      </c>
      <c r="O48" s="1265">
        <v>0</v>
      </c>
      <c r="P48" s="1265">
        <v>0</v>
      </c>
      <c r="Q48" s="1379">
        <v>0</v>
      </c>
    </row>
    <row r="49" spans="1:17" s="1502" customFormat="1" ht="61.5" hidden="1" customHeight="1" x14ac:dyDescent="0.5">
      <c r="A49" s="1223" t="s">
        <v>977</v>
      </c>
      <c r="B49" s="1372">
        <v>45503</v>
      </c>
      <c r="C49" s="1222" t="s">
        <v>2110</v>
      </c>
      <c r="D49" s="1242" t="s">
        <v>2091</v>
      </c>
      <c r="E49" s="1222" t="s">
        <v>2121</v>
      </c>
      <c r="F49" s="1222" t="s">
        <v>2122</v>
      </c>
      <c r="G49" s="1222"/>
      <c r="H49" s="1222"/>
      <c r="I49" s="1267"/>
      <c r="J49" s="1243" t="s">
        <v>2123</v>
      </c>
      <c r="K49" s="1233">
        <v>22</v>
      </c>
      <c r="L49" s="1265">
        <v>65</v>
      </c>
      <c r="M49" s="1265">
        <v>35</v>
      </c>
      <c r="N49" s="1265">
        <v>18</v>
      </c>
      <c r="O49" s="1265">
        <v>0</v>
      </c>
      <c r="P49" s="1265">
        <v>1</v>
      </c>
      <c r="Q49" s="1379">
        <f>P49/L49</f>
        <v>1.5384615384615385E-2</v>
      </c>
    </row>
    <row r="50" spans="1:17" s="1502" customFormat="1" ht="61.5" hidden="1" customHeight="1" x14ac:dyDescent="0.5">
      <c r="A50" s="1223" t="s">
        <v>977</v>
      </c>
      <c r="B50" s="1372">
        <v>45505</v>
      </c>
      <c r="C50" s="1222" t="s">
        <v>2124</v>
      </c>
      <c r="D50" s="1242" t="s">
        <v>413</v>
      </c>
      <c r="E50" s="1222" t="s">
        <v>113</v>
      </c>
      <c r="F50" s="1222" t="s">
        <v>2125</v>
      </c>
      <c r="G50" s="1222"/>
      <c r="H50" s="1222"/>
      <c r="I50" s="1267"/>
      <c r="J50" s="1243" t="s">
        <v>2126</v>
      </c>
      <c r="K50" s="1233">
        <v>18</v>
      </c>
      <c r="L50" s="1265">
        <v>285</v>
      </c>
      <c r="M50" s="1265">
        <v>44</v>
      </c>
      <c r="N50" s="1265">
        <v>10</v>
      </c>
      <c r="O50" s="1265">
        <v>3</v>
      </c>
      <c r="P50" s="1265">
        <v>2</v>
      </c>
      <c r="Q50" s="1379">
        <f>P50/L50</f>
        <v>7.0175438596491229E-3</v>
      </c>
    </row>
    <row r="51" spans="1:17" s="1502" customFormat="1" ht="61.5" hidden="1" customHeight="1" x14ac:dyDescent="0.5">
      <c r="A51" s="1223" t="s">
        <v>977</v>
      </c>
      <c r="B51" s="1223">
        <v>45506</v>
      </c>
      <c r="C51" s="1223" t="s">
        <v>2127</v>
      </c>
      <c r="D51" s="1242" t="s">
        <v>2091</v>
      </c>
      <c r="E51" s="1222" t="s">
        <v>2128</v>
      </c>
      <c r="F51" s="1222"/>
      <c r="G51" s="1215"/>
      <c r="H51" s="1215"/>
      <c r="I51" s="1215"/>
      <c r="J51" s="1264" t="s">
        <v>2129</v>
      </c>
      <c r="K51" s="1265">
        <v>14</v>
      </c>
      <c r="L51" s="1218">
        <v>29</v>
      </c>
      <c r="M51" s="1218">
        <v>3</v>
      </c>
      <c r="N51" s="1218">
        <v>0</v>
      </c>
      <c r="O51" s="1218">
        <v>0</v>
      </c>
      <c r="P51" s="1218">
        <v>0</v>
      </c>
      <c r="Q51" s="1377">
        <v>0</v>
      </c>
    </row>
    <row r="52" spans="1:17" s="1502" customFormat="1" ht="61.5" hidden="1" customHeight="1" x14ac:dyDescent="0.5">
      <c r="A52" s="1638" t="s">
        <v>987</v>
      </c>
      <c r="B52" s="1266"/>
      <c r="C52" s="1222"/>
      <c r="D52" s="1242"/>
      <c r="E52" s="1222"/>
      <c r="F52" s="1222"/>
      <c r="G52" s="1222"/>
      <c r="H52" s="1222"/>
      <c r="I52" s="1267"/>
      <c r="J52" s="1243"/>
      <c r="K52" s="1233"/>
      <c r="L52" s="1265"/>
      <c r="M52" s="1265"/>
      <c r="N52" s="1265"/>
      <c r="O52" s="1265"/>
      <c r="P52" s="1265"/>
      <c r="Q52" s="1379"/>
    </row>
    <row r="53" spans="1:17" s="1502" customFormat="1" ht="61.5" hidden="1" customHeight="1" x14ac:dyDescent="0.5">
      <c r="A53" s="1223" t="s">
        <v>989</v>
      </c>
      <c r="B53" s="1223">
        <v>45517</v>
      </c>
      <c r="C53" s="1223" t="s">
        <v>86</v>
      </c>
      <c r="D53" s="1239" t="s">
        <v>413</v>
      </c>
      <c r="E53" s="1215" t="s">
        <v>2130</v>
      </c>
      <c r="F53" s="1215"/>
      <c r="G53" s="1215"/>
      <c r="H53" s="1215"/>
      <c r="I53" s="1215"/>
      <c r="J53" s="1264" t="s">
        <v>2131</v>
      </c>
      <c r="K53" s="1265">
        <v>34</v>
      </c>
      <c r="L53" s="1218">
        <v>443</v>
      </c>
      <c r="M53" s="1218">
        <v>78</v>
      </c>
      <c r="N53" s="1218">
        <v>7</v>
      </c>
      <c r="O53" s="1218">
        <v>2</v>
      </c>
      <c r="P53" s="1218">
        <v>0</v>
      </c>
      <c r="Q53" s="1377">
        <v>0</v>
      </c>
    </row>
    <row r="54" spans="1:17" s="1502" customFormat="1" ht="61.5" hidden="1" customHeight="1" x14ac:dyDescent="0.5">
      <c r="A54" s="1223" t="s">
        <v>991</v>
      </c>
      <c r="B54" s="1223">
        <v>45524</v>
      </c>
      <c r="C54" s="1223" t="s">
        <v>2132</v>
      </c>
      <c r="D54" s="1239" t="s">
        <v>413</v>
      </c>
      <c r="E54" s="1215" t="s">
        <v>2133</v>
      </c>
      <c r="F54" s="1215"/>
      <c r="G54" s="1215"/>
      <c r="H54" s="1215"/>
      <c r="I54" s="1215"/>
      <c r="J54" s="1264" t="s">
        <v>2134</v>
      </c>
      <c r="K54" s="1265">
        <v>38</v>
      </c>
      <c r="L54" s="1218">
        <v>356</v>
      </c>
      <c r="M54" s="1218">
        <v>35</v>
      </c>
      <c r="N54" s="1218">
        <v>1</v>
      </c>
      <c r="O54" s="1218">
        <v>1</v>
      </c>
      <c r="P54" s="1218">
        <v>1</v>
      </c>
      <c r="Q54" s="1377">
        <f>P54/L54</f>
        <v>2.8089887640449437E-3</v>
      </c>
    </row>
    <row r="55" spans="1:17" s="1502" customFormat="1" ht="61.5" hidden="1" customHeight="1" x14ac:dyDescent="0.5">
      <c r="A55" s="1223" t="s">
        <v>1004</v>
      </c>
      <c r="B55" s="1223">
        <v>45531</v>
      </c>
      <c r="C55" s="1223" t="s">
        <v>86</v>
      </c>
      <c r="D55" s="1239" t="s">
        <v>413</v>
      </c>
      <c r="E55" s="1215" t="s">
        <v>2135</v>
      </c>
      <c r="F55" s="1215"/>
      <c r="G55" s="1215"/>
      <c r="H55" s="1215"/>
      <c r="I55" s="1215"/>
      <c r="J55" s="1264" t="s">
        <v>2136</v>
      </c>
      <c r="K55" s="1265">
        <v>25</v>
      </c>
      <c r="L55" s="1218">
        <v>443</v>
      </c>
      <c r="M55" s="1218">
        <v>56</v>
      </c>
      <c r="N55" s="1218">
        <v>2</v>
      </c>
      <c r="O55" s="1218">
        <v>1</v>
      </c>
      <c r="P55" s="1218">
        <v>0</v>
      </c>
      <c r="Q55" s="1377">
        <f>P55/L55</f>
        <v>0</v>
      </c>
    </row>
    <row r="56" spans="1:17" s="1502" customFormat="1" ht="61.5" hidden="1" customHeight="1" x14ac:dyDescent="0.5">
      <c r="A56" s="1241" t="s">
        <v>705</v>
      </c>
      <c r="B56" s="2047" t="s">
        <v>290</v>
      </c>
      <c r="C56" s="2047"/>
      <c r="D56" s="2047"/>
      <c r="E56" s="2047"/>
      <c r="F56" s="2047"/>
      <c r="G56" s="2047"/>
      <c r="H56" s="1240"/>
      <c r="I56" s="1207"/>
      <c r="J56" s="1229"/>
      <c r="K56" s="1270"/>
      <c r="L56" s="1209"/>
      <c r="M56" s="1209"/>
      <c r="N56" s="1209"/>
      <c r="O56" s="1209"/>
      <c r="P56" s="1209"/>
      <c r="Q56" s="1364"/>
    </row>
    <row r="57" spans="1:17" s="1502" customFormat="1" ht="61.5" hidden="1" customHeight="1" x14ac:dyDescent="0.5">
      <c r="A57" s="1245" t="s">
        <v>705</v>
      </c>
      <c r="B57" s="1253"/>
      <c r="C57" s="1253"/>
      <c r="D57" s="1280"/>
      <c r="E57" s="1256"/>
      <c r="F57" s="1256"/>
      <c r="G57" s="1256"/>
      <c r="H57" s="1256"/>
      <c r="I57" s="1256"/>
      <c r="J57" s="1272"/>
      <c r="K57" s="1273"/>
      <c r="L57" s="1600"/>
      <c r="M57" s="1600"/>
      <c r="N57" s="1600"/>
      <c r="O57" s="1600"/>
      <c r="P57" s="1600"/>
      <c r="Q57" s="1361"/>
    </row>
    <row r="58" spans="1:17" s="1502" customFormat="1" ht="61.5" hidden="1" customHeight="1" x14ac:dyDescent="0.5">
      <c r="A58" s="1223" t="s">
        <v>1013</v>
      </c>
      <c r="B58" s="1372">
        <v>45545</v>
      </c>
      <c r="C58" s="1223" t="s">
        <v>2137</v>
      </c>
      <c r="D58" s="1239" t="s">
        <v>413</v>
      </c>
      <c r="E58" s="1215" t="s">
        <v>2138</v>
      </c>
      <c r="F58" s="1243"/>
      <c r="G58" s="1243"/>
      <c r="H58" s="1222"/>
      <c r="I58" s="1243"/>
      <c r="J58" s="1243" t="s">
        <v>2139</v>
      </c>
      <c r="K58" s="1233"/>
      <c r="L58" s="1233">
        <v>374</v>
      </c>
      <c r="M58" s="1233">
        <v>43</v>
      </c>
      <c r="N58" s="1233">
        <v>10</v>
      </c>
      <c r="O58" s="1233">
        <v>1</v>
      </c>
      <c r="P58" s="1233">
        <v>2</v>
      </c>
      <c r="Q58" s="1374">
        <f>P58/L58</f>
        <v>5.3475935828877002E-3</v>
      </c>
    </row>
    <row r="59" spans="1:17" s="1502" customFormat="1" ht="61.5" hidden="1" customHeight="1" x14ac:dyDescent="0.5">
      <c r="A59" s="1223" t="s">
        <v>1016</v>
      </c>
      <c r="B59" s="1372">
        <v>45552</v>
      </c>
      <c r="C59" s="1223"/>
      <c r="D59" s="1239" t="s">
        <v>413</v>
      </c>
      <c r="E59" s="1215" t="s">
        <v>2140</v>
      </c>
      <c r="F59" s="1215"/>
      <c r="G59" s="1215"/>
      <c r="H59" s="1215"/>
      <c r="I59" s="1215"/>
      <c r="J59" s="1264" t="s">
        <v>2141</v>
      </c>
      <c r="K59" s="1264"/>
      <c r="L59" s="1262">
        <v>179</v>
      </c>
      <c r="M59" s="1217">
        <v>26</v>
      </c>
      <c r="N59" s="1218">
        <v>4</v>
      </c>
      <c r="O59" s="1217">
        <v>1</v>
      </c>
      <c r="P59" s="1218">
        <v>0</v>
      </c>
      <c r="Q59" s="1438">
        <v>0</v>
      </c>
    </row>
    <row r="60" spans="1:17" s="1502" customFormat="1" ht="61.5" hidden="1" customHeight="1" x14ac:dyDescent="0.5">
      <c r="A60" s="1246" t="s">
        <v>1026</v>
      </c>
      <c r="B60" s="1337"/>
      <c r="C60" s="1248"/>
      <c r="D60" s="1248"/>
      <c r="E60" s="1248"/>
      <c r="F60" s="1248"/>
      <c r="G60" s="1248"/>
      <c r="H60" s="1248"/>
      <c r="I60" s="1271"/>
      <c r="J60" s="1247"/>
      <c r="K60" s="1250"/>
      <c r="L60" s="1250"/>
      <c r="M60" s="1250"/>
      <c r="N60" s="1250"/>
      <c r="O60" s="1250"/>
      <c r="P60" s="1250"/>
      <c r="Q60" s="1371"/>
    </row>
    <row r="61" spans="1:17" s="1502" customFormat="1" ht="61.5" hidden="1" customHeight="1" x14ac:dyDescent="0.5">
      <c r="A61" s="1274" t="s">
        <v>1026</v>
      </c>
      <c r="B61" s="2068" t="s">
        <v>2142</v>
      </c>
      <c r="C61" s="2086"/>
      <c r="D61" s="2086"/>
      <c r="E61" s="2086"/>
      <c r="F61" s="2086"/>
      <c r="G61" s="2086"/>
      <c r="H61" s="1274"/>
      <c r="I61" s="1269"/>
      <c r="J61" s="1391"/>
      <c r="K61" s="1285"/>
      <c r="L61" s="1270"/>
      <c r="M61" s="1270"/>
      <c r="N61" s="1270"/>
      <c r="O61" s="1270"/>
      <c r="P61" s="1270"/>
      <c r="Q61" s="1382"/>
    </row>
    <row r="62" spans="1:17" s="1502" customFormat="1" ht="61.5" hidden="1" customHeight="1" x14ac:dyDescent="0.5">
      <c r="A62" s="1223" t="s">
        <v>1035</v>
      </c>
      <c r="B62" s="1223">
        <v>45565</v>
      </c>
      <c r="C62" s="1223" t="s">
        <v>86</v>
      </c>
      <c r="D62" s="1239" t="s">
        <v>413</v>
      </c>
      <c r="E62" s="1215" t="s">
        <v>2143</v>
      </c>
      <c r="F62" s="1215"/>
      <c r="G62" s="1215" t="s">
        <v>2144</v>
      </c>
      <c r="H62" s="1215"/>
      <c r="I62" s="1215"/>
      <c r="J62" s="1264" t="s">
        <v>1588</v>
      </c>
      <c r="K62" s="1265"/>
      <c r="L62" s="1218">
        <v>279</v>
      </c>
      <c r="M62" s="1218">
        <v>58</v>
      </c>
      <c r="N62" s="1218">
        <v>2</v>
      </c>
      <c r="O62" s="1218">
        <v>0</v>
      </c>
      <c r="P62" s="1218">
        <v>1</v>
      </c>
      <c r="Q62" s="1377">
        <f>P62/L62</f>
        <v>3.5842293906810036E-3</v>
      </c>
    </row>
    <row r="63" spans="1:17" s="1502" customFormat="1" ht="61.5" hidden="1" customHeight="1" x14ac:dyDescent="0.5">
      <c r="A63" s="1274" t="s">
        <v>706</v>
      </c>
      <c r="B63" s="2068" t="s">
        <v>2145</v>
      </c>
      <c r="C63" s="2086"/>
      <c r="D63" s="2086"/>
      <c r="E63" s="2086"/>
      <c r="F63" s="2086"/>
      <c r="G63" s="2086"/>
      <c r="H63" s="1274"/>
      <c r="I63" s="1269"/>
      <c r="J63" s="1391"/>
      <c r="K63" s="1285"/>
      <c r="L63" s="1270"/>
      <c r="M63" s="1270"/>
      <c r="N63" s="1270"/>
      <c r="O63" s="1270"/>
      <c r="P63" s="1270"/>
      <c r="Q63" s="1382"/>
    </row>
    <row r="64" spans="1:17" s="1502" customFormat="1" ht="61.5" hidden="1" customHeight="1" x14ac:dyDescent="0.5">
      <c r="A64" s="1274" t="s">
        <v>1048</v>
      </c>
      <c r="B64" s="2068" t="s">
        <v>2146</v>
      </c>
      <c r="C64" s="2086"/>
      <c r="D64" s="2086"/>
      <c r="E64" s="2086"/>
      <c r="F64" s="2086"/>
      <c r="G64" s="2086"/>
      <c r="H64" s="1274"/>
      <c r="I64" s="1269"/>
      <c r="J64" s="1391"/>
      <c r="K64" s="1285"/>
      <c r="L64" s="1270"/>
      <c r="M64" s="1270"/>
      <c r="N64" s="1270"/>
      <c r="O64" s="1270"/>
      <c r="P64" s="1270"/>
      <c r="Q64" s="1382"/>
    </row>
    <row r="65" spans="1:17" s="1502" customFormat="1" ht="61.5" hidden="1" customHeight="1" x14ac:dyDescent="0.5">
      <c r="A65" s="1246" t="s">
        <v>708</v>
      </c>
      <c r="B65" s="1337">
        <v>45589</v>
      </c>
      <c r="C65" s="1248" t="s">
        <v>2147</v>
      </c>
      <c r="D65" s="1280" t="s">
        <v>413</v>
      </c>
      <c r="E65" s="1256" t="s">
        <v>2148</v>
      </c>
      <c r="F65" s="1248"/>
      <c r="G65" s="1248" t="s">
        <v>2149</v>
      </c>
      <c r="H65" s="1248"/>
      <c r="I65" s="1249" t="s">
        <v>2150</v>
      </c>
      <c r="J65" s="1248" t="s">
        <v>1067</v>
      </c>
      <c r="K65" s="1277">
        <v>27</v>
      </c>
      <c r="L65" s="1277">
        <v>210</v>
      </c>
      <c r="M65" s="1395">
        <v>5.7099999999999998E-2</v>
      </c>
      <c r="N65" s="1395">
        <v>9.4999999999999998E-3</v>
      </c>
      <c r="O65" s="1277">
        <v>0</v>
      </c>
      <c r="P65" s="1277">
        <v>0</v>
      </c>
      <c r="Q65" s="1648"/>
    </row>
    <row r="66" spans="1:17" s="1502" customFormat="1" ht="61.5" hidden="1" customHeight="1" x14ac:dyDescent="0.5">
      <c r="A66" s="1246" t="s">
        <v>1073</v>
      </c>
      <c r="B66" s="2043" t="s">
        <v>106</v>
      </c>
      <c r="C66" s="2072"/>
      <c r="D66" s="2072"/>
      <c r="E66" s="2072"/>
      <c r="F66" s="2072"/>
      <c r="G66" s="2072"/>
      <c r="H66" s="1649"/>
      <c r="I66" s="1271"/>
      <c r="J66" s="1247"/>
      <c r="K66" s="1250"/>
      <c r="L66" s="1250"/>
      <c r="M66" s="1250"/>
      <c r="N66" s="1250"/>
      <c r="O66" s="1250"/>
      <c r="P66" s="1250"/>
      <c r="Q66" s="1371"/>
    </row>
    <row r="67" spans="1:17" s="1502" customFormat="1" ht="61.5" hidden="1" customHeight="1" x14ac:dyDescent="0.5">
      <c r="A67" s="1274" t="s">
        <v>1078</v>
      </c>
      <c r="B67" s="2048" t="s">
        <v>1612</v>
      </c>
      <c r="C67" s="2089"/>
      <c r="D67" s="2089"/>
      <c r="E67" s="2089"/>
      <c r="F67" s="2089"/>
      <c r="G67" s="2089"/>
      <c r="H67" s="1274"/>
      <c r="I67" s="1269"/>
      <c r="J67" s="1391"/>
      <c r="K67" s="1285"/>
      <c r="L67" s="1285"/>
      <c r="M67" s="1285"/>
      <c r="N67" s="1285"/>
      <c r="O67" s="1285"/>
      <c r="P67" s="1285"/>
      <c r="Q67" s="1389"/>
    </row>
    <row r="68" spans="1:17" s="1502" customFormat="1" ht="61.5" hidden="1" customHeight="1" x14ac:dyDescent="0.5">
      <c r="A68" s="1246" t="s">
        <v>1078</v>
      </c>
      <c r="B68" s="1248">
        <v>45603</v>
      </c>
      <c r="C68" s="1248" t="s">
        <v>2151</v>
      </c>
      <c r="D68" s="1280" t="s">
        <v>413</v>
      </c>
      <c r="E68" s="1248" t="s">
        <v>2152</v>
      </c>
      <c r="F68" s="1248" t="s">
        <v>2153</v>
      </c>
      <c r="G68" s="1248"/>
      <c r="H68" s="1248"/>
      <c r="I68" s="1249" t="s">
        <v>2154</v>
      </c>
      <c r="J68" s="1248" t="s">
        <v>1087</v>
      </c>
      <c r="K68" s="1277">
        <v>42</v>
      </c>
      <c r="L68" s="1277">
        <v>66</v>
      </c>
      <c r="M68" s="1395">
        <v>0.2273</v>
      </c>
      <c r="N68" s="1395">
        <v>0</v>
      </c>
      <c r="O68" s="1277">
        <v>0</v>
      </c>
      <c r="P68" s="1277">
        <v>1</v>
      </c>
      <c r="Q68" s="1371"/>
    </row>
    <row r="69" spans="1:17" s="1502" customFormat="1" ht="61.5" hidden="1" customHeight="1" x14ac:dyDescent="0.5">
      <c r="A69" s="1246" t="s">
        <v>1078</v>
      </c>
      <c r="B69" s="1248">
        <v>45603</v>
      </c>
      <c r="C69" s="1248" t="s">
        <v>2155</v>
      </c>
      <c r="D69" s="1280" t="s">
        <v>413</v>
      </c>
      <c r="E69" s="1248" t="s">
        <v>2156</v>
      </c>
      <c r="F69" s="1248" t="s">
        <v>2157</v>
      </c>
      <c r="G69" s="1248"/>
      <c r="H69" s="1248"/>
      <c r="I69" s="1249" t="s">
        <v>2158</v>
      </c>
      <c r="J69" s="1248" t="s">
        <v>1087</v>
      </c>
      <c r="K69" s="1277">
        <v>42</v>
      </c>
      <c r="L69" s="1277">
        <v>285</v>
      </c>
      <c r="M69" s="1395">
        <v>9.4700000000000006E-2</v>
      </c>
      <c r="N69" s="1395">
        <v>3.5000000000000001E-3</v>
      </c>
      <c r="O69" s="1277">
        <v>1</v>
      </c>
      <c r="P69" s="1277">
        <v>1</v>
      </c>
      <c r="Q69" s="1371"/>
    </row>
    <row r="70" spans="1:17" s="1502" customFormat="1" ht="61.5" hidden="1" customHeight="1" x14ac:dyDescent="0.5">
      <c r="A70" s="1274" t="s">
        <v>711</v>
      </c>
      <c r="B70" s="2026" t="s">
        <v>712</v>
      </c>
      <c r="C70" s="2026"/>
      <c r="D70" s="2026"/>
      <c r="E70" s="2026"/>
      <c r="F70" s="2026"/>
      <c r="G70" s="2026"/>
      <c r="H70" s="1236"/>
      <c r="I70" s="1269"/>
      <c r="J70" s="1391"/>
      <c r="K70" s="1285"/>
      <c r="L70" s="1285"/>
      <c r="M70" s="1285"/>
      <c r="N70" s="1285"/>
      <c r="O70" s="1285"/>
      <c r="P70" s="1285"/>
      <c r="Q70" s="1389"/>
    </row>
    <row r="71" spans="1:17" s="1502" customFormat="1" ht="61.5" hidden="1" customHeight="1" x14ac:dyDescent="0.5">
      <c r="A71" s="1246" t="s">
        <v>711</v>
      </c>
      <c r="B71" s="1248">
        <v>45610</v>
      </c>
      <c r="C71" s="1248" t="s">
        <v>2159</v>
      </c>
      <c r="D71" s="1280" t="s">
        <v>413</v>
      </c>
      <c r="E71" s="1248" t="s">
        <v>2152</v>
      </c>
      <c r="F71" s="1248"/>
      <c r="G71" s="1248" t="s">
        <v>2160</v>
      </c>
      <c r="H71" s="1248"/>
      <c r="I71" s="1249" t="s">
        <v>2161</v>
      </c>
      <c r="J71" s="1248" t="s">
        <v>1098</v>
      </c>
      <c r="K71" s="1277">
        <v>19</v>
      </c>
      <c r="L71" s="1277">
        <v>15</v>
      </c>
      <c r="M71" s="1395">
        <v>0.5333</v>
      </c>
      <c r="N71" s="1395">
        <v>0</v>
      </c>
      <c r="O71" s="1277">
        <v>0</v>
      </c>
      <c r="P71" s="1277">
        <v>0</v>
      </c>
      <c r="Q71" s="1371"/>
    </row>
    <row r="72" spans="1:17" s="1502" customFormat="1" ht="61.5" hidden="1" customHeight="1" x14ac:dyDescent="0.5">
      <c r="A72" s="1246" t="s">
        <v>711</v>
      </c>
      <c r="B72" s="1248">
        <v>45610</v>
      </c>
      <c r="C72" s="1248" t="s">
        <v>2159</v>
      </c>
      <c r="D72" s="1280" t="s">
        <v>413</v>
      </c>
      <c r="E72" s="1248" t="s">
        <v>2156</v>
      </c>
      <c r="F72" s="1248"/>
      <c r="G72" s="1248" t="s">
        <v>2160</v>
      </c>
      <c r="H72" s="1248"/>
      <c r="I72" s="1249" t="s">
        <v>2162</v>
      </c>
      <c r="J72" s="1248" t="s">
        <v>1098</v>
      </c>
      <c r="K72" s="1277">
        <v>19</v>
      </c>
      <c r="L72" s="1277">
        <v>27</v>
      </c>
      <c r="M72" s="1395">
        <v>0.66669999999999996</v>
      </c>
      <c r="N72" s="1395">
        <v>0</v>
      </c>
      <c r="O72" s="1277">
        <v>0</v>
      </c>
      <c r="P72" s="1277">
        <v>0</v>
      </c>
      <c r="Q72" s="1371"/>
    </row>
    <row r="73" spans="1:17" s="1502" customFormat="1" ht="61.5" hidden="1" customHeight="1" x14ac:dyDescent="0.5">
      <c r="A73" s="1246" t="s">
        <v>713</v>
      </c>
      <c r="B73" s="2043" t="s">
        <v>106</v>
      </c>
      <c r="C73" s="2072"/>
      <c r="D73" s="2072"/>
      <c r="E73" s="2072"/>
      <c r="F73" s="2072"/>
      <c r="G73" s="2072"/>
      <c r="H73" s="1649"/>
      <c r="I73" s="1248"/>
      <c r="J73" s="1247"/>
      <c r="K73" s="1250"/>
      <c r="L73" s="1250"/>
      <c r="M73" s="1250"/>
      <c r="N73" s="1250"/>
      <c r="O73" s="1250"/>
      <c r="P73" s="1250"/>
      <c r="Q73" s="1371"/>
    </row>
    <row r="74" spans="1:17" s="1502" customFormat="1" ht="61.5" hidden="1" customHeight="1" x14ac:dyDescent="0.5">
      <c r="A74" s="1246" t="s">
        <v>717</v>
      </c>
      <c r="B74" s="2043" t="s">
        <v>106</v>
      </c>
      <c r="C74" s="2072"/>
      <c r="D74" s="2072"/>
      <c r="E74" s="2072"/>
      <c r="F74" s="2072"/>
      <c r="G74" s="2072"/>
      <c r="H74" s="1649"/>
      <c r="I74" s="1248"/>
      <c r="J74" s="1248"/>
      <c r="K74" s="1248"/>
      <c r="L74" s="1247"/>
      <c r="M74" s="1247"/>
      <c r="N74" s="1250"/>
      <c r="O74" s="1250"/>
      <c r="P74" s="1250"/>
      <c r="Q74" s="1534"/>
    </row>
    <row r="75" spans="1:17" s="1502" customFormat="1" ht="61.5" hidden="1" customHeight="1" x14ac:dyDescent="0.5">
      <c r="A75" s="1274" t="s">
        <v>717</v>
      </c>
      <c r="B75" s="2048" t="s">
        <v>390</v>
      </c>
      <c r="C75" s="2089"/>
      <c r="D75" s="2089"/>
      <c r="E75" s="2089"/>
      <c r="F75" s="2089"/>
      <c r="G75" s="2089"/>
      <c r="H75" s="1274"/>
      <c r="I75" s="1236"/>
      <c r="J75" s="1391"/>
      <c r="K75" s="1285"/>
      <c r="L75" s="1285"/>
      <c r="M75" s="1285"/>
      <c r="N75" s="1285"/>
      <c r="O75" s="1285"/>
      <c r="P75" s="1285"/>
      <c r="Q75" s="1389"/>
    </row>
    <row r="76" spans="1:17" s="1502" customFormat="1" ht="61.5" hidden="1" customHeight="1" x14ac:dyDescent="0.5">
      <c r="A76" s="1248" t="s">
        <v>719</v>
      </c>
      <c r="B76" s="1248">
        <v>45630</v>
      </c>
      <c r="C76" s="1248" t="s">
        <v>86</v>
      </c>
      <c r="D76" s="1280" t="s">
        <v>413</v>
      </c>
      <c r="E76" s="1248" t="s">
        <v>2163</v>
      </c>
      <c r="F76" s="1275" t="s">
        <v>2164</v>
      </c>
      <c r="G76" s="1281" t="s">
        <v>2165</v>
      </c>
      <c r="H76" s="1281"/>
      <c r="I76" s="1249" t="s">
        <v>2166</v>
      </c>
      <c r="J76" s="1248" t="s">
        <v>1625</v>
      </c>
      <c r="K76" s="1277">
        <v>53</v>
      </c>
      <c r="L76" s="1277">
        <v>244</v>
      </c>
      <c r="M76" s="1278">
        <v>0.13120000000000001</v>
      </c>
      <c r="N76" s="1278">
        <v>8.2000000000000007E-3</v>
      </c>
      <c r="O76" s="1277">
        <v>0</v>
      </c>
      <c r="P76" s="1277">
        <v>0</v>
      </c>
      <c r="Q76" s="1371"/>
    </row>
    <row r="77" spans="1:17" s="1502" customFormat="1" ht="61.5" hidden="1" customHeight="1" x14ac:dyDescent="0.5">
      <c r="A77" s="1248" t="s">
        <v>719</v>
      </c>
      <c r="B77" s="1248">
        <v>45630</v>
      </c>
      <c r="C77" s="1248" t="s">
        <v>86</v>
      </c>
      <c r="D77" s="1280" t="s">
        <v>413</v>
      </c>
      <c r="E77" s="1248" t="s">
        <v>2163</v>
      </c>
      <c r="F77" s="1275"/>
      <c r="G77" s="1281" t="s">
        <v>2167</v>
      </c>
      <c r="H77" s="1281"/>
      <c r="I77" s="1249" t="s">
        <v>2166</v>
      </c>
      <c r="J77" s="1248" t="s">
        <v>1625</v>
      </c>
      <c r="K77" s="1277">
        <v>53</v>
      </c>
      <c r="L77" s="1277">
        <v>212</v>
      </c>
      <c r="M77" s="1278">
        <v>0.1085</v>
      </c>
      <c r="N77" s="1278">
        <v>9.4000000000000004E-3</v>
      </c>
      <c r="O77" s="1277">
        <v>0</v>
      </c>
      <c r="P77" s="1277">
        <v>3</v>
      </c>
      <c r="Q77" s="1371"/>
    </row>
    <row r="78" spans="1:17" s="1502" customFormat="1" ht="61.5" hidden="1" customHeight="1" x14ac:dyDescent="0.5">
      <c r="A78" s="1246" t="s">
        <v>720</v>
      </c>
      <c r="B78" s="1248">
        <v>45638</v>
      </c>
      <c r="C78" s="1248"/>
      <c r="D78" s="1280" t="s">
        <v>413</v>
      </c>
      <c r="E78" s="1248" t="s">
        <v>2168</v>
      </c>
      <c r="F78" s="1275" t="s">
        <v>2169</v>
      </c>
      <c r="G78" s="1248"/>
      <c r="H78" s="1248"/>
      <c r="I78" s="1275" t="s">
        <v>2170</v>
      </c>
      <c r="J78" s="1248" t="s">
        <v>2171</v>
      </c>
      <c r="K78" s="1277">
        <v>40</v>
      </c>
      <c r="L78" s="1277">
        <v>267</v>
      </c>
      <c r="M78" s="1278">
        <v>0.14230000000000001</v>
      </c>
      <c r="N78" s="1278">
        <v>1.4999999999999999E-2</v>
      </c>
      <c r="O78" s="1277">
        <v>1</v>
      </c>
      <c r="P78" s="1277">
        <v>2</v>
      </c>
      <c r="Q78" s="1371"/>
    </row>
    <row r="79" spans="1:17" s="1502" customFormat="1" ht="61.5" hidden="1" customHeight="1" x14ac:dyDescent="0.5">
      <c r="A79" s="1246" t="s">
        <v>720</v>
      </c>
      <c r="B79" s="1248">
        <v>45638</v>
      </c>
      <c r="C79" s="1248"/>
      <c r="D79" s="1280" t="s">
        <v>413</v>
      </c>
      <c r="E79" s="1248" t="s">
        <v>2172</v>
      </c>
      <c r="F79" s="1248"/>
      <c r="G79" s="1248"/>
      <c r="H79" s="1248"/>
      <c r="I79" s="1275" t="s">
        <v>2173</v>
      </c>
      <c r="J79" s="1248" t="s">
        <v>2171</v>
      </c>
      <c r="K79" s="1277">
        <v>40</v>
      </c>
      <c r="L79" s="1277">
        <v>72</v>
      </c>
      <c r="M79" s="1278">
        <v>0.34720000000000001</v>
      </c>
      <c r="N79" s="1278">
        <v>6.9400000000000003E-2</v>
      </c>
      <c r="O79" s="1277">
        <v>0</v>
      </c>
      <c r="P79" s="1277">
        <v>0</v>
      </c>
      <c r="Q79" s="1371"/>
    </row>
    <row r="80" spans="1:17" s="1502" customFormat="1" ht="61.5" hidden="1" customHeight="1" x14ac:dyDescent="0.5">
      <c r="A80" s="1246" t="s">
        <v>721</v>
      </c>
      <c r="B80" s="1248">
        <v>45643</v>
      </c>
      <c r="C80" s="1248" t="s">
        <v>86</v>
      </c>
      <c r="D80" s="1280" t="s">
        <v>413</v>
      </c>
      <c r="E80" s="1248" t="s">
        <v>2174</v>
      </c>
      <c r="F80" s="1248"/>
      <c r="G80" s="1248"/>
      <c r="H80" s="1248"/>
      <c r="I80" s="1275" t="s">
        <v>2175</v>
      </c>
      <c r="J80" s="1248" t="s">
        <v>1633</v>
      </c>
      <c r="K80" s="1277">
        <v>34</v>
      </c>
      <c r="L80" s="1277">
        <v>457</v>
      </c>
      <c r="M80" s="1278">
        <v>0.15540000000000001</v>
      </c>
      <c r="N80" s="1278">
        <v>2.2000000000000001E-3</v>
      </c>
      <c r="O80" s="1277">
        <v>3</v>
      </c>
      <c r="P80" s="1277">
        <v>0</v>
      </c>
      <c r="Q80" s="1371"/>
    </row>
    <row r="81" spans="1:17" s="1502" customFormat="1" ht="61.5" hidden="1" customHeight="1" x14ac:dyDescent="0.5">
      <c r="A81" s="1298" t="s">
        <v>722</v>
      </c>
      <c r="B81" s="2045" t="s">
        <v>1135</v>
      </c>
      <c r="C81" s="2045"/>
      <c r="D81" s="2045"/>
      <c r="E81" s="2045"/>
      <c r="F81" s="2045"/>
      <c r="G81" s="2045"/>
      <c r="H81" s="1299"/>
      <c r="I81" s="1299"/>
      <c r="J81" s="1235"/>
      <c r="K81" s="1650"/>
      <c r="L81" s="1285"/>
      <c r="M81" s="1285"/>
      <c r="N81" s="1285"/>
      <c r="O81" s="1285"/>
      <c r="P81" s="1285"/>
      <c r="Q81" s="1389"/>
    </row>
    <row r="82" spans="1:17" s="1502" customFormat="1" ht="61.5" hidden="1" customHeight="1" x14ac:dyDescent="0.5">
      <c r="A82" s="1298" t="s">
        <v>657</v>
      </c>
      <c r="B82" s="2045" t="s">
        <v>1842</v>
      </c>
      <c r="C82" s="2045"/>
      <c r="D82" s="2045"/>
      <c r="E82" s="2045"/>
      <c r="F82" s="2045"/>
      <c r="G82" s="2045"/>
      <c r="H82" s="1299"/>
      <c r="I82" s="1299"/>
      <c r="J82" s="1235"/>
      <c r="K82" s="1650"/>
      <c r="L82" s="1285"/>
      <c r="M82" s="1285"/>
      <c r="N82" s="1285"/>
      <c r="O82" s="1285"/>
      <c r="P82" s="1285"/>
      <c r="Q82" s="1389"/>
    </row>
    <row r="83" spans="1:17" s="1502" customFormat="1" ht="54.75" customHeight="1" x14ac:dyDescent="0.5">
      <c r="A83" s="1246" t="s">
        <v>659</v>
      </c>
      <c r="B83" s="1248">
        <v>45666</v>
      </c>
      <c r="C83" s="1248" t="s">
        <v>86</v>
      </c>
      <c r="D83" s="1280" t="s">
        <v>413</v>
      </c>
      <c r="E83" s="1248" t="s">
        <v>2176</v>
      </c>
      <c r="F83" s="1248" t="s">
        <v>2177</v>
      </c>
      <c r="G83" s="1248"/>
      <c r="H83" s="1248"/>
      <c r="I83" s="1275" t="s">
        <v>2178</v>
      </c>
      <c r="J83" s="1248" t="s">
        <v>1141</v>
      </c>
      <c r="K83" s="1277">
        <v>59</v>
      </c>
      <c r="L83" s="1277">
        <v>450</v>
      </c>
      <c r="M83" s="1278">
        <v>0.1489</v>
      </c>
      <c r="N83" s="1278">
        <v>1.3299999999999999E-2</v>
      </c>
      <c r="O83" s="1277">
        <v>1</v>
      </c>
      <c r="P83" s="1277">
        <v>4</v>
      </c>
      <c r="Q83" s="1389"/>
    </row>
    <row r="84" spans="1:17" s="1502" customFormat="1" ht="54.75" customHeight="1" x14ac:dyDescent="0.5">
      <c r="A84" s="1246" t="s">
        <v>660</v>
      </c>
      <c r="B84" s="1248">
        <v>45671</v>
      </c>
      <c r="C84" s="1248" t="s">
        <v>86</v>
      </c>
      <c r="D84" s="1280" t="s">
        <v>413</v>
      </c>
      <c r="E84" s="1248" t="s">
        <v>2179</v>
      </c>
      <c r="F84" s="1248" t="s">
        <v>2180</v>
      </c>
      <c r="G84" s="1248"/>
      <c r="H84" s="1651"/>
      <c r="I84" s="1287" t="s">
        <v>2181</v>
      </c>
      <c r="J84" s="1248" t="s">
        <v>1146</v>
      </c>
      <c r="K84" s="1276">
        <v>75</v>
      </c>
      <c r="L84" s="1277">
        <v>266</v>
      </c>
      <c r="M84" s="1553">
        <v>0.26319999999999999</v>
      </c>
      <c r="N84" s="1553">
        <v>5.6399999999999999E-2</v>
      </c>
      <c r="O84" s="1276">
        <v>0</v>
      </c>
      <c r="P84" s="1276">
        <v>0</v>
      </c>
      <c r="Q84" s="1389"/>
    </row>
    <row r="85" spans="1:17" s="1502" customFormat="1" ht="54.75" customHeight="1" x14ac:dyDescent="0.5">
      <c r="A85" s="1246" t="s">
        <v>661</v>
      </c>
      <c r="B85" s="2043" t="s">
        <v>106</v>
      </c>
      <c r="C85" s="2072"/>
      <c r="D85" s="2072"/>
      <c r="E85" s="2072"/>
      <c r="F85" s="2072"/>
      <c r="G85" s="2072"/>
      <c r="H85" s="1248"/>
      <c r="I85" s="1251"/>
      <c r="J85" s="1251"/>
      <c r="K85" s="1276"/>
      <c r="L85" s="1277"/>
      <c r="M85" s="1276"/>
      <c r="N85" s="1276"/>
      <c r="O85" s="1276"/>
      <c r="P85" s="1276"/>
      <c r="Q85" s="1389"/>
    </row>
    <row r="86" spans="1:17" s="1502" customFormat="1" ht="54.75" customHeight="1" x14ac:dyDescent="0.5">
      <c r="A86" s="1246" t="s">
        <v>662</v>
      </c>
      <c r="B86" s="1248">
        <v>45685</v>
      </c>
      <c r="C86" s="1248" t="s">
        <v>2182</v>
      </c>
      <c r="D86" s="1280" t="s">
        <v>413</v>
      </c>
      <c r="E86" s="1248" t="s">
        <v>2183</v>
      </c>
      <c r="F86" s="1248" t="s">
        <v>2184</v>
      </c>
      <c r="G86" s="1275" t="s">
        <v>2185</v>
      </c>
      <c r="H86" s="1311"/>
      <c r="I86" s="1287" t="s">
        <v>2186</v>
      </c>
      <c r="J86" s="1276" t="s">
        <v>1160</v>
      </c>
      <c r="K86" s="1276">
        <v>111</v>
      </c>
      <c r="L86" s="1277">
        <v>67</v>
      </c>
      <c r="M86" s="1278">
        <v>0.3881</v>
      </c>
      <c r="N86" s="1278">
        <v>7.46E-2</v>
      </c>
      <c r="O86" s="1276">
        <v>0</v>
      </c>
      <c r="P86" s="1276">
        <v>0</v>
      </c>
      <c r="Q86" s="1389"/>
    </row>
    <row r="87" spans="1:17" s="1502" customFormat="1" ht="54.75" customHeight="1" x14ac:dyDescent="0.5">
      <c r="A87" s="1246" t="s">
        <v>663</v>
      </c>
      <c r="B87" s="1248">
        <v>45693</v>
      </c>
      <c r="C87" s="1248" t="s">
        <v>2182</v>
      </c>
      <c r="D87" s="1280" t="s">
        <v>413</v>
      </c>
      <c r="E87" s="1248" t="s">
        <v>2187</v>
      </c>
      <c r="F87" s="1248" t="s">
        <v>2188</v>
      </c>
      <c r="G87" s="1248" t="s">
        <v>2189</v>
      </c>
      <c r="H87" s="1311"/>
      <c r="I87" s="1551" t="s">
        <v>2190</v>
      </c>
      <c r="J87" s="1276" t="s">
        <v>1171</v>
      </c>
      <c r="K87" s="1276">
        <v>100</v>
      </c>
      <c r="L87" s="1277">
        <v>66</v>
      </c>
      <c r="M87" s="1278">
        <v>0.2424</v>
      </c>
      <c r="N87" s="1395">
        <v>0</v>
      </c>
      <c r="O87" s="1276">
        <v>0</v>
      </c>
      <c r="P87" s="1276">
        <v>0</v>
      </c>
      <c r="Q87" s="1389"/>
    </row>
    <row r="88" spans="1:17" s="1502" customFormat="1" ht="54.75" customHeight="1" x14ac:dyDescent="0.5">
      <c r="A88" s="1246" t="s">
        <v>667</v>
      </c>
      <c r="B88" s="2043" t="s">
        <v>106</v>
      </c>
      <c r="C88" s="2072"/>
      <c r="D88" s="2072"/>
      <c r="E88" s="2072"/>
      <c r="F88" s="2072"/>
      <c r="G88" s="2072"/>
      <c r="H88" s="1311"/>
      <c r="I88" s="1251"/>
      <c r="J88" s="1251"/>
      <c r="K88" s="1276"/>
      <c r="L88" s="1277"/>
      <c r="M88" s="1276"/>
      <c r="N88" s="1276"/>
      <c r="O88" s="1276"/>
      <c r="P88" s="1276"/>
      <c r="Q88" s="1389"/>
    </row>
    <row r="89" spans="1:17" ht="54.75" customHeight="1" x14ac:dyDescent="0.5">
      <c r="A89" s="1246" t="s">
        <v>670</v>
      </c>
      <c r="B89" s="1248">
        <v>45706</v>
      </c>
      <c r="C89" s="1248" t="s">
        <v>2182</v>
      </c>
      <c r="D89" s="1280" t="s">
        <v>413</v>
      </c>
      <c r="E89" s="1276" t="s">
        <v>2191</v>
      </c>
      <c r="F89" s="1276" t="s">
        <v>2192</v>
      </c>
      <c r="G89" s="1251"/>
      <c r="H89" s="1311"/>
      <c r="I89" s="1287" t="s">
        <v>2193</v>
      </c>
      <c r="J89" s="1276" t="s">
        <v>1182</v>
      </c>
      <c r="K89" s="1276">
        <v>83</v>
      </c>
      <c r="L89" s="1277">
        <v>90</v>
      </c>
      <c r="M89" s="1553">
        <v>0.27779999999999999</v>
      </c>
      <c r="N89" s="1278">
        <v>5.5599999999999997E-2</v>
      </c>
      <c r="O89" s="1276">
        <v>0</v>
      </c>
      <c r="P89" s="1276">
        <v>1</v>
      </c>
      <c r="Q89" s="1389"/>
    </row>
    <row r="90" spans="1:17" ht="54.75" customHeight="1" x14ac:dyDescent="0.5">
      <c r="A90" s="1246" t="s">
        <v>2194</v>
      </c>
      <c r="B90" s="2087" t="s">
        <v>2195</v>
      </c>
      <c r="C90" s="2087"/>
      <c r="D90" s="2087"/>
      <c r="E90" s="2087"/>
      <c r="F90" s="2087"/>
      <c r="G90" s="2087"/>
      <c r="H90" s="1311"/>
      <c r="I90" s="1551" t="s">
        <v>2196</v>
      </c>
      <c r="J90" s="1276" t="s">
        <v>1188</v>
      </c>
      <c r="K90" s="1276">
        <v>104</v>
      </c>
      <c r="L90" s="1277">
        <v>48</v>
      </c>
      <c r="M90" s="1278">
        <v>0.47920000000000001</v>
      </c>
      <c r="N90" s="1278">
        <v>0.1042</v>
      </c>
      <c r="O90" s="1276">
        <v>0</v>
      </c>
      <c r="P90" s="1276">
        <v>0</v>
      </c>
      <c r="Q90" s="1389"/>
    </row>
    <row r="91" spans="1:17" ht="54.75" customHeight="1" x14ac:dyDescent="0.5">
      <c r="A91" s="1246" t="s">
        <v>672</v>
      </c>
      <c r="B91" s="1248">
        <v>45713</v>
      </c>
      <c r="C91" s="1248" t="s">
        <v>41</v>
      </c>
      <c r="D91" s="1280" t="s">
        <v>413</v>
      </c>
      <c r="E91" s="1248" t="s">
        <v>2197</v>
      </c>
      <c r="F91" s="1275" t="s">
        <v>2164</v>
      </c>
      <c r="G91" s="1248"/>
      <c r="H91" s="1311"/>
      <c r="I91" s="1551" t="s">
        <v>2198</v>
      </c>
      <c r="J91" s="1276" t="s">
        <v>1672</v>
      </c>
      <c r="K91" s="1276">
        <v>104</v>
      </c>
      <c r="L91" s="1277">
        <v>151</v>
      </c>
      <c r="M91" s="1278">
        <v>0.2185</v>
      </c>
      <c r="N91" s="1278">
        <v>2.6499999999999999E-2</v>
      </c>
      <c r="O91" s="1276">
        <v>0</v>
      </c>
      <c r="P91" s="1276">
        <v>1</v>
      </c>
      <c r="Q91" s="1389"/>
    </row>
    <row r="92" spans="1:17" ht="54.75" customHeight="1" x14ac:dyDescent="0.5">
      <c r="A92" s="1246" t="s">
        <v>674</v>
      </c>
      <c r="B92" s="1248">
        <v>45720</v>
      </c>
      <c r="C92" s="1248" t="s">
        <v>2182</v>
      </c>
      <c r="D92" s="1280" t="s">
        <v>413</v>
      </c>
      <c r="E92" s="1248" t="s">
        <v>2199</v>
      </c>
      <c r="F92" s="1276" t="s">
        <v>2200</v>
      </c>
      <c r="G92" s="1248" t="s">
        <v>2201</v>
      </c>
      <c r="H92" s="1311"/>
      <c r="I92" s="1551" t="s">
        <v>2202</v>
      </c>
      <c r="J92" s="1276" t="s">
        <v>1198</v>
      </c>
      <c r="K92" s="1276">
        <v>66</v>
      </c>
      <c r="L92" s="1277">
        <v>78</v>
      </c>
      <c r="M92" s="1278">
        <v>0.23680000000000001</v>
      </c>
      <c r="N92" s="1278">
        <v>2.63E-2</v>
      </c>
      <c r="O92" s="1276">
        <v>0</v>
      </c>
      <c r="P92" s="1276">
        <v>2</v>
      </c>
      <c r="Q92" s="1389"/>
    </row>
    <row r="93" spans="1:17" ht="54.75" customHeight="1" x14ac:dyDescent="0.5">
      <c r="A93" s="1246" t="s">
        <v>1204</v>
      </c>
      <c r="B93" s="1248">
        <v>45727</v>
      </c>
      <c r="C93" s="1248" t="s">
        <v>2182</v>
      </c>
      <c r="D93" s="1280" t="s">
        <v>413</v>
      </c>
      <c r="E93" s="1248" t="s">
        <v>2203</v>
      </c>
      <c r="F93" s="1276" t="s">
        <v>2204</v>
      </c>
      <c r="G93" s="1248" t="s">
        <v>2205</v>
      </c>
      <c r="H93" s="1311"/>
      <c r="I93" s="1551" t="s">
        <v>2206</v>
      </c>
      <c r="J93" s="1276" t="s">
        <v>1682</v>
      </c>
      <c r="K93" s="1276">
        <v>74</v>
      </c>
      <c r="L93" s="1277">
        <v>74</v>
      </c>
      <c r="M93" s="1278">
        <v>0.2162</v>
      </c>
      <c r="N93" s="1278">
        <v>1.35E-2</v>
      </c>
      <c r="O93" s="1276">
        <v>0</v>
      </c>
      <c r="P93" s="1276">
        <v>0</v>
      </c>
      <c r="Q93" s="1389"/>
    </row>
    <row r="94" spans="1:17" ht="54.75" customHeight="1" x14ac:dyDescent="0.5">
      <c r="A94" s="1246" t="s">
        <v>681</v>
      </c>
      <c r="B94" s="1248">
        <v>45734</v>
      </c>
      <c r="C94" s="1248" t="s">
        <v>2182</v>
      </c>
      <c r="D94" s="1280" t="s">
        <v>413</v>
      </c>
      <c r="E94" s="1248" t="s">
        <v>2207</v>
      </c>
      <c r="F94" s="1275"/>
      <c r="G94" s="1248" t="s">
        <v>2208</v>
      </c>
      <c r="H94" s="1311"/>
      <c r="I94" s="1551" t="s">
        <v>2209</v>
      </c>
      <c r="J94" s="1276" t="s">
        <v>1215</v>
      </c>
      <c r="K94" s="1276">
        <v>63</v>
      </c>
      <c r="L94" s="1277">
        <v>73</v>
      </c>
      <c r="M94" s="1278">
        <v>0.32879999999999998</v>
      </c>
      <c r="N94" s="1278">
        <v>1.37E-2</v>
      </c>
      <c r="O94" s="1276">
        <v>0</v>
      </c>
      <c r="P94" s="1276">
        <v>0</v>
      </c>
      <c r="Q94" s="1389"/>
    </row>
    <row r="95" spans="1:17" ht="54.75" customHeight="1" x14ac:dyDescent="0.5">
      <c r="A95" s="1308">
        <v>45734</v>
      </c>
      <c r="B95" s="2043" t="s">
        <v>2210</v>
      </c>
      <c r="C95" s="2072"/>
      <c r="D95" s="2072"/>
      <c r="E95" s="2072"/>
      <c r="F95" s="2072"/>
      <c r="G95" s="2072"/>
      <c r="H95" s="1311"/>
      <c r="I95" s="1251"/>
      <c r="J95" s="1251"/>
      <c r="K95" s="1276"/>
      <c r="L95" s="1277"/>
      <c r="M95" s="1276"/>
      <c r="N95" s="1276"/>
      <c r="O95" s="1276"/>
      <c r="P95" s="1276"/>
      <c r="Q95" s="1389"/>
    </row>
    <row r="96" spans="1:17" ht="54.75" customHeight="1" x14ac:dyDescent="0.5">
      <c r="A96" s="1246" t="s">
        <v>2211</v>
      </c>
      <c r="B96" s="2084" t="s">
        <v>2212</v>
      </c>
      <c r="C96" s="2085"/>
      <c r="D96" s="2085"/>
      <c r="E96" s="2085"/>
      <c r="F96" s="2085"/>
      <c r="G96" s="2085"/>
      <c r="H96" s="1311"/>
      <c r="I96" s="1551" t="s">
        <v>2213</v>
      </c>
      <c r="J96" s="1276" t="s">
        <v>1220</v>
      </c>
      <c r="K96" s="1276"/>
      <c r="L96" s="1277"/>
      <c r="M96" s="1652">
        <v>0.53059999999999996</v>
      </c>
      <c r="N96" s="1278">
        <v>8.1600000000000006E-2</v>
      </c>
      <c r="O96" s="1276">
        <v>0</v>
      </c>
      <c r="P96" s="1276">
        <v>0</v>
      </c>
      <c r="Q96" s="1389"/>
    </row>
    <row r="97" spans="1:17" ht="54.75" customHeight="1" x14ac:dyDescent="0.5">
      <c r="A97" s="1246" t="s">
        <v>684</v>
      </c>
      <c r="B97" s="1248">
        <v>45741</v>
      </c>
      <c r="C97" s="1248" t="s">
        <v>41</v>
      </c>
      <c r="D97" s="1280" t="s">
        <v>413</v>
      </c>
      <c r="E97" s="1248" t="s">
        <v>2214</v>
      </c>
      <c r="F97" s="1276" t="s">
        <v>2215</v>
      </c>
      <c r="G97" s="1275" t="s">
        <v>2216</v>
      </c>
      <c r="H97" s="1311"/>
      <c r="I97" s="1551" t="s">
        <v>2217</v>
      </c>
      <c r="J97" s="1276" t="s">
        <v>1224</v>
      </c>
      <c r="K97" s="1276">
        <v>75</v>
      </c>
      <c r="L97" s="1277">
        <v>138</v>
      </c>
      <c r="M97" s="1278">
        <v>0.2681</v>
      </c>
      <c r="N97" s="1278">
        <v>2.1700000000000001E-2</v>
      </c>
      <c r="O97" s="1276">
        <v>1</v>
      </c>
      <c r="P97" s="1276">
        <v>0</v>
      </c>
      <c r="Q97" s="1389"/>
    </row>
    <row r="98" spans="1:17" ht="54.75" customHeight="1" x14ac:dyDescent="0.5">
      <c r="A98" s="1246" t="s">
        <v>685</v>
      </c>
      <c r="B98" s="1248">
        <v>45748</v>
      </c>
      <c r="C98" s="1248" t="s">
        <v>2182</v>
      </c>
      <c r="D98" s="1280" t="s">
        <v>413</v>
      </c>
      <c r="E98" s="1248" t="s">
        <v>2218</v>
      </c>
      <c r="F98" s="1276" t="s">
        <v>2219</v>
      </c>
      <c r="G98" s="1248" t="s">
        <v>2220</v>
      </c>
      <c r="H98" s="1311"/>
      <c r="I98" s="1558" t="s">
        <v>2221</v>
      </c>
      <c r="J98" s="1276" t="s">
        <v>1700</v>
      </c>
      <c r="K98" s="1276">
        <v>67</v>
      </c>
      <c r="L98" s="1277">
        <v>74</v>
      </c>
      <c r="M98" s="1278">
        <v>0.22969999999999999</v>
      </c>
      <c r="N98" s="1278">
        <v>4.0500000000000001E-2</v>
      </c>
      <c r="O98" s="1276">
        <v>0</v>
      </c>
      <c r="P98" s="1276">
        <v>0</v>
      </c>
      <c r="Q98" s="1389"/>
    </row>
    <row r="99" spans="1:17" ht="54.75" customHeight="1" x14ac:dyDescent="0.5">
      <c r="A99" s="1246" t="s">
        <v>686</v>
      </c>
      <c r="B99" s="1248">
        <v>45755</v>
      </c>
      <c r="C99" s="1248" t="s">
        <v>2222</v>
      </c>
      <c r="D99" s="1280" t="s">
        <v>413</v>
      </c>
      <c r="E99" s="1281" t="s">
        <v>2223</v>
      </c>
      <c r="F99" s="1275" t="s">
        <v>2224</v>
      </c>
      <c r="G99" s="1275" t="s">
        <v>2225</v>
      </c>
      <c r="H99" s="1311"/>
      <c r="I99" s="1558" t="s">
        <v>2226</v>
      </c>
      <c r="J99" s="1276" t="s">
        <v>1705</v>
      </c>
      <c r="K99" s="1276">
        <v>123</v>
      </c>
      <c r="L99" s="1277">
        <v>251</v>
      </c>
      <c r="M99" s="1278">
        <v>0.27489999999999998</v>
      </c>
      <c r="N99" s="1278">
        <v>2.7900000000000001E-2</v>
      </c>
      <c r="O99" s="1276">
        <v>0</v>
      </c>
      <c r="P99" s="1276">
        <v>0</v>
      </c>
      <c r="Q99" s="1389"/>
    </row>
    <row r="100" spans="1:17" ht="54.75" customHeight="1" x14ac:dyDescent="0.5">
      <c r="A100" s="1308">
        <v>45756</v>
      </c>
      <c r="B100" s="2043" t="s">
        <v>2227</v>
      </c>
      <c r="C100" s="2072"/>
      <c r="D100" s="2072"/>
      <c r="E100" s="2072"/>
      <c r="F100" s="2072"/>
      <c r="G100" s="2072"/>
      <c r="H100" s="1311"/>
      <c r="I100" s="1251"/>
      <c r="J100" s="1251"/>
      <c r="K100" s="1276"/>
      <c r="L100" s="1277"/>
      <c r="M100" s="1276"/>
      <c r="N100" s="1276"/>
      <c r="O100" s="1276"/>
      <c r="P100" s="1276"/>
      <c r="Q100" s="1389"/>
    </row>
    <row r="101" spans="1:17" ht="54.75" customHeight="1" x14ac:dyDescent="0.5">
      <c r="A101" s="1246" t="s">
        <v>687</v>
      </c>
      <c r="B101" s="2043" t="s">
        <v>106</v>
      </c>
      <c r="C101" s="2072"/>
      <c r="D101" s="2072"/>
      <c r="E101" s="2072"/>
      <c r="F101" s="2072"/>
      <c r="G101" s="2072"/>
      <c r="H101" s="1311"/>
      <c r="I101" s="1251"/>
      <c r="J101" s="1251"/>
      <c r="K101" s="1276"/>
      <c r="L101" s="1277"/>
      <c r="M101" s="1276"/>
      <c r="N101" s="1276"/>
      <c r="O101" s="1276"/>
      <c r="P101" s="1276"/>
      <c r="Q101" s="1389"/>
    </row>
    <row r="102" spans="1:17" ht="54.75" customHeight="1" x14ac:dyDescent="0.5">
      <c r="A102" s="1246" t="s">
        <v>2228</v>
      </c>
      <c r="B102" s="2084" t="s">
        <v>2229</v>
      </c>
      <c r="C102" s="2085"/>
      <c r="D102" s="2085"/>
      <c r="E102" s="2085"/>
      <c r="F102" s="2085"/>
      <c r="G102" s="2085"/>
      <c r="H102" s="1311"/>
      <c r="I102" s="1287" t="s">
        <v>2230</v>
      </c>
      <c r="J102" s="1276" t="s">
        <v>2231</v>
      </c>
      <c r="K102" s="1276">
        <v>103</v>
      </c>
      <c r="L102" s="1277">
        <v>50</v>
      </c>
      <c r="M102" s="1395">
        <v>0.57999999999999996</v>
      </c>
      <c r="N102" s="1395">
        <v>0.26</v>
      </c>
      <c r="O102" s="1276">
        <v>0</v>
      </c>
      <c r="P102" s="1276">
        <v>0</v>
      </c>
      <c r="Q102" s="1389"/>
    </row>
    <row r="103" spans="1:17" ht="54.75" customHeight="1" x14ac:dyDescent="0.5">
      <c r="A103" s="1246" t="s">
        <v>688</v>
      </c>
      <c r="B103" s="1248">
        <v>45768</v>
      </c>
      <c r="C103" s="1248" t="s">
        <v>2182</v>
      </c>
      <c r="D103" s="1280" t="s">
        <v>413</v>
      </c>
      <c r="E103" s="1562" t="s">
        <v>2232</v>
      </c>
      <c r="F103" s="1562" t="s">
        <v>2233</v>
      </c>
      <c r="G103" s="1653"/>
      <c r="H103" s="1311"/>
      <c r="I103" s="1559" t="s">
        <v>2234</v>
      </c>
      <c r="J103" s="1276" t="s">
        <v>2235</v>
      </c>
      <c r="K103" s="1276" t="s">
        <v>2236</v>
      </c>
      <c r="L103" s="1277">
        <v>58</v>
      </c>
      <c r="M103" s="1278">
        <v>0.48280000000000001</v>
      </c>
      <c r="N103" s="1278">
        <v>0.22409999999999999</v>
      </c>
      <c r="O103" s="1276">
        <v>0</v>
      </c>
      <c r="P103" s="1276">
        <v>0</v>
      </c>
      <c r="Q103" s="1389"/>
    </row>
    <row r="104" spans="1:17" ht="54.75" customHeight="1" x14ac:dyDescent="0.5">
      <c r="A104" s="1246" t="s">
        <v>688</v>
      </c>
      <c r="B104" s="1248">
        <v>45771</v>
      </c>
      <c r="C104" s="1248" t="s">
        <v>2182</v>
      </c>
      <c r="D104" s="1280" t="s">
        <v>2237</v>
      </c>
      <c r="E104" s="1562" t="s">
        <v>2238</v>
      </c>
      <c r="F104" s="1562" t="s">
        <v>2239</v>
      </c>
      <c r="G104" s="1653"/>
      <c r="H104" s="1311"/>
      <c r="I104" s="1559" t="s">
        <v>2240</v>
      </c>
      <c r="J104" s="1276" t="s">
        <v>1247</v>
      </c>
      <c r="K104" s="1301" t="s">
        <v>2236</v>
      </c>
      <c r="L104" s="1654">
        <v>49</v>
      </c>
      <c r="M104" s="1655">
        <v>0.40820000000000001</v>
      </c>
      <c r="N104" s="1278">
        <v>0.12239999999999999</v>
      </c>
      <c r="O104" s="1276">
        <v>0</v>
      </c>
      <c r="P104" s="1276">
        <v>0</v>
      </c>
      <c r="Q104" s="1389"/>
    </row>
    <row r="105" spans="1:17" ht="54.75" customHeight="1" x14ac:dyDescent="0.5">
      <c r="A105" s="1246" t="s">
        <v>688</v>
      </c>
      <c r="B105" s="1248">
        <v>45769</v>
      </c>
      <c r="C105" s="1248" t="s">
        <v>2182</v>
      </c>
      <c r="D105" s="1280" t="s">
        <v>413</v>
      </c>
      <c r="E105" s="1248" t="s">
        <v>2241</v>
      </c>
      <c r="F105" s="1275"/>
      <c r="G105" s="1248" t="s">
        <v>2242</v>
      </c>
      <c r="H105" s="1311"/>
      <c r="I105" s="1559" t="s">
        <v>2243</v>
      </c>
      <c r="J105" s="1276" t="s">
        <v>2244</v>
      </c>
      <c r="K105" s="1301">
        <v>80</v>
      </c>
      <c r="L105" s="1654">
        <v>73</v>
      </c>
      <c r="M105" s="1655">
        <v>0.28770000000000001</v>
      </c>
      <c r="N105" s="1278">
        <v>1.37E-2</v>
      </c>
      <c r="O105" s="1276">
        <v>0</v>
      </c>
      <c r="P105" s="1276">
        <v>1</v>
      </c>
      <c r="Q105" s="1389"/>
    </row>
    <row r="106" spans="1:17" ht="54.75" customHeight="1" x14ac:dyDescent="0.5">
      <c r="A106" s="1246" t="s">
        <v>2245</v>
      </c>
      <c r="B106" s="1248">
        <v>45777</v>
      </c>
      <c r="C106" s="1248" t="s">
        <v>2182</v>
      </c>
      <c r="D106" s="1280" t="s">
        <v>2237</v>
      </c>
      <c r="E106" s="1248" t="s">
        <v>2246</v>
      </c>
      <c r="F106" s="1275"/>
      <c r="G106" s="1281" t="s">
        <v>2247</v>
      </c>
      <c r="H106" s="1311"/>
      <c r="I106" s="1559" t="s">
        <v>2248</v>
      </c>
      <c r="J106" s="1276" t="s">
        <v>1251</v>
      </c>
      <c r="K106" s="1276" t="s">
        <v>2236</v>
      </c>
      <c r="L106" s="1277">
        <v>11</v>
      </c>
      <c r="M106" s="1278">
        <v>0.2727</v>
      </c>
      <c r="N106" s="1278">
        <v>0</v>
      </c>
      <c r="O106" s="1276">
        <v>0</v>
      </c>
      <c r="P106" s="1276">
        <v>0</v>
      </c>
      <c r="Q106" s="1389"/>
    </row>
    <row r="107" spans="1:17" ht="54.75" customHeight="1" x14ac:dyDescent="0.5">
      <c r="A107" s="1246" t="s">
        <v>2245</v>
      </c>
      <c r="B107" s="1248">
        <v>45776</v>
      </c>
      <c r="C107" s="1248" t="s">
        <v>41</v>
      </c>
      <c r="D107" s="1280" t="s">
        <v>413</v>
      </c>
      <c r="E107" s="1248" t="s">
        <v>2249</v>
      </c>
      <c r="F107" s="1275"/>
      <c r="G107" s="1275" t="s">
        <v>2250</v>
      </c>
      <c r="H107" s="1311"/>
      <c r="I107" s="1559" t="s">
        <v>2251</v>
      </c>
      <c r="J107" s="1276" t="s">
        <v>1721</v>
      </c>
      <c r="K107" s="1276">
        <v>94</v>
      </c>
      <c r="L107" s="1277">
        <v>123</v>
      </c>
      <c r="M107" s="1278">
        <v>0.23580000000000001</v>
      </c>
      <c r="N107" s="1278">
        <v>0</v>
      </c>
      <c r="O107" s="1276">
        <v>1</v>
      </c>
      <c r="P107" s="1276">
        <v>0</v>
      </c>
      <c r="Q107" s="1389"/>
    </row>
    <row r="108" spans="1:17" ht="54.75" customHeight="1" x14ac:dyDescent="0.5">
      <c r="A108" s="1308">
        <v>45776</v>
      </c>
      <c r="B108" s="2084" t="s">
        <v>2252</v>
      </c>
      <c r="C108" s="2085"/>
      <c r="D108" s="2085"/>
      <c r="E108" s="2085"/>
      <c r="F108" s="2085"/>
      <c r="G108" s="2085"/>
      <c r="H108" s="1311"/>
      <c r="I108" s="1251"/>
      <c r="J108" s="1251"/>
      <c r="K108" s="1276"/>
      <c r="L108" s="1277"/>
      <c r="M108" s="1276"/>
      <c r="N108" s="1276"/>
      <c r="O108" s="1276"/>
      <c r="P108" s="1276"/>
      <c r="Q108" s="1389"/>
    </row>
    <row r="109" spans="1:17" ht="54.75" customHeight="1" x14ac:dyDescent="0.5">
      <c r="A109" s="1308">
        <v>45782</v>
      </c>
      <c r="B109" s="2043" t="s">
        <v>106</v>
      </c>
      <c r="C109" s="2072"/>
      <c r="D109" s="2072"/>
      <c r="E109" s="2072"/>
      <c r="F109" s="2072"/>
      <c r="G109" s="2072"/>
      <c r="H109" s="1311"/>
      <c r="I109" s="1251"/>
      <c r="J109" s="1251"/>
      <c r="K109" s="1276"/>
      <c r="L109" s="1277"/>
      <c r="M109" s="1276"/>
      <c r="N109" s="1276"/>
      <c r="O109" s="1276"/>
      <c r="P109" s="1276"/>
      <c r="Q109" s="1389"/>
    </row>
    <row r="110" spans="1:17" ht="54.75" customHeight="1" x14ac:dyDescent="0.5">
      <c r="A110" s="1246" t="s">
        <v>692</v>
      </c>
      <c r="B110" s="2084" t="s">
        <v>2253</v>
      </c>
      <c r="C110" s="2084"/>
      <c r="D110" s="2084"/>
      <c r="E110" s="2084"/>
      <c r="F110" s="2084"/>
      <c r="G110" s="2084"/>
      <c r="H110" s="1311"/>
      <c r="I110" s="1287" t="s">
        <v>2254</v>
      </c>
      <c r="J110" s="1276" t="s">
        <v>1730</v>
      </c>
      <c r="K110" s="1276">
        <v>94</v>
      </c>
      <c r="L110" s="1277">
        <v>58</v>
      </c>
      <c r="M110" s="1278">
        <v>0.4138</v>
      </c>
      <c r="N110" s="1278">
        <v>0.1724</v>
      </c>
      <c r="O110" s="1276">
        <v>0</v>
      </c>
      <c r="P110" s="1276">
        <v>0</v>
      </c>
      <c r="Q110" s="1389"/>
    </row>
    <row r="111" spans="1:17" ht="54.75" customHeight="1" x14ac:dyDescent="0.5">
      <c r="A111" s="1246" t="s">
        <v>692</v>
      </c>
      <c r="B111" s="1248">
        <v>45790</v>
      </c>
      <c r="C111" s="1248" t="s">
        <v>2182</v>
      </c>
      <c r="D111" s="1280" t="s">
        <v>2255</v>
      </c>
      <c r="E111" s="1248" t="s">
        <v>2256</v>
      </c>
      <c r="F111" s="1275"/>
      <c r="G111" s="1248"/>
      <c r="H111" s="1311"/>
      <c r="I111" s="1287" t="s">
        <v>2257</v>
      </c>
      <c r="J111" s="1276" t="s">
        <v>2258</v>
      </c>
      <c r="K111" s="1276">
        <v>94</v>
      </c>
      <c r="L111" s="1277">
        <v>73</v>
      </c>
      <c r="M111" s="1278">
        <v>0.26029999999999998</v>
      </c>
      <c r="N111" s="1278">
        <v>1.37E-2</v>
      </c>
      <c r="O111" s="1276">
        <v>0</v>
      </c>
      <c r="P111" s="1276">
        <v>0</v>
      </c>
      <c r="Q111" s="1389"/>
    </row>
    <row r="112" spans="1:17" ht="54.75" customHeight="1" x14ac:dyDescent="0.5">
      <c r="A112" s="1246" t="s">
        <v>693</v>
      </c>
      <c r="B112" s="2043" t="s">
        <v>106</v>
      </c>
      <c r="C112" s="2072"/>
      <c r="D112" s="2072"/>
      <c r="E112" s="2072"/>
      <c r="F112" s="2072"/>
      <c r="G112" s="2072"/>
      <c r="H112" s="1311"/>
      <c r="I112" s="1251"/>
      <c r="J112" s="1251"/>
      <c r="K112" s="1276"/>
      <c r="L112" s="1277"/>
      <c r="M112" s="1276"/>
      <c r="N112" s="1276"/>
      <c r="O112" s="1276"/>
      <c r="P112" s="1276"/>
      <c r="Q112" s="1389"/>
    </row>
    <row r="113" spans="1:17" ht="54.75" customHeight="1" x14ac:dyDescent="0.5">
      <c r="A113" s="1246" t="s">
        <v>2259</v>
      </c>
      <c r="B113" s="2084" t="s">
        <v>2260</v>
      </c>
      <c r="C113" s="2084"/>
      <c r="D113" s="2084"/>
      <c r="E113" s="2084"/>
      <c r="F113" s="2084"/>
      <c r="G113" s="2084"/>
      <c r="H113" s="1311"/>
      <c r="I113" s="1251"/>
      <c r="J113" s="1251"/>
      <c r="K113" s="1276"/>
      <c r="L113" s="1277"/>
      <c r="M113" s="1276"/>
      <c r="N113" s="1276"/>
      <c r="O113" s="1276"/>
      <c r="P113" s="1276"/>
      <c r="Q113" s="1389"/>
    </row>
    <row r="114" spans="1:17" ht="54.75" customHeight="1" x14ac:dyDescent="0.5">
      <c r="A114" s="1246" t="s">
        <v>696</v>
      </c>
      <c r="B114" s="1248">
        <v>45805</v>
      </c>
      <c r="C114" s="1248" t="s">
        <v>2182</v>
      </c>
      <c r="D114" s="1280" t="s">
        <v>2237</v>
      </c>
      <c r="E114" s="1248" t="s">
        <v>1987</v>
      </c>
      <c r="F114" s="1275"/>
      <c r="G114" s="1281" t="s">
        <v>2261</v>
      </c>
      <c r="H114" s="1311"/>
      <c r="I114" s="1287" t="s">
        <v>2262</v>
      </c>
      <c r="J114" s="1276" t="s">
        <v>1736</v>
      </c>
      <c r="K114" s="1656"/>
      <c r="L114" s="1277">
        <v>58</v>
      </c>
      <c r="M114" s="1278">
        <v>0.56899999999999995</v>
      </c>
      <c r="N114" s="1278">
        <v>5.1700000000000003E-2</v>
      </c>
      <c r="O114" s="1276">
        <v>0</v>
      </c>
      <c r="P114" s="1276">
        <v>0</v>
      </c>
      <c r="Q114" s="1389"/>
    </row>
    <row r="115" spans="1:17" ht="54.75" customHeight="1" x14ac:dyDescent="0.5">
      <c r="A115" s="1246" t="s">
        <v>2263</v>
      </c>
      <c r="B115" s="2084" t="s">
        <v>2264</v>
      </c>
      <c r="C115" s="2084"/>
      <c r="D115" s="2084"/>
      <c r="E115" s="2084"/>
      <c r="F115" s="2084"/>
      <c r="G115" s="2084"/>
      <c r="H115" s="1311"/>
      <c r="I115" s="1251"/>
      <c r="J115" s="1251"/>
      <c r="K115" s="1276"/>
      <c r="L115" s="1277"/>
      <c r="M115" s="1276"/>
      <c r="N115" s="1276"/>
      <c r="O115" s="1276"/>
      <c r="P115" s="1276"/>
      <c r="Q115" s="1389"/>
    </row>
    <row r="116" spans="1:17" ht="54.75" customHeight="1" x14ac:dyDescent="0.5">
      <c r="A116" s="1246" t="s">
        <v>2265</v>
      </c>
      <c r="B116" s="2075" t="s">
        <v>2266</v>
      </c>
      <c r="C116" s="2075"/>
      <c r="D116" s="2075"/>
      <c r="E116" s="2075"/>
      <c r="F116" s="2075"/>
      <c r="G116" s="2075"/>
      <c r="H116" s="1311"/>
      <c r="I116" s="1251"/>
      <c r="J116" s="1251"/>
      <c r="K116" s="1276"/>
      <c r="L116" s="1277"/>
      <c r="M116" s="1276"/>
      <c r="N116" s="1276"/>
      <c r="O116" s="1276"/>
      <c r="P116" s="1276"/>
      <c r="Q116" s="1389"/>
    </row>
    <row r="117" spans="1:17" ht="54.75" customHeight="1" x14ac:dyDescent="0.5">
      <c r="A117" s="1246" t="s">
        <v>697</v>
      </c>
      <c r="B117" s="1248">
        <v>45811</v>
      </c>
      <c r="C117" s="1248" t="s">
        <v>41</v>
      </c>
      <c r="D117" s="1280" t="s">
        <v>2255</v>
      </c>
      <c r="E117" s="1248" t="s">
        <v>2267</v>
      </c>
      <c r="F117" s="1275"/>
      <c r="G117" s="1281"/>
      <c r="H117" s="1311"/>
      <c r="I117" s="1287" t="s">
        <v>2268</v>
      </c>
      <c r="J117" s="1276" t="s">
        <v>2269</v>
      </c>
      <c r="K117" s="1276">
        <v>184</v>
      </c>
      <c r="L117" s="1277">
        <v>122</v>
      </c>
      <c r="M117" s="1278">
        <v>0.27050000000000002</v>
      </c>
      <c r="N117" s="1278">
        <v>0</v>
      </c>
      <c r="O117" s="1276">
        <v>2</v>
      </c>
      <c r="P117" s="1276">
        <v>0</v>
      </c>
      <c r="Q117" s="1389"/>
    </row>
    <row r="118" spans="1:17" ht="54.75" customHeight="1" x14ac:dyDescent="0.5">
      <c r="A118" s="1246" t="s">
        <v>2270</v>
      </c>
      <c r="B118" s="2084" t="s">
        <v>2271</v>
      </c>
      <c r="C118" s="2084"/>
      <c r="D118" s="2084"/>
      <c r="E118" s="2084"/>
      <c r="F118" s="2084"/>
      <c r="G118" s="2084"/>
      <c r="H118" s="1311"/>
      <c r="I118" s="1287" t="s">
        <v>2272</v>
      </c>
      <c r="J118" s="1276" t="s">
        <v>2273</v>
      </c>
      <c r="K118" s="1276">
        <v>184</v>
      </c>
      <c r="L118" s="1277">
        <v>59</v>
      </c>
      <c r="M118" s="1278">
        <v>0.64410000000000001</v>
      </c>
      <c r="N118" s="1278">
        <v>0.2712</v>
      </c>
      <c r="O118" s="1276">
        <v>0</v>
      </c>
      <c r="P118" s="1276">
        <v>0</v>
      </c>
      <c r="Q118" s="1389"/>
    </row>
    <row r="119" spans="1:17" ht="54.75" customHeight="1" x14ac:dyDescent="0.5">
      <c r="A119" s="1246" t="s">
        <v>2274</v>
      </c>
      <c r="B119" s="2084" t="s">
        <v>2275</v>
      </c>
      <c r="C119" s="2084"/>
      <c r="D119" s="2084"/>
      <c r="E119" s="2084"/>
      <c r="F119" s="2084"/>
      <c r="G119" s="2084"/>
      <c r="H119" s="1311"/>
      <c r="I119" s="1287" t="s">
        <v>2276</v>
      </c>
      <c r="J119" s="1276" t="s">
        <v>1277</v>
      </c>
      <c r="K119" s="1276">
        <v>184</v>
      </c>
      <c r="L119" s="1277">
        <v>58</v>
      </c>
      <c r="M119" s="1278">
        <v>0.46550000000000002</v>
      </c>
      <c r="N119" s="1278">
        <v>5.1700000000000003E-2</v>
      </c>
      <c r="O119" s="1276">
        <v>0</v>
      </c>
      <c r="P119" s="1276">
        <v>0</v>
      </c>
      <c r="Q119" s="1389"/>
    </row>
    <row r="120" spans="1:17" ht="54.75" customHeight="1" x14ac:dyDescent="0.5">
      <c r="A120" s="1246" t="s">
        <v>698</v>
      </c>
      <c r="B120" s="2043" t="s">
        <v>2277</v>
      </c>
      <c r="C120" s="2072"/>
      <c r="D120" s="2072"/>
      <c r="E120" s="2072"/>
      <c r="F120" s="2072"/>
      <c r="G120" s="2072"/>
      <c r="H120" s="1311"/>
      <c r="I120" s="1657"/>
      <c r="J120" s="1658"/>
      <c r="K120" s="1656"/>
      <c r="L120" s="1659"/>
      <c r="M120" s="1659"/>
      <c r="N120" s="1659"/>
      <c r="O120" s="1659"/>
      <c r="P120" s="1659"/>
      <c r="Q120" s="1389"/>
    </row>
    <row r="121" spans="1:17" ht="54.75" customHeight="1" x14ac:dyDescent="0.5">
      <c r="A121" s="1298" t="s">
        <v>2278</v>
      </c>
      <c r="B121" s="2045" t="s">
        <v>2279</v>
      </c>
      <c r="C121" s="2045"/>
      <c r="D121" s="2045"/>
      <c r="E121" s="2045"/>
      <c r="F121" s="2045"/>
      <c r="G121" s="2045"/>
      <c r="H121" s="1311"/>
      <c r="I121" s="1557"/>
      <c r="J121" s="1557"/>
      <c r="K121" s="1557"/>
      <c r="L121" s="1557"/>
      <c r="M121" s="1557"/>
      <c r="N121" s="1557"/>
      <c r="O121" s="1557"/>
      <c r="P121" s="1557"/>
      <c r="Q121" s="1389"/>
    </row>
    <row r="122" spans="1:17" ht="54.75" customHeight="1" x14ac:dyDescent="0.5">
      <c r="A122" s="1246" t="s">
        <v>2280</v>
      </c>
      <c r="B122" s="2084" t="s">
        <v>2281</v>
      </c>
      <c r="C122" s="2085"/>
      <c r="D122" s="2085"/>
      <c r="E122" s="2085"/>
      <c r="F122" s="2085"/>
      <c r="G122" s="2085"/>
      <c r="H122" s="1311"/>
      <c r="I122" s="1287" t="s">
        <v>2282</v>
      </c>
      <c r="J122" s="1276" t="s">
        <v>1286</v>
      </c>
      <c r="K122" s="1276">
        <v>82</v>
      </c>
      <c r="L122" s="1277">
        <v>58</v>
      </c>
      <c r="M122" s="1278">
        <v>0.37930000000000003</v>
      </c>
      <c r="N122" s="1278">
        <v>0.1207</v>
      </c>
      <c r="O122" s="1276">
        <v>0</v>
      </c>
      <c r="P122" s="1276">
        <v>0</v>
      </c>
      <c r="Q122" s="1389"/>
    </row>
    <row r="123" spans="1:17" ht="54.75" customHeight="1" x14ac:dyDescent="0.5">
      <c r="A123" s="1246" t="s">
        <v>699</v>
      </c>
      <c r="B123" s="1248">
        <v>45824</v>
      </c>
      <c r="C123" s="1248"/>
      <c r="D123" s="1280" t="s">
        <v>2255</v>
      </c>
      <c r="E123" s="1248" t="s">
        <v>2283</v>
      </c>
      <c r="F123" s="1562" t="s">
        <v>2284</v>
      </c>
      <c r="G123" s="1281"/>
      <c r="H123" s="1311"/>
      <c r="I123" s="1287" t="s">
        <v>2285</v>
      </c>
      <c r="J123" s="1276" t="s">
        <v>1748</v>
      </c>
      <c r="K123" s="1276">
        <v>53</v>
      </c>
      <c r="L123" s="1277">
        <v>112</v>
      </c>
      <c r="M123" s="1278">
        <v>0.1875</v>
      </c>
      <c r="N123" s="1278">
        <v>0</v>
      </c>
      <c r="O123" s="1276">
        <v>0</v>
      </c>
      <c r="P123" s="1276">
        <v>0</v>
      </c>
      <c r="Q123" s="1389"/>
    </row>
    <row r="124" spans="1:17" ht="54.75" customHeight="1" x14ac:dyDescent="0.5">
      <c r="A124" s="1315" t="s">
        <v>2286</v>
      </c>
      <c r="B124" s="2084" t="s">
        <v>1566</v>
      </c>
      <c r="C124" s="2084"/>
      <c r="D124" s="2084"/>
      <c r="E124" s="2084"/>
      <c r="F124" s="2084"/>
      <c r="G124" s="2084"/>
      <c r="H124" s="1311"/>
      <c r="I124" s="1560" t="s">
        <v>2287</v>
      </c>
      <c r="J124" s="1569" t="s">
        <v>1748</v>
      </c>
      <c r="K124" s="1571">
        <v>53</v>
      </c>
      <c r="L124" s="1571">
        <v>51</v>
      </c>
      <c r="M124" s="1573">
        <v>0.29409999999999997</v>
      </c>
      <c r="N124" s="1573">
        <v>5.8799999999999998E-2</v>
      </c>
      <c r="O124" s="1571">
        <v>0</v>
      </c>
      <c r="P124" s="1571">
        <v>0</v>
      </c>
      <c r="Q124" s="1389"/>
    </row>
    <row r="125" spans="1:17" ht="54.75" customHeight="1" x14ac:dyDescent="0.5">
      <c r="A125" s="1246" t="s">
        <v>700</v>
      </c>
      <c r="B125" s="1248">
        <v>45831</v>
      </c>
      <c r="C125" s="1248" t="s">
        <v>41</v>
      </c>
      <c r="D125" s="1280" t="s">
        <v>2255</v>
      </c>
      <c r="E125" s="1248" t="s">
        <v>2288</v>
      </c>
      <c r="F125" s="1562" t="s">
        <v>2289</v>
      </c>
      <c r="G125" s="1281" t="s">
        <v>2290</v>
      </c>
      <c r="H125" s="1311"/>
      <c r="I125" s="1287" t="s">
        <v>2291</v>
      </c>
      <c r="J125" s="1276" t="s">
        <v>1291</v>
      </c>
      <c r="K125" s="1276">
        <v>30</v>
      </c>
      <c r="L125" s="1277">
        <v>110</v>
      </c>
      <c r="M125" s="1278">
        <v>0.2727</v>
      </c>
      <c r="N125" s="1395">
        <v>0</v>
      </c>
      <c r="O125" s="1276">
        <v>0</v>
      </c>
      <c r="P125" s="1276">
        <v>0</v>
      </c>
      <c r="Q125" s="1389"/>
    </row>
    <row r="126" spans="1:17" ht="54.75" customHeight="1" x14ac:dyDescent="0.5">
      <c r="A126" s="1315" t="s">
        <v>2292</v>
      </c>
      <c r="B126" s="2084" t="s">
        <v>2293</v>
      </c>
      <c r="C126" s="2084"/>
      <c r="D126" s="2084"/>
      <c r="E126" s="2084"/>
      <c r="F126" s="2084"/>
      <c r="G126" s="2084"/>
      <c r="H126" s="1311"/>
      <c r="I126" s="1557"/>
      <c r="J126" s="1557"/>
      <c r="K126" s="1557"/>
      <c r="L126" s="1557"/>
      <c r="M126" s="1557"/>
      <c r="N126" s="1557"/>
      <c r="O126" s="1557"/>
      <c r="P126" s="1557"/>
      <c r="Q126" s="1389"/>
    </row>
    <row r="127" spans="1:17" ht="50.25" customHeight="1" x14ac:dyDescent="0.5">
      <c r="A127" s="1246" t="s">
        <v>701</v>
      </c>
      <c r="B127" s="1248">
        <v>45838</v>
      </c>
      <c r="C127" s="1248" t="s">
        <v>2294</v>
      </c>
      <c r="D127" s="1280" t="s">
        <v>2255</v>
      </c>
      <c r="E127" s="1248" t="s">
        <v>2295</v>
      </c>
      <c r="F127" s="1562" t="s">
        <v>1739</v>
      </c>
      <c r="G127" s="1281" t="s">
        <v>2296</v>
      </c>
      <c r="H127" s="1311"/>
      <c r="I127" s="1287" t="s">
        <v>2297</v>
      </c>
      <c r="J127" s="1276" t="s">
        <v>1302</v>
      </c>
      <c r="K127" s="1276">
        <v>23</v>
      </c>
      <c r="L127" s="1277">
        <v>20</v>
      </c>
      <c r="M127" s="1395">
        <v>0.35</v>
      </c>
      <c r="N127" s="1395">
        <v>0.15</v>
      </c>
      <c r="O127" s="1276">
        <v>0</v>
      </c>
      <c r="P127" s="1276">
        <v>0</v>
      </c>
      <c r="Q127" s="1389"/>
    </row>
    <row r="128" spans="1:17" ht="50.25" customHeight="1" x14ac:dyDescent="0.5">
      <c r="A128" s="1246" t="s">
        <v>703</v>
      </c>
      <c r="B128" s="2075" t="s">
        <v>106</v>
      </c>
      <c r="C128" s="2075"/>
      <c r="D128" s="2075"/>
      <c r="E128" s="2075"/>
      <c r="F128" s="2075"/>
      <c r="G128" s="2075"/>
      <c r="H128" s="1311"/>
      <c r="I128" s="1251"/>
      <c r="J128" s="1251"/>
      <c r="K128" s="1276"/>
      <c r="L128" s="1277"/>
      <c r="M128" s="1276"/>
      <c r="N128" s="1276"/>
      <c r="O128" s="1276"/>
      <c r="P128" s="1276"/>
      <c r="Q128" s="1389"/>
    </row>
    <row r="129" spans="1:17" ht="50.25" customHeight="1" x14ac:dyDescent="0.5">
      <c r="A129" s="1246" t="s">
        <v>1304</v>
      </c>
      <c r="B129" s="1248">
        <v>45853</v>
      </c>
      <c r="C129" s="1248" t="s">
        <v>2182</v>
      </c>
      <c r="D129" s="1280" t="s">
        <v>2255</v>
      </c>
      <c r="E129" s="1248" t="s">
        <v>2298</v>
      </c>
      <c r="F129" s="1562" t="s">
        <v>2299</v>
      </c>
      <c r="G129" s="1281"/>
      <c r="H129" s="1311"/>
      <c r="I129" s="1287" t="s">
        <v>2300</v>
      </c>
      <c r="J129" s="1276" t="s">
        <v>1308</v>
      </c>
      <c r="K129" s="1276"/>
      <c r="L129" s="1277">
        <v>73</v>
      </c>
      <c r="M129" s="1278">
        <v>0.26029999999999998</v>
      </c>
      <c r="N129" s="1395">
        <v>0</v>
      </c>
      <c r="O129" s="1276">
        <v>0</v>
      </c>
      <c r="P129" s="1276">
        <v>0</v>
      </c>
      <c r="Q129" s="1389"/>
    </row>
    <row r="130" spans="1:17" ht="50.25" customHeight="1" x14ac:dyDescent="0.5">
      <c r="A130" s="1246" t="s">
        <v>1310</v>
      </c>
      <c r="B130" s="2075" t="s">
        <v>106</v>
      </c>
      <c r="C130" s="2075"/>
      <c r="D130" s="2075"/>
      <c r="E130" s="2075"/>
      <c r="F130" s="2075"/>
      <c r="G130" s="2075"/>
      <c r="H130" s="1311"/>
      <c r="I130" s="1251"/>
      <c r="J130" s="1251"/>
      <c r="K130" s="1276"/>
      <c r="L130" s="1277"/>
      <c r="M130" s="1276"/>
      <c r="N130" s="1276"/>
      <c r="O130" s="1276"/>
      <c r="P130" s="1276"/>
      <c r="Q130" s="1389"/>
    </row>
    <row r="131" spans="1:17" ht="50.25" customHeight="1" x14ac:dyDescent="0.5">
      <c r="A131" s="1246" t="s">
        <v>1323</v>
      </c>
      <c r="B131" s="1248">
        <v>45867</v>
      </c>
      <c r="C131" s="1248" t="s">
        <v>41</v>
      </c>
      <c r="D131" s="1280" t="s">
        <v>2255</v>
      </c>
      <c r="E131" s="1248" t="s">
        <v>2301</v>
      </c>
      <c r="F131" s="1660" t="s">
        <v>2299</v>
      </c>
      <c r="G131" s="1281"/>
      <c r="H131" s="1311"/>
      <c r="I131" s="1287" t="s">
        <v>2302</v>
      </c>
      <c r="J131" s="1276" t="s">
        <v>2303</v>
      </c>
      <c r="K131" s="1276">
        <v>21</v>
      </c>
      <c r="L131" s="1277">
        <v>106</v>
      </c>
      <c r="M131" s="1278">
        <v>0.26419999999999999</v>
      </c>
      <c r="N131" s="1278">
        <v>9.4000000000000004E-3</v>
      </c>
      <c r="O131" s="1276">
        <v>1</v>
      </c>
      <c r="P131" s="1276">
        <v>1</v>
      </c>
      <c r="Q131" s="1389"/>
    </row>
    <row r="132" spans="1:17" ht="50.25" customHeight="1" x14ac:dyDescent="0.5">
      <c r="A132" s="1246" t="s">
        <v>1769</v>
      </c>
      <c r="B132" s="2075" t="s">
        <v>106</v>
      </c>
      <c r="C132" s="2075"/>
      <c r="D132" s="2075"/>
      <c r="E132" s="2075"/>
      <c r="F132" s="2075"/>
      <c r="G132" s="2075"/>
      <c r="H132" s="1311"/>
      <c r="I132" s="1251"/>
      <c r="J132" s="1251"/>
      <c r="K132" s="1276"/>
      <c r="L132" s="1277"/>
      <c r="M132" s="1276"/>
      <c r="N132" s="1276"/>
      <c r="O132" s="1276"/>
      <c r="P132" s="1276"/>
      <c r="Q132" s="1389"/>
    </row>
    <row r="133" spans="1:17" ht="50.25" customHeight="1" x14ac:dyDescent="0.5">
      <c r="A133" s="1246" t="s">
        <v>1328</v>
      </c>
      <c r="B133" s="1248">
        <v>45881</v>
      </c>
      <c r="C133" s="1248" t="s">
        <v>2182</v>
      </c>
      <c r="D133" s="1280" t="s">
        <v>2255</v>
      </c>
      <c r="E133" s="1248" t="s">
        <v>2304</v>
      </c>
      <c r="F133" s="1660" t="s">
        <v>2299</v>
      </c>
      <c r="G133" s="1281"/>
      <c r="H133" s="1311"/>
      <c r="I133" s="1287" t="s">
        <v>2305</v>
      </c>
      <c r="J133" s="1276" t="s">
        <v>1331</v>
      </c>
      <c r="K133" s="1276">
        <v>25</v>
      </c>
      <c r="L133" s="1277">
        <v>98</v>
      </c>
      <c r="M133" s="1278">
        <v>0.26529999999999998</v>
      </c>
      <c r="N133" s="1278">
        <v>1.0200000000000001E-2</v>
      </c>
      <c r="O133" s="1276">
        <v>1</v>
      </c>
      <c r="P133" s="1276">
        <v>1</v>
      </c>
      <c r="Q133" s="1389"/>
    </row>
    <row r="134" spans="1:17" ht="50.25" customHeight="1" x14ac:dyDescent="0.5">
      <c r="A134" s="1246" t="s">
        <v>1333</v>
      </c>
      <c r="B134" s="2075" t="s">
        <v>106</v>
      </c>
      <c r="C134" s="2075"/>
      <c r="D134" s="2075"/>
      <c r="E134" s="2075"/>
      <c r="F134" s="2075"/>
      <c r="G134" s="2075"/>
      <c r="H134" s="1311"/>
      <c r="I134" s="1251"/>
      <c r="J134" s="1251"/>
      <c r="K134" s="1276"/>
      <c r="L134" s="1277"/>
      <c r="M134" s="1276"/>
      <c r="N134" s="1276"/>
      <c r="O134" s="1276"/>
      <c r="P134" s="1276"/>
      <c r="Q134" s="1389"/>
    </row>
    <row r="135" spans="1:17" ht="50.25" customHeight="1" x14ac:dyDescent="0.5">
      <c r="A135" s="1246" t="s">
        <v>1338</v>
      </c>
      <c r="B135" s="1248">
        <v>45895</v>
      </c>
      <c r="C135" s="1248" t="s">
        <v>2306</v>
      </c>
      <c r="D135" s="1280" t="s">
        <v>2255</v>
      </c>
      <c r="E135" s="1248" t="s">
        <v>2307</v>
      </c>
      <c r="F135" s="1660" t="s">
        <v>2308</v>
      </c>
      <c r="G135" s="1281"/>
      <c r="H135" s="1311"/>
      <c r="I135" s="1287" t="s">
        <v>2309</v>
      </c>
      <c r="J135" s="1276" t="s">
        <v>1783</v>
      </c>
      <c r="K135" s="1276">
        <v>22</v>
      </c>
      <c r="L135" s="1277">
        <v>95</v>
      </c>
      <c r="M135" s="1278">
        <v>0.2737</v>
      </c>
      <c r="N135" s="1278">
        <v>1.0500000000000001E-2</v>
      </c>
      <c r="O135" s="1276">
        <v>0</v>
      </c>
      <c r="P135" s="1276">
        <v>0</v>
      </c>
      <c r="Q135" s="1389"/>
    </row>
    <row r="136" spans="1:17" ht="50.25" customHeight="1" x14ac:dyDescent="0.5">
      <c r="A136" s="1246" t="s">
        <v>1341</v>
      </c>
      <c r="B136" s="2075" t="s">
        <v>106</v>
      </c>
      <c r="C136" s="2075"/>
      <c r="D136" s="2075"/>
      <c r="E136" s="2075"/>
      <c r="F136" s="2075"/>
      <c r="G136" s="2075"/>
      <c r="H136" s="1311"/>
      <c r="I136" s="1251"/>
      <c r="J136" s="1251"/>
      <c r="K136" s="1276"/>
      <c r="L136" s="1277"/>
      <c r="M136" s="1276"/>
      <c r="N136" s="1276"/>
      <c r="O136" s="1276"/>
      <c r="P136" s="1276"/>
      <c r="Q136" s="1389"/>
    </row>
    <row r="137" spans="1:17" ht="50.25" customHeight="1" x14ac:dyDescent="0.5">
      <c r="A137" s="1246" t="s">
        <v>1347</v>
      </c>
      <c r="B137" s="1248">
        <v>45909</v>
      </c>
      <c r="C137" s="1248" t="s">
        <v>2310</v>
      </c>
      <c r="D137" s="1280" t="s">
        <v>2255</v>
      </c>
      <c r="E137" s="1248" t="s">
        <v>2311</v>
      </c>
      <c r="F137" s="1660" t="s">
        <v>1739</v>
      </c>
      <c r="G137" s="1281"/>
      <c r="H137" s="1311"/>
      <c r="I137" s="1287" t="s">
        <v>2312</v>
      </c>
      <c r="J137" s="1276" t="s">
        <v>1800</v>
      </c>
      <c r="K137" s="1276">
        <v>36</v>
      </c>
      <c r="L137" s="1277">
        <v>38</v>
      </c>
      <c r="M137" s="1278">
        <v>0.31580000000000003</v>
      </c>
      <c r="N137" s="1278">
        <v>0.13159999999999999</v>
      </c>
      <c r="O137" s="1276">
        <v>0</v>
      </c>
      <c r="P137" s="1276">
        <v>0</v>
      </c>
      <c r="Q137" s="1389"/>
    </row>
    <row r="138" spans="1:17" ht="50.25" customHeight="1" x14ac:dyDescent="0.5">
      <c r="A138" s="1246" t="s">
        <v>1348</v>
      </c>
      <c r="B138" s="2075" t="s">
        <v>106</v>
      </c>
      <c r="C138" s="2075"/>
      <c r="D138" s="2075"/>
      <c r="E138" s="2075"/>
      <c r="F138" s="2075"/>
      <c r="G138" s="2075"/>
      <c r="H138" s="1311"/>
      <c r="I138" s="1251"/>
      <c r="J138" s="1251"/>
      <c r="K138" s="1251"/>
      <c r="L138" s="1277"/>
      <c r="M138" s="1276"/>
      <c r="N138" s="1276"/>
      <c r="O138" s="1276"/>
      <c r="P138" s="1276"/>
      <c r="Q138" s="1389"/>
    </row>
    <row r="139" spans="1:17" ht="50.25" customHeight="1" x14ac:dyDescent="0.5">
      <c r="A139" s="1246" t="s">
        <v>1354</v>
      </c>
      <c r="B139" s="2075" t="s">
        <v>106</v>
      </c>
      <c r="C139" s="2075"/>
      <c r="D139" s="2075"/>
      <c r="E139" s="2075"/>
      <c r="F139" s="2075"/>
      <c r="G139" s="2075"/>
      <c r="H139" s="1313"/>
      <c r="I139" s="1251"/>
      <c r="J139" s="1251"/>
      <c r="K139" s="1276"/>
      <c r="L139" s="1277"/>
      <c r="M139" s="1276"/>
      <c r="N139" s="1276"/>
      <c r="O139" s="1276"/>
      <c r="P139" s="1276"/>
      <c r="Q139" s="1389"/>
    </row>
    <row r="140" spans="1:17" ht="50.25" customHeight="1" x14ac:dyDescent="0.5">
      <c r="A140" s="1246" t="s">
        <v>1357</v>
      </c>
      <c r="B140" s="2075" t="s">
        <v>106</v>
      </c>
      <c r="C140" s="2075"/>
      <c r="D140" s="2075"/>
      <c r="E140" s="2075"/>
      <c r="F140" s="2075"/>
      <c r="G140" s="2075"/>
      <c r="H140" s="1313"/>
      <c r="I140" s="1251"/>
      <c r="J140" s="1251"/>
      <c r="K140" s="1276"/>
      <c r="L140" s="1277"/>
      <c r="M140" s="1276"/>
      <c r="N140" s="1276"/>
      <c r="O140" s="1276"/>
      <c r="P140" s="1276"/>
      <c r="Q140" s="1389"/>
    </row>
    <row r="141" spans="1:17" ht="50.25" customHeight="1" x14ac:dyDescent="0.5">
      <c r="A141" s="1246" t="s">
        <v>2313</v>
      </c>
      <c r="B141" s="1248">
        <v>45936</v>
      </c>
      <c r="C141" s="1248" t="s">
        <v>41</v>
      </c>
      <c r="D141" s="1280" t="s">
        <v>2255</v>
      </c>
      <c r="E141" s="1248" t="s">
        <v>2314</v>
      </c>
      <c r="F141" s="1275"/>
      <c r="G141" s="1281" t="s">
        <v>2315</v>
      </c>
      <c r="H141" s="1311"/>
      <c r="I141" s="1287" t="s">
        <v>2316</v>
      </c>
      <c r="J141" s="1276" t="s">
        <v>1362</v>
      </c>
      <c r="K141" s="1276">
        <v>87</v>
      </c>
      <c r="L141" s="1277">
        <v>42</v>
      </c>
      <c r="M141" s="1278">
        <v>0.16689999999999999</v>
      </c>
      <c r="N141" s="1395">
        <v>0</v>
      </c>
      <c r="O141" s="1276">
        <v>0</v>
      </c>
      <c r="P141" s="1276">
        <v>1</v>
      </c>
      <c r="Q141" s="1389"/>
    </row>
    <row r="142" spans="1:17" ht="50.25" customHeight="1" x14ac:dyDescent="0.5">
      <c r="A142" s="1246" t="s">
        <v>2313</v>
      </c>
      <c r="B142" s="1248">
        <v>45944</v>
      </c>
      <c r="C142" s="1248" t="s">
        <v>41</v>
      </c>
      <c r="D142" s="1280" t="s">
        <v>2255</v>
      </c>
      <c r="E142" s="1248" t="s">
        <v>2317</v>
      </c>
      <c r="F142" s="1660" t="s">
        <v>2318</v>
      </c>
      <c r="G142" s="1281"/>
      <c r="H142" s="1311"/>
      <c r="I142" s="1287" t="s">
        <v>2319</v>
      </c>
      <c r="J142" s="1276" t="s">
        <v>2320</v>
      </c>
      <c r="K142" s="1276">
        <v>65</v>
      </c>
      <c r="L142" s="1277">
        <v>89</v>
      </c>
      <c r="M142" s="1278">
        <v>0.25840000000000002</v>
      </c>
      <c r="N142" s="1278">
        <v>1.12E-2</v>
      </c>
      <c r="O142" s="1276">
        <v>0</v>
      </c>
      <c r="P142" s="1276">
        <v>0</v>
      </c>
      <c r="Q142" s="1389"/>
    </row>
    <row r="143" spans="1:17" ht="50.25" customHeight="1" x14ac:dyDescent="0.5">
      <c r="A143" s="1246" t="s">
        <v>2321</v>
      </c>
      <c r="B143" s="2043" t="s">
        <v>106</v>
      </c>
      <c r="C143" s="2072"/>
      <c r="D143" s="2072"/>
      <c r="E143" s="2072"/>
      <c r="F143" s="2072"/>
      <c r="G143" s="2072"/>
      <c r="H143" s="1311"/>
      <c r="I143" s="1251"/>
      <c r="J143" s="1251"/>
      <c r="K143" s="1251"/>
      <c r="L143" s="1251"/>
      <c r="M143" s="1251"/>
      <c r="N143" s="1276"/>
      <c r="O143" s="1276"/>
      <c r="P143" s="1276"/>
      <c r="Q143" s="1389"/>
    </row>
    <row r="144" spans="1:17" ht="50.25" customHeight="1" x14ac:dyDescent="0.5">
      <c r="A144" s="1246" t="s">
        <v>2322</v>
      </c>
      <c r="B144" s="1248">
        <v>45953</v>
      </c>
      <c r="C144" s="1571" t="s">
        <v>41</v>
      </c>
      <c r="D144" s="1572" t="s">
        <v>2255</v>
      </c>
      <c r="E144" s="1571" t="s">
        <v>2323</v>
      </c>
      <c r="F144" s="1569" t="s">
        <v>2324</v>
      </c>
      <c r="G144" s="1661" t="s">
        <v>2325</v>
      </c>
      <c r="H144" s="1311"/>
      <c r="I144" s="1287" t="s">
        <v>2326</v>
      </c>
      <c r="J144" s="1569" t="s">
        <v>1820</v>
      </c>
      <c r="K144" s="1276">
        <v>76</v>
      </c>
      <c r="L144" s="1276">
        <v>38</v>
      </c>
      <c r="M144" s="1278">
        <v>0.28949999999999998</v>
      </c>
      <c r="N144" s="1278">
        <v>0.1053</v>
      </c>
      <c r="O144" s="1276">
        <v>0</v>
      </c>
      <c r="P144" s="1276">
        <v>0</v>
      </c>
      <c r="Q144" s="1389"/>
    </row>
    <row r="145" spans="1:20" ht="50.25" customHeight="1" x14ac:dyDescent="0.5">
      <c r="A145" s="1246" t="s">
        <v>2327</v>
      </c>
      <c r="B145" s="2043" t="s">
        <v>106</v>
      </c>
      <c r="C145" s="2072"/>
      <c r="D145" s="2072"/>
      <c r="E145" s="2072"/>
      <c r="F145" s="2072"/>
      <c r="G145" s="2072"/>
      <c r="H145" s="1311"/>
      <c r="I145" s="1287"/>
      <c r="J145" s="1569"/>
      <c r="K145" s="1276"/>
      <c r="L145" s="1276"/>
      <c r="M145" s="1278"/>
      <c r="N145" s="1278"/>
      <c r="O145" s="1276"/>
      <c r="P145" s="1276"/>
      <c r="Q145" s="1389"/>
    </row>
    <row r="146" spans="1:20" ht="50.25" customHeight="1" x14ac:dyDescent="0.5">
      <c r="A146" s="1246" t="s">
        <v>2328</v>
      </c>
      <c r="B146" s="2043" t="s">
        <v>106</v>
      </c>
      <c r="C146" s="2072"/>
      <c r="D146" s="2072"/>
      <c r="E146" s="2072"/>
      <c r="F146" s="2072"/>
      <c r="G146" s="2072"/>
      <c r="H146" s="1311"/>
      <c r="I146" s="1287"/>
      <c r="J146" s="1569"/>
      <c r="K146" s="1276"/>
      <c r="L146" s="1276"/>
      <c r="M146" s="1278"/>
      <c r="N146" s="1278"/>
      <c r="O146" s="1276"/>
      <c r="P146" s="1276"/>
      <c r="Q146" s="1389"/>
    </row>
    <row r="147" spans="1:20" ht="50.25" customHeight="1" x14ac:dyDescent="0.5">
      <c r="A147" s="1246" t="s">
        <v>2329</v>
      </c>
      <c r="B147" s="1248">
        <v>45974</v>
      </c>
      <c r="C147" s="1248" t="s">
        <v>41</v>
      </c>
      <c r="D147" s="1280" t="s">
        <v>2255</v>
      </c>
      <c r="E147" s="1248" t="s">
        <v>2330</v>
      </c>
      <c r="F147" s="1660" t="s">
        <v>2331</v>
      </c>
      <c r="G147" s="1281"/>
      <c r="H147" s="1311"/>
      <c r="I147" s="1287" t="s">
        <v>2332</v>
      </c>
      <c r="J147" s="1276" t="s">
        <v>1395</v>
      </c>
      <c r="K147" s="1276">
        <v>97</v>
      </c>
      <c r="L147" s="1277">
        <v>85</v>
      </c>
      <c r="M147" s="1278">
        <v>0.2235</v>
      </c>
      <c r="N147" s="1278">
        <v>2.35E-2</v>
      </c>
      <c r="O147" s="1276">
        <v>0</v>
      </c>
      <c r="P147" s="1276">
        <v>0</v>
      </c>
      <c r="Q147" s="1389"/>
    </row>
    <row r="148" spans="1:20" ht="50.25" customHeight="1" x14ac:dyDescent="0.5">
      <c r="A148" s="1246" t="s">
        <v>2333</v>
      </c>
      <c r="B148" s="1248">
        <v>45979</v>
      </c>
      <c r="C148" s="1248" t="s">
        <v>41</v>
      </c>
      <c r="D148" s="1280" t="s">
        <v>2255</v>
      </c>
      <c r="E148" s="1248" t="s">
        <v>2334</v>
      </c>
      <c r="F148" s="1660" t="s">
        <v>2335</v>
      </c>
      <c r="G148" s="1281" t="s">
        <v>2336</v>
      </c>
      <c r="H148" s="1311"/>
      <c r="I148" s="1287" t="s">
        <v>2337</v>
      </c>
      <c r="J148" s="1276" t="s">
        <v>2338</v>
      </c>
      <c r="K148" s="1276">
        <v>97</v>
      </c>
      <c r="L148" s="1277">
        <v>42</v>
      </c>
      <c r="M148" s="1278">
        <v>0.11899999999999999</v>
      </c>
      <c r="N148" s="1395">
        <v>0</v>
      </c>
      <c r="O148" s="1276">
        <v>0</v>
      </c>
      <c r="P148" s="1276">
        <v>0</v>
      </c>
      <c r="Q148" s="1389"/>
    </row>
    <row r="149" spans="1:20" ht="50.25" customHeight="1" x14ac:dyDescent="0.5">
      <c r="A149" s="1246" t="s">
        <v>2339</v>
      </c>
      <c r="B149" s="1248">
        <v>45985</v>
      </c>
      <c r="C149" s="1248" t="s">
        <v>41</v>
      </c>
      <c r="D149" s="1280" t="s">
        <v>2255</v>
      </c>
      <c r="E149" s="1248" t="s">
        <v>2340</v>
      </c>
      <c r="F149" s="1660" t="s">
        <v>2214</v>
      </c>
      <c r="G149" s="1281"/>
      <c r="H149" s="1311"/>
      <c r="I149" s="1287" t="s">
        <v>2341</v>
      </c>
      <c r="J149" s="1276" t="s">
        <v>2342</v>
      </c>
      <c r="K149" s="1276">
        <v>85</v>
      </c>
      <c r="L149" s="1277">
        <v>83</v>
      </c>
      <c r="M149" s="1278">
        <v>0.31330000000000002</v>
      </c>
      <c r="N149" s="1395">
        <v>0</v>
      </c>
      <c r="O149" s="1276">
        <v>0</v>
      </c>
      <c r="P149" s="1276">
        <v>0</v>
      </c>
      <c r="Q149" s="1389"/>
    </row>
    <row r="150" spans="1:20" ht="50.25" customHeight="1" x14ac:dyDescent="0.5">
      <c r="A150" s="1246" t="s">
        <v>2343</v>
      </c>
      <c r="B150" s="2043" t="s">
        <v>106</v>
      </c>
      <c r="C150" s="2072"/>
      <c r="D150" s="2072"/>
      <c r="E150" s="2072"/>
      <c r="F150" s="2072"/>
      <c r="G150" s="2072"/>
      <c r="H150" s="1311"/>
      <c r="I150" s="1287"/>
      <c r="J150" s="1276"/>
      <c r="K150" s="1276"/>
      <c r="L150" s="1277"/>
      <c r="M150" s="1276"/>
      <c r="N150" s="1276"/>
      <c r="O150" s="1276"/>
      <c r="P150" s="1276"/>
      <c r="Q150" s="1389"/>
    </row>
    <row r="151" spans="1:20" ht="50.25" customHeight="1" x14ac:dyDescent="0.5">
      <c r="A151" s="1246" t="s">
        <v>2344</v>
      </c>
      <c r="B151" s="1248">
        <v>46000</v>
      </c>
      <c r="C151" s="1248" t="s">
        <v>41</v>
      </c>
      <c r="D151" s="1280" t="s">
        <v>2255</v>
      </c>
      <c r="E151" s="1248" t="s">
        <v>2345</v>
      </c>
      <c r="F151" s="1660" t="s">
        <v>2346</v>
      </c>
      <c r="G151" s="1281" t="s">
        <v>2347</v>
      </c>
      <c r="H151" s="1311"/>
      <c r="I151" s="1287" t="s">
        <v>2348</v>
      </c>
      <c r="J151" s="1276" t="s">
        <v>1831</v>
      </c>
      <c r="K151" s="1276">
        <v>61</v>
      </c>
      <c r="L151" s="1277">
        <v>268</v>
      </c>
      <c r="M151" s="1278">
        <v>0.16420000000000001</v>
      </c>
      <c r="N151" s="1278">
        <v>7.4999999999999997E-3</v>
      </c>
      <c r="O151" s="1276">
        <v>1</v>
      </c>
      <c r="P151" s="1276">
        <v>2</v>
      </c>
      <c r="Q151" s="1389"/>
    </row>
    <row r="152" spans="1:20" ht="50.25" customHeight="1" x14ac:dyDescent="0.5">
      <c r="A152" s="1246" t="s">
        <v>2344</v>
      </c>
      <c r="B152" s="1248"/>
      <c r="C152" s="1248" t="s">
        <v>1846</v>
      </c>
      <c r="D152" s="1280" t="s">
        <v>2255</v>
      </c>
      <c r="E152" s="1248" t="s">
        <v>2349</v>
      </c>
      <c r="F152" s="1248"/>
      <c r="G152" s="1248" t="s">
        <v>2350</v>
      </c>
      <c r="H152" s="1311" t="s">
        <v>2351</v>
      </c>
      <c r="I152" s="1309" t="s">
        <v>2352</v>
      </c>
      <c r="J152" s="1251"/>
      <c r="K152" s="1276"/>
      <c r="L152" s="1277"/>
      <c r="M152" s="1276"/>
      <c r="N152" s="1276"/>
      <c r="O152" s="1276"/>
      <c r="P152" s="1276"/>
      <c r="Q152" s="1389"/>
    </row>
    <row r="153" spans="1:20" ht="50.25" customHeight="1" x14ac:dyDescent="0.5">
      <c r="A153" s="1246" t="s">
        <v>2353</v>
      </c>
      <c r="B153" s="1248">
        <v>46007</v>
      </c>
      <c r="C153" s="1248" t="s">
        <v>41</v>
      </c>
      <c r="D153" s="1280" t="s">
        <v>2255</v>
      </c>
      <c r="E153" s="1248" t="s">
        <v>2354</v>
      </c>
      <c r="F153" s="1275"/>
      <c r="G153" s="1281" t="s">
        <v>2355</v>
      </c>
      <c r="H153" s="1311"/>
      <c r="I153" s="1287" t="s">
        <v>2356</v>
      </c>
      <c r="J153" s="1276" t="s">
        <v>1428</v>
      </c>
      <c r="K153" s="1276"/>
      <c r="L153" s="1277">
        <v>263</v>
      </c>
      <c r="M153" s="1278">
        <v>0.2167</v>
      </c>
      <c r="N153" s="1278">
        <v>1.14E-2</v>
      </c>
      <c r="O153" s="1276">
        <v>2</v>
      </c>
      <c r="P153" s="1276">
        <v>0</v>
      </c>
      <c r="Q153" s="1389"/>
    </row>
    <row r="154" spans="1:20" ht="50.25" customHeight="1" x14ac:dyDescent="0.5">
      <c r="A154" s="1246" t="s">
        <v>2357</v>
      </c>
      <c r="B154" s="2076" t="s">
        <v>1841</v>
      </c>
      <c r="C154" s="2077"/>
      <c r="D154" s="2077"/>
      <c r="E154" s="2077"/>
      <c r="F154" s="2077"/>
      <c r="G154" s="2077"/>
      <c r="H154" s="1311"/>
      <c r="I154" s="1251"/>
      <c r="J154" s="1251"/>
      <c r="K154" s="1276"/>
      <c r="L154" s="1277"/>
      <c r="M154" s="1276"/>
      <c r="N154" s="1276"/>
      <c r="O154" s="1276"/>
      <c r="P154" s="1276"/>
      <c r="Q154" s="1389"/>
    </row>
    <row r="155" spans="1:20" ht="50.25" customHeight="1" x14ac:dyDescent="0.5">
      <c r="A155" s="1662" t="s">
        <v>2358</v>
      </c>
      <c r="B155" s="2078" t="s">
        <v>1842</v>
      </c>
      <c r="C155" s="2079"/>
      <c r="D155" s="2079"/>
      <c r="E155" s="2079"/>
      <c r="F155" s="2079"/>
      <c r="G155" s="2079"/>
      <c r="H155" s="1663"/>
      <c r="I155" s="1251"/>
      <c r="J155" s="1251"/>
      <c r="K155" s="1276"/>
      <c r="L155" s="1277"/>
      <c r="M155" s="1276"/>
      <c r="N155" s="1276"/>
      <c r="O155" s="1276"/>
      <c r="P155" s="1276"/>
      <c r="Q155" s="1389"/>
    </row>
    <row r="156" spans="1:20" ht="50.25" customHeight="1" x14ac:dyDescent="0.5">
      <c r="A156" s="1662" t="s">
        <v>2359</v>
      </c>
      <c r="B156" s="2082" t="s">
        <v>106</v>
      </c>
      <c r="C156" s="2083"/>
      <c r="D156" s="2083"/>
      <c r="E156" s="2083"/>
      <c r="F156" s="2083"/>
      <c r="G156" s="2083"/>
      <c r="H156" s="1664"/>
      <c r="I156" s="1665"/>
      <c r="J156" s="1251"/>
      <c r="K156" s="1276"/>
      <c r="L156" s="1277"/>
      <c r="M156" s="1276"/>
      <c r="N156" s="1276"/>
      <c r="O156" s="1276"/>
      <c r="P156" s="1276"/>
      <c r="Q156" s="1389"/>
    </row>
    <row r="157" spans="1:20" s="1502" customFormat="1" ht="50.25" customHeight="1" x14ac:dyDescent="0.5">
      <c r="A157" s="1246" t="s">
        <v>2360</v>
      </c>
      <c r="B157" s="1666">
        <v>46035</v>
      </c>
      <c r="C157" s="1333" t="s">
        <v>41</v>
      </c>
      <c r="D157" s="1667" t="s">
        <v>2255</v>
      </c>
      <c r="E157" s="1333" t="s">
        <v>2361</v>
      </c>
      <c r="F157" s="1668" t="s">
        <v>2362</v>
      </c>
      <c r="G157" s="1336" t="s">
        <v>2363</v>
      </c>
      <c r="H157" s="1669"/>
      <c r="I157" s="1287" t="s">
        <v>2364</v>
      </c>
      <c r="J157" s="1571" t="s">
        <v>1443</v>
      </c>
      <c r="K157" s="1557"/>
      <c r="L157" s="1571">
        <v>255</v>
      </c>
      <c r="M157" s="1670">
        <v>0.2</v>
      </c>
      <c r="N157" s="1573">
        <v>1.5699999999999999E-2</v>
      </c>
      <c r="O157" s="1571">
        <v>0</v>
      </c>
      <c r="P157" s="1571">
        <v>1</v>
      </c>
      <c r="Q157" s="1671"/>
      <c r="R157" s="1672"/>
      <c r="S157" s="1673"/>
      <c r="T157" s="1674"/>
    </row>
    <row r="158" spans="1:20" s="1502" customFormat="1" ht="50.25" customHeight="1" x14ac:dyDescent="0.5">
      <c r="A158" s="1246" t="s">
        <v>2365</v>
      </c>
      <c r="B158" s="2082" t="s">
        <v>106</v>
      </c>
      <c r="C158" s="2083"/>
      <c r="D158" s="2083"/>
      <c r="E158" s="2083"/>
      <c r="F158" s="2083"/>
      <c r="G158" s="2083"/>
      <c r="H158" s="1311"/>
      <c r="I158" s="1569"/>
      <c r="J158" s="1557"/>
      <c r="K158" s="1675"/>
      <c r="L158" s="1571"/>
      <c r="M158" s="1577"/>
      <c r="N158" s="1571"/>
      <c r="O158" s="1573"/>
      <c r="P158" s="1573"/>
      <c r="Q158" s="1671"/>
      <c r="R158" s="1672"/>
      <c r="S158" s="1673"/>
      <c r="T158" s="1674"/>
    </row>
    <row r="159" spans="1:20" s="1502" customFormat="1" ht="50.25" customHeight="1" x14ac:dyDescent="0.5">
      <c r="A159" s="1246" t="s">
        <v>2366</v>
      </c>
      <c r="B159" s="1569" t="s">
        <v>2367</v>
      </c>
      <c r="C159" s="1248" t="s">
        <v>41</v>
      </c>
      <c r="D159" s="1280" t="s">
        <v>2255</v>
      </c>
      <c r="E159" s="1248" t="s">
        <v>2368</v>
      </c>
      <c r="F159" s="1660" t="s">
        <v>2369</v>
      </c>
      <c r="G159" s="1557"/>
      <c r="H159" s="1663"/>
      <c r="I159" s="1287" t="s">
        <v>2370</v>
      </c>
      <c r="J159" s="1571" t="s">
        <v>2371</v>
      </c>
      <c r="K159" s="1569">
        <v>87</v>
      </c>
      <c r="L159" s="1571">
        <v>70</v>
      </c>
      <c r="M159" s="1670">
        <v>0.3</v>
      </c>
      <c r="N159" s="1676">
        <v>0</v>
      </c>
      <c r="O159" s="1677">
        <v>0</v>
      </c>
      <c r="P159" s="1677">
        <v>0</v>
      </c>
      <c r="Q159" s="1671"/>
      <c r="R159" s="1672"/>
      <c r="S159" s="1673"/>
      <c r="T159" s="1674"/>
    </row>
    <row r="160" spans="1:20" s="1502" customFormat="1" ht="50.25" customHeight="1" x14ac:dyDescent="0.5">
      <c r="A160" s="1246" t="s">
        <v>2372</v>
      </c>
      <c r="B160" s="1569" t="s">
        <v>2373</v>
      </c>
      <c r="C160" s="1333" t="s">
        <v>2374</v>
      </c>
      <c r="D160" s="1280" t="s">
        <v>2255</v>
      </c>
      <c r="E160" s="1340" t="s">
        <v>2375</v>
      </c>
      <c r="F160" s="1678" t="s">
        <v>2362</v>
      </c>
      <c r="G160" s="1281" t="s">
        <v>2376</v>
      </c>
      <c r="H160" s="1679"/>
      <c r="I160" s="634" t="s">
        <v>2377</v>
      </c>
      <c r="J160" s="1680" t="s">
        <v>1463</v>
      </c>
      <c r="K160" s="1569">
        <v>81</v>
      </c>
      <c r="L160" s="1571">
        <v>252</v>
      </c>
      <c r="M160" s="1580">
        <v>0.24210000000000001</v>
      </c>
      <c r="N160" s="1573">
        <v>1.1900000000000001E-2</v>
      </c>
      <c r="O160" s="1677">
        <v>0</v>
      </c>
      <c r="P160" s="1677">
        <v>0</v>
      </c>
      <c r="Q160" s="1671"/>
      <c r="R160" s="1672"/>
      <c r="S160" s="1673"/>
      <c r="T160" s="1674"/>
    </row>
    <row r="161" spans="1:20" s="1502" customFormat="1" ht="50.25" customHeight="1" x14ac:dyDescent="0.5">
      <c r="A161" s="1246" t="s">
        <v>2372</v>
      </c>
      <c r="B161" s="1569" t="s">
        <v>2378</v>
      </c>
      <c r="C161" s="1248" t="s">
        <v>41</v>
      </c>
      <c r="D161" s="1280" t="s">
        <v>2255</v>
      </c>
      <c r="E161" s="1340" t="s">
        <v>2379</v>
      </c>
      <c r="F161" s="1678" t="s">
        <v>2362</v>
      </c>
      <c r="G161" s="1775" t="s">
        <v>2363</v>
      </c>
      <c r="H161" s="1679"/>
      <c r="I161" s="1681" t="s">
        <v>2380</v>
      </c>
      <c r="J161" s="1680" t="s">
        <v>1460</v>
      </c>
      <c r="K161" s="1569">
        <v>81</v>
      </c>
      <c r="L161" s="1571">
        <v>241</v>
      </c>
      <c r="M161" s="1672">
        <v>0.21579999999999999</v>
      </c>
      <c r="N161" s="1573">
        <v>8.3000000000000001E-3</v>
      </c>
      <c r="O161" s="1677">
        <v>0</v>
      </c>
      <c r="P161" s="1677">
        <v>0</v>
      </c>
      <c r="Q161" s="1671"/>
      <c r="R161" s="1672"/>
      <c r="S161" s="1673"/>
      <c r="T161" s="1674"/>
    </row>
    <row r="162" spans="1:20" s="1502" customFormat="1" ht="50.25" customHeight="1" x14ac:dyDescent="0.5">
      <c r="A162" s="1246" t="s">
        <v>2381</v>
      </c>
      <c r="B162" s="2082" t="s">
        <v>106</v>
      </c>
      <c r="C162" s="2083"/>
      <c r="D162" s="2083"/>
      <c r="E162" s="2083"/>
      <c r="F162" s="2083"/>
      <c r="G162" s="2083"/>
      <c r="H162" s="1774"/>
      <c r="I162" s="1569"/>
      <c r="J162" s="1680"/>
      <c r="K162" s="1569"/>
      <c r="L162" s="1571"/>
      <c r="M162" s="1582"/>
      <c r="N162" s="1571"/>
      <c r="O162" s="1677"/>
      <c r="P162" s="1677"/>
      <c r="Q162" s="1671"/>
      <c r="R162" s="1672"/>
      <c r="S162" s="1673"/>
      <c r="T162" s="1674"/>
    </row>
    <row r="163" spans="1:20" s="1502" customFormat="1" ht="50.25" customHeight="1" x14ac:dyDescent="0.5">
      <c r="A163" s="1246" t="s">
        <v>2382</v>
      </c>
      <c r="B163" s="1569" t="s">
        <v>2383</v>
      </c>
      <c r="C163" s="1583" t="s">
        <v>2374</v>
      </c>
      <c r="D163" s="1786" t="s">
        <v>2255</v>
      </c>
      <c r="E163" s="1333" t="s">
        <v>2384</v>
      </c>
      <c r="F163" s="1668" t="s">
        <v>2035</v>
      </c>
      <c r="G163" s="1776"/>
      <c r="H163" s="1679"/>
      <c r="I163" s="1783" t="s">
        <v>2385</v>
      </c>
      <c r="J163" s="1680" t="s">
        <v>2386</v>
      </c>
      <c r="K163" s="1569">
        <v>78</v>
      </c>
      <c r="L163" s="1571">
        <v>46</v>
      </c>
      <c r="M163" s="1580">
        <v>0.26090000000000002</v>
      </c>
      <c r="N163" s="1573">
        <v>2.1700000000000001E-2</v>
      </c>
      <c r="O163" s="1677">
        <v>0</v>
      </c>
      <c r="P163" s="1677">
        <v>0</v>
      </c>
      <c r="Q163" s="1671"/>
      <c r="R163" s="1672"/>
      <c r="S163" s="1673"/>
      <c r="T163" s="1674"/>
    </row>
    <row r="164" spans="1:20" s="1502" customFormat="1" ht="50.25" customHeight="1" x14ac:dyDescent="0.5">
      <c r="A164" s="1246" t="s">
        <v>2387</v>
      </c>
      <c r="B164" s="1569" t="s">
        <v>2388</v>
      </c>
      <c r="C164" s="1248" t="s">
        <v>41</v>
      </c>
      <c r="D164" s="1682" t="s">
        <v>2255</v>
      </c>
      <c r="E164" s="1333" t="s">
        <v>2389</v>
      </c>
      <c r="F164" s="1668" t="s">
        <v>2390</v>
      </c>
      <c r="H164" s="1679"/>
      <c r="I164" s="1783" t="s">
        <v>2391</v>
      </c>
      <c r="J164" s="1680" t="s">
        <v>1475</v>
      </c>
      <c r="K164" s="1569">
        <v>90</v>
      </c>
      <c r="L164" s="1571">
        <v>234</v>
      </c>
      <c r="M164" s="1580">
        <v>0.2094</v>
      </c>
      <c r="N164" s="1573">
        <v>1.2800000000000001E-2</v>
      </c>
      <c r="O164" s="1677">
        <v>1</v>
      </c>
      <c r="P164" s="1677">
        <v>0</v>
      </c>
      <c r="Q164" s="1671"/>
      <c r="R164" s="1672"/>
      <c r="S164" s="1673"/>
      <c r="T164" s="1674"/>
    </row>
    <row r="165" spans="1:20" s="1502" customFormat="1" ht="50.25" customHeight="1" x14ac:dyDescent="0.5">
      <c r="A165" s="1315" t="s">
        <v>2392</v>
      </c>
      <c r="B165" s="2043" t="s">
        <v>106</v>
      </c>
      <c r="C165" s="2072"/>
      <c r="D165" s="2072"/>
      <c r="E165" s="2072"/>
      <c r="F165" s="2072"/>
      <c r="G165" s="2072"/>
      <c r="H165" s="1311"/>
      <c r="I165" s="1557"/>
      <c r="J165" s="1569"/>
      <c r="K165" s="1569"/>
      <c r="L165" s="1571"/>
      <c r="M165" s="1577"/>
      <c r="N165" s="1571"/>
      <c r="O165" s="1677"/>
      <c r="P165" s="1677"/>
      <c r="Q165" s="1671"/>
      <c r="R165" s="1672"/>
      <c r="S165" s="1673"/>
      <c r="T165" s="1674"/>
    </row>
    <row r="166" spans="1:20" s="1502" customFormat="1" ht="50.25" customHeight="1" x14ac:dyDescent="0.5">
      <c r="A166" s="1246" t="s">
        <v>2393</v>
      </c>
      <c r="B166" s="1569" t="s">
        <v>2394</v>
      </c>
      <c r="C166" s="1248" t="s">
        <v>41</v>
      </c>
      <c r="D166" s="1280" t="s">
        <v>2255</v>
      </c>
      <c r="E166" s="1248" t="s">
        <v>2395</v>
      </c>
      <c r="F166" s="1660" t="s">
        <v>2362</v>
      </c>
      <c r="G166" s="1281" t="s">
        <v>2363</v>
      </c>
      <c r="H166" s="1679"/>
      <c r="I166" s="1191" t="s">
        <v>2396</v>
      </c>
      <c r="J166" s="1680" t="s">
        <v>1497</v>
      </c>
      <c r="K166" s="1569">
        <v>121</v>
      </c>
      <c r="L166" s="1571">
        <v>224</v>
      </c>
      <c r="M166" s="1790">
        <v>0.19639999999999999</v>
      </c>
      <c r="N166" s="1573">
        <v>8.8999999999999999E-3</v>
      </c>
      <c r="O166" s="1677">
        <v>0</v>
      </c>
      <c r="P166" s="1677">
        <v>0</v>
      </c>
      <c r="Q166" s="1671"/>
      <c r="R166" s="1672"/>
      <c r="S166" s="1673"/>
      <c r="T166" s="1674"/>
    </row>
    <row r="167" spans="1:20" s="1502" customFormat="1" ht="50.25" customHeight="1" x14ac:dyDescent="0.5">
      <c r="A167" s="1246" t="s">
        <v>2397</v>
      </c>
      <c r="B167" s="1569" t="s">
        <v>2398</v>
      </c>
      <c r="C167" s="1329" t="s">
        <v>2374</v>
      </c>
      <c r="D167" s="1797" t="s">
        <v>2255</v>
      </c>
      <c r="E167" s="1340" t="s">
        <v>2203</v>
      </c>
      <c r="F167" s="1798"/>
      <c r="G167" s="1799"/>
      <c r="H167" s="1679"/>
      <c r="I167" s="1191" t="s">
        <v>2399</v>
      </c>
      <c r="J167" s="1680" t="s">
        <v>1505</v>
      </c>
      <c r="K167" s="1569">
        <v>101</v>
      </c>
      <c r="L167" s="1571">
        <v>48</v>
      </c>
      <c r="M167" s="1790">
        <v>0.27079999999999999</v>
      </c>
      <c r="N167" s="1573">
        <v>6.25E-2</v>
      </c>
      <c r="O167" s="1583">
        <v>0</v>
      </c>
      <c r="P167" s="1800">
        <v>0</v>
      </c>
      <c r="Q167" s="1671"/>
      <c r="R167" s="1672"/>
      <c r="S167" s="1673"/>
      <c r="T167" s="1674"/>
    </row>
    <row r="168" spans="1:20" s="1502" customFormat="1" ht="50.25" customHeight="1" x14ac:dyDescent="0.5">
      <c r="A168" s="1246" t="s">
        <v>2400</v>
      </c>
      <c r="B168" s="2043" t="s">
        <v>106</v>
      </c>
      <c r="C168" s="2072"/>
      <c r="D168" s="2072"/>
      <c r="E168" s="2072"/>
      <c r="F168" s="2072"/>
      <c r="G168" s="2072"/>
      <c r="H168" s="1774"/>
      <c r="I168" s="1557"/>
      <c r="J168" s="1680"/>
      <c r="K168" s="1569"/>
      <c r="L168" s="1577"/>
      <c r="M168" s="1571"/>
      <c r="N168" s="1573"/>
      <c r="O168" s="1671"/>
      <c r="P168" s="1677"/>
      <c r="Q168" s="1672"/>
      <c r="R168" s="1673"/>
      <c r="S168" s="1674"/>
    </row>
    <row r="169" spans="1:20" s="1502" customFormat="1" ht="50.25" customHeight="1" x14ac:dyDescent="0.5">
      <c r="A169" s="1315" t="s">
        <v>2401</v>
      </c>
      <c r="B169" s="1727" t="s">
        <v>2402</v>
      </c>
      <c r="C169" s="1329" t="s">
        <v>41</v>
      </c>
      <c r="D169" s="1812" t="s">
        <v>2255</v>
      </c>
      <c r="E169" s="1329" t="s">
        <v>2403</v>
      </c>
      <c r="F169" s="1813" t="s">
        <v>2192</v>
      </c>
      <c r="G169" s="1814"/>
      <c r="H169" s="1679"/>
      <c r="I169" s="1191" t="s">
        <v>2404</v>
      </c>
      <c r="J169" s="1680" t="s">
        <v>1892</v>
      </c>
      <c r="K169" s="1569">
        <v>92</v>
      </c>
      <c r="L169" s="1582">
        <v>220</v>
      </c>
      <c r="M169" s="1573">
        <v>0.19550000000000001</v>
      </c>
      <c r="N169" s="1573">
        <v>9.1000000000000004E-3</v>
      </c>
      <c r="O169" s="1671">
        <v>0</v>
      </c>
      <c r="P169" s="1677">
        <v>0</v>
      </c>
      <c r="Q169" s="1672"/>
      <c r="R169" s="1673"/>
      <c r="S169" s="1674"/>
    </row>
    <row r="170" spans="1:20" ht="50.25" customHeight="1" x14ac:dyDescent="0.5">
      <c r="A170" s="1838" t="s">
        <v>1894</v>
      </c>
      <c r="B170" s="2080" t="s">
        <v>2405</v>
      </c>
      <c r="C170" s="2081"/>
      <c r="D170" s="2081"/>
      <c r="E170" s="2081"/>
      <c r="F170" s="2081"/>
      <c r="G170" s="2081"/>
      <c r="H170" s="1774"/>
      <c r="I170" s="1251"/>
      <c r="J170" s="1680"/>
      <c r="K170" s="1276"/>
      <c r="L170" s="1277"/>
      <c r="M170" s="1276"/>
      <c r="N170" s="1276"/>
      <c r="O170" s="1277"/>
      <c r="P170" s="1683"/>
      <c r="Q170" s="1389"/>
    </row>
    <row r="171" spans="1:20" ht="50.25" customHeight="1" x14ac:dyDescent="0.5">
      <c r="A171" s="1838" t="s">
        <v>2406</v>
      </c>
      <c r="B171" s="2072" t="s">
        <v>2407</v>
      </c>
      <c r="C171" s="2072"/>
      <c r="D171" s="2072"/>
      <c r="E171" s="2072"/>
      <c r="F171" s="2072"/>
      <c r="G171" s="2072"/>
      <c r="H171" s="1774"/>
      <c r="I171" s="1191" t="s">
        <v>2408</v>
      </c>
      <c r="J171" s="1680" t="s">
        <v>2409</v>
      </c>
      <c r="K171" s="1276">
        <v>94</v>
      </c>
      <c r="L171" s="1277">
        <v>51</v>
      </c>
      <c r="M171" s="1278">
        <v>0.43140000000000001</v>
      </c>
      <c r="N171" s="1278">
        <v>0.15690000000000001</v>
      </c>
      <c r="O171" s="1277">
        <v>0</v>
      </c>
      <c r="P171" s="1683">
        <v>0</v>
      </c>
      <c r="Q171" s="1389"/>
    </row>
    <row r="172" spans="1:20" ht="50.25" customHeight="1" x14ac:dyDescent="0.5">
      <c r="A172" s="1248" t="s">
        <v>1897</v>
      </c>
      <c r="B172" s="1333" t="s">
        <v>2410</v>
      </c>
      <c r="C172" s="1329" t="s">
        <v>2374</v>
      </c>
      <c r="D172" s="1839" t="s">
        <v>2255</v>
      </c>
      <c r="E172" s="1329" t="s">
        <v>2411</v>
      </c>
      <c r="F172" s="1840" t="s">
        <v>2412</v>
      </c>
      <c r="G172" s="1329"/>
      <c r="H172" s="1679"/>
      <c r="I172" s="1191" t="s">
        <v>2413</v>
      </c>
      <c r="J172" s="1680" t="s">
        <v>1904</v>
      </c>
      <c r="K172" s="1276">
        <v>94</v>
      </c>
      <c r="L172" s="1277">
        <v>62</v>
      </c>
      <c r="M172" s="1278">
        <v>0.1774</v>
      </c>
      <c r="N172" s="1395">
        <v>0</v>
      </c>
      <c r="O172" s="1277">
        <v>0</v>
      </c>
      <c r="P172" s="1683">
        <v>0</v>
      </c>
      <c r="Q172" s="1389"/>
    </row>
    <row r="173" spans="1:20" ht="50.25" customHeight="1" x14ac:dyDescent="0.5">
      <c r="A173" s="1248" t="s">
        <v>1906</v>
      </c>
      <c r="B173" s="1666" t="s">
        <v>2414</v>
      </c>
      <c r="C173" s="1843" t="s">
        <v>41</v>
      </c>
      <c r="D173" s="1841" t="s">
        <v>2255</v>
      </c>
      <c r="E173" s="1844" t="s">
        <v>2415</v>
      </c>
      <c r="F173" s="1845" t="s">
        <v>2164</v>
      </c>
      <c r="G173" s="1842"/>
      <c r="H173" s="1774"/>
      <c r="I173" s="1191" t="s">
        <v>2416</v>
      </c>
      <c r="J173" s="1680" t="s">
        <v>2417</v>
      </c>
      <c r="K173" s="1276">
        <v>89</v>
      </c>
      <c r="L173" s="1277">
        <v>209</v>
      </c>
      <c r="M173" s="1278">
        <v>0.21529999999999999</v>
      </c>
      <c r="N173" s="1278">
        <v>9.5999999999999992E-3</v>
      </c>
      <c r="O173" s="1277">
        <v>0</v>
      </c>
      <c r="P173" s="1683">
        <v>0</v>
      </c>
      <c r="Q173" s="1389"/>
    </row>
    <row r="174" spans="1:20" ht="50.25" customHeight="1" x14ac:dyDescent="0.5">
      <c r="A174" s="1248" t="s">
        <v>1910</v>
      </c>
      <c r="B174" s="1333" t="s">
        <v>2418</v>
      </c>
      <c r="C174" s="1830" t="s">
        <v>2374</v>
      </c>
      <c r="D174" s="1829" t="s">
        <v>2255</v>
      </c>
      <c r="E174" s="1830" t="s">
        <v>2419</v>
      </c>
      <c r="F174" s="1828" t="s">
        <v>2420</v>
      </c>
      <c r="G174" s="1333" t="s">
        <v>2421</v>
      </c>
      <c r="H174" s="1679"/>
      <c r="I174" s="1191" t="s">
        <v>2422</v>
      </c>
      <c r="J174" s="1734" t="s">
        <v>2423</v>
      </c>
      <c r="K174" s="1276">
        <v>75</v>
      </c>
      <c r="L174" s="1277">
        <v>494</v>
      </c>
      <c r="M174" s="1278">
        <v>0.11269999999999999</v>
      </c>
      <c r="N174" s="1278">
        <v>6.1000000000000004E-3</v>
      </c>
      <c r="O174" s="1277">
        <v>2</v>
      </c>
      <c r="P174" s="1683">
        <v>6</v>
      </c>
      <c r="Q174" s="1389"/>
    </row>
    <row r="175" spans="1:20" ht="50.25" customHeight="1" x14ac:dyDescent="0.5">
      <c r="A175" s="1248" t="s">
        <v>2424</v>
      </c>
      <c r="B175" s="2072" t="s">
        <v>1404</v>
      </c>
      <c r="C175" s="2072"/>
      <c r="D175" s="2072"/>
      <c r="E175" s="2072"/>
      <c r="F175" s="2072"/>
      <c r="G175" s="2072"/>
      <c r="H175" s="1679"/>
      <c r="I175" s="1866" t="s">
        <v>2425</v>
      </c>
      <c r="J175" s="1695" t="s">
        <v>2426</v>
      </c>
      <c r="K175" s="1872">
        <v>94</v>
      </c>
      <c r="L175" s="1277">
        <v>62</v>
      </c>
      <c r="M175" s="1278">
        <v>0.4516</v>
      </c>
      <c r="N175" s="1278">
        <v>9.6799999999999997E-2</v>
      </c>
      <c r="O175" s="1277">
        <v>0</v>
      </c>
      <c r="P175" s="1277">
        <v>0</v>
      </c>
      <c r="Q175" s="1389"/>
    </row>
    <row r="176" spans="1:20" ht="50.25" customHeight="1" x14ac:dyDescent="0.5">
      <c r="A176" s="1248" t="s">
        <v>1914</v>
      </c>
      <c r="B176" s="1248" t="s">
        <v>2427</v>
      </c>
      <c r="C176" s="1333" t="s">
        <v>2374</v>
      </c>
      <c r="D176" s="1829" t="s">
        <v>2255</v>
      </c>
      <c r="E176" s="1248" t="s">
        <v>2428</v>
      </c>
      <c r="F176" s="1865" t="s">
        <v>2429</v>
      </c>
      <c r="G176" s="1865" t="s">
        <v>2430</v>
      </c>
      <c r="H176" s="1679"/>
      <c r="I176" s="1866" t="s">
        <v>2431</v>
      </c>
      <c r="J176" s="1695" t="s">
        <v>1528</v>
      </c>
      <c r="K176" s="1872">
        <v>94</v>
      </c>
      <c r="L176" s="1277">
        <v>50</v>
      </c>
      <c r="M176" s="1395">
        <v>0.28000000000000003</v>
      </c>
      <c r="N176" s="1395">
        <v>0</v>
      </c>
      <c r="O176" s="1277">
        <v>1</v>
      </c>
      <c r="P176" s="1277">
        <v>0</v>
      </c>
      <c r="Q176" s="1389"/>
    </row>
    <row r="177" spans="1:17" ht="43.5" x14ac:dyDescent="0.5">
      <c r="A177" s="1248" t="s">
        <v>2432</v>
      </c>
      <c r="B177" s="1248" t="s">
        <v>2433</v>
      </c>
      <c r="C177" s="1333" t="s">
        <v>2374</v>
      </c>
      <c r="D177" s="1829" t="s">
        <v>2255</v>
      </c>
      <c r="E177" s="1248" t="s">
        <v>2434</v>
      </c>
      <c r="F177" s="517" t="s">
        <v>2250</v>
      </c>
      <c r="G177" s="1248"/>
      <c r="H177" s="1679"/>
      <c r="I177" s="1866" t="s">
        <v>2435</v>
      </c>
      <c r="J177" s="1871" t="s">
        <v>2436</v>
      </c>
      <c r="K177" s="1872">
        <v>76</v>
      </c>
      <c r="L177" s="1277">
        <v>27</v>
      </c>
      <c r="M177" s="1278">
        <v>0.40739999999999998</v>
      </c>
      <c r="N177" s="1278">
        <v>7.4099999999999999E-2</v>
      </c>
      <c r="O177" s="1277">
        <v>0</v>
      </c>
      <c r="P177" s="1277">
        <v>0</v>
      </c>
      <c r="Q177" s="1389"/>
    </row>
    <row r="178" spans="1:17" ht="50.25" customHeight="1" x14ac:dyDescent="0.5">
      <c r="A178" s="1248" t="s">
        <v>1920</v>
      </c>
      <c r="B178" s="1248" t="s">
        <v>2437</v>
      </c>
      <c r="C178" s="1820" t="s">
        <v>2374</v>
      </c>
      <c r="D178" s="517" t="s">
        <v>2255</v>
      </c>
      <c r="E178" s="1830" t="s">
        <v>2411</v>
      </c>
      <c r="F178" s="517" t="s">
        <v>2412</v>
      </c>
      <c r="G178" s="1248" t="s">
        <v>2438</v>
      </c>
      <c r="H178" s="1679"/>
      <c r="I178" s="1191" t="s">
        <v>2439</v>
      </c>
      <c r="J178" s="1719" t="s">
        <v>1923</v>
      </c>
      <c r="K178" s="1276">
        <v>60</v>
      </c>
      <c r="L178" s="1277">
        <v>83</v>
      </c>
      <c r="M178" s="1278">
        <v>0.253</v>
      </c>
      <c r="N178" s="1278">
        <v>4.82E-2</v>
      </c>
      <c r="O178" s="1277">
        <v>0</v>
      </c>
      <c r="P178" s="1277">
        <v>0</v>
      </c>
      <c r="Q178" s="1389"/>
    </row>
    <row r="179" spans="1:17" ht="50.25" customHeight="1" x14ac:dyDescent="0.5">
      <c r="A179" s="1248" t="s">
        <v>1928</v>
      </c>
      <c r="B179" s="2043" t="s">
        <v>2440</v>
      </c>
      <c r="C179" s="2072"/>
      <c r="D179" s="2072"/>
      <c r="E179" s="2072"/>
      <c r="F179" s="2072"/>
      <c r="G179" s="2072"/>
      <c r="H179" s="1679"/>
      <c r="I179" s="1251"/>
      <c r="J179" s="1680"/>
      <c r="K179" s="1276"/>
      <c r="L179" s="1277"/>
      <c r="M179" s="1276"/>
      <c r="N179" s="1276"/>
      <c r="O179" s="1277"/>
      <c r="P179" s="1277"/>
      <c r="Q179" s="1389"/>
    </row>
    <row r="180" spans="1:17" ht="50.25" customHeight="1" x14ac:dyDescent="0.5">
      <c r="A180" s="1248" t="s">
        <v>1936</v>
      </c>
      <c r="B180" s="1248" t="s">
        <v>2441</v>
      </c>
      <c r="C180" s="1843" t="s">
        <v>41</v>
      </c>
      <c r="D180" s="517" t="s">
        <v>2255</v>
      </c>
      <c r="E180" s="1248" t="s">
        <v>2442</v>
      </c>
      <c r="F180" s="517" t="s">
        <v>2443</v>
      </c>
      <c r="G180" s="1248"/>
      <c r="H180" s="1679"/>
      <c r="I180" s="1191" t="s">
        <v>2444</v>
      </c>
      <c r="J180" s="1680" t="s">
        <v>2445</v>
      </c>
      <c r="K180" s="1342">
        <v>87</v>
      </c>
      <c r="L180" s="1277">
        <v>195</v>
      </c>
      <c r="M180" s="1278">
        <v>0.26150000000000001</v>
      </c>
      <c r="N180" s="1278">
        <v>5.1000000000000004E-3</v>
      </c>
      <c r="O180" s="1277">
        <v>0</v>
      </c>
      <c r="P180" s="1277">
        <v>1</v>
      </c>
      <c r="Q180" s="1389"/>
    </row>
    <row r="181" spans="1:17" ht="50.25" customHeight="1" x14ac:dyDescent="0.5">
      <c r="A181" s="1248" t="s">
        <v>2446</v>
      </c>
      <c r="B181" s="2072" t="s">
        <v>1434</v>
      </c>
      <c r="C181" s="2072"/>
      <c r="D181" s="2072"/>
      <c r="E181" s="2072"/>
      <c r="F181" s="2072"/>
      <c r="G181" s="2072"/>
      <c r="H181" s="1311"/>
      <c r="I181" s="1191" t="s">
        <v>2447</v>
      </c>
      <c r="J181" s="1903" t="s">
        <v>2448</v>
      </c>
      <c r="K181" s="1905">
        <v>87</v>
      </c>
      <c r="L181" s="1904">
        <v>53</v>
      </c>
      <c r="M181" s="1278">
        <v>0.3962</v>
      </c>
      <c r="N181" s="1278">
        <v>0.16980000000000001</v>
      </c>
      <c r="O181" s="1277">
        <v>0</v>
      </c>
      <c r="P181" s="1277">
        <v>0</v>
      </c>
      <c r="Q181" s="1389"/>
    </row>
    <row r="182" spans="1:17" ht="50.25" customHeight="1" x14ac:dyDescent="0.5">
      <c r="A182" s="1248" t="s">
        <v>2449</v>
      </c>
      <c r="B182" s="1248" t="s">
        <v>2450</v>
      </c>
      <c r="C182" s="1333" t="s">
        <v>41</v>
      </c>
      <c r="D182" s="1865" t="s">
        <v>2255</v>
      </c>
      <c r="E182" s="1333" t="s">
        <v>2451</v>
      </c>
      <c r="F182" s="1248"/>
      <c r="G182" s="1248"/>
      <c r="H182" s="1311"/>
      <c r="I182" s="1191" t="s">
        <v>2452</v>
      </c>
      <c r="J182" s="1903" t="s">
        <v>1546</v>
      </c>
      <c r="K182" s="1905">
        <v>87</v>
      </c>
      <c r="L182" s="1904">
        <v>75</v>
      </c>
      <c r="M182" s="1278">
        <v>0.25330000000000003</v>
      </c>
      <c r="N182" s="1395">
        <v>0.04</v>
      </c>
      <c r="O182" s="1277">
        <v>0</v>
      </c>
      <c r="P182" s="1277">
        <v>0</v>
      </c>
      <c r="Q182" s="1389"/>
    </row>
    <row r="183" spans="1:17" ht="50.25" customHeight="1" x14ac:dyDescent="0.5">
      <c r="A183" s="1402" t="s">
        <v>1944</v>
      </c>
      <c r="B183" s="2043" t="s">
        <v>106</v>
      </c>
      <c r="C183" s="2072"/>
      <c r="D183" s="2072"/>
      <c r="E183" s="2072"/>
      <c r="F183" s="2072"/>
      <c r="G183" s="2072"/>
      <c r="H183" s="1311"/>
      <c r="I183" s="1251"/>
      <c r="J183" s="1903"/>
      <c r="K183" s="1926"/>
      <c r="L183" s="1925"/>
      <c r="M183" s="1324"/>
      <c r="N183" s="1324"/>
      <c r="O183" s="1325"/>
      <c r="P183" s="1325"/>
      <c r="Q183" s="1389"/>
    </row>
    <row r="184" spans="1:17" ht="42" x14ac:dyDescent="0.5">
      <c r="A184" s="1402" t="s">
        <v>1950</v>
      </c>
      <c r="B184" s="1820" t="s">
        <v>2453</v>
      </c>
      <c r="C184" s="1333" t="s">
        <v>2374</v>
      </c>
      <c r="D184" s="517" t="s">
        <v>2255</v>
      </c>
      <c r="E184" s="1830" t="s">
        <v>2454</v>
      </c>
      <c r="F184" s="1248"/>
      <c r="G184" s="1248"/>
      <c r="H184" s="1311" t="s">
        <v>2351</v>
      </c>
      <c r="I184" s="1251" t="s">
        <v>2455</v>
      </c>
      <c r="J184" s="1903"/>
      <c r="K184" s="1905"/>
      <c r="L184" s="1904"/>
      <c r="M184" s="1276"/>
      <c r="N184" s="1276"/>
      <c r="O184" s="1277"/>
      <c r="P184" s="1277"/>
      <c r="Q184" s="1389"/>
    </row>
    <row r="185" spans="1:17" ht="50.25" customHeight="1" x14ac:dyDescent="0.5">
      <c r="A185" s="1248" t="s">
        <v>1953</v>
      </c>
      <c r="B185" s="2070" t="s">
        <v>2456</v>
      </c>
      <c r="C185" s="2071"/>
      <c r="D185" s="2071"/>
      <c r="E185" s="2071"/>
      <c r="F185" s="2071"/>
      <c r="G185" s="2071"/>
      <c r="H185" s="1311"/>
      <c r="I185" s="1251"/>
      <c r="J185" s="1903"/>
      <c r="K185" s="1905"/>
      <c r="L185" s="1904"/>
      <c r="M185" s="1276"/>
      <c r="N185" s="1276"/>
      <c r="O185" s="1277"/>
      <c r="P185" s="1277"/>
      <c r="Q185" s="1389"/>
    </row>
    <row r="186" spans="1:17" ht="105" x14ac:dyDescent="0.5">
      <c r="A186" s="1908" t="s">
        <v>1957</v>
      </c>
      <c r="B186" s="1912">
        <v>46210</v>
      </c>
      <c r="C186" s="1820" t="s">
        <v>2374</v>
      </c>
      <c r="D186" s="517" t="s">
        <v>2255</v>
      </c>
      <c r="E186" s="1912" t="s">
        <v>2457</v>
      </c>
      <c r="F186" s="1913" t="s">
        <v>2458</v>
      </c>
      <c r="G186" s="1913" t="s">
        <v>2459</v>
      </c>
      <c r="H186" s="1663"/>
      <c r="I186" s="1341"/>
      <c r="J186" s="1945"/>
      <c r="K186" s="1905"/>
      <c r="L186" s="1904"/>
      <c r="M186" s="1276"/>
      <c r="N186" s="1276"/>
      <c r="O186" s="1277"/>
      <c r="P186" s="1277"/>
      <c r="Q186" s="1389"/>
    </row>
    <row r="187" spans="1:17" ht="63" x14ac:dyDescent="0.5">
      <c r="A187" s="1838" t="s">
        <v>1960</v>
      </c>
      <c r="B187" s="1912">
        <v>46218</v>
      </c>
      <c r="C187" s="1820" t="s">
        <v>2374</v>
      </c>
      <c r="D187" s="517" t="s">
        <v>2255</v>
      </c>
      <c r="E187" s="1944" t="s">
        <v>2460</v>
      </c>
      <c r="F187" s="1950" t="s">
        <v>2461</v>
      </c>
      <c r="G187" s="1854" t="s">
        <v>2462</v>
      </c>
      <c r="H187" s="1833"/>
      <c r="I187" s="1948"/>
      <c r="J187" s="1695"/>
      <c r="K187" s="1905"/>
      <c r="L187" s="1904"/>
      <c r="M187" s="1276"/>
      <c r="N187" s="1276"/>
      <c r="O187" s="1277"/>
      <c r="P187" s="1277"/>
      <c r="Q187" s="1389"/>
    </row>
    <row r="188" spans="1:17" ht="63" x14ac:dyDescent="0.5">
      <c r="A188" s="1838" t="s">
        <v>1963</v>
      </c>
      <c r="B188" s="1912">
        <v>46224</v>
      </c>
      <c r="C188" s="1820" t="s">
        <v>2374</v>
      </c>
      <c r="D188" s="517" t="s">
        <v>2255</v>
      </c>
      <c r="E188" s="1927" t="s">
        <v>2463</v>
      </c>
      <c r="F188" s="1949" t="s">
        <v>2464</v>
      </c>
      <c r="G188" s="1949" t="s">
        <v>2465</v>
      </c>
      <c r="H188" s="1669"/>
      <c r="I188" s="1946"/>
      <c r="J188" s="1947"/>
      <c r="K188" s="1905"/>
      <c r="L188" s="1904"/>
      <c r="M188" s="1276"/>
      <c r="N188" s="1276"/>
      <c r="O188" s="1277"/>
      <c r="P188" s="1277"/>
      <c r="Q188" s="1389"/>
    </row>
    <row r="189" spans="1:17" ht="50.25" customHeight="1" x14ac:dyDescent="0.5">
      <c r="A189" s="1248" t="s">
        <v>2466</v>
      </c>
      <c r="B189" s="2074" t="s">
        <v>1555</v>
      </c>
      <c r="C189" s="2074"/>
      <c r="D189" s="2074"/>
      <c r="E189" s="2074"/>
      <c r="F189" s="2074"/>
      <c r="G189" s="2074"/>
      <c r="H189" s="1311"/>
      <c r="I189" s="1251"/>
      <c r="J189" s="1903"/>
      <c r="K189" s="1905"/>
      <c r="L189" s="1904"/>
      <c r="M189" s="1276"/>
      <c r="N189" s="1276"/>
      <c r="O189" s="1277"/>
      <c r="P189" s="1277"/>
      <c r="Q189" s="1389"/>
    </row>
    <row r="190" spans="1:17" ht="50.25" customHeight="1" x14ac:dyDescent="0.5">
      <c r="A190" s="1248" t="s">
        <v>2467</v>
      </c>
      <c r="B190" s="2072" t="s">
        <v>1558</v>
      </c>
      <c r="C190" s="2072"/>
      <c r="D190" s="2072"/>
      <c r="E190" s="2072"/>
      <c r="F190" s="2072"/>
      <c r="G190" s="2072"/>
      <c r="H190" s="1311"/>
      <c r="I190" s="1251"/>
      <c r="J190" s="1680"/>
      <c r="K190" s="1825"/>
      <c r="L190" s="1277"/>
      <c r="M190" s="1276"/>
      <c r="N190" s="1276"/>
      <c r="O190" s="1277"/>
      <c r="P190" s="1277"/>
      <c r="Q190" s="1389"/>
    </row>
    <row r="191" spans="1:17" ht="50.25" customHeight="1" x14ac:dyDescent="0.5">
      <c r="A191" s="1248" t="s">
        <v>1966</v>
      </c>
      <c r="B191" s="1912">
        <v>46233</v>
      </c>
      <c r="C191" s="1820" t="s">
        <v>2468</v>
      </c>
      <c r="D191" s="517" t="s">
        <v>2255</v>
      </c>
      <c r="E191" s="1927" t="s">
        <v>2469</v>
      </c>
      <c r="F191" s="1927" t="s">
        <v>2470</v>
      </c>
      <c r="G191" s="1912"/>
      <c r="H191" s="1311"/>
      <c r="I191" s="1251"/>
      <c r="J191" s="1680"/>
      <c r="K191" s="1825"/>
      <c r="L191" s="1277"/>
      <c r="M191" s="1276"/>
      <c r="N191" s="1276"/>
      <c r="O191" s="1277"/>
      <c r="P191" s="1277"/>
      <c r="Q191" s="1389"/>
    </row>
    <row r="192" spans="1:17" ht="50.25" customHeight="1" x14ac:dyDescent="0.5">
      <c r="A192" s="1248" t="s">
        <v>2471</v>
      </c>
      <c r="B192" s="2072" t="s">
        <v>1471</v>
      </c>
      <c r="C192" s="2072"/>
      <c r="D192" s="2072"/>
      <c r="E192" s="2072"/>
      <c r="F192" s="2072"/>
      <c r="G192" s="2072"/>
      <c r="H192" s="1311"/>
      <c r="I192" s="1251"/>
      <c r="J192" s="1680"/>
      <c r="K192" s="1276"/>
      <c r="L192" s="1277"/>
      <c r="M192" s="1276"/>
      <c r="N192" s="1276"/>
      <c r="O192" s="1277"/>
      <c r="P192" s="1277"/>
      <c r="Q192" s="1389"/>
    </row>
    <row r="193" spans="1:17" ht="50.25" customHeight="1" x14ac:dyDescent="0.5">
      <c r="A193" s="1248" t="s">
        <v>2472</v>
      </c>
      <c r="B193" s="2072" t="s">
        <v>1987</v>
      </c>
      <c r="C193" s="2072"/>
      <c r="D193" s="2072"/>
      <c r="E193" s="2072"/>
      <c r="F193" s="2072"/>
      <c r="G193" s="2072"/>
      <c r="H193" s="1311"/>
      <c r="I193" s="1251"/>
      <c r="J193" s="1680"/>
      <c r="K193" s="1276"/>
      <c r="L193" s="1277"/>
      <c r="M193" s="1276"/>
      <c r="N193" s="1276"/>
      <c r="O193" s="1684"/>
      <c r="P193" s="1684"/>
      <c r="Q193" s="1389"/>
    </row>
    <row r="194" spans="1:17" ht="50.25" customHeight="1" x14ac:dyDescent="0.5">
      <c r="A194" s="1248" t="s">
        <v>1970</v>
      </c>
      <c r="B194" s="1912">
        <v>46238</v>
      </c>
      <c r="C194" s="1820" t="s">
        <v>2374</v>
      </c>
      <c r="D194" s="517" t="s">
        <v>2255</v>
      </c>
      <c r="E194" s="1927" t="s">
        <v>2473</v>
      </c>
      <c r="F194" s="1927" t="s">
        <v>2474</v>
      </c>
      <c r="G194" s="1927" t="s">
        <v>2475</v>
      </c>
      <c r="H194" s="1311"/>
      <c r="I194" s="1251"/>
      <c r="J194" s="1680"/>
      <c r="K194" s="1276"/>
      <c r="L194" s="1277"/>
      <c r="M194" s="1276"/>
      <c r="N194" s="1276"/>
      <c r="O194" s="1684"/>
      <c r="P194" s="1684"/>
      <c r="Q194" s="1389"/>
    </row>
    <row r="195" spans="1:17" ht="50.25" customHeight="1" x14ac:dyDescent="0.5">
      <c r="A195" s="1248" t="s">
        <v>1973</v>
      </c>
      <c r="B195" s="1912">
        <v>46246</v>
      </c>
      <c r="C195" s="1820" t="s">
        <v>2374</v>
      </c>
      <c r="D195" s="517" t="s">
        <v>2255</v>
      </c>
      <c r="E195" s="1927" t="s">
        <v>2476</v>
      </c>
      <c r="F195" s="1927" t="s">
        <v>2477</v>
      </c>
      <c r="G195" s="1912"/>
      <c r="H195" s="1311"/>
      <c r="I195" s="1251"/>
      <c r="J195" s="1680"/>
      <c r="K195" s="1276"/>
      <c r="L195" s="1277"/>
      <c r="M195" s="1276"/>
      <c r="N195" s="1276"/>
      <c r="O195" s="1684"/>
      <c r="P195" s="1684"/>
      <c r="Q195" s="1389"/>
    </row>
    <row r="196" spans="1:17" ht="50.25" customHeight="1" x14ac:dyDescent="0.5">
      <c r="A196" s="1248" t="s">
        <v>2478</v>
      </c>
      <c r="B196" s="2072" t="s">
        <v>1562</v>
      </c>
      <c r="C196" s="2072"/>
      <c r="D196" s="2072"/>
      <c r="E196" s="2072"/>
      <c r="F196" s="2072"/>
      <c r="G196" s="2072"/>
      <c r="H196" s="1311"/>
      <c r="I196" s="1251"/>
      <c r="J196" s="1680"/>
      <c r="K196" s="1276"/>
      <c r="L196" s="1277"/>
      <c r="M196" s="1276"/>
      <c r="N196" s="1276"/>
      <c r="O196" s="1684"/>
      <c r="P196" s="1684"/>
      <c r="Q196" s="1389"/>
    </row>
    <row r="197" spans="1:17" ht="50.25" customHeight="1" x14ac:dyDescent="0.5">
      <c r="A197" s="1248" t="s">
        <v>2479</v>
      </c>
      <c r="B197" s="2072" t="s">
        <v>1563</v>
      </c>
      <c r="C197" s="2072"/>
      <c r="D197" s="2072"/>
      <c r="E197" s="2072"/>
      <c r="F197" s="2072"/>
      <c r="G197" s="2072"/>
      <c r="H197" s="1311"/>
      <c r="I197" s="1251"/>
      <c r="J197" s="1680"/>
      <c r="K197" s="1276"/>
      <c r="L197" s="1277"/>
      <c r="M197" s="1276"/>
      <c r="N197" s="1276"/>
      <c r="O197" s="1684"/>
      <c r="P197" s="1684"/>
      <c r="Q197" s="1389"/>
    </row>
    <row r="198" spans="1:17" ht="50.25" customHeight="1" x14ac:dyDescent="0.5">
      <c r="A198" s="1248" t="s">
        <v>1976</v>
      </c>
      <c r="B198" s="1912">
        <v>46254</v>
      </c>
      <c r="C198" s="1820" t="s">
        <v>41</v>
      </c>
      <c r="D198" s="517" t="s">
        <v>2255</v>
      </c>
      <c r="E198" s="1927" t="s">
        <v>2480</v>
      </c>
      <c r="F198" s="1927" t="s">
        <v>2481</v>
      </c>
      <c r="G198" s="1912"/>
      <c r="H198" s="1311"/>
      <c r="I198" s="1251"/>
      <c r="J198" s="1680"/>
      <c r="K198" s="1276"/>
      <c r="L198" s="1277"/>
      <c r="M198" s="1276"/>
      <c r="N198" s="1276"/>
      <c r="O198" s="1684"/>
      <c r="P198" s="1684"/>
      <c r="Q198" s="1389"/>
    </row>
    <row r="199" spans="1:17" ht="50.25" customHeight="1" x14ac:dyDescent="0.5">
      <c r="A199" s="1248" t="s">
        <v>2482</v>
      </c>
      <c r="B199" s="2072" t="s">
        <v>1498</v>
      </c>
      <c r="C199" s="2072"/>
      <c r="D199" s="2072"/>
      <c r="E199" s="2072"/>
      <c r="F199" s="2072"/>
      <c r="G199" s="2072"/>
      <c r="H199" s="1311"/>
      <c r="I199" s="1251"/>
      <c r="J199" s="1680"/>
      <c r="K199" s="1276"/>
      <c r="L199" s="1277"/>
      <c r="M199" s="1276"/>
      <c r="N199" s="1276"/>
      <c r="O199" s="1684"/>
      <c r="P199" s="1684"/>
      <c r="Q199" s="1389"/>
    </row>
    <row r="200" spans="1:17" ht="50.25" customHeight="1" x14ac:dyDescent="0.5">
      <c r="A200" s="1248" t="s">
        <v>1979</v>
      </c>
      <c r="B200" s="1912">
        <v>46259</v>
      </c>
      <c r="C200" s="1820" t="s">
        <v>2483</v>
      </c>
      <c r="D200" s="517" t="s">
        <v>2255</v>
      </c>
      <c r="E200" s="1927" t="s">
        <v>2484</v>
      </c>
      <c r="F200" s="1927" t="s">
        <v>2485</v>
      </c>
      <c r="G200" s="1927" t="s">
        <v>2486</v>
      </c>
      <c r="H200" s="1311"/>
      <c r="I200" s="1251"/>
      <c r="J200" s="1680"/>
      <c r="K200" s="1276"/>
      <c r="L200" s="1277"/>
      <c r="M200" s="1276"/>
      <c r="N200" s="1276"/>
      <c r="O200" s="1684"/>
      <c r="P200" s="1684"/>
      <c r="Q200" s="1389"/>
    </row>
    <row r="201" spans="1:17" ht="50.25" customHeight="1" x14ac:dyDescent="0.5">
      <c r="A201" s="1248" t="s">
        <v>2487</v>
      </c>
      <c r="B201" s="2072" t="s">
        <v>1997</v>
      </c>
      <c r="C201" s="2072"/>
      <c r="D201" s="2072"/>
      <c r="E201" s="2072"/>
      <c r="F201" s="2072"/>
      <c r="G201" s="2072"/>
      <c r="H201" s="1311"/>
      <c r="I201" s="1251"/>
      <c r="J201" s="1251"/>
      <c r="K201" s="1276"/>
      <c r="L201" s="1277"/>
      <c r="M201" s="1276"/>
      <c r="N201" s="1276"/>
      <c r="O201" s="1276"/>
      <c r="P201" s="1276"/>
      <c r="Q201" s="1389"/>
    </row>
    <row r="202" spans="1:17" ht="50.25" customHeight="1" x14ac:dyDescent="0.5">
      <c r="A202" s="1248" t="s">
        <v>2488</v>
      </c>
      <c r="B202" s="2072" t="s">
        <v>1998</v>
      </c>
      <c r="C202" s="2072"/>
      <c r="D202" s="2072"/>
      <c r="E202" s="2072"/>
      <c r="F202" s="2072"/>
      <c r="G202" s="2072"/>
      <c r="H202" s="1311"/>
      <c r="I202" s="1251"/>
      <c r="J202" s="1251"/>
      <c r="K202" s="1276"/>
      <c r="L202" s="1277"/>
      <c r="M202" s="1276"/>
      <c r="N202" s="1276"/>
      <c r="O202" s="1276"/>
      <c r="P202" s="1276"/>
      <c r="Q202" s="1389"/>
    </row>
    <row r="203" spans="1:17" ht="50.25" customHeight="1" x14ac:dyDescent="0.5">
      <c r="A203" s="1248" t="s">
        <v>1982</v>
      </c>
      <c r="B203" s="2070" t="s">
        <v>2489</v>
      </c>
      <c r="C203" s="2071"/>
      <c r="D203" s="2071"/>
      <c r="E203" s="2071"/>
      <c r="F203" s="2071"/>
      <c r="G203" s="2071"/>
      <c r="H203" s="1311"/>
      <c r="I203" s="1251"/>
      <c r="J203" s="1251"/>
      <c r="K203" s="1276"/>
      <c r="L203" s="1277"/>
      <c r="M203" s="1276"/>
      <c r="N203" s="1276"/>
      <c r="O203" s="1276"/>
      <c r="P203" s="1276"/>
      <c r="Q203" s="1389"/>
    </row>
    <row r="204" spans="1:17" ht="50.25" customHeight="1" x14ac:dyDescent="0.5">
      <c r="A204" s="1315" t="s">
        <v>1984</v>
      </c>
      <c r="B204" s="1912">
        <v>46274</v>
      </c>
      <c r="C204" s="1927" t="s">
        <v>2490</v>
      </c>
      <c r="D204" s="1943" t="s">
        <v>2255</v>
      </c>
      <c r="E204" s="1951" t="s">
        <v>2491</v>
      </c>
      <c r="F204" s="1951" t="s">
        <v>2481</v>
      </c>
      <c r="G204" s="1951" t="s">
        <v>2492</v>
      </c>
      <c r="H204" s="1311"/>
      <c r="I204" s="1251"/>
      <c r="J204" s="1251"/>
      <c r="K204" s="1276"/>
      <c r="L204" s="1277"/>
      <c r="M204" s="1276"/>
      <c r="N204" s="1276"/>
      <c r="O204" s="1276"/>
      <c r="P204" s="1276"/>
      <c r="Q204" s="1389"/>
    </row>
    <row r="205" spans="1:17" ht="63" x14ac:dyDescent="0.5">
      <c r="A205" s="1315" t="s">
        <v>1988</v>
      </c>
      <c r="B205" s="1912">
        <v>46282</v>
      </c>
      <c r="C205" s="1927" t="s">
        <v>2493</v>
      </c>
      <c r="D205" s="1943" t="s">
        <v>2255</v>
      </c>
      <c r="E205" s="1951" t="s">
        <v>2494</v>
      </c>
      <c r="F205" s="1952" t="s">
        <v>2214</v>
      </c>
      <c r="G205" s="1951" t="s">
        <v>2495</v>
      </c>
      <c r="H205" s="1311"/>
      <c r="I205" s="1251"/>
      <c r="J205" s="1251"/>
      <c r="K205" s="1276"/>
      <c r="L205" s="1277"/>
      <c r="M205" s="1276"/>
      <c r="N205" s="1276"/>
      <c r="O205" s="1276"/>
      <c r="P205" s="1276"/>
      <c r="Q205" s="1389"/>
    </row>
    <row r="206" spans="1:17" ht="50.25" customHeight="1" x14ac:dyDescent="0.5">
      <c r="A206" s="1315" t="s">
        <v>1991</v>
      </c>
      <c r="B206" s="1912">
        <v>46289</v>
      </c>
      <c r="C206" s="1927" t="s">
        <v>2496</v>
      </c>
      <c r="D206" s="1943" t="s">
        <v>2255</v>
      </c>
      <c r="E206" s="1927" t="s">
        <v>2497</v>
      </c>
      <c r="F206" s="1927" t="s">
        <v>2498</v>
      </c>
      <c r="G206" s="1927" t="s">
        <v>2499</v>
      </c>
      <c r="H206" s="1311"/>
      <c r="I206" s="1251"/>
      <c r="J206" s="1251"/>
      <c r="K206" s="1276"/>
      <c r="L206" s="1277"/>
      <c r="M206" s="1276"/>
      <c r="N206" s="1276"/>
      <c r="O206" s="1276"/>
      <c r="P206" s="1276"/>
      <c r="Q206" s="1389"/>
    </row>
    <row r="207" spans="1:17" ht="50.25" customHeight="1" x14ac:dyDescent="0.5">
      <c r="A207" s="1315" t="s">
        <v>1994</v>
      </c>
      <c r="B207" s="1912">
        <v>46294</v>
      </c>
      <c r="C207" s="1912" t="s">
        <v>41</v>
      </c>
      <c r="D207" s="1943" t="s">
        <v>2255</v>
      </c>
      <c r="E207" s="1912" t="s">
        <v>2500</v>
      </c>
      <c r="F207" s="1920"/>
      <c r="G207" s="1921"/>
      <c r="H207" s="1311"/>
      <c r="I207" s="1251"/>
      <c r="J207" s="1251"/>
      <c r="K207" s="1276"/>
      <c r="L207" s="1277"/>
      <c r="M207" s="1276"/>
      <c r="N207" s="1276"/>
      <c r="O207" s="1276"/>
      <c r="P207" s="1276"/>
      <c r="Q207" s="1389"/>
    </row>
    <row r="208" spans="1:17" ht="50.25" customHeight="1" x14ac:dyDescent="0.5">
      <c r="A208" s="1919"/>
      <c r="B208" s="2073"/>
      <c r="C208" s="2073"/>
      <c r="D208" s="2073"/>
      <c r="E208" s="2073"/>
      <c r="F208" s="2073"/>
      <c r="G208" s="2073"/>
      <c r="H208" s="1918"/>
      <c r="I208" s="1542"/>
      <c r="J208" s="1542"/>
      <c r="K208" s="1529"/>
      <c r="L208" s="1531"/>
      <c r="M208" s="1529"/>
      <c r="N208" s="1529"/>
      <c r="O208" s="1529"/>
      <c r="P208" s="1529"/>
      <c r="Q208" s="1389"/>
    </row>
    <row r="209" spans="1:10" x14ac:dyDescent="0.5">
      <c r="A209" s="1502"/>
      <c r="B209" s="1502"/>
      <c r="C209" s="1502"/>
      <c r="D209" s="1502"/>
      <c r="E209" s="1502"/>
      <c r="F209" s="1502"/>
      <c r="G209" s="1685"/>
      <c r="H209" s="1685"/>
      <c r="I209" s="1685"/>
      <c r="J209" s="1686"/>
    </row>
    <row r="210" spans="1:10" x14ac:dyDescent="0.5">
      <c r="A210" s="1502"/>
      <c r="B210" s="1502"/>
      <c r="C210" s="1502"/>
      <c r="D210" s="1502"/>
      <c r="E210" s="1502"/>
      <c r="F210" s="1502"/>
      <c r="G210" s="1685"/>
      <c r="H210" s="1685"/>
      <c r="I210" s="1685"/>
      <c r="J210" s="1686"/>
    </row>
    <row r="211" spans="1:10" x14ac:dyDescent="0.5">
      <c r="A211" s="1502"/>
      <c r="B211" s="1502"/>
      <c r="C211" s="1502"/>
      <c r="D211" s="1502"/>
      <c r="E211" s="1502"/>
      <c r="F211" s="1502"/>
      <c r="G211" s="1685"/>
      <c r="H211" s="1685"/>
      <c r="I211" s="1685"/>
      <c r="J211" s="1686"/>
    </row>
    <row r="212" spans="1:10" x14ac:dyDescent="0.5">
      <c r="A212" s="1502"/>
      <c r="B212" s="1502"/>
      <c r="C212" s="1502"/>
      <c r="D212" s="1502"/>
      <c r="E212" s="1502"/>
      <c r="F212" s="1502"/>
      <c r="G212" s="1685"/>
      <c r="H212" s="1685"/>
      <c r="I212" s="1685"/>
      <c r="J212" s="1686"/>
    </row>
    <row r="213" spans="1:10" x14ac:dyDescent="0.5">
      <c r="A213" s="1502"/>
      <c r="B213" s="1502"/>
      <c r="C213" s="1502"/>
      <c r="D213" s="1502"/>
      <c r="E213" s="1502"/>
      <c r="F213" s="1502"/>
      <c r="G213" s="1685"/>
      <c r="H213" s="1685"/>
      <c r="I213" s="1685"/>
      <c r="J213" s="1686"/>
    </row>
    <row r="214" spans="1:10" x14ac:dyDescent="0.5">
      <c r="A214" s="1502"/>
      <c r="B214" s="1502"/>
      <c r="C214" s="1502"/>
      <c r="D214" s="1502"/>
      <c r="E214" s="1502"/>
      <c r="F214" s="1502"/>
      <c r="G214" s="1685"/>
      <c r="H214" s="1685"/>
      <c r="I214" s="1685"/>
      <c r="J214" s="1686"/>
    </row>
    <row r="215" spans="1:10" x14ac:dyDescent="0.5">
      <c r="A215" s="1502"/>
      <c r="B215" s="1502"/>
      <c r="C215" s="1502"/>
      <c r="D215" s="1502"/>
      <c r="E215" s="1502"/>
      <c r="F215" s="1502"/>
      <c r="G215" s="1685"/>
      <c r="H215" s="1685"/>
      <c r="I215" s="1685"/>
      <c r="J215" s="1686"/>
    </row>
    <row r="216" spans="1:10" x14ac:dyDescent="0.5">
      <c r="A216" s="1502"/>
      <c r="B216" s="1502"/>
      <c r="C216" s="1502"/>
      <c r="D216" s="1502"/>
      <c r="E216" s="1502"/>
      <c r="F216" s="1502"/>
      <c r="G216" s="1685"/>
      <c r="H216" s="1685"/>
      <c r="I216" s="1685"/>
      <c r="J216" s="1686"/>
    </row>
    <row r="217" spans="1:10" x14ac:dyDescent="0.5">
      <c r="A217" s="1502"/>
      <c r="B217" s="1502"/>
      <c r="C217" s="1502"/>
      <c r="D217" s="1502"/>
      <c r="E217" s="1502"/>
      <c r="F217" s="1502"/>
      <c r="G217" s="1685"/>
      <c r="H217" s="1685"/>
      <c r="I217" s="1685"/>
      <c r="J217" s="1686"/>
    </row>
    <row r="218" spans="1:10" x14ac:dyDescent="0.5">
      <c r="A218" s="1502"/>
      <c r="B218" s="1502"/>
      <c r="C218" s="1502"/>
      <c r="D218" s="1502"/>
      <c r="E218" s="1502"/>
      <c r="F218" s="1502"/>
      <c r="G218" s="1685"/>
      <c r="H218" s="1685"/>
      <c r="I218" s="1685"/>
      <c r="J218" s="1686"/>
    </row>
    <row r="219" spans="1:10" x14ac:dyDescent="0.5">
      <c r="A219" s="1502"/>
      <c r="B219" s="1502"/>
      <c r="C219" s="1502"/>
      <c r="D219" s="1502"/>
      <c r="E219" s="1502"/>
      <c r="F219" s="1502"/>
      <c r="G219" s="1685"/>
      <c r="H219" s="1685"/>
      <c r="I219" s="1685"/>
      <c r="J219" s="1686"/>
    </row>
    <row r="220" spans="1:10" x14ac:dyDescent="0.5">
      <c r="A220" s="1502"/>
      <c r="B220" s="1502"/>
      <c r="C220" s="1502"/>
      <c r="D220" s="1502"/>
      <c r="E220" s="1502"/>
      <c r="F220" s="1502"/>
      <c r="G220" s="1685"/>
      <c r="H220" s="1685"/>
      <c r="I220" s="1685"/>
      <c r="J220" s="1686"/>
    </row>
    <row r="221" spans="1:10" x14ac:dyDescent="0.5">
      <c r="A221" s="1502"/>
      <c r="B221" s="1502"/>
      <c r="C221" s="1502"/>
      <c r="D221" s="1502"/>
      <c r="E221" s="1502"/>
      <c r="F221" s="1502"/>
      <c r="G221" s="1685"/>
      <c r="H221" s="1685"/>
      <c r="I221" s="1685"/>
      <c r="J221" s="1686"/>
    </row>
    <row r="222" spans="1:10" x14ac:dyDescent="0.5">
      <c r="A222" s="1502"/>
      <c r="B222" s="1502"/>
      <c r="C222" s="1502"/>
      <c r="D222" s="1502"/>
      <c r="E222" s="1502"/>
      <c r="F222" s="1502"/>
      <c r="G222" s="1685"/>
      <c r="H222" s="1685"/>
      <c r="I222" s="1685"/>
      <c r="J222" s="1686"/>
    </row>
    <row r="223" spans="1:10" x14ac:dyDescent="0.5">
      <c r="A223" s="1502"/>
      <c r="B223" s="1502"/>
      <c r="C223" s="1502"/>
      <c r="D223" s="1502"/>
      <c r="E223" s="1502"/>
      <c r="F223" s="1502"/>
      <c r="G223" s="1685"/>
      <c r="H223" s="1685"/>
      <c r="I223" s="1685"/>
      <c r="J223" s="1686"/>
    </row>
    <row r="224" spans="1:10" x14ac:dyDescent="0.5">
      <c r="A224" s="1502"/>
      <c r="B224" s="1502"/>
      <c r="C224" s="1502"/>
      <c r="D224" s="1502"/>
      <c r="E224" s="1502"/>
      <c r="F224" s="1502"/>
      <c r="G224" s="1685"/>
      <c r="H224" s="1685"/>
      <c r="I224" s="1685"/>
      <c r="J224" s="1686"/>
    </row>
    <row r="225" spans="1:10" x14ac:dyDescent="0.5">
      <c r="A225" s="1502"/>
      <c r="B225" s="1502"/>
      <c r="C225" s="1502"/>
      <c r="D225" s="1502"/>
      <c r="E225" s="1502"/>
      <c r="F225" s="1502"/>
      <c r="G225" s="1685"/>
      <c r="H225" s="1685"/>
      <c r="I225" s="1685"/>
      <c r="J225" s="1686"/>
    </row>
    <row r="226" spans="1:10" x14ac:dyDescent="0.5">
      <c r="A226" s="1502"/>
      <c r="B226" s="1502"/>
      <c r="C226" s="1502"/>
      <c r="D226" s="1502"/>
      <c r="E226" s="1502"/>
      <c r="F226" s="1502"/>
      <c r="G226" s="1685"/>
      <c r="H226" s="1685"/>
      <c r="I226" s="1685"/>
      <c r="J226" s="1686"/>
    </row>
    <row r="227" spans="1:10" x14ac:dyDescent="0.5">
      <c r="A227" s="1502"/>
      <c r="B227" s="1502"/>
      <c r="C227" s="1502"/>
      <c r="D227" s="1502"/>
      <c r="E227" s="1502"/>
      <c r="F227" s="1502"/>
      <c r="G227" s="1685"/>
      <c r="H227" s="1685"/>
      <c r="I227" s="1685"/>
      <c r="J227" s="1686"/>
    </row>
    <row r="228" spans="1:10" x14ac:dyDescent="0.5">
      <c r="A228" s="1502"/>
      <c r="B228" s="1502"/>
      <c r="C228" s="1502"/>
      <c r="D228" s="1502"/>
      <c r="E228" s="1502"/>
      <c r="F228" s="1502"/>
      <c r="G228" s="1685"/>
      <c r="H228" s="1685"/>
      <c r="I228" s="1685"/>
      <c r="J228" s="1686"/>
    </row>
    <row r="229" spans="1:10" x14ac:dyDescent="0.5">
      <c r="A229" s="1502"/>
      <c r="B229" s="1502"/>
      <c r="C229" s="1502"/>
      <c r="D229" s="1502"/>
      <c r="E229" s="1502"/>
      <c r="F229" s="1502"/>
      <c r="G229" s="1685"/>
      <c r="H229" s="1685"/>
      <c r="I229" s="1685"/>
      <c r="J229" s="1686"/>
    </row>
    <row r="230" spans="1:10" x14ac:dyDescent="0.5">
      <c r="A230" s="1502"/>
      <c r="B230" s="1502"/>
      <c r="C230" s="1502"/>
      <c r="D230" s="1502"/>
      <c r="E230" s="1502"/>
      <c r="F230" s="1502"/>
      <c r="G230" s="1685"/>
      <c r="H230" s="1685"/>
      <c r="I230" s="1685"/>
      <c r="J230" s="1686"/>
    </row>
    <row r="231" spans="1:10" x14ac:dyDescent="0.5">
      <c r="A231" s="1502"/>
      <c r="B231" s="1502"/>
      <c r="C231" s="1502"/>
      <c r="D231" s="1502"/>
      <c r="E231" s="1502"/>
      <c r="F231" s="1502"/>
      <c r="G231" s="1685"/>
      <c r="H231" s="1685"/>
      <c r="I231" s="1685"/>
      <c r="J231" s="1686"/>
    </row>
    <row r="232" spans="1:10" x14ac:dyDescent="0.5">
      <c r="A232" s="1502"/>
      <c r="B232" s="1502"/>
      <c r="C232" s="1502"/>
      <c r="D232" s="1502"/>
      <c r="E232" s="1502"/>
      <c r="F232" s="1502"/>
      <c r="G232" s="1685"/>
      <c r="H232" s="1685"/>
      <c r="I232" s="1685"/>
      <c r="J232" s="1686"/>
    </row>
    <row r="233" spans="1:10" x14ac:dyDescent="0.5">
      <c r="A233" s="1502"/>
      <c r="B233" s="1502"/>
      <c r="C233" s="1502"/>
      <c r="D233" s="1502"/>
      <c r="E233" s="1502"/>
      <c r="F233" s="1502"/>
      <c r="G233" s="1685"/>
      <c r="H233" s="1685"/>
      <c r="I233" s="1685"/>
      <c r="J233" s="1686"/>
    </row>
    <row r="234" spans="1:10" x14ac:dyDescent="0.5">
      <c r="A234" s="1502"/>
      <c r="B234" s="1502"/>
      <c r="C234" s="1502"/>
      <c r="D234" s="1502"/>
      <c r="E234" s="1502"/>
      <c r="F234" s="1502"/>
      <c r="G234" s="1685"/>
      <c r="H234" s="1685"/>
      <c r="I234" s="1685"/>
      <c r="J234" s="1686"/>
    </row>
    <row r="235" spans="1:10" x14ac:dyDescent="0.5">
      <c r="A235" s="1502"/>
      <c r="B235" s="1502"/>
      <c r="C235" s="1502"/>
      <c r="D235" s="1502"/>
      <c r="E235" s="1502"/>
      <c r="F235" s="1502"/>
      <c r="G235" s="1685"/>
      <c r="H235" s="1685"/>
      <c r="I235" s="1685"/>
      <c r="J235" s="1686"/>
    </row>
    <row r="236" spans="1:10" x14ac:dyDescent="0.5">
      <c r="A236" s="1502"/>
      <c r="B236" s="1502"/>
      <c r="C236" s="1502"/>
      <c r="D236" s="1502"/>
      <c r="E236" s="1502"/>
      <c r="F236" s="1502"/>
      <c r="G236" s="1685"/>
      <c r="H236" s="1685"/>
      <c r="I236" s="1685"/>
      <c r="J236" s="1686"/>
    </row>
    <row r="237" spans="1:10" x14ac:dyDescent="0.5">
      <c r="A237" s="1502"/>
      <c r="B237" s="1502"/>
      <c r="C237" s="1502"/>
      <c r="D237" s="1502"/>
      <c r="E237" s="1502"/>
      <c r="F237" s="1502"/>
      <c r="G237" s="1685"/>
      <c r="H237" s="1685"/>
      <c r="I237" s="1685"/>
      <c r="J237" s="1686"/>
    </row>
    <row r="238" spans="1:10" x14ac:dyDescent="0.5">
      <c r="A238" s="1502"/>
      <c r="B238" s="1502"/>
      <c r="C238" s="1502"/>
      <c r="D238" s="1502"/>
      <c r="E238" s="1502"/>
      <c r="F238" s="1502"/>
      <c r="G238" s="1685"/>
      <c r="H238" s="1685"/>
      <c r="I238" s="1685"/>
      <c r="J238" s="1686"/>
    </row>
    <row r="239" spans="1:10" x14ac:dyDescent="0.5">
      <c r="A239" s="1502"/>
      <c r="B239" s="1502"/>
      <c r="C239" s="1502"/>
      <c r="D239" s="1502"/>
      <c r="E239" s="1502"/>
      <c r="F239" s="1502"/>
      <c r="G239" s="1685"/>
      <c r="H239" s="1685"/>
      <c r="I239" s="1685"/>
      <c r="J239" s="1686"/>
    </row>
    <row r="240" spans="1:10" x14ac:dyDescent="0.5">
      <c r="A240" s="1502"/>
      <c r="B240" s="1502"/>
      <c r="C240" s="1502"/>
      <c r="D240" s="1502"/>
      <c r="E240" s="1502"/>
      <c r="F240" s="1502"/>
      <c r="G240" s="1685"/>
      <c r="H240" s="1685"/>
      <c r="I240" s="1685"/>
      <c r="J240" s="1686"/>
    </row>
    <row r="241" spans="1:10" x14ac:dyDescent="0.5">
      <c r="A241" s="1502"/>
      <c r="B241" s="1502"/>
      <c r="C241" s="1502"/>
      <c r="D241" s="1502"/>
      <c r="E241" s="1502"/>
      <c r="F241" s="1502"/>
      <c r="G241" s="1685"/>
      <c r="H241" s="1685"/>
      <c r="I241" s="1685"/>
      <c r="J241" s="1686"/>
    </row>
    <row r="242" spans="1:10" x14ac:dyDescent="0.5">
      <c r="A242" s="1502"/>
      <c r="B242" s="1502"/>
      <c r="C242" s="1502"/>
      <c r="D242" s="1502"/>
      <c r="E242" s="1502"/>
      <c r="F242" s="1502"/>
      <c r="G242" s="1685"/>
      <c r="H242" s="1685"/>
      <c r="I242" s="1685"/>
      <c r="J242" s="1686"/>
    </row>
    <row r="243" spans="1:10" x14ac:dyDescent="0.5">
      <c r="A243" s="1502"/>
      <c r="B243" s="1502"/>
      <c r="C243" s="1502"/>
      <c r="D243" s="1502"/>
      <c r="E243" s="1502"/>
      <c r="F243" s="1502"/>
      <c r="G243" s="1685"/>
      <c r="H243" s="1685"/>
      <c r="I243" s="1685"/>
      <c r="J243" s="1686"/>
    </row>
    <row r="244" spans="1:10" x14ac:dyDescent="0.5">
      <c r="A244" s="1502"/>
      <c r="B244" s="1502"/>
      <c r="C244" s="1502"/>
      <c r="D244" s="1502"/>
      <c r="E244" s="1502"/>
      <c r="F244" s="1502"/>
      <c r="G244" s="1685"/>
      <c r="H244" s="1685"/>
      <c r="I244" s="1685"/>
      <c r="J244" s="1686"/>
    </row>
    <row r="245" spans="1:10" x14ac:dyDescent="0.5">
      <c r="A245" s="1502"/>
      <c r="B245" s="1502"/>
      <c r="C245" s="1502"/>
      <c r="D245" s="1502"/>
      <c r="E245" s="1502"/>
      <c r="F245" s="1502"/>
      <c r="G245" s="1685"/>
      <c r="H245" s="1685"/>
      <c r="I245" s="1685"/>
      <c r="J245" s="1686"/>
    </row>
    <row r="246" spans="1:10" x14ac:dyDescent="0.5">
      <c r="A246" s="1502"/>
      <c r="B246" s="1502"/>
      <c r="C246" s="1502"/>
      <c r="D246" s="1502"/>
      <c r="E246" s="1502"/>
      <c r="F246" s="1502"/>
      <c r="G246" s="1685"/>
      <c r="H246" s="1685"/>
      <c r="I246" s="1685"/>
      <c r="J246" s="1686"/>
    </row>
    <row r="247" spans="1:10" x14ac:dyDescent="0.5">
      <c r="A247" s="1502"/>
      <c r="B247" s="1502"/>
      <c r="C247" s="1502"/>
      <c r="D247" s="1502"/>
      <c r="E247" s="1502"/>
      <c r="F247" s="1502"/>
      <c r="G247" s="1685"/>
      <c r="H247" s="1685"/>
      <c r="I247" s="1685"/>
      <c r="J247" s="1686"/>
    </row>
    <row r="248" spans="1:10" x14ac:dyDescent="0.5">
      <c r="A248" s="1502"/>
      <c r="B248" s="1502"/>
      <c r="C248" s="1502"/>
      <c r="D248" s="1502"/>
      <c r="E248" s="1502"/>
      <c r="F248" s="1502"/>
      <c r="G248" s="1685"/>
      <c r="H248" s="1685"/>
      <c r="I248" s="1685"/>
      <c r="J248" s="1686"/>
    </row>
    <row r="249" spans="1:10" x14ac:dyDescent="0.5">
      <c r="A249" s="1502"/>
      <c r="B249" s="1502"/>
      <c r="C249" s="1502"/>
      <c r="D249" s="1502"/>
      <c r="E249" s="1502"/>
      <c r="F249" s="1502"/>
      <c r="G249" s="1685"/>
      <c r="H249" s="1685"/>
      <c r="I249" s="1685"/>
      <c r="J249" s="1686"/>
    </row>
    <row r="250" spans="1:10" x14ac:dyDescent="0.5">
      <c r="A250" s="1502"/>
      <c r="B250" s="1502"/>
      <c r="C250" s="1502"/>
      <c r="D250" s="1502"/>
      <c r="E250" s="1502"/>
      <c r="F250" s="1502"/>
      <c r="G250" s="1685"/>
      <c r="H250" s="1685"/>
      <c r="I250" s="1685"/>
      <c r="J250" s="1686"/>
    </row>
    <row r="251" spans="1:10" x14ac:dyDescent="0.5">
      <c r="A251" s="1502"/>
      <c r="B251" s="1502"/>
      <c r="C251" s="1502"/>
      <c r="D251" s="1502"/>
      <c r="E251" s="1502"/>
      <c r="F251" s="1502"/>
      <c r="G251" s="1685"/>
      <c r="H251" s="1685"/>
      <c r="I251" s="1685"/>
      <c r="J251" s="1686"/>
    </row>
    <row r="252" spans="1:10" x14ac:dyDescent="0.5">
      <c r="A252" s="1502"/>
      <c r="B252" s="1502"/>
      <c r="C252" s="1502"/>
      <c r="D252" s="1502"/>
      <c r="E252" s="1502"/>
      <c r="F252" s="1502"/>
      <c r="G252" s="1685"/>
      <c r="H252" s="1685"/>
      <c r="I252" s="1685"/>
      <c r="J252" s="1686"/>
    </row>
    <row r="253" spans="1:10" x14ac:dyDescent="0.5">
      <c r="A253" s="1502"/>
      <c r="B253" s="1502"/>
      <c r="C253" s="1502"/>
      <c r="D253" s="1502"/>
      <c r="E253" s="1502"/>
      <c r="F253" s="1502"/>
      <c r="G253" s="1685"/>
      <c r="H253" s="1685"/>
      <c r="I253" s="1685"/>
      <c r="J253" s="1686"/>
    </row>
    <row r="254" spans="1:10" x14ac:dyDescent="0.5">
      <c r="A254" s="1502"/>
      <c r="B254" s="1502"/>
      <c r="C254" s="1502"/>
      <c r="D254" s="1502"/>
      <c r="E254" s="1502"/>
      <c r="F254" s="1502"/>
      <c r="G254" s="1685"/>
      <c r="H254" s="1685"/>
      <c r="I254" s="1685"/>
      <c r="J254" s="1686"/>
    </row>
    <row r="255" spans="1:10" x14ac:dyDescent="0.5">
      <c r="A255" s="1502"/>
      <c r="B255" s="1502"/>
      <c r="C255" s="1502"/>
      <c r="D255" s="1502"/>
      <c r="E255" s="1502"/>
      <c r="F255" s="1502"/>
      <c r="G255" s="1685"/>
      <c r="H255" s="1685"/>
      <c r="I255" s="1685"/>
      <c r="J255" s="1686"/>
    </row>
    <row r="256" spans="1:10" x14ac:dyDescent="0.5">
      <c r="A256" s="1502"/>
      <c r="B256" s="1502"/>
      <c r="C256" s="1502"/>
      <c r="D256" s="1502"/>
      <c r="E256" s="1502"/>
      <c r="F256" s="1502"/>
      <c r="G256" s="1685"/>
      <c r="H256" s="1685"/>
      <c r="I256" s="1685"/>
      <c r="J256" s="1686"/>
    </row>
    <row r="257" spans="1:10" x14ac:dyDescent="0.5">
      <c r="A257" s="1502"/>
      <c r="B257" s="1502"/>
      <c r="C257" s="1502"/>
      <c r="D257" s="1502"/>
      <c r="E257" s="1502"/>
      <c r="F257" s="1502"/>
      <c r="G257" s="1685"/>
      <c r="H257" s="1685"/>
      <c r="I257" s="1685"/>
      <c r="J257" s="1686"/>
    </row>
    <row r="258" spans="1:10" x14ac:dyDescent="0.5">
      <c r="A258" s="1502"/>
      <c r="B258" s="1502"/>
      <c r="C258" s="1502"/>
      <c r="D258" s="1502"/>
      <c r="E258" s="1502"/>
      <c r="F258" s="1502"/>
      <c r="G258" s="1685"/>
      <c r="H258" s="1685"/>
      <c r="I258" s="1685"/>
      <c r="J258" s="1686"/>
    </row>
    <row r="259" spans="1:10" x14ac:dyDescent="0.5">
      <c r="A259" s="1502"/>
      <c r="B259" s="1502"/>
      <c r="C259" s="1502"/>
      <c r="D259" s="1502"/>
      <c r="E259" s="1502"/>
      <c r="F259" s="1502"/>
      <c r="G259" s="1685"/>
      <c r="H259" s="1685"/>
      <c r="I259" s="1685"/>
      <c r="J259" s="1686"/>
    </row>
    <row r="260" spans="1:10" x14ac:dyDescent="0.5">
      <c r="A260" s="1502"/>
      <c r="B260" s="1502"/>
      <c r="C260" s="1502"/>
      <c r="D260" s="1502"/>
      <c r="E260" s="1502"/>
      <c r="F260" s="1502"/>
      <c r="G260" s="1685"/>
      <c r="H260" s="1685"/>
      <c r="I260" s="1685"/>
      <c r="J260" s="1686"/>
    </row>
    <row r="261" spans="1:10" x14ac:dyDescent="0.5">
      <c r="A261" s="1502"/>
      <c r="B261" s="1502"/>
      <c r="C261" s="1502"/>
      <c r="D261" s="1502"/>
      <c r="E261" s="1502"/>
      <c r="F261" s="1502"/>
      <c r="G261" s="1685"/>
      <c r="H261" s="1685"/>
      <c r="I261" s="1685"/>
      <c r="J261" s="1686"/>
    </row>
    <row r="262" spans="1:10" x14ac:dyDescent="0.5">
      <c r="A262" s="1502"/>
      <c r="B262" s="1502"/>
      <c r="C262" s="1502"/>
      <c r="D262" s="1502"/>
      <c r="E262" s="1502"/>
      <c r="F262" s="1502"/>
      <c r="G262" s="1685"/>
      <c r="H262" s="1685"/>
      <c r="I262" s="1685"/>
      <c r="J262" s="1686"/>
    </row>
    <row r="263" spans="1:10" x14ac:dyDescent="0.5">
      <c r="A263" s="1502"/>
      <c r="B263" s="1502"/>
      <c r="C263" s="1502"/>
      <c r="D263" s="1502"/>
      <c r="E263" s="1502"/>
      <c r="F263" s="1502"/>
      <c r="G263" s="1685"/>
      <c r="H263" s="1685"/>
      <c r="I263" s="1685"/>
      <c r="J263" s="1686"/>
    </row>
    <row r="264" spans="1:10" x14ac:dyDescent="0.5">
      <c r="A264" s="1502"/>
      <c r="B264" s="1502"/>
      <c r="C264" s="1502"/>
      <c r="D264" s="1502"/>
      <c r="E264" s="1502"/>
      <c r="F264" s="1502"/>
      <c r="G264" s="1685"/>
      <c r="H264" s="1685"/>
      <c r="I264" s="1685"/>
      <c r="J264" s="1686"/>
    </row>
    <row r="265" spans="1:10" x14ac:dyDescent="0.5">
      <c r="A265" s="1502"/>
      <c r="B265" s="1502"/>
      <c r="C265" s="1502"/>
      <c r="D265" s="1502"/>
      <c r="E265" s="1502"/>
      <c r="F265" s="1502"/>
      <c r="G265" s="1685"/>
      <c r="H265" s="1685"/>
      <c r="I265" s="1685"/>
      <c r="J265" s="1686"/>
    </row>
    <row r="266" spans="1:10" x14ac:dyDescent="0.5">
      <c r="A266" s="1502"/>
      <c r="B266" s="1502"/>
      <c r="C266" s="1502"/>
      <c r="D266" s="1502"/>
      <c r="E266" s="1502"/>
      <c r="F266" s="1502"/>
      <c r="G266" s="1685"/>
      <c r="H266" s="1685"/>
      <c r="I266" s="1685"/>
      <c r="J266" s="1686"/>
    </row>
    <row r="267" spans="1:10" x14ac:dyDescent="0.5">
      <c r="A267" s="1502"/>
      <c r="B267" s="1502"/>
      <c r="C267" s="1502"/>
      <c r="D267" s="1502"/>
      <c r="E267" s="1502"/>
      <c r="F267" s="1502"/>
      <c r="G267" s="1685"/>
      <c r="H267" s="1685"/>
      <c r="I267" s="1685"/>
      <c r="J267" s="1686"/>
    </row>
    <row r="268" spans="1:10" x14ac:dyDescent="0.5">
      <c r="A268" s="1502"/>
      <c r="B268" s="1502"/>
      <c r="C268" s="1502"/>
      <c r="D268" s="1502"/>
      <c r="E268" s="1502"/>
      <c r="F268" s="1502"/>
      <c r="G268" s="1685"/>
      <c r="H268" s="1685"/>
      <c r="I268" s="1685"/>
      <c r="J268" s="1686"/>
    </row>
    <row r="269" spans="1:10" x14ac:dyDescent="0.5">
      <c r="A269" s="1502"/>
      <c r="B269" s="1502"/>
      <c r="C269" s="1502"/>
      <c r="D269" s="1502"/>
      <c r="E269" s="1502"/>
      <c r="F269" s="1502"/>
      <c r="G269" s="1685"/>
      <c r="H269" s="1685"/>
      <c r="I269" s="1685"/>
      <c r="J269" s="1686"/>
    </row>
    <row r="270" spans="1:10" x14ac:dyDescent="0.5">
      <c r="A270" s="1502"/>
      <c r="B270" s="1502"/>
      <c r="C270" s="1502"/>
      <c r="D270" s="1502"/>
      <c r="E270" s="1502"/>
      <c r="F270" s="1502"/>
      <c r="G270" s="1685"/>
      <c r="H270" s="1685"/>
      <c r="I270" s="1685"/>
      <c r="J270" s="1686"/>
    </row>
    <row r="271" spans="1:10" x14ac:dyDescent="0.5">
      <c r="A271" s="1502"/>
      <c r="B271" s="1502"/>
      <c r="C271" s="1502"/>
      <c r="D271" s="1502"/>
      <c r="E271" s="1502"/>
      <c r="F271" s="1502"/>
      <c r="G271" s="1685"/>
      <c r="H271" s="1685"/>
      <c r="I271" s="1685"/>
      <c r="J271" s="1686"/>
    </row>
    <row r="272" spans="1:10" x14ac:dyDescent="0.5">
      <c r="A272" s="1502"/>
      <c r="B272" s="1502"/>
      <c r="C272" s="1502"/>
      <c r="D272" s="1502"/>
      <c r="E272" s="1502"/>
      <c r="F272" s="1502"/>
      <c r="G272" s="1685"/>
      <c r="H272" s="1685"/>
      <c r="I272" s="1685"/>
      <c r="J272" s="1686"/>
    </row>
    <row r="273" spans="1:10" x14ac:dyDescent="0.5">
      <c r="A273" s="1502"/>
      <c r="B273" s="1502"/>
      <c r="C273" s="1502"/>
      <c r="D273" s="1502"/>
      <c r="E273" s="1502"/>
      <c r="F273" s="1502"/>
      <c r="G273" s="1685"/>
      <c r="H273" s="1685"/>
      <c r="I273" s="1685"/>
      <c r="J273" s="1686"/>
    </row>
  </sheetData>
  <mergeCells count="77">
    <mergeCell ref="A1:C1"/>
    <mergeCell ref="B75:G75"/>
    <mergeCell ref="B81:G81"/>
    <mergeCell ref="B82:G82"/>
    <mergeCell ref="B3:G3"/>
    <mergeCell ref="B35:G35"/>
    <mergeCell ref="B56:G56"/>
    <mergeCell ref="B67:G67"/>
    <mergeCell ref="B70:G70"/>
    <mergeCell ref="B47:G47"/>
    <mergeCell ref="B41:G41"/>
    <mergeCell ref="B46:G46"/>
    <mergeCell ref="B101:G101"/>
    <mergeCell ref="B73:G73"/>
    <mergeCell ref="B74:G74"/>
    <mergeCell ref="B90:G90"/>
    <mergeCell ref="B96:G96"/>
    <mergeCell ref="B122:G122"/>
    <mergeCell ref="B121:G121"/>
    <mergeCell ref="B61:G61"/>
    <mergeCell ref="B66:G66"/>
    <mergeCell ref="B63:G63"/>
    <mergeCell ref="B64:G64"/>
    <mergeCell ref="B120:G120"/>
    <mergeCell ref="B95:G95"/>
    <mergeCell ref="B100:G100"/>
    <mergeCell ref="B88:G88"/>
    <mergeCell ref="B85:G85"/>
    <mergeCell ref="B112:G112"/>
    <mergeCell ref="B108:G108"/>
    <mergeCell ref="B109:G109"/>
    <mergeCell ref="B102:G102"/>
    <mergeCell ref="B110:G110"/>
    <mergeCell ref="B113:G113"/>
    <mergeCell ref="B115:G115"/>
    <mergeCell ref="B118:G118"/>
    <mergeCell ref="B119:G119"/>
    <mergeCell ref="B116:G116"/>
    <mergeCell ref="B132:G132"/>
    <mergeCell ref="B134:G134"/>
    <mergeCell ref="B136:G136"/>
    <mergeCell ref="B124:G124"/>
    <mergeCell ref="B126:G126"/>
    <mergeCell ref="B128:G128"/>
    <mergeCell ref="B130:G130"/>
    <mergeCell ref="B139:G139"/>
    <mergeCell ref="B138:G138"/>
    <mergeCell ref="B181:G181"/>
    <mergeCell ref="B140:G140"/>
    <mergeCell ref="B154:G154"/>
    <mergeCell ref="B171:G171"/>
    <mergeCell ref="B143:G143"/>
    <mergeCell ref="B145:G145"/>
    <mergeCell ref="B146:G146"/>
    <mergeCell ref="B150:G150"/>
    <mergeCell ref="B155:G155"/>
    <mergeCell ref="B165:G165"/>
    <mergeCell ref="B170:G170"/>
    <mergeCell ref="B156:G156"/>
    <mergeCell ref="B158:G158"/>
    <mergeCell ref="B162:G162"/>
    <mergeCell ref="B203:G203"/>
    <mergeCell ref="B168:G168"/>
    <mergeCell ref="B179:G179"/>
    <mergeCell ref="B185:G185"/>
    <mergeCell ref="B208:G208"/>
    <mergeCell ref="B201:G201"/>
    <mergeCell ref="B197:G197"/>
    <mergeCell ref="B193:G193"/>
    <mergeCell ref="B190:G190"/>
    <mergeCell ref="B202:G202"/>
    <mergeCell ref="B175:G175"/>
    <mergeCell ref="B189:G189"/>
    <mergeCell ref="B192:G192"/>
    <mergeCell ref="B196:G196"/>
    <mergeCell ref="B199:G199"/>
    <mergeCell ref="B183:G183"/>
  </mergeCells>
  <phoneticPr fontId="93" type="noConversion"/>
  <conditionalFormatting sqref="H86:H155 H157:H180">
    <cfRule type="containsText" dxfId="49" priority="12" operator="containsText" text="Ready to Send">
      <formula>NOT(ISERROR(SEARCH("Ready to Send",H86)))</formula>
    </cfRule>
    <cfRule type="containsText" dxfId="48" priority="13" operator="containsText" text="Changes Needed">
      <formula>NOT(ISERROR(SEARCH("Changes Needed",H86)))</formula>
    </cfRule>
    <cfRule type="containsText" dxfId="47" priority="14" operator="containsText" text="Internal Review">
      <formula>NOT(ISERROR(SEARCH("Internal Review",H86)))</formula>
    </cfRule>
    <cfRule type="containsText" dxfId="46" priority="15" operator="containsText" text="In Progress">
      <formula>NOT(ISERROR(SEARCH("In Progress",H86)))</formula>
    </cfRule>
  </conditionalFormatting>
  <conditionalFormatting sqref="H157:H180 H86:H155">
    <cfRule type="containsText" dxfId="45" priority="11" operator="containsText" text="Hold">
      <formula>NOT(ISERROR(SEARCH("Hold",H86)))</formula>
    </cfRule>
  </conditionalFormatting>
  <conditionalFormatting sqref="H160:H208">
    <cfRule type="containsText" dxfId="44" priority="1" operator="containsText" text="Hold">
      <formula>NOT(ISERROR(SEARCH("Hold",H160)))</formula>
    </cfRule>
    <cfRule type="containsText" dxfId="43" priority="2" operator="containsText" text="Ready to Send">
      <formula>NOT(ISERROR(SEARCH("Ready to Send",H160)))</formula>
    </cfRule>
    <cfRule type="containsText" dxfId="42" priority="3" operator="containsText" text="Changes Needed">
      <formula>NOT(ISERROR(SEARCH("Changes Needed",H160)))</formula>
    </cfRule>
    <cfRule type="containsText" dxfId="41" priority="4" operator="containsText" text="Internal Review">
      <formula>NOT(ISERROR(SEARCH("Internal Review",H160)))</formula>
    </cfRule>
    <cfRule type="containsText" dxfId="40" priority="5" operator="containsText" text="In Progress">
      <formula>NOT(ISERROR(SEARCH("In Progress",H160)))</formula>
    </cfRule>
  </conditionalFormatting>
  <dataValidations count="1">
    <dataValidation type="list" allowBlank="1" showInputMessage="1" showErrorMessage="1" sqref="H1:H155 H157:H1048576" xr:uid="{FC633229-E000-4286-9897-0F4D1B99FC8D}">
      <formula1>"In Progress, Internal Review, Changes Needed, Ready to Send, Hold"</formula1>
    </dataValidation>
  </dataValidations>
  <hyperlinks>
    <hyperlink ref="D44" r:id="rId1" xr:uid="{B86BF552-5B16-4F37-9229-13BA588705AE}"/>
    <hyperlink ref="D49" r:id="rId2" xr:uid="{C7F17A2C-24A1-45A7-9F61-F659780695F8}"/>
    <hyperlink ref="D43" r:id="rId3" xr:uid="{EA0B5057-64F2-430A-8FAB-A80047DEE52A}"/>
    <hyperlink ref="D4" r:id="rId4" xr:uid="{D98533EA-33A7-4CC0-B4C4-6F124A2BCD4E}"/>
    <hyperlink ref="I4" r:id="rId5" xr:uid="{5846B649-23EE-4B1D-ACC3-8E4A1A8D5064}"/>
    <hyperlink ref="D5" r:id="rId6" xr:uid="{A5F31F99-95E2-438C-ABCF-CCC92F0BFD4E}"/>
    <hyperlink ref="I8" r:id="rId7" xr:uid="{E546463E-6CBC-4D44-BC7F-922978E8B89F}"/>
    <hyperlink ref="D15" r:id="rId8" xr:uid="{01EC9CB1-154E-4E0D-85EC-8F7B865B0D36}"/>
    <hyperlink ref="D20" r:id="rId9" xr:uid="{5CB75C18-12AD-4A1A-863F-79337C4B61C2}"/>
    <hyperlink ref="D21" r:id="rId10" xr:uid="{962539A9-CFA6-4FC7-A604-9295B77E5E3D}"/>
    <hyperlink ref="I12" r:id="rId11" xr:uid="{C91CA3E0-37F6-4920-98AB-6ECACEB7663C}"/>
    <hyperlink ref="D12" r:id="rId12" xr:uid="{537D832D-75F3-408F-A13D-559CA74EE0A2}"/>
    <hyperlink ref="D13" r:id="rId13" xr:uid="{7630805C-7157-49A8-A56F-36EA4026F546}"/>
    <hyperlink ref="D14" r:id="rId14" xr:uid="{B1F8BD52-90B7-4C6F-B9C6-D22838B40850}"/>
    <hyperlink ref="D16" r:id="rId15" xr:uid="{0CE163C4-B29C-4496-BED2-A979DF1FC88B}"/>
    <hyperlink ref="D18" r:id="rId16" xr:uid="{1F170743-0466-4D85-AF28-2ED254CB8D9F}"/>
    <hyperlink ref="D19" r:id="rId17" xr:uid="{90039222-05AF-488A-8090-6734B99B0C5F}"/>
    <hyperlink ref="D22" r:id="rId18" xr:uid="{508CCD72-6A11-4447-A5A2-F831BA489B52}"/>
    <hyperlink ref="D23" r:id="rId19" xr:uid="{E8C97AE5-0573-420C-8E5C-109D0DCE4232}"/>
    <hyperlink ref="D29" r:id="rId20" xr:uid="{204314C1-95B8-4AFD-BCF2-88CF303BF459}"/>
    <hyperlink ref="D30" r:id="rId21" xr:uid="{50695889-D336-440D-98AD-D39C7102D757}"/>
    <hyperlink ref="D28" r:id="rId22" xr:uid="{A9F4B874-5F99-47A2-A210-A1FA0FAB357D}"/>
    <hyperlink ref="D32" r:id="rId23" xr:uid="{B8E8A917-0C26-4180-9ED6-525826C9551D}"/>
    <hyperlink ref="D33" r:id="rId24" xr:uid="{9961EF38-B4AB-441A-AFDA-09B3FAA70676}"/>
    <hyperlink ref="D31" r:id="rId25" xr:uid="{2D02453E-F3EC-40EA-89F0-EAEFEE979371}"/>
    <hyperlink ref="D26" r:id="rId26" xr:uid="{CADD679A-3667-4E5A-8B42-6A2B668A0BE8}"/>
    <hyperlink ref="D17" r:id="rId27" xr:uid="{6B435FB5-2F74-4EE0-A32C-CB673B2DF1B7}"/>
    <hyperlink ref="D34" r:id="rId28" xr:uid="{32F31532-8222-49A7-9491-B03CD813C944}"/>
    <hyperlink ref="D36" r:id="rId29" xr:uid="{279FD3A4-AB95-403D-BBD5-D12D7F34F1D7}"/>
    <hyperlink ref="D25" r:id="rId30" xr:uid="{6AA37157-7767-4B2A-B72B-78E5471EA242}"/>
    <hyperlink ref="I25" r:id="rId31" xr:uid="{26C011D7-763A-4A68-AFF2-1ED8DE16F0BA}"/>
    <hyperlink ref="D38" r:id="rId32" xr:uid="{E54A504E-235D-4F6A-9DCD-EF1BEA809370}"/>
    <hyperlink ref="D39" r:id="rId33" xr:uid="{95612F39-B94E-4CC6-879B-30D06E9838A8}"/>
    <hyperlink ref="D37" r:id="rId34" xr:uid="{53D4F66C-6F56-4756-9447-1843DB06A7CE}"/>
    <hyperlink ref="D40" r:id="rId35" xr:uid="{0DA72CCB-BA60-4B4A-9795-D42B4ED445F7}"/>
    <hyperlink ref="D48" r:id="rId36" xr:uid="{7344F6FF-ACB3-4CC2-83EA-545911ABC532}"/>
    <hyperlink ref="D42" r:id="rId37" xr:uid="{91BE5F84-5EA7-426F-9D07-FF868E98F6F6}"/>
    <hyperlink ref="D53" r:id="rId38" xr:uid="{FEA1D4C8-D91B-41F2-9698-44783926690B}"/>
    <hyperlink ref="D54" r:id="rId39" xr:uid="{7C1AC973-0E7C-47D0-A309-85D814F1F335}"/>
    <hyperlink ref="D45" r:id="rId40" xr:uid="{047E106E-B611-439B-993A-8450228067E7}"/>
    <hyperlink ref="D51" r:id="rId41" xr:uid="{67AA8BB0-0135-4C07-921E-5DA3B9963037}"/>
    <hyperlink ref="D59" r:id="rId42" xr:uid="{3F1E1532-8801-4C02-A553-F22AC269880C}"/>
    <hyperlink ref="D58" r:id="rId43" xr:uid="{9C59C47F-7A2C-4C61-8BB5-E8AE1221058F}"/>
    <hyperlink ref="D62" r:id="rId44" xr:uid="{90369C45-254A-4172-B8C4-3BD7AD51B2BB}"/>
    <hyperlink ref="D65" r:id="rId45" xr:uid="{6214B7D2-EEB7-4537-8EDE-D922D8D0A334}"/>
    <hyperlink ref="D50" r:id="rId46" display="AHE@smithbucklin.com" xr:uid="{1E00967C-FF4A-4ABB-8868-0C00C463ED07}"/>
    <hyperlink ref="D50" r:id="rId47" xr:uid="{BD9776A7-5E06-49D2-956C-066839BAD43C}"/>
    <hyperlink ref="D55" r:id="rId48" xr:uid="{BF6A808B-6AE2-46E7-B673-BEEA98C08949}"/>
    <hyperlink ref="D68:D69" r:id="rId49" display="nschuette@smithbucklin.com" xr:uid="{7E1E6346-3528-4B8F-A2D7-D605991D849E}"/>
    <hyperlink ref="D71:D72" r:id="rId50" display="nschuette@smithbucklin.com" xr:uid="{D5E95B65-46A9-4843-9C62-A15BA0D0306D}"/>
    <hyperlink ref="I65" r:id="rId51" xr:uid="{92A61E84-CBCD-497B-B8B7-09B93C31D87A}"/>
    <hyperlink ref="F76" r:id="rId52" xr:uid="{4E4A9316-97FC-4CE2-9FA3-FFC379F2437B}"/>
    <hyperlink ref="I68" r:id="rId53" xr:uid="{3E9E26FB-F843-4C59-8303-D2474612AA04}"/>
    <hyperlink ref="I69" r:id="rId54" xr:uid="{634C6C0B-0A97-41F5-B1C4-40B6C3A1DD95}"/>
    <hyperlink ref="I72" r:id="rId55" xr:uid="{EDB4BAA7-0201-4093-8F22-F065A3080720}"/>
    <hyperlink ref="I71" r:id="rId56" xr:uid="{194EDE72-6793-4A4B-A344-FE96FA06EC0E}"/>
    <hyperlink ref="D76" r:id="rId57" xr:uid="{35CDAFB8-E60C-427C-B1FA-B0488F126783}"/>
    <hyperlink ref="D78" r:id="rId58" xr:uid="{AB9E3DAD-6775-4947-8852-EC719456762D}"/>
    <hyperlink ref="D80" r:id="rId59" xr:uid="{EEDB36F9-B84C-4119-8182-0C646EB384BA}"/>
    <hyperlink ref="D79" r:id="rId60" xr:uid="{3A2B2641-CF86-4E80-8DA3-B3B50363849F}"/>
    <hyperlink ref="I76" r:id="rId61" xr:uid="{52DDE77D-99E8-405E-AF4A-1DC0C5DD4F62}"/>
    <hyperlink ref="F78" r:id="rId62" xr:uid="{8F173A33-FF9E-42E0-A578-0BC093A3AD35}"/>
    <hyperlink ref="D77" r:id="rId63" xr:uid="{8520D04B-D534-49D3-9751-DF0DCEF21C79}"/>
    <hyperlink ref="I77" r:id="rId64" xr:uid="{DD33B3ED-9EBC-49AA-81EF-5470A3EFC14E}"/>
    <hyperlink ref="I78" r:id="rId65" xr:uid="{B6D9FA2D-5A46-4470-9BA2-6C4561CBA8ED}"/>
    <hyperlink ref="I79" r:id="rId66" xr:uid="{8F76EEF2-A7CE-4F2F-8D5B-77F0EBC92B69}"/>
    <hyperlink ref="I80" r:id="rId67" xr:uid="{B8810AB5-167C-403C-ABB2-50034CC3D9E3}"/>
    <hyperlink ref="D83" r:id="rId68" xr:uid="{03E36990-C3F9-48FF-8D67-E97424C1B248}"/>
    <hyperlink ref="I83" r:id="rId69" xr:uid="{757B3E1A-2C12-4C59-BA2F-F145C5CDB9D1}"/>
    <hyperlink ref="D84" r:id="rId70" xr:uid="{B232C242-BE61-4A74-9119-1E069D6F9FC3}"/>
    <hyperlink ref="D86" r:id="rId71" xr:uid="{DC768D60-8BEA-4969-B05D-69012BC0347F}"/>
    <hyperlink ref="D87" r:id="rId72" xr:uid="{160DF6C5-DBB3-4F58-A8DF-DF17941D5E74}"/>
    <hyperlink ref="D89" r:id="rId73" xr:uid="{3A4B439E-44D2-49E5-9342-487470E5EEEA}"/>
    <hyperlink ref="D91" r:id="rId74" xr:uid="{E484EF16-381E-4E35-86F7-8F0F21A925D9}"/>
    <hyperlink ref="D92" r:id="rId75" xr:uid="{B4640E20-97BB-45A0-A73F-A91D68D882C1}"/>
    <hyperlink ref="D93" r:id="rId76" xr:uid="{0A3F953E-B167-4859-86C3-CCEB9A424702}"/>
    <hyperlink ref="D94" r:id="rId77" xr:uid="{C2D4436A-4A56-4C6D-83F1-25B4ABFA2FBC}"/>
    <hyperlink ref="D98" r:id="rId78" xr:uid="{91A14D83-FA05-4AB3-83E8-F254E797E9E8}"/>
    <hyperlink ref="F91" r:id="rId79" xr:uid="{DADBFBC6-CCC1-4DB6-9C96-28363A484C60}"/>
    <hyperlink ref="I84" r:id="rId80" xr:uid="{AAF9F394-417D-4E66-9A54-C40548FCB167}"/>
    <hyperlink ref="G86" r:id="rId81" location=":~:text=Venue%20Branding,-Reserve%20your%20sponsorship" display="https://www.ahemediakit.org/ahe-exchange/sponsorship-opportunities/ - :~:text=Venue%20Branding,-Reserve%20your%20sponsorship" xr:uid="{2130D23A-0050-4242-AA45-EC15379213AE}"/>
    <hyperlink ref="I86" r:id="rId82" xr:uid="{606E670E-1444-4539-9D59-1DA9E1E02E3D}"/>
    <hyperlink ref="I87" r:id="rId83" xr:uid="{82E8C4EA-7115-4425-A7A0-9963AE654458}"/>
    <hyperlink ref="I89" r:id="rId84" xr:uid="{3C87E78C-A9B1-4026-82B8-68C2ACBD33DD}"/>
    <hyperlink ref="D97" r:id="rId85" display="mailto:nschuette@smithbucklin.com" xr:uid="{F157CC7D-D38D-4E3C-B834-62C164CF6029}"/>
    <hyperlink ref="I90" r:id="rId86" xr:uid="{35E08FD6-A767-42E0-8F38-707148F44213}"/>
    <hyperlink ref="I91" r:id="rId87" xr:uid="{02E819EF-C6C9-46E5-9295-4C6985126C35}"/>
    <hyperlink ref="D105" r:id="rId88" display="mailto:nschuette@smithbucklin.com" xr:uid="{B57A534B-668C-4101-87BD-D3DB2C16240A}"/>
    <hyperlink ref="I92" r:id="rId89" xr:uid="{3BC64A2A-1AEB-4572-AFAD-68DB7B638820}"/>
    <hyperlink ref="G97" r:id="rId90" xr:uid="{D099AA68-9CC0-4469-87A0-01CA6607272E}"/>
    <hyperlink ref="I93" r:id="rId91" xr:uid="{C0D6FCAB-FB87-43A9-BDB2-4F307831DD16}"/>
    <hyperlink ref="F99" r:id="rId92" xr:uid="{B498E72D-3F71-40F0-9831-194C5472E86C}"/>
    <hyperlink ref="D99" r:id="rId93" display="mailto:nschuette@smithbucklin.com" xr:uid="{CC6F123B-A111-4021-B7E3-17780A6EEDE5}"/>
    <hyperlink ref="D107" r:id="rId94" xr:uid="{E0A05A98-6426-4811-BF5B-53DE69ECC975}"/>
    <hyperlink ref="G107" r:id="rId95" xr:uid="{78B7BF38-7A58-4DEE-83E7-1EF42EBE1BC9}"/>
    <hyperlink ref="I94" r:id="rId96" xr:uid="{F8965E4C-5C9F-4A42-81CB-6E7EA53B11C0}"/>
    <hyperlink ref="I96" r:id="rId97" xr:uid="{251B298C-4FC2-4995-AF26-BFCCE52D7369}"/>
    <hyperlink ref="I97" r:id="rId98" xr:uid="{227C84C6-F70D-490E-B4E6-5FCD756B0189}"/>
    <hyperlink ref="G99" r:id="rId99" xr:uid="{90BB5587-775F-40DB-BFB2-F8EDA8158A72}"/>
    <hyperlink ref="I98" r:id="rId100" xr:uid="{0C79402C-46A2-4869-8B47-F41AB620477B}"/>
    <hyperlink ref="I99" r:id="rId101" xr:uid="{43380C08-CC6C-4F28-A2F3-90BA602FA2AB}"/>
    <hyperlink ref="I102" r:id="rId102" xr:uid="{CED3577E-5D20-444B-ADA5-249FA4C05257}"/>
    <hyperlink ref="I105" r:id="rId103" xr:uid="{7A6DFAEC-76B2-4388-916E-05503FE2BF13}"/>
    <hyperlink ref="D103" r:id="rId104" display="mailto:nschuette@smithbucklin.com" xr:uid="{FCE7C018-69DD-4146-A934-204605CA9E66}"/>
    <hyperlink ref="D104" r:id="rId105" xr:uid="{909EEC36-6262-40A1-AFF3-940C15C06932}"/>
    <hyperlink ref="D106" r:id="rId106" xr:uid="{FC5FE086-0FEA-4A79-8955-DC66F6923820}"/>
    <hyperlink ref="I103" r:id="rId107" xr:uid="{2E974EED-53B3-47C7-82D1-3655CDDC1AAB}"/>
    <hyperlink ref="I104" r:id="rId108" xr:uid="{3DB42CA6-779E-473A-8046-5A800F2CCDEF}"/>
    <hyperlink ref="I107" r:id="rId109" xr:uid="{5A4CA84F-6052-4D7D-8FE7-76DFF60583B8}"/>
    <hyperlink ref="I106" r:id="rId110" xr:uid="{D10D5642-DDFF-4708-BE23-CD346CC6E1DF}"/>
    <hyperlink ref="D111" r:id="rId111" xr:uid="{D7A1771F-BF67-4307-BAD1-1ED7C3239F5B}"/>
    <hyperlink ref="I111" r:id="rId112" xr:uid="{AD98AB7A-BCBB-4297-AD94-E120F1D41890}"/>
    <hyperlink ref="I110" r:id="rId113" xr:uid="{D8C542D9-8A25-4BD7-A8E8-016637486811}"/>
    <hyperlink ref="D114" r:id="rId114" xr:uid="{4545B01B-8572-46D0-9FCD-3C4BE386EBC4}"/>
    <hyperlink ref="D127:D141" r:id="rId115" display="mailto:kmcdonnell@smithbucklin.com" xr:uid="{249EA502-1CF4-4B85-920A-CA74886DE3B9}"/>
    <hyperlink ref="D130" r:id="rId116" display="mailto:kmcdonnell@smithbucklin.com" xr:uid="{BBBAC58F-082A-496D-84D1-12240FA2E3EC}"/>
    <hyperlink ref="D132" r:id="rId117" display="mailto:kmcdonnell@smithbucklin.com" xr:uid="{A322D6F4-379B-430A-AE72-90F1E66881E0}"/>
    <hyperlink ref="D134" r:id="rId118" display="mailto:kmcdonnell@smithbucklin.com" xr:uid="{9DF8C142-972F-44B5-9928-6DC9994CF25B}"/>
    <hyperlink ref="D136" r:id="rId119" display="mailto:kmcdonnell@smithbucklin.com" xr:uid="{680DC853-06AF-4112-B97D-6B499E3034C2}"/>
    <hyperlink ref="D138" r:id="rId120" display="mailto:kmcdonnell@smithbucklin.com" xr:uid="{94112A0A-63E3-44F6-AA5E-E58FAC9BCB6C}"/>
    <hyperlink ref="D125" r:id="rId121" display="mailto:kmcdonnell@smithbucklin.com" xr:uid="{47C6C5F0-8564-44D4-9E70-E38F67B4D892}"/>
    <hyperlink ref="D123" r:id="rId122" display="mailto:kmcdonnell@smithbucklin.com" xr:uid="{E6378745-71FF-4B67-B896-AB96EF251FF7}"/>
    <hyperlink ref="D117" r:id="rId123" display="mailto:kmcdonnell@smithbucklin.com" xr:uid="{FF8C7937-6CFB-4F8F-8795-C1E113E14866}"/>
    <hyperlink ref="I114" r:id="rId124" xr:uid="{8BC84C4F-C34A-444E-AE60-9050C2DFEEE6}"/>
    <hyperlink ref="I117" r:id="rId125" xr:uid="{302CA56F-8C13-46EF-8C32-132EDC728C31}"/>
    <hyperlink ref="I118" r:id="rId126" xr:uid="{BB39CCF4-46FA-47F2-B72E-1756D789A2A8}"/>
    <hyperlink ref="I119" r:id="rId127" xr:uid="{25AED48B-5D9F-4525-B9E1-4E579E0F9A1D}"/>
    <hyperlink ref="I122" r:id="rId128" xr:uid="{880765F6-458F-4BCE-BE28-5ABE8EBCC61C}"/>
    <hyperlink ref="I123" r:id="rId129" xr:uid="{E170DA11-57AF-4C18-815E-BDABE3492FDB}"/>
    <hyperlink ref="I124" r:id="rId130" xr:uid="{6CD35719-787E-4C02-AD2E-B3BBE0E77539}"/>
    <hyperlink ref="I125" r:id="rId131" xr:uid="{8D16699E-9128-41B8-AB2E-2322F389906C}"/>
    <hyperlink ref="I129" r:id="rId132" xr:uid="{4D88A397-23D6-425A-AEA0-545CD853C9BE}"/>
    <hyperlink ref="I127" r:id="rId133" xr:uid="{E29FDE6D-C23E-4CC1-87B4-9262E90C4A89}"/>
    <hyperlink ref="I131" r:id="rId134" xr:uid="{C9AFC8CE-2ADA-40E4-8D83-B6229B6D3E48}"/>
    <hyperlink ref="I133" r:id="rId135" xr:uid="{F0B967CD-E7E0-4A7C-B001-1C3649EAC17B}"/>
    <hyperlink ref="I135" r:id="rId136" xr:uid="{D6A090BE-8FAA-4364-A34A-BBA4154A0E2B}"/>
    <hyperlink ref="D142" r:id="rId137" display="mailto:kmcdonnell@smithbucklin.com" xr:uid="{281E9976-B215-4D0E-B242-016034DDC843}"/>
    <hyperlink ref="D153:D154" r:id="rId138" display="mailto:kmcdonnell@smithbucklin.com" xr:uid="{9D6BE53D-3884-4950-B503-80E5F2820EDA}"/>
    <hyperlink ref="D151" r:id="rId139" display="mailto:kmcdonnell@smithbucklin.com" xr:uid="{AFD2FBEE-F3FA-49C4-8E87-1FFD6065A93A}"/>
    <hyperlink ref="D139" r:id="rId140" display="mailto:kmcdonnell@smithbucklin.com" xr:uid="{8D9A5F51-A418-44C2-8214-32437B00AB16}"/>
    <hyperlink ref="I137" r:id="rId141" xr:uid="{405CEF7F-1A28-45E1-8681-0D700FFE0BD3}"/>
    <hyperlink ref="D140" r:id="rId142" display="mailto:kmcdonnell@smithbucklin.com" xr:uid="{E4E15AC6-7B5B-47FD-BEA1-82008498A5C7}"/>
    <hyperlink ref="I141" r:id="rId143" xr:uid="{9D0317DD-2B73-47CD-99FE-0F5EB2385340}"/>
    <hyperlink ref="I142" r:id="rId144" xr:uid="{B73BBFD2-C13F-4771-95D9-D6C9CEED6BAE}"/>
    <hyperlink ref="D144" r:id="rId145" xr:uid="{C97E0533-3D4B-448E-B57D-A0AF4E1CD157}"/>
    <hyperlink ref="I144" r:id="rId146" xr:uid="{388BFCD4-A5CB-4407-A6FC-CA0198F52085}"/>
    <hyperlink ref="D147" r:id="rId147" display="mailto:kmcdonnell@smithbucklin.com" xr:uid="{5CA8DE5E-B47A-464C-84C1-428FCFE5D5F5}"/>
    <hyperlink ref="D152" r:id="rId148" display="mailto:kmcdonnell@smithbucklin.com" xr:uid="{B11C995B-9A8E-4769-A7A6-6224C81D2202}"/>
    <hyperlink ref="D148" r:id="rId149" display="mailto:kmcdonnell@smithbucklin.com" xr:uid="{961F0D74-AEB4-4066-B98E-45DA7DA981C1}"/>
    <hyperlink ref="I147" r:id="rId150" xr:uid="{F30ADAB3-E972-4EA3-943E-C651ED23FF16}"/>
    <hyperlink ref="D149" r:id="rId151" display="mailto:kmcdonnell@smithbucklin.com" xr:uid="{9382A67A-8983-46AA-B5CC-40428BBE334D}"/>
    <hyperlink ref="I148" r:id="rId152" xr:uid="{32624F11-28D5-457D-8E4E-E4977262EB21}"/>
    <hyperlink ref="I149" r:id="rId153" xr:uid="{C307B280-C2AD-474D-B5AF-A8469176B9E9}"/>
    <hyperlink ref="I151" r:id="rId154" xr:uid="{30C8B470-1EE9-47BF-B68D-E39AB5DEBEE4}"/>
    <hyperlink ref="I153" r:id="rId155" xr:uid="{0A4A27B1-10D7-4E7B-A347-0A54C1B001F8}"/>
    <hyperlink ref="D157" r:id="rId156" display="mailto:kmcdonnell@smithbucklin.com" xr:uid="{F5174148-6C24-449E-9D3B-FAB9F37D2123}"/>
    <hyperlink ref="D166" r:id="rId157" display="mailto:kmcdonnell@smithbucklin.com" xr:uid="{BC9D14A7-6E55-4192-A72C-0610FDC23C30}"/>
    <hyperlink ref="D159:D164" r:id="rId158" display="mailto:kmcdonnell@smithbucklin.com" xr:uid="{876F721D-1F91-4CC0-8D81-02CD576E5862}"/>
    <hyperlink ref="D167:D169" r:id="rId159" display="mailto:kmcdonnell@smithbucklin.com" xr:uid="{9B79B8B1-A75D-43D5-B5D1-63A0E7B00CD6}"/>
    <hyperlink ref="I157" r:id="rId160" xr:uid="{E76D1339-F8EB-42C2-879C-B4EFEDF26BC0}"/>
    <hyperlink ref="I159" r:id="rId161" xr:uid="{D00E40BC-D836-4E86-A581-4544E197A64C}"/>
    <hyperlink ref="D160" r:id="rId162" display="mailto:kmcdonnell@smithbucklin.com" xr:uid="{E3569DE7-97D1-4A99-8038-5C082F6DD3EE}"/>
    <hyperlink ref="I161" r:id="rId163" xr:uid="{F1F3A0DA-0B23-4890-8A19-2BFD2B16507C}"/>
    <hyperlink ref="I160" r:id="rId164" xr:uid="{874C5564-B4FD-4A68-9096-1F96F845EFD2}"/>
    <hyperlink ref="I164" r:id="rId165" xr:uid="{A685C010-8729-4972-8530-0CC75B1B6E18}"/>
    <hyperlink ref="I163" r:id="rId166" xr:uid="{E5A70D75-5518-43C1-9D24-7FD6B06A2380}"/>
    <hyperlink ref="D163" r:id="rId167" xr:uid="{287BCA26-5684-4E6F-AB65-28CB7370D511}"/>
    <hyperlink ref="I166" r:id="rId168" xr:uid="{A610C658-C8EA-4EA8-AB41-0D155B842F77}"/>
    <hyperlink ref="I167" r:id="rId169" xr:uid="{6915C5FF-ACA0-4DFF-81CD-61FB62567DB4}"/>
    <hyperlink ref="I169" r:id="rId170" xr:uid="{58080CB5-B60A-41E5-97D9-7C82A73A981D}"/>
    <hyperlink ref="D172" r:id="rId171" xr:uid="{65D5FD24-36DB-4219-98F0-0741E877A4BC}"/>
    <hyperlink ref="F172" r:id="rId172" location=":~:text=NEW!%20Exchange26%20Showcase%20Pavilion" xr:uid="{FFECF4B1-B316-4D60-A72F-C958E9032F94}"/>
    <hyperlink ref="D178:D180" r:id="rId173" display="kmcdonnell@smithbucklin.com" xr:uid="{E1A1D237-29E6-41A3-955E-E5A06E0C0A1C}"/>
    <hyperlink ref="D184" r:id="rId174" xr:uid="{2B98D2EB-2BB7-4B2C-BD7D-5A78B1EA9B1A}"/>
    <hyperlink ref="F174" r:id="rId175" xr:uid="{350ECC85-7BA9-4C44-ADBD-601764FE5A4F}"/>
    <hyperlink ref="I171" r:id="rId176" xr:uid="{DA35597B-A8CA-4240-B65C-063671DAE50B}"/>
    <hyperlink ref="D179" r:id="rId177" display="mailto:kmcdonnell@smithbucklin.com" xr:uid="{A6EF39E9-95FD-4E72-A2BB-F2C1A0D3174B}"/>
    <hyperlink ref="D173" r:id="rId178" xr:uid="{7E7DFDD7-A7C9-423D-B785-76B69E5ADBFC}"/>
    <hyperlink ref="F173" r:id="rId179" xr:uid="{B69991FF-F3E3-458F-AFA2-576A1C47A7E9}"/>
    <hyperlink ref="F180" r:id="rId180" xr:uid="{D9BC6BAE-2BBF-4686-BE69-78D18E766C23}"/>
    <hyperlink ref="I172" r:id="rId181" xr:uid="{9C79E81E-1AD3-478D-86BE-B283E9364DD1}"/>
    <hyperlink ref="I173" r:id="rId182" xr:uid="{505C2B99-4870-4E4F-97DC-C22AE4542903}"/>
    <hyperlink ref="F177" r:id="rId183" xr:uid="{02A1EE05-013E-4964-B4E3-0BBA8B62F86C}"/>
    <hyperlink ref="I174" r:id="rId184" xr:uid="{2A3B4C20-0C3E-44B4-BBB5-1255C9A33CAF}"/>
    <hyperlink ref="F176" r:id="rId185" location=":~:text=Attendee%20Conference%20Bag%20Insert" xr:uid="{DAE20AEB-11A9-48F8-A476-4AD54DEC7EBF}"/>
    <hyperlink ref="G176" r:id="rId186" location=":~:text=Attendee%20Conference%20Bags%20and%20Lanyards" xr:uid="{431B53A1-393C-4343-B865-9F1E5DEC3744}"/>
    <hyperlink ref="F178" r:id="rId187" location=":~:text=NEW!%20Exchange26%20Showcase%20Pavilion" xr:uid="{141C39F8-8C23-475D-B75F-CAD426076DD7}"/>
    <hyperlink ref="I175" r:id="rId188" xr:uid="{324919E0-7DC7-4537-B1F2-0AF09B1B51A2}"/>
    <hyperlink ref="I176" r:id="rId189" xr:uid="{E9376A19-51B7-4F80-B33C-A823E847E6AE}"/>
    <hyperlink ref="I177" r:id="rId190" xr:uid="{396230BA-4B27-4B16-958F-C1382E5A68C5}"/>
    <hyperlink ref="I178" r:id="rId191" xr:uid="{15C74832-1159-48E2-B458-4D0AEE20A7A4}"/>
    <hyperlink ref="I180" r:id="rId192" xr:uid="{4ACB7EA8-C3C7-41B7-9598-3C6C10AE677C}"/>
    <hyperlink ref="D182" r:id="rId193" xr:uid="{814D7AF5-04AD-47E4-9CBB-0234D8A1902D}"/>
    <hyperlink ref="I182" r:id="rId194" xr:uid="{E0DA7C3A-F71A-4141-9A1A-46598EFA8772}"/>
    <hyperlink ref="I181" r:id="rId195" xr:uid="{30651CD8-BF55-4DF0-85EA-E130D56B13A3}"/>
    <hyperlink ref="D186" r:id="rId196" xr:uid="{B572A56A-D6CD-496A-8FC4-C02B892B4886}"/>
    <hyperlink ref="D187" r:id="rId197" xr:uid="{D04A6649-1DB0-4A09-96B3-4A5D5072CD32}"/>
    <hyperlink ref="D188" r:id="rId198" xr:uid="{EB83861B-CDBB-40C6-BBB5-90033035DFF0}"/>
    <hyperlink ref="D191" r:id="rId199" xr:uid="{9F2ED3D2-ED61-4F03-BCBA-F5776F956C4A}"/>
    <hyperlink ref="D194" r:id="rId200" xr:uid="{BF702027-9002-44D8-A599-41CB92D0E6C0}"/>
    <hyperlink ref="D195" r:id="rId201" xr:uid="{FE9E406C-EC51-4CB2-9075-23733655F418}"/>
    <hyperlink ref="D198" r:id="rId202" xr:uid="{D189168F-4F72-46A5-B1ED-DF676FA39AE9}"/>
    <hyperlink ref="D200" r:id="rId203" xr:uid="{08535116-56F5-47AD-B082-24053FC44CE6}"/>
    <hyperlink ref="D207" r:id="rId204" xr:uid="{3B1BC925-905B-4E2D-8E7E-7E684C81430D}"/>
    <hyperlink ref="D206" r:id="rId205" xr:uid="{5C102C09-180F-4140-A891-2F5C023DEA40}"/>
    <hyperlink ref="D205" r:id="rId206" xr:uid="{0695356C-578E-4742-8FF8-7C66C71C5EC8}"/>
    <hyperlink ref="D204" r:id="rId207" xr:uid="{DFBB14CF-2180-4809-B2D5-5FC048660E2F}"/>
    <hyperlink ref="D183" r:id="rId208" display="mailto:kmcdonnell@smithbucklin.com" xr:uid="{754A59E2-C4A0-414B-8DC1-9BA81E3DE6E6}"/>
  </hyperlinks>
  <pageMargins left="0.7" right="0.7" top="0.75" bottom="0.75" header="0.3" footer="0.3"/>
  <pageSetup orientation="portrait" r:id="rId209"/>
  <drawing r:id="rId210"/>
  <legacyDrawing r:id="rId2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03B1-3D68-4564-9A0A-A4A20D9903FE}">
  <sheetPr>
    <tabColor rgb="FF69B3E7"/>
  </sheetPr>
  <dimension ref="A1:P219"/>
  <sheetViews>
    <sheetView zoomScale="53" zoomScaleNormal="53" workbookViewId="0">
      <pane ySplit="2" topLeftCell="A196" activePane="bottomLeft" state="frozen"/>
      <selection pane="bottomLeft" activeCell="B201" sqref="B201:G201"/>
    </sheetView>
  </sheetViews>
  <sheetFormatPr defaultColWidth="8.81640625" defaultRowHeight="21" x14ac:dyDescent="0.5"/>
  <cols>
    <col min="1" max="1" width="40" style="1502" customWidth="1"/>
    <col min="2" max="2" width="40.81640625" style="1502" bestFit="1" customWidth="1"/>
    <col min="3" max="3" width="37.26953125" style="1502" customWidth="1"/>
    <col min="4" max="4" width="43.453125" style="1502" bestFit="1" customWidth="1"/>
    <col min="5" max="5" width="149.7265625" style="1502" bestFit="1" customWidth="1"/>
    <col min="6" max="6" width="64.26953125" style="1502" customWidth="1"/>
    <col min="7" max="7" width="40.453125" style="1502" customWidth="1"/>
    <col min="8" max="8" width="29.26953125" style="1502" customWidth="1"/>
    <col min="9" max="9" width="24.54296875" style="1583" customWidth="1"/>
    <col min="10" max="11" width="21" style="1584" customWidth="1"/>
    <col min="12" max="12" width="26.7265625" style="1584" customWidth="1"/>
    <col min="13" max="13" width="16" style="1584" customWidth="1"/>
    <col min="14" max="14" width="15.26953125" style="1585" customWidth="1"/>
    <col min="15" max="15" width="15.7265625" style="1502" customWidth="1"/>
    <col min="16" max="16" width="14.81640625" style="1502" customWidth="1"/>
    <col min="17" max="16384" width="8.81640625" style="1502"/>
  </cols>
  <sheetData>
    <row r="1" spans="1:16" s="1413" customFormat="1" ht="82.5" customHeight="1" x14ac:dyDescent="0.35">
      <c r="A1" s="2104"/>
      <c r="B1" s="2104"/>
      <c r="C1" s="1252" t="s">
        <v>723</v>
      </c>
      <c r="D1" s="1407">
        <f>AVERAGE(M97:M209)</f>
        <v>0.27677162162162161</v>
      </c>
      <c r="E1" s="1194" t="s">
        <v>724</v>
      </c>
      <c r="F1" s="1408">
        <f>AVERAGE(N97:N209)</f>
        <v>3.9102702702702705E-2</v>
      </c>
      <c r="G1" s="1409"/>
      <c r="H1" s="1409"/>
      <c r="I1" s="1410"/>
      <c r="J1" s="1410"/>
      <c r="K1" s="1410"/>
      <c r="L1" s="1410"/>
      <c r="M1" s="1410"/>
      <c r="N1" s="1411"/>
      <c r="O1" s="1410"/>
      <c r="P1" s="1412"/>
    </row>
    <row r="2" spans="1:16" s="1413" customFormat="1" ht="50.25" customHeight="1" x14ac:dyDescent="0.35">
      <c r="A2" s="1414" t="s">
        <v>1</v>
      </c>
      <c r="B2" s="1414" t="s">
        <v>431</v>
      </c>
      <c r="C2" s="1415" t="s">
        <v>3</v>
      </c>
      <c r="D2" s="1415" t="s">
        <v>4</v>
      </c>
      <c r="E2" s="1415" t="s">
        <v>5</v>
      </c>
      <c r="F2" s="1415" t="s">
        <v>6</v>
      </c>
      <c r="G2" s="1415" t="s">
        <v>7</v>
      </c>
      <c r="H2" s="1415" t="s">
        <v>726</v>
      </c>
      <c r="I2" s="1415" t="s">
        <v>727</v>
      </c>
      <c r="J2" s="1415" t="s">
        <v>2009</v>
      </c>
      <c r="K2" s="1415" t="s">
        <v>728</v>
      </c>
      <c r="L2" s="1415" t="s">
        <v>1573</v>
      </c>
      <c r="M2" s="1415" t="s">
        <v>433</v>
      </c>
      <c r="N2" s="1416" t="s">
        <v>729</v>
      </c>
      <c r="O2" s="1415" t="s">
        <v>653</v>
      </c>
      <c r="P2" s="1417" t="s">
        <v>655</v>
      </c>
    </row>
    <row r="3" spans="1:16" s="1425" customFormat="1" ht="43.9" hidden="1" customHeight="1" x14ac:dyDescent="0.35">
      <c r="A3" s="1418" t="s">
        <v>730</v>
      </c>
      <c r="B3" s="1419" t="s">
        <v>658</v>
      </c>
      <c r="C3" s="1419"/>
      <c r="D3" s="1419"/>
      <c r="E3" s="1419"/>
      <c r="F3" s="1419"/>
      <c r="G3" s="1419"/>
      <c r="H3" s="1419"/>
      <c r="I3" s="1420"/>
      <c r="J3" s="1421"/>
      <c r="K3" s="1421"/>
      <c r="L3" s="1422"/>
      <c r="M3" s="1422"/>
      <c r="N3" s="1423"/>
      <c r="O3" s="1422"/>
      <c r="P3" s="1424"/>
    </row>
    <row r="4" spans="1:16" s="1433" customFormat="1" ht="45.75" hidden="1" customHeight="1" x14ac:dyDescent="0.35">
      <c r="A4" s="1426" t="s">
        <v>739</v>
      </c>
      <c r="B4" s="1426">
        <v>45300</v>
      </c>
      <c r="C4" s="1427" t="s">
        <v>86</v>
      </c>
      <c r="D4" s="1428" t="s">
        <v>741</v>
      </c>
      <c r="E4" s="1427" t="s">
        <v>2501</v>
      </c>
      <c r="F4" s="1427"/>
      <c r="G4" s="1427" t="s">
        <v>2502</v>
      </c>
      <c r="H4" s="1427"/>
      <c r="I4" s="1429" t="s">
        <v>2503</v>
      </c>
      <c r="J4" s="1430" t="s">
        <v>2504</v>
      </c>
      <c r="K4" s="1430">
        <v>162</v>
      </c>
      <c r="L4" s="1430">
        <v>2003</v>
      </c>
      <c r="M4" s="1430">
        <v>782</v>
      </c>
      <c r="N4" s="1431" t="e">
        <f>#REF!/L4</f>
        <v>#REF!</v>
      </c>
      <c r="O4" s="1430">
        <v>5</v>
      </c>
      <c r="P4" s="1432">
        <v>49</v>
      </c>
    </row>
    <row r="5" spans="1:16" s="1425" customFormat="1" ht="43.9" hidden="1" customHeight="1" x14ac:dyDescent="0.35">
      <c r="A5" s="1434" t="s">
        <v>747</v>
      </c>
      <c r="B5" s="1434">
        <v>45308</v>
      </c>
      <c r="C5" s="1434" t="s">
        <v>32</v>
      </c>
      <c r="D5" s="1428" t="s">
        <v>783</v>
      </c>
      <c r="E5" s="1435" t="s">
        <v>2505</v>
      </c>
      <c r="F5" s="1435" t="s">
        <v>2506</v>
      </c>
      <c r="G5" s="1435" t="s">
        <v>2507</v>
      </c>
      <c r="H5" s="1435"/>
      <c r="I5" s="1429" t="s">
        <v>2508</v>
      </c>
      <c r="J5" s="1436" t="s">
        <v>2509</v>
      </c>
      <c r="K5" s="1436">
        <v>63</v>
      </c>
      <c r="L5" s="1437">
        <v>609</v>
      </c>
      <c r="M5" s="1437">
        <v>122</v>
      </c>
      <c r="N5" s="1438" t="e">
        <f>#REF!/L5</f>
        <v>#REF!</v>
      </c>
      <c r="O5" s="1437">
        <v>2</v>
      </c>
      <c r="P5" s="1439">
        <v>15</v>
      </c>
    </row>
    <row r="6" spans="1:16" s="1425" customFormat="1" ht="43.9" hidden="1" customHeight="1" x14ac:dyDescent="0.35">
      <c r="A6" s="1434" t="s">
        <v>747</v>
      </c>
      <c r="B6" s="1434">
        <v>45308</v>
      </c>
      <c r="C6" s="1434" t="s">
        <v>32</v>
      </c>
      <c r="D6" s="1428" t="s">
        <v>413</v>
      </c>
      <c r="E6" s="1435" t="s">
        <v>2510</v>
      </c>
      <c r="F6" s="1435" t="s">
        <v>2506</v>
      </c>
      <c r="G6" s="1435" t="s">
        <v>2507</v>
      </c>
      <c r="H6" s="1435"/>
      <c r="I6" s="1429" t="s">
        <v>2508</v>
      </c>
      <c r="J6" s="1436" t="s">
        <v>2509</v>
      </c>
      <c r="K6" s="1436">
        <v>63</v>
      </c>
      <c r="L6" s="1437">
        <v>1079</v>
      </c>
      <c r="M6" s="1437">
        <v>205</v>
      </c>
      <c r="N6" s="1438" t="e">
        <f>#REF!/L6</f>
        <v>#REF!</v>
      </c>
      <c r="O6" s="1437">
        <v>205</v>
      </c>
      <c r="P6" s="1439">
        <v>7</v>
      </c>
    </row>
    <row r="7" spans="1:16" s="1425" customFormat="1" ht="43.9" hidden="1" customHeight="1" x14ac:dyDescent="0.35">
      <c r="A7" s="1440" t="s">
        <v>761</v>
      </c>
      <c r="B7" s="1441"/>
      <c r="C7" s="1441"/>
      <c r="D7" s="1441"/>
      <c r="E7" s="1351"/>
      <c r="F7" s="1351"/>
      <c r="G7" s="1351"/>
      <c r="H7" s="1351"/>
      <c r="I7" s="1351"/>
      <c r="J7" s="1442"/>
      <c r="K7" s="1442"/>
      <c r="L7" s="1443"/>
      <c r="M7" s="1443"/>
      <c r="N7" s="1444"/>
      <c r="O7" s="1443"/>
      <c r="P7" s="1445"/>
    </row>
    <row r="8" spans="1:16" s="1425" customFormat="1" ht="43.9" hidden="1" customHeight="1" x14ac:dyDescent="0.35">
      <c r="A8" s="1434" t="s">
        <v>766</v>
      </c>
      <c r="B8" s="1434">
        <v>45320</v>
      </c>
      <c r="C8" s="1434" t="s">
        <v>86</v>
      </c>
      <c r="D8" s="1428" t="s">
        <v>741</v>
      </c>
      <c r="E8" s="1435" t="s">
        <v>2511</v>
      </c>
      <c r="F8" s="1435" t="s">
        <v>2512</v>
      </c>
      <c r="G8" s="1435" t="s">
        <v>2513</v>
      </c>
      <c r="H8" s="1435"/>
      <c r="I8" s="1429" t="s">
        <v>2514</v>
      </c>
      <c r="J8" s="1436" t="s">
        <v>2515</v>
      </c>
      <c r="K8" s="1436">
        <v>214</v>
      </c>
      <c r="L8" s="1437">
        <v>1970</v>
      </c>
      <c r="M8" s="1437">
        <v>791</v>
      </c>
      <c r="N8" s="1438" t="e">
        <f>#REF!/L8</f>
        <v>#REF!</v>
      </c>
      <c r="O8" s="1437">
        <v>7</v>
      </c>
      <c r="P8" s="1439">
        <v>33</v>
      </c>
    </row>
    <row r="9" spans="1:16" s="1425" customFormat="1" ht="43.9" hidden="1" customHeight="1" x14ac:dyDescent="0.35">
      <c r="A9" s="1434" t="s">
        <v>788</v>
      </c>
      <c r="B9" s="1434">
        <v>45328</v>
      </c>
      <c r="C9" s="1434" t="s">
        <v>2516</v>
      </c>
      <c r="D9" s="1428" t="s">
        <v>413</v>
      </c>
      <c r="E9" s="1435" t="s">
        <v>2517</v>
      </c>
      <c r="F9" s="1435" t="s">
        <v>2506</v>
      </c>
      <c r="G9" s="1435" t="s">
        <v>2518</v>
      </c>
      <c r="H9" s="1435"/>
      <c r="I9" s="1435"/>
      <c r="J9" s="1436" t="s">
        <v>2519</v>
      </c>
      <c r="K9" s="1436">
        <v>36</v>
      </c>
      <c r="L9" s="1437">
        <v>852</v>
      </c>
      <c r="M9" s="1437">
        <v>48</v>
      </c>
      <c r="N9" s="1438" t="e">
        <f>#REF!/L9</f>
        <v>#REF!</v>
      </c>
      <c r="O9" s="1437">
        <v>0</v>
      </c>
      <c r="P9" s="1439">
        <v>13</v>
      </c>
    </row>
    <row r="10" spans="1:16" s="1425" customFormat="1" ht="43.9" hidden="1" customHeight="1" x14ac:dyDescent="0.35">
      <c r="A10" s="1434" t="s">
        <v>788</v>
      </c>
      <c r="B10" s="1434">
        <v>45328</v>
      </c>
      <c r="C10" s="1434" t="s">
        <v>2516</v>
      </c>
      <c r="D10" s="1428" t="s">
        <v>783</v>
      </c>
      <c r="E10" s="1435" t="s">
        <v>2520</v>
      </c>
      <c r="F10" s="1435" t="s">
        <v>2506</v>
      </c>
      <c r="G10" s="1435" t="s">
        <v>2518</v>
      </c>
      <c r="H10" s="1435"/>
      <c r="I10" s="1435"/>
      <c r="J10" s="1436" t="s">
        <v>2519</v>
      </c>
      <c r="K10" s="1436">
        <v>36</v>
      </c>
      <c r="L10" s="1437">
        <v>480</v>
      </c>
      <c r="M10" s="1437">
        <v>30</v>
      </c>
      <c r="N10" s="1438" t="e">
        <f>#REF!/L10</f>
        <v>#REF!</v>
      </c>
      <c r="O10" s="1437">
        <v>2</v>
      </c>
      <c r="P10" s="1439">
        <v>13</v>
      </c>
    </row>
    <row r="11" spans="1:16" s="1425" customFormat="1" ht="43.9" hidden="1" customHeight="1" x14ac:dyDescent="0.35">
      <c r="A11" s="1434" t="s">
        <v>788</v>
      </c>
      <c r="B11" s="1434">
        <v>45330</v>
      </c>
      <c r="C11" s="1434" t="s">
        <v>2521</v>
      </c>
      <c r="D11" s="1428" t="s">
        <v>413</v>
      </c>
      <c r="E11" s="1435" t="s">
        <v>2522</v>
      </c>
      <c r="F11" s="1435" t="s">
        <v>2523</v>
      </c>
      <c r="G11" s="1435" t="s">
        <v>2524</v>
      </c>
      <c r="H11" s="1435"/>
      <c r="I11" s="1429" t="s">
        <v>2525</v>
      </c>
      <c r="J11" s="1436" t="s">
        <v>2526</v>
      </c>
      <c r="K11" s="1436">
        <v>43</v>
      </c>
      <c r="L11" s="1437">
        <v>54</v>
      </c>
      <c r="M11" s="1437">
        <v>22</v>
      </c>
      <c r="N11" s="1438" t="e">
        <f>#REF!/L11</f>
        <v>#REF!</v>
      </c>
      <c r="O11" s="1437">
        <v>0</v>
      </c>
      <c r="P11" s="1439">
        <v>2</v>
      </c>
    </row>
    <row r="12" spans="1:16" s="1425" customFormat="1" ht="43.9" hidden="1" customHeight="1" x14ac:dyDescent="0.35">
      <c r="A12" s="1434" t="s">
        <v>788</v>
      </c>
      <c r="B12" s="1434">
        <v>45330</v>
      </c>
      <c r="C12" s="1434" t="s">
        <v>2521</v>
      </c>
      <c r="D12" s="1428" t="s">
        <v>783</v>
      </c>
      <c r="E12" s="1435" t="s">
        <v>2527</v>
      </c>
      <c r="F12" s="1435" t="s">
        <v>2523</v>
      </c>
      <c r="G12" s="1435" t="s">
        <v>2524</v>
      </c>
      <c r="H12" s="1435"/>
      <c r="I12" s="1429" t="s">
        <v>2525</v>
      </c>
      <c r="J12" s="1436" t="s">
        <v>2526</v>
      </c>
      <c r="K12" s="1436">
        <v>43</v>
      </c>
      <c r="L12" s="1437">
        <v>22</v>
      </c>
      <c r="M12" s="1437">
        <v>8</v>
      </c>
      <c r="N12" s="1438" t="e">
        <f>#REF!/L12</f>
        <v>#REF!</v>
      </c>
      <c r="O12" s="1437">
        <v>0</v>
      </c>
      <c r="P12" s="1437">
        <v>0</v>
      </c>
    </row>
    <row r="13" spans="1:16" s="1425" customFormat="1" ht="43.9" hidden="1" customHeight="1" x14ac:dyDescent="0.35">
      <c r="A13" s="1434" t="s">
        <v>798</v>
      </c>
      <c r="B13" s="1434">
        <v>45335</v>
      </c>
      <c r="C13" s="1434" t="s">
        <v>86</v>
      </c>
      <c r="D13" s="1428" t="s">
        <v>741</v>
      </c>
      <c r="E13" s="1435" t="s">
        <v>2528</v>
      </c>
      <c r="F13" s="1435" t="s">
        <v>2529</v>
      </c>
      <c r="G13" s="1435"/>
      <c r="H13" s="1435"/>
      <c r="I13" s="1429" t="s">
        <v>2530</v>
      </c>
      <c r="J13" s="1436" t="s">
        <v>2531</v>
      </c>
      <c r="K13" s="1436">
        <v>70</v>
      </c>
      <c r="L13" s="1437">
        <v>1947</v>
      </c>
      <c r="M13" s="1437">
        <v>752</v>
      </c>
      <c r="N13" s="1438" t="e">
        <f>#REF!/L13</f>
        <v>#REF!</v>
      </c>
      <c r="O13" s="1437">
        <v>9</v>
      </c>
      <c r="P13" s="1439">
        <v>22</v>
      </c>
    </row>
    <row r="14" spans="1:16" s="1448" customFormat="1" ht="43.9" hidden="1" customHeight="1" x14ac:dyDescent="0.35">
      <c r="A14" s="1440" t="s">
        <v>806</v>
      </c>
      <c r="B14" s="1441"/>
      <c r="C14" s="1441"/>
      <c r="D14" s="1446"/>
      <c r="E14" s="1351"/>
      <c r="F14" s="1351"/>
      <c r="G14" s="1351"/>
      <c r="H14" s="1351"/>
      <c r="I14" s="1447"/>
      <c r="J14" s="1442"/>
      <c r="K14" s="1442"/>
      <c r="L14" s="1443"/>
      <c r="M14" s="1443"/>
      <c r="N14" s="1444"/>
      <c r="O14" s="1443"/>
      <c r="P14" s="1445"/>
    </row>
    <row r="15" spans="1:16" s="1425" customFormat="1" ht="43.9" hidden="1" customHeight="1" x14ac:dyDescent="0.35">
      <c r="A15" s="1434" t="s">
        <v>816</v>
      </c>
      <c r="B15" s="1434">
        <v>45349</v>
      </c>
      <c r="C15" s="1434" t="s">
        <v>2532</v>
      </c>
      <c r="D15" s="1428" t="s">
        <v>741</v>
      </c>
      <c r="E15" s="1435" t="s">
        <v>2533</v>
      </c>
      <c r="F15" s="1435" t="s">
        <v>2529</v>
      </c>
      <c r="G15" s="1435" t="s">
        <v>2534</v>
      </c>
      <c r="H15" s="1435"/>
      <c r="I15" s="1435"/>
      <c r="J15" s="1436" t="s">
        <v>2535</v>
      </c>
      <c r="K15" s="1436">
        <v>70</v>
      </c>
      <c r="L15" s="1437">
        <v>1189</v>
      </c>
      <c r="M15" s="1437">
        <v>105</v>
      </c>
      <c r="N15" s="1438" t="e">
        <f>#REF!/L15</f>
        <v>#REF!</v>
      </c>
      <c r="O15" s="1437">
        <v>1</v>
      </c>
      <c r="P15" s="1439">
        <v>23</v>
      </c>
    </row>
    <row r="16" spans="1:16" s="1448" customFormat="1" ht="43.9" hidden="1" customHeight="1" x14ac:dyDescent="0.35">
      <c r="A16" s="1434" t="s">
        <v>816</v>
      </c>
      <c r="B16" s="1434">
        <v>45351</v>
      </c>
      <c r="C16" s="1434" t="s">
        <v>2536</v>
      </c>
      <c r="D16" s="1428" t="s">
        <v>413</v>
      </c>
      <c r="E16" s="1435" t="s">
        <v>2522</v>
      </c>
      <c r="F16" s="1435" t="s">
        <v>2523</v>
      </c>
      <c r="G16" s="1435"/>
      <c r="H16" s="1435"/>
      <c r="I16" s="1429" t="s">
        <v>2525</v>
      </c>
      <c r="J16" s="1436" t="s">
        <v>2537</v>
      </c>
      <c r="K16" s="1436">
        <v>63</v>
      </c>
      <c r="L16" s="1437">
        <v>32</v>
      </c>
      <c r="M16" s="1437">
        <v>3</v>
      </c>
      <c r="N16" s="1438" t="e">
        <f>#REF!/L16</f>
        <v>#REF!</v>
      </c>
      <c r="O16" s="1437">
        <v>0</v>
      </c>
      <c r="P16" s="1439">
        <v>1</v>
      </c>
    </row>
    <row r="17" spans="1:16" s="1448" customFormat="1" ht="43.9" hidden="1" customHeight="1" x14ac:dyDescent="0.35">
      <c r="A17" s="1434" t="s">
        <v>816</v>
      </c>
      <c r="B17" s="1434">
        <v>45351</v>
      </c>
      <c r="C17" s="1434" t="s">
        <v>2536</v>
      </c>
      <c r="D17" s="1428" t="s">
        <v>783</v>
      </c>
      <c r="E17" s="1435" t="s">
        <v>2527</v>
      </c>
      <c r="F17" s="1435" t="s">
        <v>2523</v>
      </c>
      <c r="G17" s="1435"/>
      <c r="H17" s="1435"/>
      <c r="I17" s="1429" t="s">
        <v>2525</v>
      </c>
      <c r="J17" s="1436" t="s">
        <v>2537</v>
      </c>
      <c r="K17" s="1436">
        <v>63</v>
      </c>
      <c r="L17" s="1437">
        <v>14</v>
      </c>
      <c r="M17" s="1437">
        <v>1</v>
      </c>
      <c r="N17" s="1438" t="e">
        <f>#REF!/L17</f>
        <v>#REF!</v>
      </c>
      <c r="O17" s="1437">
        <v>0</v>
      </c>
      <c r="P17" s="1439">
        <v>0</v>
      </c>
    </row>
    <row r="18" spans="1:16" s="1425" customFormat="1" ht="43.9" hidden="1" customHeight="1" x14ac:dyDescent="0.35">
      <c r="A18" s="1440" t="s">
        <v>818</v>
      </c>
      <c r="B18" s="1441"/>
      <c r="C18" s="1441"/>
      <c r="D18" s="1449"/>
      <c r="E18" s="1351"/>
      <c r="F18" s="1351"/>
      <c r="G18" s="1351"/>
      <c r="H18" s="1351"/>
      <c r="I18" s="1351"/>
      <c r="J18" s="1442"/>
      <c r="K18" s="1442"/>
      <c r="L18" s="1443"/>
      <c r="M18" s="1443"/>
      <c r="N18" s="1444"/>
      <c r="O18" s="1443"/>
      <c r="P18" s="1445"/>
    </row>
    <row r="19" spans="1:16" s="1425" customFormat="1" ht="88.5" hidden="1" customHeight="1" x14ac:dyDescent="0.35">
      <c r="A19" s="1450" t="s">
        <v>829</v>
      </c>
      <c r="B19" s="1434">
        <v>45365</v>
      </c>
      <c r="C19" s="1434" t="s">
        <v>2538</v>
      </c>
      <c r="D19" s="1428" t="s">
        <v>2539</v>
      </c>
      <c r="E19" s="1435" t="s">
        <v>2540</v>
      </c>
      <c r="F19" s="1435" t="s">
        <v>2541</v>
      </c>
      <c r="G19" s="1435" t="s">
        <v>2542</v>
      </c>
      <c r="H19" s="1435"/>
      <c r="I19" s="1451" t="s">
        <v>2543</v>
      </c>
      <c r="J19" s="1436" t="s">
        <v>2544</v>
      </c>
      <c r="K19" s="1436">
        <v>44</v>
      </c>
      <c r="L19" s="1437">
        <v>107</v>
      </c>
      <c r="M19" s="1437">
        <v>7</v>
      </c>
      <c r="N19" s="1438" t="e">
        <f>#REF!/L19</f>
        <v>#REF!</v>
      </c>
      <c r="O19" s="1437">
        <v>0</v>
      </c>
      <c r="P19" s="1439">
        <v>6</v>
      </c>
    </row>
    <row r="20" spans="1:16" s="1425" customFormat="1" ht="43.9" hidden="1" customHeight="1" x14ac:dyDescent="0.35">
      <c r="A20" s="1452" t="s">
        <v>841</v>
      </c>
      <c r="B20" s="2110" t="s">
        <v>2545</v>
      </c>
      <c r="C20" s="2110"/>
      <c r="D20" s="2110"/>
      <c r="E20" s="2110"/>
      <c r="F20" s="2110"/>
      <c r="G20" s="2110"/>
      <c r="H20" s="1453"/>
      <c r="I20" s="1454"/>
      <c r="J20" s="1455"/>
      <c r="K20" s="1455"/>
      <c r="L20" s="1455"/>
      <c r="M20" s="1455"/>
      <c r="N20" s="1456"/>
      <c r="O20" s="1455"/>
      <c r="P20" s="1457"/>
    </row>
    <row r="21" spans="1:16" s="1425" customFormat="1" ht="47.25" hidden="1" customHeight="1" x14ac:dyDescent="0.35">
      <c r="A21" s="1441" t="s">
        <v>857</v>
      </c>
      <c r="B21" s="1458">
        <v>45384</v>
      </c>
      <c r="C21" s="1458" t="s">
        <v>86</v>
      </c>
      <c r="D21" s="1459" t="s">
        <v>2539</v>
      </c>
      <c r="E21" s="1460" t="s">
        <v>2546</v>
      </c>
      <c r="F21" s="1460"/>
      <c r="G21" s="1460"/>
      <c r="H21" s="1460"/>
      <c r="I21" s="1460"/>
      <c r="J21" s="1461" t="s">
        <v>2547</v>
      </c>
      <c r="K21" s="1462"/>
      <c r="L21" s="1463"/>
      <c r="M21" s="1463"/>
      <c r="N21" s="1464"/>
      <c r="O21" s="1463"/>
      <c r="P21" s="1465"/>
    </row>
    <row r="22" spans="1:16" s="1448" customFormat="1" ht="47.25" hidden="1" customHeight="1" x14ac:dyDescent="0.35">
      <c r="A22" s="1434" t="s">
        <v>857</v>
      </c>
      <c r="B22" s="1434">
        <v>45384</v>
      </c>
      <c r="C22" s="1434"/>
      <c r="D22" s="1428" t="s">
        <v>2539</v>
      </c>
      <c r="E22" s="1435" t="s">
        <v>2548</v>
      </c>
      <c r="F22" s="1435"/>
      <c r="G22" s="1435"/>
      <c r="H22" s="1435"/>
      <c r="I22" s="1435"/>
      <c r="J22" s="1436" t="s">
        <v>2549</v>
      </c>
      <c r="K22" s="1436">
        <v>77</v>
      </c>
      <c r="L22" s="1437">
        <v>464</v>
      </c>
      <c r="M22" s="1437">
        <v>18</v>
      </c>
      <c r="N22" s="1438" t="e">
        <f>#REF!/L22</f>
        <v>#REF!</v>
      </c>
      <c r="O22" s="1437">
        <v>0</v>
      </c>
      <c r="P22" s="1439">
        <v>50</v>
      </c>
    </row>
    <row r="23" spans="1:16" s="1448" customFormat="1" ht="47.25" hidden="1" customHeight="1" x14ac:dyDescent="0.35">
      <c r="A23" s="1434" t="s">
        <v>857</v>
      </c>
      <c r="B23" s="1434">
        <v>45384</v>
      </c>
      <c r="C23" s="1434"/>
      <c r="D23" s="1428" t="s">
        <v>2539</v>
      </c>
      <c r="E23" s="1435" t="s">
        <v>2550</v>
      </c>
      <c r="F23" s="1435"/>
      <c r="G23" s="1435"/>
      <c r="H23" s="1435"/>
      <c r="I23" s="1435"/>
      <c r="J23" s="1436" t="s">
        <v>2549</v>
      </c>
      <c r="K23" s="1436">
        <v>77</v>
      </c>
      <c r="L23" s="1437">
        <v>451</v>
      </c>
      <c r="M23" s="1437">
        <v>34</v>
      </c>
      <c r="N23" s="1438" t="e">
        <f>#REF!/L23</f>
        <v>#REF!</v>
      </c>
      <c r="O23" s="1437">
        <v>0</v>
      </c>
      <c r="P23" s="1439">
        <v>41</v>
      </c>
    </row>
    <row r="24" spans="1:16" s="1448" customFormat="1" ht="47.25" hidden="1" customHeight="1" x14ac:dyDescent="0.35">
      <c r="A24" s="1434" t="s">
        <v>857</v>
      </c>
      <c r="B24" s="1434">
        <v>45384</v>
      </c>
      <c r="C24" s="1434"/>
      <c r="D24" s="1428" t="s">
        <v>2539</v>
      </c>
      <c r="E24" s="1435" t="s">
        <v>2551</v>
      </c>
      <c r="F24" s="1435"/>
      <c r="G24" s="1435"/>
      <c r="H24" s="1435"/>
      <c r="I24" s="1435"/>
      <c r="J24" s="1436" t="s">
        <v>2549</v>
      </c>
      <c r="K24" s="1436">
        <v>77</v>
      </c>
      <c r="L24" s="1437">
        <v>463</v>
      </c>
      <c r="M24" s="1437">
        <v>37</v>
      </c>
      <c r="N24" s="1438" t="e">
        <f>#REF!/L24</f>
        <v>#REF!</v>
      </c>
      <c r="O24" s="1437">
        <v>2</v>
      </c>
      <c r="P24" s="1439">
        <v>30</v>
      </c>
    </row>
    <row r="25" spans="1:16" s="1448" customFormat="1" ht="47.25" hidden="1" customHeight="1" x14ac:dyDescent="0.35">
      <c r="A25" s="1434" t="s">
        <v>857</v>
      </c>
      <c r="B25" s="1434">
        <v>45384</v>
      </c>
      <c r="C25" s="1434"/>
      <c r="D25" s="1428" t="s">
        <v>2539</v>
      </c>
      <c r="E25" s="1435" t="s">
        <v>2552</v>
      </c>
      <c r="F25" s="1435"/>
      <c r="G25" s="1435"/>
      <c r="H25" s="1435"/>
      <c r="I25" s="1435"/>
      <c r="J25" s="1436" t="s">
        <v>2549</v>
      </c>
      <c r="K25" s="1436">
        <v>77</v>
      </c>
      <c r="L25" s="1437">
        <v>448</v>
      </c>
      <c r="M25" s="1437">
        <v>34</v>
      </c>
      <c r="N25" s="1438" t="e">
        <f>#REF!/L25</f>
        <v>#REF!</v>
      </c>
      <c r="O25" s="1437">
        <v>3</v>
      </c>
      <c r="P25" s="1439">
        <v>31</v>
      </c>
    </row>
    <row r="26" spans="1:16" s="1448" customFormat="1" ht="47.25" hidden="1" customHeight="1" x14ac:dyDescent="0.35">
      <c r="A26" s="1434" t="s">
        <v>857</v>
      </c>
      <c r="B26" s="1434">
        <v>45384</v>
      </c>
      <c r="C26" s="1434"/>
      <c r="D26" s="1428" t="s">
        <v>2539</v>
      </c>
      <c r="E26" s="1435" t="s">
        <v>2553</v>
      </c>
      <c r="F26" s="1435"/>
      <c r="G26" s="1435"/>
      <c r="H26" s="1435"/>
      <c r="I26" s="1435"/>
      <c r="J26" s="1436" t="s">
        <v>2549</v>
      </c>
      <c r="K26" s="1436">
        <v>77</v>
      </c>
      <c r="L26" s="1437">
        <v>453</v>
      </c>
      <c r="M26" s="1437">
        <v>34</v>
      </c>
      <c r="N26" s="1438" t="e">
        <f>#REF!/L26</f>
        <v>#REF!</v>
      </c>
      <c r="O26" s="1437">
        <v>1</v>
      </c>
      <c r="P26" s="1439">
        <v>43</v>
      </c>
    </row>
    <row r="27" spans="1:16" s="1448" customFormat="1" ht="47.25" hidden="1" customHeight="1" x14ac:dyDescent="0.35">
      <c r="A27" s="1434" t="s">
        <v>857</v>
      </c>
      <c r="B27" s="1434">
        <v>45384</v>
      </c>
      <c r="C27" s="1434"/>
      <c r="D27" s="1428" t="s">
        <v>2539</v>
      </c>
      <c r="E27" s="1435" t="s">
        <v>2554</v>
      </c>
      <c r="F27" s="1435"/>
      <c r="G27" s="1435"/>
      <c r="H27" s="1435"/>
      <c r="I27" s="1435"/>
      <c r="J27" s="1436" t="s">
        <v>2549</v>
      </c>
      <c r="K27" s="1436">
        <v>77</v>
      </c>
      <c r="L27" s="1437">
        <v>450</v>
      </c>
      <c r="M27" s="1437">
        <v>33</v>
      </c>
      <c r="N27" s="1438" t="e">
        <f>#REF!/L27</f>
        <v>#REF!</v>
      </c>
      <c r="O27" s="1437">
        <v>2</v>
      </c>
      <c r="P27" s="1439">
        <v>43</v>
      </c>
    </row>
    <row r="28" spans="1:16" s="1448" customFormat="1" ht="47.25" hidden="1" customHeight="1" x14ac:dyDescent="0.35">
      <c r="A28" s="1434" t="s">
        <v>859</v>
      </c>
      <c r="B28" s="1434">
        <v>45391</v>
      </c>
      <c r="C28" s="1434" t="s">
        <v>2555</v>
      </c>
      <c r="D28" s="1434" t="s">
        <v>2556</v>
      </c>
      <c r="E28" s="1435" t="s">
        <v>2557</v>
      </c>
      <c r="F28" s="1435"/>
      <c r="G28" s="1435"/>
      <c r="H28" s="1435"/>
      <c r="I28" s="1435"/>
      <c r="J28" s="1436" t="s">
        <v>2558</v>
      </c>
      <c r="K28" s="1436">
        <v>98</v>
      </c>
      <c r="L28" s="1437">
        <v>128</v>
      </c>
      <c r="M28" s="1437">
        <v>6</v>
      </c>
      <c r="N28" s="1438" t="e">
        <f>#REF!/L28</f>
        <v>#REF!</v>
      </c>
      <c r="O28" s="1437">
        <v>0</v>
      </c>
      <c r="P28" s="1439">
        <v>3</v>
      </c>
    </row>
    <row r="29" spans="1:16" s="1466" customFormat="1" ht="47.25" hidden="1" customHeight="1" x14ac:dyDescent="0.35">
      <c r="A29" s="1434" t="s">
        <v>859</v>
      </c>
      <c r="B29" s="1434">
        <v>45391</v>
      </c>
      <c r="C29" s="1434" t="s">
        <v>2555</v>
      </c>
      <c r="D29" s="1434" t="s">
        <v>2559</v>
      </c>
      <c r="E29" s="1435" t="s">
        <v>2557</v>
      </c>
      <c r="F29" s="1435"/>
      <c r="G29" s="1435"/>
      <c r="H29" s="1435"/>
      <c r="I29" s="1435"/>
      <c r="J29" s="1436" t="s">
        <v>2558</v>
      </c>
      <c r="K29" s="1436">
        <v>98</v>
      </c>
      <c r="L29" s="1437">
        <v>70</v>
      </c>
      <c r="M29" s="1437">
        <v>5</v>
      </c>
      <c r="N29" s="1438">
        <v>0</v>
      </c>
      <c r="O29" s="1437">
        <v>0</v>
      </c>
      <c r="P29" s="1439">
        <v>1</v>
      </c>
    </row>
    <row r="30" spans="1:16" s="1466" customFormat="1" ht="47.25" hidden="1" customHeight="1" x14ac:dyDescent="0.35">
      <c r="A30" s="1434" t="s">
        <v>859</v>
      </c>
      <c r="B30" s="1434">
        <v>45391</v>
      </c>
      <c r="C30" s="1434" t="s">
        <v>1577</v>
      </c>
      <c r="D30" s="1434" t="s">
        <v>2556</v>
      </c>
      <c r="E30" s="1435" t="s">
        <v>2560</v>
      </c>
      <c r="F30" s="1435" t="s">
        <v>2561</v>
      </c>
      <c r="G30" s="1435"/>
      <c r="H30" s="1435"/>
      <c r="I30" s="1435"/>
      <c r="J30" s="1436" t="s">
        <v>2558</v>
      </c>
      <c r="K30" s="1436">
        <v>98</v>
      </c>
      <c r="L30" s="1437">
        <v>80</v>
      </c>
      <c r="M30" s="1437">
        <v>8</v>
      </c>
      <c r="N30" s="1438" t="e">
        <f>#REF!/L30</f>
        <v>#REF!</v>
      </c>
      <c r="O30" s="1437">
        <v>0</v>
      </c>
      <c r="P30" s="1439">
        <v>2</v>
      </c>
    </row>
    <row r="31" spans="1:16" s="1425" customFormat="1" ht="63" hidden="1" customHeight="1" x14ac:dyDescent="0.35">
      <c r="A31" s="1434" t="s">
        <v>859</v>
      </c>
      <c r="B31" s="1434">
        <v>45391</v>
      </c>
      <c r="C31" s="1434" t="s">
        <v>1577</v>
      </c>
      <c r="D31" s="1434" t="s">
        <v>2559</v>
      </c>
      <c r="E31" s="1435" t="s">
        <v>2560</v>
      </c>
      <c r="F31" s="1435" t="s">
        <v>2561</v>
      </c>
      <c r="G31" s="1435"/>
      <c r="H31" s="1435"/>
      <c r="I31" s="1435"/>
      <c r="J31" s="1436" t="s">
        <v>2558</v>
      </c>
      <c r="K31" s="1436">
        <v>98</v>
      </c>
      <c r="L31" s="1437">
        <v>34</v>
      </c>
      <c r="M31" s="1437">
        <v>7</v>
      </c>
      <c r="N31" s="1438" t="e">
        <f>#REF!/L31</f>
        <v>#REF!</v>
      </c>
      <c r="O31" s="1437">
        <v>0</v>
      </c>
      <c r="P31" s="1439">
        <v>0</v>
      </c>
    </row>
    <row r="32" spans="1:16" s="1425" customFormat="1" ht="43.9" hidden="1" customHeight="1" x14ac:dyDescent="0.35">
      <c r="A32" s="1434" t="s">
        <v>865</v>
      </c>
      <c r="B32" s="1434">
        <v>45398</v>
      </c>
      <c r="C32" s="1434" t="s">
        <v>86</v>
      </c>
      <c r="D32" s="1428" t="s">
        <v>741</v>
      </c>
      <c r="E32" s="1435" t="s">
        <v>2562</v>
      </c>
      <c r="F32" s="1435"/>
      <c r="G32" s="1435"/>
      <c r="H32" s="1435"/>
      <c r="I32" s="1435"/>
      <c r="J32" s="1436" t="s">
        <v>2563</v>
      </c>
      <c r="K32" s="1436">
        <v>94</v>
      </c>
      <c r="L32" s="1437">
        <v>2469</v>
      </c>
      <c r="M32" s="1437">
        <v>232</v>
      </c>
      <c r="N32" s="1438" t="e">
        <f>#REF!/L32</f>
        <v>#REF!</v>
      </c>
      <c r="O32" s="1437">
        <v>7</v>
      </c>
      <c r="P32" s="1439">
        <v>20</v>
      </c>
    </row>
    <row r="33" spans="1:16" s="1425" customFormat="1" ht="43.9" hidden="1" customHeight="1" x14ac:dyDescent="0.35">
      <c r="A33" s="1467" t="s">
        <v>868</v>
      </c>
      <c r="B33" s="2112" t="s">
        <v>2065</v>
      </c>
      <c r="C33" s="2112"/>
      <c r="D33" s="2112"/>
      <c r="E33" s="2112"/>
      <c r="F33" s="2112"/>
      <c r="G33" s="2112"/>
      <c r="H33" s="2112"/>
      <c r="I33" s="2112"/>
      <c r="J33" s="1468" t="s">
        <v>2564</v>
      </c>
      <c r="K33" s="1468"/>
      <c r="L33" s="1469"/>
      <c r="M33" s="1469"/>
      <c r="N33" s="1470"/>
      <c r="O33" s="1469"/>
      <c r="P33" s="1471"/>
    </row>
    <row r="34" spans="1:16" s="1425" customFormat="1" ht="43.9" hidden="1" customHeight="1" x14ac:dyDescent="0.35">
      <c r="A34" s="1434" t="s">
        <v>880</v>
      </c>
      <c r="B34" s="1434">
        <v>45412</v>
      </c>
      <c r="C34" s="1434"/>
      <c r="D34" s="1434" t="s">
        <v>2556</v>
      </c>
      <c r="E34" s="1435" t="s">
        <v>2565</v>
      </c>
      <c r="F34" s="1435"/>
      <c r="G34" s="1435"/>
      <c r="H34" s="1435"/>
      <c r="I34" s="1435"/>
      <c r="J34" s="1436" t="s">
        <v>2566</v>
      </c>
      <c r="K34" s="1436">
        <v>76</v>
      </c>
      <c r="L34" s="1437">
        <v>117</v>
      </c>
      <c r="M34" s="1437">
        <v>4</v>
      </c>
      <c r="N34" s="1438" t="e">
        <f>#REF!/L34</f>
        <v>#REF!</v>
      </c>
      <c r="O34" s="1437">
        <v>0</v>
      </c>
      <c r="P34" s="1439">
        <v>0</v>
      </c>
    </row>
    <row r="35" spans="1:16" s="1425" customFormat="1" ht="43.9" hidden="1" customHeight="1" x14ac:dyDescent="0.35">
      <c r="A35" s="1434" t="s">
        <v>880</v>
      </c>
      <c r="B35" s="1434">
        <v>45412</v>
      </c>
      <c r="C35" s="1434"/>
      <c r="D35" s="1434" t="s">
        <v>2559</v>
      </c>
      <c r="E35" s="1435" t="s">
        <v>2565</v>
      </c>
      <c r="F35" s="1435"/>
      <c r="G35" s="1435"/>
      <c r="H35" s="1435"/>
      <c r="I35" s="1435"/>
      <c r="J35" s="1436" t="s">
        <v>2566</v>
      </c>
      <c r="K35" s="1436">
        <v>76</v>
      </c>
      <c r="L35" s="1437">
        <v>63</v>
      </c>
      <c r="M35" s="1437">
        <v>3</v>
      </c>
      <c r="N35" s="1438">
        <v>0</v>
      </c>
      <c r="O35" s="1437">
        <v>0</v>
      </c>
      <c r="P35" s="1439">
        <v>0</v>
      </c>
    </row>
    <row r="36" spans="1:16" s="1425" customFormat="1" ht="43.9" hidden="1" customHeight="1" x14ac:dyDescent="0.35">
      <c r="A36" s="1434" t="s">
        <v>880</v>
      </c>
      <c r="B36" s="1434">
        <v>45412</v>
      </c>
      <c r="C36" s="1434"/>
      <c r="D36" s="1434" t="s">
        <v>2556</v>
      </c>
      <c r="E36" s="1435" t="s">
        <v>2567</v>
      </c>
      <c r="F36" s="1435"/>
      <c r="G36" s="1435"/>
      <c r="H36" s="1435"/>
      <c r="I36" s="1435"/>
      <c r="J36" s="1436" t="s">
        <v>2566</v>
      </c>
      <c r="K36" s="1436">
        <v>76</v>
      </c>
      <c r="L36" s="1437">
        <v>70</v>
      </c>
      <c r="M36" s="1437">
        <v>10</v>
      </c>
      <c r="N36" s="1438" t="e">
        <f>#REF!/L36</f>
        <v>#REF!</v>
      </c>
      <c r="O36" s="1437">
        <v>1</v>
      </c>
      <c r="P36" s="1439">
        <v>1</v>
      </c>
    </row>
    <row r="37" spans="1:16" s="1425" customFormat="1" ht="43.9" hidden="1" customHeight="1" x14ac:dyDescent="0.35">
      <c r="A37" s="1434" t="s">
        <v>880</v>
      </c>
      <c r="B37" s="1434">
        <v>45412</v>
      </c>
      <c r="C37" s="1434"/>
      <c r="D37" s="1434" t="s">
        <v>2559</v>
      </c>
      <c r="E37" s="1435" t="s">
        <v>2567</v>
      </c>
      <c r="F37" s="1435"/>
      <c r="G37" s="1435"/>
      <c r="H37" s="1435"/>
      <c r="I37" s="1435"/>
      <c r="J37" s="1436" t="s">
        <v>2566</v>
      </c>
      <c r="K37" s="1436">
        <v>76</v>
      </c>
      <c r="L37" s="1437">
        <v>34</v>
      </c>
      <c r="M37" s="1437">
        <v>5</v>
      </c>
      <c r="N37" s="1438" t="e">
        <f>#REF!/L37</f>
        <v>#REF!</v>
      </c>
      <c r="O37" s="1437">
        <v>0</v>
      </c>
      <c r="P37" s="1439">
        <v>0</v>
      </c>
    </row>
    <row r="38" spans="1:16" s="1478" customFormat="1" ht="43.9" hidden="1" customHeight="1" x14ac:dyDescent="0.35">
      <c r="A38" s="1472" t="s">
        <v>885</v>
      </c>
      <c r="B38" s="1472"/>
      <c r="C38" s="1472"/>
      <c r="D38" s="1472"/>
      <c r="E38" s="1468" t="s">
        <v>2568</v>
      </c>
      <c r="F38" s="1473"/>
      <c r="G38" s="1473"/>
      <c r="H38" s="1473"/>
      <c r="I38" s="1473"/>
      <c r="J38" s="1474"/>
      <c r="K38" s="1475"/>
      <c r="L38" s="1476"/>
      <c r="M38" s="1476"/>
      <c r="N38" s="1477"/>
      <c r="O38" s="1476"/>
      <c r="P38" s="1476"/>
    </row>
    <row r="39" spans="1:16" s="1425" customFormat="1" ht="79.5" hidden="1" customHeight="1" x14ac:dyDescent="0.35">
      <c r="A39" s="1434" t="s">
        <v>885</v>
      </c>
      <c r="B39" s="1434">
        <v>45419</v>
      </c>
      <c r="C39" s="1434" t="s">
        <v>86</v>
      </c>
      <c r="D39" s="1428" t="s">
        <v>741</v>
      </c>
      <c r="E39" s="1435" t="s">
        <v>2569</v>
      </c>
      <c r="F39" s="1435" t="s">
        <v>2570</v>
      </c>
      <c r="G39" s="1435"/>
      <c r="H39" s="1435"/>
      <c r="I39" s="1429" t="s">
        <v>2571</v>
      </c>
      <c r="J39" s="1436" t="s">
        <v>2572</v>
      </c>
      <c r="K39" s="1436">
        <v>95</v>
      </c>
      <c r="L39" s="1437">
        <v>2441</v>
      </c>
      <c r="M39" s="1437">
        <v>271</v>
      </c>
      <c r="N39" s="1438" t="e">
        <f>#REF!/L39</f>
        <v>#REF!</v>
      </c>
      <c r="O39" s="1437">
        <v>6</v>
      </c>
      <c r="P39" s="1439">
        <v>12</v>
      </c>
    </row>
    <row r="40" spans="1:16" s="1466" customFormat="1" ht="61.5" hidden="1" customHeight="1" x14ac:dyDescent="0.35">
      <c r="A40" s="1472" t="s">
        <v>895</v>
      </c>
      <c r="B40" s="1472"/>
      <c r="C40" s="1472"/>
      <c r="D40" s="1472"/>
      <c r="E40" s="1473"/>
      <c r="F40" s="1473"/>
      <c r="G40" s="1473"/>
      <c r="H40" s="1473"/>
      <c r="I40" s="1473"/>
      <c r="J40" s="1474"/>
      <c r="K40" s="1474"/>
      <c r="L40" s="1479"/>
      <c r="M40" s="1479"/>
      <c r="N40" s="1477"/>
      <c r="O40" s="1479"/>
      <c r="P40" s="1476"/>
    </row>
    <row r="41" spans="1:16" s="1413" customFormat="1" ht="60" hidden="1" customHeight="1" x14ac:dyDescent="0.35">
      <c r="A41" s="1434" t="s">
        <v>903</v>
      </c>
      <c r="B41" s="1434">
        <v>45433</v>
      </c>
      <c r="C41" s="1434" t="s">
        <v>86</v>
      </c>
      <c r="D41" s="1428" t="s">
        <v>741</v>
      </c>
      <c r="E41" s="1435" t="s">
        <v>2573</v>
      </c>
      <c r="F41" s="1435" t="s">
        <v>2570</v>
      </c>
      <c r="G41" s="1435"/>
      <c r="H41" s="1435"/>
      <c r="I41" s="1435"/>
      <c r="J41" s="1436" t="s">
        <v>2574</v>
      </c>
      <c r="K41" s="1436">
        <v>89</v>
      </c>
      <c r="L41" s="1437">
        <v>2142</v>
      </c>
      <c r="M41" s="1437">
        <v>87</v>
      </c>
      <c r="N41" s="1438" t="e">
        <f>#REF!/L41</f>
        <v>#REF!</v>
      </c>
      <c r="O41" s="1437">
        <v>11</v>
      </c>
      <c r="P41" s="1439">
        <v>7</v>
      </c>
    </row>
    <row r="42" spans="1:16" s="1425" customFormat="1" ht="43.9" hidden="1" customHeight="1" x14ac:dyDescent="0.35">
      <c r="A42" s="1418" t="s">
        <v>911</v>
      </c>
      <c r="B42" s="2107" t="s">
        <v>912</v>
      </c>
      <c r="C42" s="2107"/>
      <c r="D42" s="2107"/>
      <c r="E42" s="2107"/>
      <c r="F42" s="2107"/>
      <c r="G42" s="2107"/>
      <c r="H42" s="1480"/>
      <c r="I42" s="1421"/>
      <c r="J42" s="1422"/>
      <c r="K42" s="1422"/>
      <c r="L42" s="1422"/>
      <c r="M42" s="1422"/>
      <c r="N42" s="1423"/>
      <c r="O42" s="1422"/>
      <c r="P42" s="1424"/>
    </row>
    <row r="43" spans="1:16" s="1448" customFormat="1" ht="57" hidden="1" customHeight="1" x14ac:dyDescent="0.35">
      <c r="A43" s="1434" t="s">
        <v>911</v>
      </c>
      <c r="B43" s="1481">
        <v>45442</v>
      </c>
      <c r="C43" s="1434" t="s">
        <v>2575</v>
      </c>
      <c r="D43" s="1434" t="s">
        <v>2576</v>
      </c>
      <c r="E43" s="1435" t="s">
        <v>2577</v>
      </c>
      <c r="F43" s="1435" t="s">
        <v>2578</v>
      </c>
      <c r="G43" s="1437"/>
      <c r="H43" s="1437"/>
      <c r="I43" s="1436"/>
      <c r="J43" s="1437" t="s">
        <v>2579</v>
      </c>
      <c r="K43" s="1437">
        <v>117</v>
      </c>
      <c r="L43" s="1437">
        <v>53</v>
      </c>
      <c r="M43" s="1437">
        <v>8</v>
      </c>
      <c r="N43" s="1438" t="e">
        <f>#REF!/L43</f>
        <v>#REF!</v>
      </c>
      <c r="O43" s="1437">
        <v>1</v>
      </c>
      <c r="P43" s="1439">
        <v>5</v>
      </c>
    </row>
    <row r="44" spans="1:16" s="1448" customFormat="1" ht="57" hidden="1" customHeight="1" x14ac:dyDescent="0.35">
      <c r="A44" s="1434" t="s">
        <v>911</v>
      </c>
      <c r="B44" s="1481">
        <v>45442</v>
      </c>
      <c r="C44" s="1434" t="s">
        <v>2575</v>
      </c>
      <c r="D44" s="1434" t="s">
        <v>2580</v>
      </c>
      <c r="E44" s="1435" t="s">
        <v>2577</v>
      </c>
      <c r="F44" s="1435" t="s">
        <v>2578</v>
      </c>
      <c r="G44" s="1437"/>
      <c r="H44" s="1437"/>
      <c r="I44" s="1436"/>
      <c r="J44" s="1437" t="s">
        <v>2579</v>
      </c>
      <c r="K44" s="1437">
        <v>117</v>
      </c>
      <c r="L44" s="1437">
        <v>178</v>
      </c>
      <c r="M44" s="1437">
        <v>32</v>
      </c>
      <c r="N44" s="1438" t="e">
        <f>#REF!/L44</f>
        <v>#REF!</v>
      </c>
      <c r="O44" s="1437">
        <v>0</v>
      </c>
      <c r="P44" s="1439">
        <v>8</v>
      </c>
    </row>
    <row r="45" spans="1:16" s="1413" customFormat="1" ht="45.75" hidden="1" customHeight="1" x14ac:dyDescent="0.35">
      <c r="A45" s="1434" t="s">
        <v>911</v>
      </c>
      <c r="B45" s="1481">
        <v>45442</v>
      </c>
      <c r="C45" s="1434" t="s">
        <v>2581</v>
      </c>
      <c r="D45" s="1434" t="s">
        <v>2576</v>
      </c>
      <c r="E45" s="1435" t="s">
        <v>2582</v>
      </c>
      <c r="F45" s="1435" t="s">
        <v>2583</v>
      </c>
      <c r="G45" s="1435"/>
      <c r="H45" s="1435"/>
      <c r="I45" s="1435"/>
      <c r="J45" s="1437" t="s">
        <v>2579</v>
      </c>
      <c r="K45" s="1437">
        <v>117</v>
      </c>
      <c r="L45" s="1437">
        <v>46</v>
      </c>
      <c r="M45" s="1437">
        <v>5</v>
      </c>
      <c r="N45" s="1438" t="e">
        <f>#REF!/L45</f>
        <v>#REF!</v>
      </c>
      <c r="O45" s="1437">
        <v>0</v>
      </c>
      <c r="P45" s="1439">
        <v>0</v>
      </c>
    </row>
    <row r="46" spans="1:16" s="1413" customFormat="1" ht="45.75" hidden="1" customHeight="1" x14ac:dyDescent="0.35">
      <c r="A46" s="1434" t="s">
        <v>911</v>
      </c>
      <c r="B46" s="1481">
        <v>45442</v>
      </c>
      <c r="C46" s="1434" t="s">
        <v>2581</v>
      </c>
      <c r="D46" s="1434" t="s">
        <v>2580</v>
      </c>
      <c r="E46" s="1435" t="s">
        <v>2582</v>
      </c>
      <c r="F46" s="1435" t="s">
        <v>2583</v>
      </c>
      <c r="G46" s="1435"/>
      <c r="H46" s="1435"/>
      <c r="I46" s="1435"/>
      <c r="J46" s="1437" t="s">
        <v>2579</v>
      </c>
      <c r="K46" s="1437">
        <v>117</v>
      </c>
      <c r="L46" s="1437">
        <v>109</v>
      </c>
      <c r="M46" s="1437">
        <v>20</v>
      </c>
      <c r="N46" s="1438" t="e">
        <f>#REF!/L46</f>
        <v>#REF!</v>
      </c>
      <c r="O46" s="1437">
        <v>1</v>
      </c>
      <c r="P46" s="1439">
        <v>2</v>
      </c>
    </row>
    <row r="47" spans="1:16" s="1448" customFormat="1" ht="57" hidden="1" customHeight="1" x14ac:dyDescent="0.35">
      <c r="A47" s="1434" t="s">
        <v>917</v>
      </c>
      <c r="B47" s="1434">
        <v>45447</v>
      </c>
      <c r="C47" s="1434" t="s">
        <v>86</v>
      </c>
      <c r="D47" s="1428" t="s">
        <v>741</v>
      </c>
      <c r="E47" s="1435" t="s">
        <v>2584</v>
      </c>
      <c r="F47" s="1435" t="s">
        <v>2585</v>
      </c>
      <c r="G47" s="1435"/>
      <c r="H47" s="1435"/>
      <c r="I47" s="1435"/>
      <c r="J47" s="1436" t="s">
        <v>2586</v>
      </c>
      <c r="K47" s="1436">
        <v>171</v>
      </c>
      <c r="L47" s="1482">
        <v>2416</v>
      </c>
      <c r="M47" s="1482">
        <v>249</v>
      </c>
      <c r="N47" s="1483" t="e">
        <f>#REF!/L47</f>
        <v>#REF!</v>
      </c>
      <c r="O47" s="1482">
        <v>6</v>
      </c>
      <c r="P47" s="1439">
        <v>3</v>
      </c>
    </row>
    <row r="48" spans="1:16" s="1413" customFormat="1" ht="45.75" hidden="1" customHeight="1" x14ac:dyDescent="0.35">
      <c r="A48" s="1484" t="s">
        <v>921</v>
      </c>
      <c r="B48" s="2111" t="s">
        <v>2587</v>
      </c>
      <c r="C48" s="2111"/>
      <c r="D48" s="2111"/>
      <c r="E48" s="2111"/>
      <c r="F48" s="2111"/>
      <c r="G48" s="2111"/>
      <c r="H48" s="1485"/>
      <c r="I48" s="1486"/>
      <c r="J48" s="1485"/>
      <c r="K48" s="1485"/>
      <c r="L48" s="1487"/>
      <c r="M48" s="1487"/>
      <c r="N48" s="1488"/>
      <c r="O48" s="1487"/>
      <c r="P48" s="1489"/>
    </row>
    <row r="49" spans="1:16" s="1413" customFormat="1" ht="45.75" hidden="1" customHeight="1" x14ac:dyDescent="0.35">
      <c r="A49" s="1434" t="s">
        <v>921</v>
      </c>
      <c r="B49" s="1434">
        <v>45456</v>
      </c>
      <c r="C49" s="1434" t="s">
        <v>2588</v>
      </c>
      <c r="D49" s="1428" t="s">
        <v>783</v>
      </c>
      <c r="E49" s="1434" t="s">
        <v>2589</v>
      </c>
      <c r="F49" s="1435"/>
      <c r="G49" s="1435"/>
      <c r="H49" s="1435"/>
      <c r="I49" s="1490"/>
      <c r="J49" s="1436" t="s">
        <v>2590</v>
      </c>
      <c r="K49" s="1491">
        <v>38</v>
      </c>
      <c r="L49" s="1437">
        <v>28</v>
      </c>
      <c r="M49" s="1437">
        <v>4</v>
      </c>
      <c r="N49" s="1438" t="e">
        <f>#REF!/L49</f>
        <v>#REF!</v>
      </c>
      <c r="O49" s="1437">
        <v>0</v>
      </c>
      <c r="P49" s="1439">
        <v>0</v>
      </c>
    </row>
    <row r="50" spans="1:16" s="1413" customFormat="1" ht="45.75" hidden="1" customHeight="1" x14ac:dyDescent="0.35">
      <c r="A50" s="1434" t="s">
        <v>921</v>
      </c>
      <c r="B50" s="1434">
        <v>45456</v>
      </c>
      <c r="C50" s="1434" t="s">
        <v>2588</v>
      </c>
      <c r="D50" s="1428" t="s">
        <v>413</v>
      </c>
      <c r="E50" s="1434" t="s">
        <v>2589</v>
      </c>
      <c r="F50" s="1435"/>
      <c r="G50" s="1435"/>
      <c r="H50" s="1435"/>
      <c r="I50" s="1490"/>
      <c r="J50" s="1436" t="s">
        <v>2590</v>
      </c>
      <c r="K50" s="1491">
        <v>38</v>
      </c>
      <c r="L50" s="1437">
        <v>54</v>
      </c>
      <c r="M50" s="1437">
        <v>5</v>
      </c>
      <c r="N50" s="1438" t="e">
        <f>#REF!/L50</f>
        <v>#REF!</v>
      </c>
      <c r="O50" s="1437">
        <v>0</v>
      </c>
      <c r="P50" s="1439">
        <v>0</v>
      </c>
    </row>
    <row r="51" spans="1:16" s="1413" customFormat="1" ht="45.75" hidden="1" customHeight="1" x14ac:dyDescent="0.35">
      <c r="A51" s="1434" t="s">
        <v>934</v>
      </c>
      <c r="B51" s="1434">
        <v>45462</v>
      </c>
      <c r="C51" s="1434" t="s">
        <v>2110</v>
      </c>
      <c r="D51" s="1428" t="s">
        <v>2591</v>
      </c>
      <c r="E51" s="1434" t="s">
        <v>2592</v>
      </c>
      <c r="F51" s="1435"/>
      <c r="G51" s="1435"/>
      <c r="H51" s="1435"/>
      <c r="I51" s="1490"/>
      <c r="J51" s="1436" t="s">
        <v>2593</v>
      </c>
      <c r="K51" s="1491">
        <v>70</v>
      </c>
      <c r="L51" s="1437">
        <v>92</v>
      </c>
      <c r="M51" s="1437">
        <v>33</v>
      </c>
      <c r="N51" s="1438" t="e">
        <f>#REF!/L51</f>
        <v>#REF!</v>
      </c>
      <c r="O51" s="1437">
        <v>1</v>
      </c>
      <c r="P51" s="1439">
        <v>0</v>
      </c>
    </row>
    <row r="52" spans="1:16" s="1413" customFormat="1" ht="45.75" hidden="1" customHeight="1" x14ac:dyDescent="0.35">
      <c r="A52" s="1434" t="s">
        <v>940</v>
      </c>
      <c r="B52" s="1434">
        <v>45468</v>
      </c>
      <c r="C52" s="1434" t="s">
        <v>2594</v>
      </c>
      <c r="D52" s="1428" t="s">
        <v>741</v>
      </c>
      <c r="E52" s="1435" t="s">
        <v>2595</v>
      </c>
      <c r="F52" s="1435" t="s">
        <v>2596</v>
      </c>
      <c r="G52" s="1435"/>
      <c r="H52" s="1435"/>
      <c r="I52" s="1435"/>
      <c r="J52" s="1436" t="s">
        <v>2597</v>
      </c>
      <c r="K52" s="1436">
        <v>99</v>
      </c>
      <c r="L52" s="1437">
        <v>2143</v>
      </c>
      <c r="M52" s="1437">
        <v>84</v>
      </c>
      <c r="N52" s="1438" t="e">
        <f>#REF!/L52</f>
        <v>#REF!</v>
      </c>
      <c r="O52" s="1437">
        <v>5</v>
      </c>
      <c r="P52" s="1439">
        <v>34</v>
      </c>
    </row>
    <row r="53" spans="1:16" s="1413" customFormat="1" ht="45.75" hidden="1" customHeight="1" x14ac:dyDescent="0.35">
      <c r="A53" s="1492" t="s">
        <v>946</v>
      </c>
      <c r="B53" s="2108" t="s">
        <v>702</v>
      </c>
      <c r="C53" s="2108"/>
      <c r="D53" s="2108"/>
      <c r="E53" s="2108"/>
      <c r="F53" s="2108"/>
      <c r="G53" s="2108"/>
      <c r="H53" s="1493"/>
      <c r="I53" s="1494"/>
      <c r="J53" s="1495"/>
      <c r="K53" s="1495"/>
      <c r="L53" s="1496"/>
      <c r="M53" s="1496"/>
      <c r="N53" s="1497"/>
      <c r="O53" s="1496"/>
      <c r="P53" s="1498"/>
    </row>
    <row r="54" spans="1:16" s="1413" customFormat="1" ht="45.75" hidden="1" customHeight="1" x14ac:dyDescent="0.35">
      <c r="A54" s="1450" t="s">
        <v>947</v>
      </c>
      <c r="B54" s="1450">
        <v>45485</v>
      </c>
      <c r="C54" s="1434" t="s">
        <v>86</v>
      </c>
      <c r="D54" s="1428" t="s">
        <v>741</v>
      </c>
      <c r="E54" s="1434" t="s">
        <v>2598</v>
      </c>
      <c r="F54" s="1435" t="s">
        <v>2599</v>
      </c>
      <c r="G54" s="1435"/>
      <c r="H54" s="1435"/>
      <c r="I54" s="1490"/>
      <c r="J54" s="1436" t="s">
        <v>2600</v>
      </c>
      <c r="K54" s="1436">
        <v>81</v>
      </c>
      <c r="L54" s="1437">
        <v>2303</v>
      </c>
      <c r="M54" s="1437">
        <v>223</v>
      </c>
      <c r="N54" s="1438" t="e">
        <f>#REF!/L54</f>
        <v>#REF!</v>
      </c>
      <c r="O54" s="1437">
        <v>8</v>
      </c>
      <c r="P54" s="1439">
        <v>4</v>
      </c>
    </row>
    <row r="55" spans="1:16" s="1413" customFormat="1" ht="45.75" hidden="1" customHeight="1" x14ac:dyDescent="0.35">
      <c r="A55" s="1450" t="s">
        <v>704</v>
      </c>
      <c r="B55" s="1450">
        <v>45489</v>
      </c>
      <c r="C55" s="1434" t="s">
        <v>2601</v>
      </c>
      <c r="D55" s="1428" t="s">
        <v>741</v>
      </c>
      <c r="E55" s="1435" t="s">
        <v>2602</v>
      </c>
      <c r="F55" s="1435" t="s">
        <v>2603</v>
      </c>
      <c r="G55" s="1435"/>
      <c r="H55" s="1435"/>
      <c r="I55" s="1435"/>
      <c r="J55" s="1436" t="s">
        <v>2604</v>
      </c>
      <c r="K55" s="1436">
        <v>97</v>
      </c>
      <c r="L55" s="1437">
        <v>154</v>
      </c>
      <c r="M55" s="1437">
        <v>25</v>
      </c>
      <c r="N55" s="1438" t="e">
        <f>#REF!/L55</f>
        <v>#REF!</v>
      </c>
      <c r="O55" s="1437">
        <v>1</v>
      </c>
      <c r="P55" s="1439">
        <v>6</v>
      </c>
    </row>
    <row r="56" spans="1:16" s="1413" customFormat="1" ht="45.75" hidden="1" customHeight="1" x14ac:dyDescent="0.35">
      <c r="A56" s="1450" t="s">
        <v>704</v>
      </c>
      <c r="B56" s="1450">
        <v>45489</v>
      </c>
      <c r="C56" s="1434" t="s">
        <v>2601</v>
      </c>
      <c r="D56" s="1428" t="s">
        <v>783</v>
      </c>
      <c r="E56" s="1435" t="s">
        <v>2605</v>
      </c>
      <c r="F56" s="1435" t="s">
        <v>2603</v>
      </c>
      <c r="G56" s="1435"/>
      <c r="H56" s="1435"/>
      <c r="I56" s="1435"/>
      <c r="J56" s="1436" t="s">
        <v>2604</v>
      </c>
      <c r="K56" s="1436">
        <v>97</v>
      </c>
      <c r="L56" s="1437">
        <v>24</v>
      </c>
      <c r="M56" s="1437">
        <v>1</v>
      </c>
      <c r="N56" s="1438">
        <v>0</v>
      </c>
      <c r="O56" s="1437">
        <v>0</v>
      </c>
      <c r="P56" s="1439">
        <v>3</v>
      </c>
    </row>
    <row r="57" spans="1:16" s="1433" customFormat="1" ht="45.75" hidden="1" customHeight="1" x14ac:dyDescent="0.35">
      <c r="A57" s="1450" t="s">
        <v>704</v>
      </c>
      <c r="B57" s="1450">
        <v>45491</v>
      </c>
      <c r="C57" s="1434" t="s">
        <v>2606</v>
      </c>
      <c r="D57" s="1428" t="s">
        <v>741</v>
      </c>
      <c r="E57" s="1435" t="s">
        <v>2607</v>
      </c>
      <c r="F57" s="1435"/>
      <c r="G57" s="1435"/>
      <c r="H57" s="1435"/>
      <c r="I57" s="1435"/>
      <c r="J57" s="1436" t="s">
        <v>2608</v>
      </c>
      <c r="K57" s="1436">
        <v>77</v>
      </c>
      <c r="L57" s="1437">
        <v>2011</v>
      </c>
      <c r="M57" s="1437">
        <v>101</v>
      </c>
      <c r="N57" s="1438" t="e">
        <f>#REF!/L57</f>
        <v>#REF!</v>
      </c>
      <c r="O57" s="1437">
        <v>11</v>
      </c>
      <c r="P57" s="1439">
        <v>23</v>
      </c>
    </row>
    <row r="58" spans="1:16" s="1413" customFormat="1" ht="45.75" hidden="1" customHeight="1" x14ac:dyDescent="0.35">
      <c r="A58" s="1499" t="s">
        <v>971</v>
      </c>
      <c r="B58" s="2113" t="s">
        <v>2609</v>
      </c>
      <c r="C58" s="2113"/>
      <c r="D58" s="2113"/>
      <c r="E58" s="2113"/>
      <c r="F58" s="2113"/>
      <c r="G58" s="2113"/>
      <c r="H58" s="1500"/>
      <c r="I58" s="1501"/>
      <c r="J58" s="1501"/>
      <c r="K58" s="1501"/>
      <c r="L58" s="1501"/>
      <c r="M58" s="1501"/>
      <c r="N58" s="1501"/>
      <c r="O58" s="1501"/>
      <c r="P58" s="1501"/>
    </row>
    <row r="59" spans="1:16" s="1413" customFormat="1" ht="45.75" hidden="1" customHeight="1" x14ac:dyDescent="0.35">
      <c r="A59" s="1450" t="s">
        <v>977</v>
      </c>
      <c r="B59" s="1450">
        <v>45503</v>
      </c>
      <c r="C59" s="1434" t="s">
        <v>2610</v>
      </c>
      <c r="D59" s="1428" t="s">
        <v>783</v>
      </c>
      <c r="E59" s="1435" t="s">
        <v>2611</v>
      </c>
      <c r="F59" s="1435" t="s">
        <v>2612</v>
      </c>
      <c r="G59" s="1435"/>
      <c r="H59" s="1435"/>
      <c r="I59" s="1435"/>
      <c r="J59" s="1436" t="s">
        <v>2613</v>
      </c>
      <c r="K59" s="1436">
        <v>98</v>
      </c>
      <c r="L59" s="1437">
        <v>41</v>
      </c>
      <c r="M59" s="1437">
        <v>10</v>
      </c>
      <c r="N59" s="1438" t="e">
        <f>#REF!/L59</f>
        <v>#REF!</v>
      </c>
      <c r="O59" s="1437">
        <v>0</v>
      </c>
      <c r="P59" s="1439">
        <v>0</v>
      </c>
    </row>
    <row r="60" spans="1:16" ht="61.5" hidden="1" customHeight="1" x14ac:dyDescent="0.5">
      <c r="A60" s="1450" t="s">
        <v>977</v>
      </c>
      <c r="B60" s="1450">
        <v>45503</v>
      </c>
      <c r="C60" s="1434" t="s">
        <v>2610</v>
      </c>
      <c r="D60" s="1428" t="s">
        <v>741</v>
      </c>
      <c r="E60" s="1435" t="s">
        <v>2614</v>
      </c>
      <c r="F60" s="1435" t="s">
        <v>2612</v>
      </c>
      <c r="G60" s="1435"/>
      <c r="H60" s="1435"/>
      <c r="I60" s="1435"/>
      <c r="J60" s="1436" t="s">
        <v>2613</v>
      </c>
      <c r="K60" s="1436">
        <v>98</v>
      </c>
      <c r="L60" s="1437">
        <v>101</v>
      </c>
      <c r="M60" s="1437">
        <v>20</v>
      </c>
      <c r="N60" s="1438" t="e">
        <f>#REF!/L60</f>
        <v>#REF!</v>
      </c>
      <c r="O60" s="1437">
        <v>0</v>
      </c>
      <c r="P60" s="1439">
        <v>0</v>
      </c>
    </row>
    <row r="61" spans="1:16" ht="61.5" hidden="1" customHeight="1" x14ac:dyDescent="0.5">
      <c r="A61" s="1450" t="s">
        <v>987</v>
      </c>
      <c r="B61" s="1450">
        <v>45510</v>
      </c>
      <c r="C61" s="1434" t="s">
        <v>86</v>
      </c>
      <c r="D61" s="1428" t="s">
        <v>741</v>
      </c>
      <c r="E61" s="1435" t="s">
        <v>2615</v>
      </c>
      <c r="F61" s="1435" t="s">
        <v>2616</v>
      </c>
      <c r="G61" s="1435"/>
      <c r="H61" s="1435"/>
      <c r="I61" s="1435"/>
      <c r="J61" s="1436" t="s">
        <v>2617</v>
      </c>
      <c r="K61" s="1436">
        <v>90</v>
      </c>
      <c r="L61" s="1437">
        <v>2083</v>
      </c>
      <c r="M61" s="1437">
        <v>234</v>
      </c>
      <c r="N61" s="1438" t="e">
        <f>#REF!/L61</f>
        <v>#REF!</v>
      </c>
      <c r="O61" s="1437">
        <v>7</v>
      </c>
      <c r="P61" s="1439">
        <v>4</v>
      </c>
    </row>
    <row r="62" spans="1:16" ht="61.5" hidden="1" customHeight="1" x14ac:dyDescent="0.5">
      <c r="A62" s="1450" t="s">
        <v>989</v>
      </c>
      <c r="B62" s="1450">
        <v>45517</v>
      </c>
      <c r="C62" s="1434" t="s">
        <v>2601</v>
      </c>
      <c r="D62" s="1428" t="s">
        <v>741</v>
      </c>
      <c r="E62" s="1435" t="s">
        <v>2618</v>
      </c>
      <c r="F62" s="1435"/>
      <c r="G62" s="1435"/>
      <c r="H62" s="1435"/>
      <c r="I62" s="1435"/>
      <c r="J62" s="1436" t="s">
        <v>2619</v>
      </c>
      <c r="K62" s="1436">
        <v>138</v>
      </c>
      <c r="L62" s="1437">
        <v>1133</v>
      </c>
      <c r="M62" s="1437">
        <v>153</v>
      </c>
      <c r="N62" s="1438" t="e">
        <f>#REF!/L62</f>
        <v>#REF!</v>
      </c>
      <c r="O62" s="1437">
        <v>3</v>
      </c>
      <c r="P62" s="1439">
        <v>4</v>
      </c>
    </row>
    <row r="63" spans="1:16" ht="61.5" hidden="1" customHeight="1" x14ac:dyDescent="0.5">
      <c r="A63" s="1450" t="s">
        <v>989</v>
      </c>
      <c r="B63" s="1450">
        <v>45517</v>
      </c>
      <c r="C63" s="1434" t="s">
        <v>2601</v>
      </c>
      <c r="D63" s="1428" t="s">
        <v>783</v>
      </c>
      <c r="E63" s="1435" t="s">
        <v>2620</v>
      </c>
      <c r="F63" s="1435"/>
      <c r="G63" s="1435"/>
      <c r="H63" s="1435"/>
      <c r="I63" s="1435"/>
      <c r="J63" s="1436" t="s">
        <v>2619</v>
      </c>
      <c r="K63" s="1436">
        <v>138</v>
      </c>
      <c r="L63" s="1437">
        <v>558</v>
      </c>
      <c r="M63" s="1437">
        <v>71</v>
      </c>
      <c r="N63" s="1438" t="e">
        <f>#REF!/L63</f>
        <v>#REF!</v>
      </c>
      <c r="O63" s="1437">
        <v>4</v>
      </c>
      <c r="P63" s="1439">
        <v>0</v>
      </c>
    </row>
    <row r="64" spans="1:16" ht="61.5" hidden="1" customHeight="1" x14ac:dyDescent="0.5">
      <c r="A64" s="1450" t="s">
        <v>989</v>
      </c>
      <c r="B64" s="1450">
        <v>45517</v>
      </c>
      <c r="C64" s="1450" t="s">
        <v>2610</v>
      </c>
      <c r="D64" s="1428" t="s">
        <v>741</v>
      </c>
      <c r="E64" s="1435" t="s">
        <v>2621</v>
      </c>
      <c r="F64" s="1435" t="s">
        <v>2622</v>
      </c>
      <c r="G64" s="1435"/>
      <c r="H64" s="1435"/>
      <c r="I64" s="1435"/>
      <c r="J64" s="1436" t="s">
        <v>2619</v>
      </c>
      <c r="K64" s="1436">
        <v>138</v>
      </c>
      <c r="L64" s="1437">
        <v>98</v>
      </c>
      <c r="M64" s="1437">
        <v>25</v>
      </c>
      <c r="N64" s="1438" t="e">
        <f>#REF!/L64</f>
        <v>#REF!</v>
      </c>
      <c r="O64" s="1437">
        <v>1</v>
      </c>
      <c r="P64" s="1439">
        <v>1</v>
      </c>
    </row>
    <row r="65" spans="1:16" ht="61.5" hidden="1" customHeight="1" x14ac:dyDescent="0.5">
      <c r="A65" s="1450" t="s">
        <v>989</v>
      </c>
      <c r="B65" s="1450">
        <v>45517</v>
      </c>
      <c r="C65" s="1450" t="s">
        <v>2610</v>
      </c>
      <c r="D65" s="1428" t="s">
        <v>783</v>
      </c>
      <c r="E65" s="1435" t="s">
        <v>2623</v>
      </c>
      <c r="F65" s="1435" t="s">
        <v>2622</v>
      </c>
      <c r="G65" s="1435"/>
      <c r="H65" s="1435"/>
      <c r="I65" s="1435"/>
      <c r="J65" s="1436" t="s">
        <v>2619</v>
      </c>
      <c r="K65" s="1436">
        <v>138</v>
      </c>
      <c r="L65" s="1437">
        <v>51</v>
      </c>
      <c r="M65" s="1437">
        <v>12</v>
      </c>
      <c r="N65" s="1438" t="e">
        <f>#REF!/L65</f>
        <v>#REF!</v>
      </c>
      <c r="O65" s="1437">
        <v>0</v>
      </c>
      <c r="P65" s="1439">
        <v>0</v>
      </c>
    </row>
    <row r="66" spans="1:16" ht="61.5" hidden="1" customHeight="1" x14ac:dyDescent="0.5">
      <c r="A66" s="1450" t="s">
        <v>989</v>
      </c>
      <c r="B66" s="1450">
        <v>45520</v>
      </c>
      <c r="C66" s="1450" t="s">
        <v>2610</v>
      </c>
      <c r="D66" s="1428" t="s">
        <v>2539</v>
      </c>
      <c r="E66" s="1435" t="s">
        <v>1434</v>
      </c>
      <c r="F66" s="1435" t="s">
        <v>2622</v>
      </c>
      <c r="G66" s="1435"/>
      <c r="H66" s="1435"/>
      <c r="I66" s="1435"/>
      <c r="J66" s="1436" t="s">
        <v>2624</v>
      </c>
      <c r="K66" s="1436">
        <v>140</v>
      </c>
      <c r="L66" s="1437">
        <v>108</v>
      </c>
      <c r="M66" s="1437">
        <v>28</v>
      </c>
      <c r="N66" s="1438" t="e">
        <f>#REF!/L66</f>
        <v>#REF!</v>
      </c>
      <c r="O66" s="1437">
        <v>0</v>
      </c>
      <c r="P66" s="1439">
        <v>0</v>
      </c>
    </row>
    <row r="67" spans="1:16" ht="61.5" hidden="1" customHeight="1" x14ac:dyDescent="0.5">
      <c r="A67" s="1503" t="s">
        <v>991</v>
      </c>
      <c r="B67" s="1504"/>
      <c r="C67" s="1504"/>
      <c r="D67" s="1505"/>
      <c r="E67" s="1420"/>
      <c r="F67" s="1420"/>
      <c r="G67" s="1420"/>
      <c r="H67" s="1420"/>
      <c r="I67" s="1420"/>
      <c r="J67" s="1421"/>
      <c r="K67" s="1421"/>
      <c r="L67" s="1422"/>
      <c r="M67" s="1422"/>
      <c r="N67" s="1423"/>
      <c r="O67" s="1422"/>
      <c r="P67" s="1424"/>
    </row>
    <row r="68" spans="1:16" ht="61.5" hidden="1" customHeight="1" x14ac:dyDescent="0.5">
      <c r="A68" s="1450" t="s">
        <v>1004</v>
      </c>
      <c r="B68" s="1450">
        <v>45531</v>
      </c>
      <c r="C68" s="1450" t="s">
        <v>86</v>
      </c>
      <c r="D68" s="1428" t="s">
        <v>2539</v>
      </c>
      <c r="E68" s="1435" t="s">
        <v>2625</v>
      </c>
      <c r="F68" s="1435" t="s">
        <v>2626</v>
      </c>
      <c r="G68" s="1435" t="s">
        <v>2627</v>
      </c>
      <c r="H68" s="1435"/>
      <c r="I68" s="1435"/>
      <c r="J68" s="1436" t="s">
        <v>2628</v>
      </c>
      <c r="K68" s="1436">
        <v>91</v>
      </c>
      <c r="L68" s="1437">
        <v>113</v>
      </c>
      <c r="M68" s="1437">
        <v>34</v>
      </c>
      <c r="N68" s="1377" t="e">
        <f>#REF!/L68</f>
        <v>#REF!</v>
      </c>
      <c r="O68" s="1439">
        <v>0</v>
      </c>
      <c r="P68" s="1439">
        <v>0</v>
      </c>
    </row>
    <row r="69" spans="1:16" ht="61.5" hidden="1" customHeight="1" x14ac:dyDescent="0.5">
      <c r="A69" s="1506" t="s">
        <v>705</v>
      </c>
      <c r="B69" s="2105" t="s">
        <v>290</v>
      </c>
      <c r="C69" s="2105"/>
      <c r="D69" s="2105"/>
      <c r="E69" s="2105"/>
      <c r="F69" s="2105"/>
      <c r="G69" s="2105"/>
      <c r="H69" s="1506"/>
      <c r="I69" s="1420"/>
      <c r="J69" s="1421"/>
      <c r="K69" s="1421"/>
      <c r="L69" s="1507"/>
      <c r="M69" s="1422"/>
      <c r="N69" s="1423" t="e">
        <f>AVERAGE(N1:N68)</f>
        <v>#REF!</v>
      </c>
      <c r="O69" s="1422"/>
      <c r="P69" s="1424"/>
    </row>
    <row r="70" spans="1:16" ht="61.5" hidden="1" customHeight="1" x14ac:dyDescent="0.5">
      <c r="A70" s="1508" t="s">
        <v>705</v>
      </c>
      <c r="B70" s="1450"/>
      <c r="C70" s="1450"/>
      <c r="D70" s="1509"/>
      <c r="E70" s="1450"/>
      <c r="F70" s="1450"/>
      <c r="G70" s="1510"/>
      <c r="H70" s="1510"/>
      <c r="I70" s="1435"/>
      <c r="J70" s="1436"/>
      <c r="K70" s="1436"/>
      <c r="L70" s="1511"/>
      <c r="M70" s="1437"/>
      <c r="N70" s="1438"/>
      <c r="O70" s="1437"/>
      <c r="P70" s="1439"/>
    </row>
    <row r="71" spans="1:16" ht="61.5" hidden="1" customHeight="1" x14ac:dyDescent="0.5">
      <c r="A71" s="1450" t="s">
        <v>1013</v>
      </c>
      <c r="B71" s="1450">
        <v>45545</v>
      </c>
      <c r="C71" s="1450" t="s">
        <v>2629</v>
      </c>
      <c r="D71" s="1428" t="s">
        <v>2539</v>
      </c>
      <c r="E71" s="1435" t="s">
        <v>2630</v>
      </c>
      <c r="F71" s="1435" t="s">
        <v>2626</v>
      </c>
      <c r="G71" s="1510"/>
      <c r="H71" s="1510"/>
      <c r="I71" s="1435"/>
      <c r="J71" s="1436" t="s">
        <v>2631</v>
      </c>
      <c r="K71" s="1436">
        <v>100</v>
      </c>
      <c r="L71" s="1511">
        <v>80</v>
      </c>
      <c r="M71" s="1437">
        <v>7</v>
      </c>
      <c r="N71" s="1438" t="e">
        <f>#REF!/L71</f>
        <v>#REF!</v>
      </c>
      <c r="O71" s="1437">
        <v>0</v>
      </c>
      <c r="P71" s="1439">
        <v>0</v>
      </c>
    </row>
    <row r="72" spans="1:16" ht="61.5" hidden="1" customHeight="1" x14ac:dyDescent="0.5">
      <c r="A72" s="1450" t="s">
        <v>1016</v>
      </c>
      <c r="B72" s="1512">
        <v>45553</v>
      </c>
      <c r="C72" s="1427" t="s">
        <v>2632</v>
      </c>
      <c r="D72" s="1513" t="s">
        <v>2539</v>
      </c>
      <c r="E72" s="1427" t="s">
        <v>2633</v>
      </c>
      <c r="F72" s="1427" t="s">
        <v>2108</v>
      </c>
      <c r="G72" s="1514"/>
      <c r="H72" s="1514"/>
      <c r="I72" s="1514"/>
      <c r="J72" s="1514" t="s">
        <v>2634</v>
      </c>
      <c r="K72" s="1436">
        <v>98</v>
      </c>
      <c r="L72" s="1482">
        <v>113</v>
      </c>
      <c r="M72" s="1482">
        <v>27</v>
      </c>
      <c r="N72" s="1483" t="e">
        <f>#REF!/L72</f>
        <v>#REF!</v>
      </c>
      <c r="O72" s="1482">
        <v>0</v>
      </c>
      <c r="P72" s="1515">
        <v>0</v>
      </c>
    </row>
    <row r="73" spans="1:16" ht="61.5" hidden="1" customHeight="1" x14ac:dyDescent="0.5">
      <c r="A73" s="1450" t="s">
        <v>1016</v>
      </c>
      <c r="B73" s="1512">
        <v>45555</v>
      </c>
      <c r="C73" s="1427" t="s">
        <v>2635</v>
      </c>
      <c r="D73" s="1513" t="s">
        <v>2539</v>
      </c>
      <c r="E73" s="1427" t="s">
        <v>2636</v>
      </c>
      <c r="F73" s="1427" t="s">
        <v>2108</v>
      </c>
      <c r="G73" s="1514"/>
      <c r="H73" s="1514"/>
      <c r="I73" s="1514"/>
      <c r="J73" s="1514" t="s">
        <v>2637</v>
      </c>
      <c r="K73" s="1436">
        <v>122</v>
      </c>
      <c r="L73" s="1482">
        <v>515</v>
      </c>
      <c r="M73" s="1482">
        <v>83</v>
      </c>
      <c r="N73" s="1483" t="e">
        <f>#REF!/L73</f>
        <v>#REF!</v>
      </c>
      <c r="O73" s="1482">
        <v>1</v>
      </c>
      <c r="P73" s="1515">
        <v>4</v>
      </c>
    </row>
    <row r="74" spans="1:16" ht="61.5" hidden="1" customHeight="1" x14ac:dyDescent="0.5">
      <c r="A74" s="1516" t="s">
        <v>1026</v>
      </c>
      <c r="B74" s="2109" t="s">
        <v>2638</v>
      </c>
      <c r="C74" s="2109"/>
      <c r="D74" s="2109"/>
      <c r="E74" s="2109"/>
      <c r="F74" s="2109"/>
      <c r="G74" s="2109"/>
      <c r="H74" s="1516"/>
      <c r="I74" s="1517"/>
      <c r="J74" s="1454"/>
      <c r="K74" s="1454"/>
      <c r="L74" s="1518"/>
      <c r="M74" s="1455"/>
      <c r="N74" s="1456"/>
      <c r="O74" s="1455"/>
      <c r="P74" s="1457"/>
    </row>
    <row r="75" spans="1:16" ht="61.5" hidden="1" customHeight="1" x14ac:dyDescent="0.5">
      <c r="A75" s="1450" t="s">
        <v>1026</v>
      </c>
      <c r="B75" s="1450">
        <v>45558</v>
      </c>
      <c r="C75" s="1427" t="s">
        <v>2632</v>
      </c>
      <c r="D75" s="1513" t="s">
        <v>2539</v>
      </c>
      <c r="E75" s="1427" t="s">
        <v>2639</v>
      </c>
      <c r="F75" s="1427" t="s">
        <v>2640</v>
      </c>
      <c r="G75" s="1435"/>
      <c r="H75" s="1435"/>
      <c r="I75" s="1435"/>
      <c r="J75" s="1436" t="s">
        <v>2641</v>
      </c>
      <c r="K75" s="1436">
        <v>175</v>
      </c>
      <c r="L75" s="1511">
        <v>514</v>
      </c>
      <c r="M75" s="1437">
        <v>93</v>
      </c>
      <c r="N75" s="1438" t="e">
        <f>#REF!/L75</f>
        <v>#REF!</v>
      </c>
      <c r="O75" s="1437">
        <v>1</v>
      </c>
      <c r="P75" s="1437">
        <v>0</v>
      </c>
    </row>
    <row r="76" spans="1:16" ht="61.5" hidden="1" customHeight="1" x14ac:dyDescent="0.5">
      <c r="A76" s="1450" t="s">
        <v>1026</v>
      </c>
      <c r="B76" s="1450">
        <v>45561</v>
      </c>
      <c r="C76" s="1450" t="s">
        <v>2642</v>
      </c>
      <c r="D76" s="1509" t="s">
        <v>2539</v>
      </c>
      <c r="E76" s="1435" t="s">
        <v>2643</v>
      </c>
      <c r="F76" s="1435" t="s">
        <v>2644</v>
      </c>
      <c r="G76" s="1436"/>
      <c r="H76" s="1436"/>
      <c r="I76" s="1435"/>
      <c r="J76" s="1436" t="s">
        <v>2645</v>
      </c>
      <c r="K76" s="1436">
        <v>73</v>
      </c>
      <c r="L76" s="1437">
        <v>513</v>
      </c>
      <c r="M76" s="1437">
        <v>112</v>
      </c>
      <c r="N76" s="1438" t="e">
        <f>#REF!/L76</f>
        <v>#REF!</v>
      </c>
      <c r="O76" s="1437">
        <v>1</v>
      </c>
      <c r="P76" s="1439">
        <v>0</v>
      </c>
    </row>
    <row r="77" spans="1:16" ht="61.5" hidden="1" customHeight="1" x14ac:dyDescent="0.5">
      <c r="A77" s="1450" t="s">
        <v>1026</v>
      </c>
      <c r="B77" s="1450">
        <v>45566</v>
      </c>
      <c r="C77" s="1450" t="s">
        <v>2642</v>
      </c>
      <c r="D77" s="1509" t="s">
        <v>2539</v>
      </c>
      <c r="E77" s="1435" t="s">
        <v>2646</v>
      </c>
      <c r="F77" s="1435" t="s">
        <v>2644</v>
      </c>
      <c r="G77" s="1436"/>
      <c r="H77" s="1436"/>
      <c r="I77" s="1435"/>
      <c r="J77" s="1436" t="s">
        <v>2647</v>
      </c>
      <c r="K77" s="1436"/>
      <c r="L77" s="1437">
        <v>385</v>
      </c>
      <c r="M77" s="1437">
        <v>48</v>
      </c>
      <c r="N77" s="1438" t="e">
        <f>#REF!/L77</f>
        <v>#REF!</v>
      </c>
      <c r="O77" s="1437">
        <v>0</v>
      </c>
      <c r="P77" s="1439">
        <v>0</v>
      </c>
    </row>
    <row r="78" spans="1:16" ht="61.5" hidden="1" customHeight="1" x14ac:dyDescent="0.5">
      <c r="A78" s="1450" t="s">
        <v>1035</v>
      </c>
      <c r="B78" s="1450">
        <v>45567</v>
      </c>
      <c r="C78" s="1450" t="s">
        <v>2648</v>
      </c>
      <c r="D78" s="1509" t="s">
        <v>2539</v>
      </c>
      <c r="E78" s="1435" t="s">
        <v>2649</v>
      </c>
      <c r="F78" s="1435"/>
      <c r="G78" s="1436"/>
      <c r="H78" s="1436"/>
      <c r="I78" s="1435"/>
      <c r="J78" s="1436" t="s">
        <v>2650</v>
      </c>
      <c r="K78" s="1436"/>
      <c r="L78" s="1437">
        <v>1947</v>
      </c>
      <c r="M78" s="1437">
        <v>215</v>
      </c>
      <c r="N78" s="1438" t="e">
        <f>#REF!/L78</f>
        <v>#REF!</v>
      </c>
      <c r="O78" s="1437">
        <v>3</v>
      </c>
      <c r="P78" s="1439">
        <v>13</v>
      </c>
    </row>
    <row r="79" spans="1:16" ht="61.5" hidden="1" customHeight="1" x14ac:dyDescent="0.5">
      <c r="A79" s="1516" t="s">
        <v>1035</v>
      </c>
      <c r="B79" s="2109" t="s">
        <v>2651</v>
      </c>
      <c r="C79" s="2109"/>
      <c r="D79" s="2109"/>
      <c r="E79" s="2109"/>
      <c r="F79" s="2109"/>
      <c r="G79" s="2109"/>
      <c r="H79" s="1516"/>
      <c r="I79" s="1517"/>
      <c r="J79" s="1454"/>
      <c r="K79" s="1454"/>
      <c r="L79" s="1518"/>
      <c r="M79" s="1455"/>
      <c r="N79" s="1456"/>
      <c r="O79" s="1455"/>
      <c r="P79" s="1457"/>
    </row>
    <row r="80" spans="1:16" ht="61.5" hidden="1" customHeight="1" x14ac:dyDescent="0.5">
      <c r="A80" s="1519" t="s">
        <v>706</v>
      </c>
      <c r="B80" s="1520"/>
      <c r="C80" s="1405"/>
      <c r="D80" s="1405"/>
      <c r="E80" s="1405"/>
      <c r="F80" s="1405"/>
      <c r="G80" s="1405"/>
      <c r="H80" s="1405"/>
      <c r="I80" s="1521"/>
      <c r="J80" s="1522"/>
      <c r="K80" s="1522"/>
      <c r="L80" s="1442"/>
      <c r="M80" s="1442"/>
      <c r="N80" s="1523"/>
      <c r="O80" s="1442"/>
      <c r="P80" s="1524"/>
    </row>
    <row r="81" spans="1:16" ht="61.5" hidden="1" customHeight="1" x14ac:dyDescent="0.5">
      <c r="A81" s="1520" t="s">
        <v>1048</v>
      </c>
      <c r="B81" s="1520">
        <v>45580</v>
      </c>
      <c r="C81" s="1405" t="s">
        <v>86</v>
      </c>
      <c r="D81" s="1525" t="s">
        <v>413</v>
      </c>
      <c r="E81" s="1405" t="s">
        <v>2652</v>
      </c>
      <c r="F81" s="1405" t="s">
        <v>2653</v>
      </c>
      <c r="G81" s="1405"/>
      <c r="H81" s="1405"/>
      <c r="I81" s="1526" t="s">
        <v>2654</v>
      </c>
      <c r="J81" s="1405" t="s">
        <v>2655</v>
      </c>
      <c r="K81" s="1522"/>
      <c r="L81" s="1351">
        <v>2019</v>
      </c>
      <c r="M81" s="1527">
        <v>9.8599999999999993E-2</v>
      </c>
      <c r="N81" s="1527">
        <v>1E-3</v>
      </c>
      <c r="O81" s="1351">
        <v>5</v>
      </c>
      <c r="P81" s="1528">
        <v>6</v>
      </c>
    </row>
    <row r="82" spans="1:16" ht="61.5" hidden="1" customHeight="1" x14ac:dyDescent="0.5">
      <c r="A82" s="1520" t="s">
        <v>708</v>
      </c>
      <c r="B82" s="1520">
        <v>45587</v>
      </c>
      <c r="C82" s="1405" t="s">
        <v>2656</v>
      </c>
      <c r="D82" s="1525" t="s">
        <v>783</v>
      </c>
      <c r="E82" s="1405" t="s">
        <v>2657</v>
      </c>
      <c r="F82" s="1405" t="s">
        <v>2658</v>
      </c>
      <c r="G82" s="1405"/>
      <c r="H82" s="1405"/>
      <c r="I82" s="1526" t="s">
        <v>2659</v>
      </c>
      <c r="J82" s="1405" t="s">
        <v>1062</v>
      </c>
      <c r="K82" s="1351">
        <v>59</v>
      </c>
      <c r="L82" s="1529">
        <v>112</v>
      </c>
      <c r="M82" s="1530">
        <v>0.24110000000000001</v>
      </c>
      <c r="N82" s="1530">
        <v>1.7899999999999999E-2</v>
      </c>
      <c r="O82" s="1529">
        <v>0</v>
      </c>
      <c r="P82" s="1531">
        <v>2</v>
      </c>
    </row>
    <row r="83" spans="1:16" ht="61.5" hidden="1" customHeight="1" x14ac:dyDescent="0.5">
      <c r="A83" s="1520" t="s">
        <v>1073</v>
      </c>
      <c r="B83" s="2097" t="s">
        <v>106</v>
      </c>
      <c r="C83" s="2097"/>
      <c r="D83" s="2097"/>
      <c r="E83" s="2097"/>
      <c r="F83" s="2097"/>
      <c r="G83" s="2097"/>
      <c r="H83" s="1532"/>
      <c r="I83" s="1521"/>
      <c r="J83" s="1522"/>
      <c r="K83" s="1522"/>
      <c r="L83" s="1533"/>
      <c r="M83" s="1533"/>
      <c r="N83" s="1534"/>
      <c r="O83" s="1533"/>
      <c r="P83" s="1535"/>
    </row>
    <row r="84" spans="1:16" ht="61.5" hidden="1" customHeight="1" x14ac:dyDescent="0.5">
      <c r="A84" s="1536" t="s">
        <v>1078</v>
      </c>
      <c r="B84" s="2100" t="s">
        <v>1612</v>
      </c>
      <c r="C84" s="2100"/>
      <c r="D84" s="2100"/>
      <c r="E84" s="2100"/>
      <c r="F84" s="2100"/>
      <c r="G84" s="2100"/>
      <c r="H84" s="1536"/>
      <c r="I84" s="1537"/>
      <c r="J84" s="1495"/>
      <c r="K84" s="1495"/>
      <c r="L84" s="1538"/>
      <c r="M84" s="1538"/>
      <c r="N84" s="1539"/>
      <c r="O84" s="1538"/>
      <c r="P84" s="1540"/>
    </row>
    <row r="85" spans="1:16" ht="61.5" hidden="1" customHeight="1" x14ac:dyDescent="0.5">
      <c r="A85" s="1520" t="s">
        <v>1078</v>
      </c>
      <c r="B85" s="1520">
        <v>45603</v>
      </c>
      <c r="C85" s="1405" t="s">
        <v>86</v>
      </c>
      <c r="D85" s="1525" t="s">
        <v>1005</v>
      </c>
      <c r="E85" s="1405" t="s">
        <v>2660</v>
      </c>
      <c r="F85" s="1405" t="s">
        <v>2661</v>
      </c>
      <c r="G85" s="1405"/>
      <c r="H85" s="1405"/>
      <c r="I85" s="1526" t="s">
        <v>2662</v>
      </c>
      <c r="J85" s="1405" t="s">
        <v>1087</v>
      </c>
      <c r="K85" s="1351">
        <v>91</v>
      </c>
      <c r="L85" s="1529">
        <v>973</v>
      </c>
      <c r="M85" s="1530">
        <v>0.21579999999999999</v>
      </c>
      <c r="N85" s="1530">
        <v>3.0999999999999999E-3</v>
      </c>
      <c r="O85" s="1529">
        <v>6</v>
      </c>
      <c r="P85" s="1531">
        <v>8</v>
      </c>
    </row>
    <row r="86" spans="1:16" ht="61.5" hidden="1" customHeight="1" x14ac:dyDescent="0.5">
      <c r="A86" s="1536" t="s">
        <v>711</v>
      </c>
      <c r="B86" s="2106" t="s">
        <v>712</v>
      </c>
      <c r="C86" s="2106"/>
      <c r="D86" s="2106"/>
      <c r="E86" s="2106"/>
      <c r="F86" s="2106"/>
      <c r="G86" s="2106"/>
      <c r="H86" s="1495"/>
      <c r="I86" s="1537"/>
      <c r="J86" s="1495"/>
      <c r="K86" s="1495"/>
      <c r="L86" s="1541"/>
      <c r="M86" s="1541"/>
      <c r="N86" s="1539"/>
      <c r="O86" s="1541"/>
      <c r="P86" s="1540"/>
    </row>
    <row r="87" spans="1:16" ht="61.5" hidden="1" customHeight="1" x14ac:dyDescent="0.5">
      <c r="A87" s="1520" t="s">
        <v>711</v>
      </c>
      <c r="B87" s="2097" t="s">
        <v>106</v>
      </c>
      <c r="C87" s="2097"/>
      <c r="D87" s="2097"/>
      <c r="E87" s="2097"/>
      <c r="F87" s="2097"/>
      <c r="G87" s="2097"/>
      <c r="H87" s="1532"/>
      <c r="I87" s="1521"/>
      <c r="J87" s="1522"/>
      <c r="K87" s="1522"/>
      <c r="L87" s="1542"/>
      <c r="M87" s="1542"/>
      <c r="N87" s="1534"/>
      <c r="O87" s="1542"/>
      <c r="P87" s="1535"/>
    </row>
    <row r="88" spans="1:16" ht="61.5" hidden="1" customHeight="1" x14ac:dyDescent="0.5">
      <c r="A88" s="1520" t="s">
        <v>713</v>
      </c>
      <c r="B88" s="1520">
        <v>45615</v>
      </c>
      <c r="C88" s="1405" t="s">
        <v>86</v>
      </c>
      <c r="D88" s="1525" t="s">
        <v>783</v>
      </c>
      <c r="E88" s="1405" t="s">
        <v>2663</v>
      </c>
      <c r="F88" s="1405" t="s">
        <v>2664</v>
      </c>
      <c r="G88" s="1405"/>
      <c r="H88" s="1405"/>
      <c r="I88" s="1525" t="s">
        <v>2665</v>
      </c>
      <c r="J88" s="1405" t="s">
        <v>2666</v>
      </c>
      <c r="K88" s="1351">
        <v>90</v>
      </c>
      <c r="L88" s="1529">
        <v>302</v>
      </c>
      <c r="M88" s="1530">
        <v>6.2899999999999998E-2</v>
      </c>
      <c r="N88" s="1530">
        <v>6.6E-3</v>
      </c>
      <c r="O88" s="1529">
        <v>0</v>
      </c>
      <c r="P88" s="1531">
        <v>2</v>
      </c>
    </row>
    <row r="89" spans="1:16" ht="61.5" hidden="1" customHeight="1" x14ac:dyDescent="0.5">
      <c r="A89" s="1520" t="s">
        <v>2667</v>
      </c>
      <c r="B89" s="2097" t="s">
        <v>2668</v>
      </c>
      <c r="C89" s="2097"/>
      <c r="D89" s="2097"/>
      <c r="E89" s="2097"/>
      <c r="F89" s="2097"/>
      <c r="G89" s="2097"/>
      <c r="H89" s="1532"/>
      <c r="I89" s="1405"/>
      <c r="J89" s="1522"/>
      <c r="K89" s="1522"/>
      <c r="L89" s="1542"/>
      <c r="M89" s="1542"/>
      <c r="N89" s="1534"/>
      <c r="O89" s="1542"/>
      <c r="P89" s="1535"/>
    </row>
    <row r="90" spans="1:16" ht="61.5" hidden="1" customHeight="1" x14ac:dyDescent="0.5">
      <c r="A90" s="1520" t="s">
        <v>717</v>
      </c>
      <c r="B90" s="2097" t="s">
        <v>2668</v>
      </c>
      <c r="C90" s="2097"/>
      <c r="D90" s="2097"/>
      <c r="E90" s="2097"/>
      <c r="F90" s="2097"/>
      <c r="G90" s="2097"/>
      <c r="H90" s="1532"/>
      <c r="I90" s="1405"/>
      <c r="J90" s="1522"/>
      <c r="K90" s="1522"/>
      <c r="L90" s="1542"/>
      <c r="M90" s="1542"/>
      <c r="N90" s="1534"/>
      <c r="O90" s="1542"/>
      <c r="P90" s="1535"/>
    </row>
    <row r="91" spans="1:16" ht="61.5" hidden="1" customHeight="1" x14ac:dyDescent="0.5">
      <c r="A91" s="1536" t="s">
        <v>717</v>
      </c>
      <c r="B91" s="2100" t="s">
        <v>390</v>
      </c>
      <c r="C91" s="2100"/>
      <c r="D91" s="2100"/>
      <c r="E91" s="2100"/>
      <c r="F91" s="2100"/>
      <c r="G91" s="2100"/>
      <c r="H91" s="1536"/>
      <c r="I91" s="1494"/>
      <c r="J91" s="1495"/>
      <c r="K91" s="1495"/>
      <c r="L91" s="1541"/>
      <c r="M91" s="1541"/>
      <c r="N91" s="1539"/>
      <c r="O91" s="1541"/>
      <c r="P91" s="1540"/>
    </row>
    <row r="92" spans="1:16" ht="61.5" hidden="1" customHeight="1" x14ac:dyDescent="0.5">
      <c r="A92" s="1405" t="s">
        <v>719</v>
      </c>
      <c r="B92" s="1520">
        <v>45631</v>
      </c>
      <c r="C92" s="1405" t="s">
        <v>86</v>
      </c>
      <c r="D92" s="1525" t="s">
        <v>1005</v>
      </c>
      <c r="E92" s="1405" t="s">
        <v>2669</v>
      </c>
      <c r="F92" s="1405" t="s">
        <v>2670</v>
      </c>
      <c r="G92" s="1405"/>
      <c r="H92" s="1405"/>
      <c r="I92" s="1526" t="s">
        <v>2671</v>
      </c>
      <c r="J92" s="1405" t="s">
        <v>2672</v>
      </c>
      <c r="K92" s="1351">
        <v>67</v>
      </c>
      <c r="L92" s="1529">
        <v>1981</v>
      </c>
      <c r="M92" s="1530">
        <v>0.1116</v>
      </c>
      <c r="N92" s="1530">
        <v>5.0000000000000002E-5</v>
      </c>
      <c r="O92" s="1529">
        <v>10</v>
      </c>
      <c r="P92" s="1531">
        <v>12</v>
      </c>
    </row>
    <row r="93" spans="1:16" ht="61.5" hidden="1" customHeight="1" x14ac:dyDescent="0.5">
      <c r="A93" s="1520" t="s">
        <v>720</v>
      </c>
      <c r="B93" s="1520">
        <v>45637</v>
      </c>
      <c r="C93" s="1405" t="s">
        <v>2673</v>
      </c>
      <c r="D93" s="1525" t="s">
        <v>783</v>
      </c>
      <c r="E93" s="1405" t="s">
        <v>1958</v>
      </c>
      <c r="F93" s="1525" t="s">
        <v>2674</v>
      </c>
      <c r="G93" s="1405"/>
      <c r="H93" s="1405"/>
      <c r="I93" s="1525" t="s">
        <v>2675</v>
      </c>
      <c r="J93" s="1405" t="s">
        <v>2676</v>
      </c>
      <c r="K93" s="1351">
        <v>42</v>
      </c>
      <c r="L93" s="1529">
        <v>99</v>
      </c>
      <c r="M93" s="1530">
        <v>0.16159999999999999</v>
      </c>
      <c r="N93" s="1530">
        <v>3.0300000000000001E-2</v>
      </c>
      <c r="O93" s="1529">
        <v>0</v>
      </c>
      <c r="P93" s="1531">
        <v>0</v>
      </c>
    </row>
    <row r="94" spans="1:16" ht="61.5" hidden="1" customHeight="1" x14ac:dyDescent="0.5">
      <c r="A94" s="1520" t="s">
        <v>721</v>
      </c>
      <c r="B94" s="1520">
        <v>45644</v>
      </c>
      <c r="C94" s="1405" t="s">
        <v>86</v>
      </c>
      <c r="D94" s="1526" t="s">
        <v>2539</v>
      </c>
      <c r="E94" s="1405" t="s">
        <v>2677</v>
      </c>
      <c r="F94" s="1405"/>
      <c r="G94" s="1405"/>
      <c r="H94" s="1405"/>
      <c r="I94" s="1525" t="s">
        <v>2678</v>
      </c>
      <c r="J94" s="1405" t="s">
        <v>2679</v>
      </c>
      <c r="K94" s="1351">
        <v>105</v>
      </c>
      <c r="L94" s="1529">
        <v>286</v>
      </c>
      <c r="M94" s="1530">
        <v>0.1608</v>
      </c>
      <c r="N94" s="1530">
        <v>7.0000000000000001E-3</v>
      </c>
      <c r="O94" s="1529">
        <v>1</v>
      </c>
      <c r="P94" s="1531">
        <v>1</v>
      </c>
    </row>
    <row r="95" spans="1:16" ht="61.5" hidden="1" customHeight="1" x14ac:dyDescent="0.5">
      <c r="A95" s="1543" t="s">
        <v>722</v>
      </c>
      <c r="B95" s="1544" t="s">
        <v>425</v>
      </c>
      <c r="C95" s="1544"/>
      <c r="D95" s="1544"/>
      <c r="E95" s="1544"/>
      <c r="F95" s="1544"/>
      <c r="G95" s="1544"/>
      <c r="H95" s="1544"/>
      <c r="I95" s="1544"/>
      <c r="J95" s="1493"/>
      <c r="K95" s="1493"/>
      <c r="L95" s="1541"/>
      <c r="M95" s="1541"/>
      <c r="N95" s="1539"/>
      <c r="O95" s="1541"/>
      <c r="P95" s="1540"/>
    </row>
    <row r="96" spans="1:16" ht="61.5" hidden="1" customHeight="1" x14ac:dyDescent="0.5">
      <c r="A96" s="1543" t="s">
        <v>657</v>
      </c>
      <c r="B96" s="1544" t="s">
        <v>1636</v>
      </c>
      <c r="C96" s="1544"/>
      <c r="D96" s="1544"/>
      <c r="E96" s="1544"/>
      <c r="F96" s="1544"/>
      <c r="G96" s="1544"/>
      <c r="H96" s="1544"/>
      <c r="I96" s="1544"/>
      <c r="J96" s="1493"/>
      <c r="K96" s="1493"/>
      <c r="L96" s="1541"/>
      <c r="M96" s="1541"/>
      <c r="N96" s="1539"/>
      <c r="O96" s="1541"/>
      <c r="P96" s="1540"/>
    </row>
    <row r="97" spans="1:16" ht="54.75" customHeight="1" x14ac:dyDescent="0.5">
      <c r="A97" s="1246" t="s">
        <v>659</v>
      </c>
      <c r="B97" s="1246">
        <v>45666</v>
      </c>
      <c r="C97" s="1248" t="s">
        <v>86</v>
      </c>
      <c r="D97" s="1249" t="s">
        <v>2539</v>
      </c>
      <c r="E97" s="1248" t="s">
        <v>2680</v>
      </c>
      <c r="F97" s="1248"/>
      <c r="G97" s="1248"/>
      <c r="H97" s="1248"/>
      <c r="I97" s="1275" t="s">
        <v>2681</v>
      </c>
      <c r="J97" s="1248" t="s">
        <v>2682</v>
      </c>
      <c r="K97" s="1256">
        <v>102</v>
      </c>
      <c r="L97" s="1276">
        <v>283</v>
      </c>
      <c r="M97" s="1278">
        <v>0.1802</v>
      </c>
      <c r="N97" s="1278">
        <v>3.8899999999999997E-2</v>
      </c>
      <c r="O97" s="1276">
        <v>1</v>
      </c>
      <c r="P97" s="1276">
        <v>2</v>
      </c>
    </row>
    <row r="98" spans="1:16" ht="54.75" customHeight="1" x14ac:dyDescent="0.5">
      <c r="A98" s="1246" t="s">
        <v>660</v>
      </c>
      <c r="B98" s="1246">
        <v>45671</v>
      </c>
      <c r="C98" s="1248" t="s">
        <v>86</v>
      </c>
      <c r="D98" s="1275" t="s">
        <v>1005</v>
      </c>
      <c r="E98" s="1248" t="s">
        <v>2683</v>
      </c>
      <c r="F98" s="1248" t="s">
        <v>2684</v>
      </c>
      <c r="G98" s="1545"/>
      <c r="H98" s="1545"/>
      <c r="I98" s="1287" t="s">
        <v>2685</v>
      </c>
      <c r="J98" s="1276" t="s">
        <v>2686</v>
      </c>
      <c r="K98" s="1276">
        <v>78</v>
      </c>
      <c r="L98" s="1277">
        <v>689</v>
      </c>
      <c r="M98" s="1278">
        <v>0.27289999999999998</v>
      </c>
      <c r="N98" s="1385">
        <v>5.7999999999999996E-3</v>
      </c>
      <c r="O98" s="1276">
        <v>5</v>
      </c>
      <c r="P98" s="1276">
        <v>0.03</v>
      </c>
    </row>
    <row r="99" spans="1:16" ht="54.75" customHeight="1" x14ac:dyDescent="0.5">
      <c r="A99" s="1246" t="s">
        <v>661</v>
      </c>
      <c r="B99" s="1246">
        <v>45678</v>
      </c>
      <c r="C99" s="1248" t="s">
        <v>2687</v>
      </c>
      <c r="D99" s="1249" t="s">
        <v>2539</v>
      </c>
      <c r="E99" s="1248" t="s">
        <v>1958</v>
      </c>
      <c r="F99" s="1248" t="s">
        <v>2688</v>
      </c>
      <c r="G99" s="1248"/>
      <c r="H99" s="1248"/>
      <c r="I99" s="1287" t="s">
        <v>2689</v>
      </c>
      <c r="J99" s="1276" t="s">
        <v>2690</v>
      </c>
      <c r="K99" s="1276">
        <v>106</v>
      </c>
      <c r="L99" s="1277">
        <v>43</v>
      </c>
      <c r="M99" s="1278">
        <v>0.186</v>
      </c>
      <c r="N99" s="1278">
        <v>6.9800000000000001E-2</v>
      </c>
      <c r="O99" s="1276">
        <v>0</v>
      </c>
      <c r="P99" s="1276">
        <v>0</v>
      </c>
    </row>
    <row r="100" spans="1:16" ht="54.75" customHeight="1" x14ac:dyDescent="0.5">
      <c r="A100" s="1246" t="s">
        <v>662</v>
      </c>
      <c r="B100" s="1246">
        <v>45685</v>
      </c>
      <c r="C100" s="1248" t="s">
        <v>86</v>
      </c>
      <c r="D100" s="1249" t="s">
        <v>2539</v>
      </c>
      <c r="E100" s="1248" t="s">
        <v>2691</v>
      </c>
      <c r="F100" s="1248" t="s">
        <v>2692</v>
      </c>
      <c r="G100" s="1287" t="s">
        <v>2693</v>
      </c>
      <c r="H100" s="1311"/>
      <c r="I100" s="1287" t="s">
        <v>2694</v>
      </c>
      <c r="J100" s="1276" t="s">
        <v>2695</v>
      </c>
      <c r="K100" s="1546">
        <v>78</v>
      </c>
      <c r="L100" s="1547">
        <v>77</v>
      </c>
      <c r="M100" s="1548">
        <v>0.1948</v>
      </c>
      <c r="N100" s="1549">
        <v>1.2999999999999999E-2</v>
      </c>
      <c r="O100" s="1546">
        <v>1</v>
      </c>
      <c r="P100" s="1546">
        <v>0</v>
      </c>
    </row>
    <row r="101" spans="1:16" ht="54.75" customHeight="1" x14ac:dyDescent="0.5">
      <c r="A101" s="1246" t="s">
        <v>663</v>
      </c>
      <c r="B101" s="1246">
        <v>45692</v>
      </c>
      <c r="C101" s="1248" t="s">
        <v>2696</v>
      </c>
      <c r="D101" s="1249" t="s">
        <v>2539</v>
      </c>
      <c r="E101" s="1248" t="s">
        <v>2697</v>
      </c>
      <c r="F101" s="1281" t="s">
        <v>2698</v>
      </c>
      <c r="G101" s="1248"/>
      <c r="H101" s="1311"/>
      <c r="I101" s="1251"/>
      <c r="J101" s="1276" t="s">
        <v>2699</v>
      </c>
      <c r="K101" s="1276"/>
      <c r="L101" s="1277">
        <v>15</v>
      </c>
      <c r="M101" s="1395">
        <v>0.6</v>
      </c>
      <c r="N101" s="1385">
        <v>0</v>
      </c>
      <c r="O101" s="1276">
        <v>0</v>
      </c>
      <c r="P101" s="1276">
        <v>0</v>
      </c>
    </row>
    <row r="102" spans="1:16" ht="54.75" customHeight="1" x14ac:dyDescent="0.5">
      <c r="A102" s="1550" t="s">
        <v>667</v>
      </c>
      <c r="B102" s="1246">
        <v>45699</v>
      </c>
      <c r="C102" s="1248" t="s">
        <v>2700</v>
      </c>
      <c r="D102" s="1249" t="s">
        <v>2539</v>
      </c>
      <c r="E102" s="1248" t="s">
        <v>2701</v>
      </c>
      <c r="F102" s="1248" t="s">
        <v>2702</v>
      </c>
      <c r="G102" s="1248"/>
      <c r="H102" s="1313"/>
      <c r="I102" s="1287" t="s">
        <v>2703</v>
      </c>
      <c r="J102" s="1276" t="s">
        <v>2704</v>
      </c>
      <c r="K102" s="1276">
        <v>98</v>
      </c>
      <c r="L102" s="1277">
        <v>50</v>
      </c>
      <c r="M102" s="1395">
        <v>0.2</v>
      </c>
      <c r="N102" s="1385">
        <v>0.04</v>
      </c>
      <c r="O102" s="1276">
        <v>0</v>
      </c>
      <c r="P102" s="1276">
        <v>0</v>
      </c>
    </row>
    <row r="103" spans="1:16" ht="54.75" customHeight="1" x14ac:dyDescent="0.5">
      <c r="A103" s="1246" t="s">
        <v>670</v>
      </c>
      <c r="B103" s="1246">
        <v>45707</v>
      </c>
      <c r="C103" s="1248" t="s">
        <v>86</v>
      </c>
      <c r="D103" s="1275" t="s">
        <v>1005</v>
      </c>
      <c r="E103" s="1248" t="s">
        <v>2705</v>
      </c>
      <c r="F103" s="1248" t="s">
        <v>2706</v>
      </c>
      <c r="G103" s="1248" t="s">
        <v>2707</v>
      </c>
      <c r="H103" s="1313"/>
      <c r="I103" s="1551" t="s">
        <v>2708</v>
      </c>
      <c r="J103" s="1276" t="s">
        <v>2709</v>
      </c>
      <c r="K103" s="1276">
        <v>98</v>
      </c>
      <c r="L103" s="1277">
        <v>150</v>
      </c>
      <c r="M103" s="1395">
        <v>0.18</v>
      </c>
      <c r="N103" s="1385">
        <v>1.3299999999999999E-2</v>
      </c>
      <c r="O103" s="1276">
        <v>1</v>
      </c>
      <c r="P103" s="1276">
        <v>4</v>
      </c>
    </row>
    <row r="104" spans="1:16" ht="54.75" customHeight="1" x14ac:dyDescent="0.5">
      <c r="A104" s="1246" t="s">
        <v>670</v>
      </c>
      <c r="B104" s="1246">
        <v>45707</v>
      </c>
      <c r="C104" s="1248" t="s">
        <v>86</v>
      </c>
      <c r="D104" s="1275" t="s">
        <v>1005</v>
      </c>
      <c r="E104" s="1248" t="s">
        <v>2710</v>
      </c>
      <c r="F104" s="1248" t="s">
        <v>2706</v>
      </c>
      <c r="G104" s="1248" t="s">
        <v>2707</v>
      </c>
      <c r="H104" s="1313"/>
      <c r="I104" s="1551" t="s">
        <v>2711</v>
      </c>
      <c r="J104" s="1276" t="s">
        <v>2712</v>
      </c>
      <c r="K104" s="1276">
        <v>98</v>
      </c>
      <c r="L104" s="1277">
        <v>129</v>
      </c>
      <c r="M104" s="1278">
        <v>0.1938</v>
      </c>
      <c r="N104" s="1278">
        <v>7.7999999999999996E-3</v>
      </c>
      <c r="O104" s="1276">
        <v>0</v>
      </c>
      <c r="P104" s="1276">
        <v>1</v>
      </c>
    </row>
    <row r="105" spans="1:16" ht="54.75" customHeight="1" x14ac:dyDescent="0.5">
      <c r="A105" s="1246" t="s">
        <v>672</v>
      </c>
      <c r="B105" s="1246">
        <v>45713</v>
      </c>
      <c r="C105" s="1248" t="s">
        <v>2713</v>
      </c>
      <c r="D105" s="1249" t="s">
        <v>2539</v>
      </c>
      <c r="E105" s="1248" t="s">
        <v>2714</v>
      </c>
      <c r="F105" s="1248" t="s">
        <v>2715</v>
      </c>
      <c r="G105" s="1248" t="s">
        <v>2716</v>
      </c>
      <c r="H105" s="1313"/>
      <c r="I105" s="1552" t="s">
        <v>2717</v>
      </c>
      <c r="J105" s="1276" t="s">
        <v>2718</v>
      </c>
      <c r="K105" s="1276">
        <v>84</v>
      </c>
      <c r="L105" s="1277">
        <v>75</v>
      </c>
      <c r="M105" s="1278">
        <v>0.1867</v>
      </c>
      <c r="N105" s="1385">
        <v>0</v>
      </c>
      <c r="O105" s="1276">
        <v>0</v>
      </c>
      <c r="P105" s="1276">
        <v>0</v>
      </c>
    </row>
    <row r="106" spans="1:16" ht="54.75" customHeight="1" x14ac:dyDescent="0.5">
      <c r="A106" s="1246" t="s">
        <v>674</v>
      </c>
      <c r="B106" s="1246">
        <v>45720</v>
      </c>
      <c r="C106" s="1248" t="s">
        <v>86</v>
      </c>
      <c r="D106" s="1275" t="s">
        <v>1005</v>
      </c>
      <c r="E106" s="1248" t="s">
        <v>2719</v>
      </c>
      <c r="F106" s="1275"/>
      <c r="G106" s="1248"/>
      <c r="H106" s="1313"/>
      <c r="I106" s="1551" t="s">
        <v>2720</v>
      </c>
      <c r="J106" s="1276" t="s">
        <v>2721</v>
      </c>
      <c r="K106" s="1276">
        <v>151</v>
      </c>
      <c r="L106" s="1277">
        <v>52</v>
      </c>
      <c r="M106" s="1278">
        <v>0.65380000000000005</v>
      </c>
      <c r="N106" s="1385">
        <v>0</v>
      </c>
      <c r="O106" s="1276">
        <v>0</v>
      </c>
      <c r="P106" s="1276">
        <v>0</v>
      </c>
    </row>
    <row r="107" spans="1:16" ht="54.75" customHeight="1" x14ac:dyDescent="0.5">
      <c r="A107" s="1246" t="s">
        <v>2722</v>
      </c>
      <c r="B107" s="2098" t="s">
        <v>2723</v>
      </c>
      <c r="C107" s="2098"/>
      <c r="D107" s="2098"/>
      <c r="E107" s="2098"/>
      <c r="F107" s="2098"/>
      <c r="G107" s="2098"/>
      <c r="H107" s="1311"/>
      <c r="I107" s="1551" t="s">
        <v>2724</v>
      </c>
      <c r="J107" s="1276" t="s">
        <v>2725</v>
      </c>
      <c r="K107" s="1276">
        <v>151</v>
      </c>
      <c r="L107" s="1277">
        <v>56</v>
      </c>
      <c r="M107" s="1553">
        <v>0.28570000000000001</v>
      </c>
      <c r="N107" s="1278">
        <v>3.5700000000000003E-2</v>
      </c>
      <c r="O107" s="1276">
        <v>0</v>
      </c>
      <c r="P107" s="1276">
        <v>0</v>
      </c>
    </row>
    <row r="108" spans="1:16" ht="54.75" customHeight="1" x14ac:dyDescent="0.5">
      <c r="A108" s="1246" t="s">
        <v>1204</v>
      </c>
      <c r="B108" s="1246">
        <v>45727</v>
      </c>
      <c r="C108" s="1248" t="s">
        <v>2726</v>
      </c>
      <c r="D108" s="1275" t="s">
        <v>1005</v>
      </c>
      <c r="E108" s="1248" t="s">
        <v>2727</v>
      </c>
      <c r="F108" s="1248" t="s">
        <v>2728</v>
      </c>
      <c r="G108" s="1248"/>
      <c r="H108" s="1313"/>
      <c r="I108" s="1551" t="s">
        <v>2729</v>
      </c>
      <c r="J108" s="1276" t="s">
        <v>2730</v>
      </c>
      <c r="K108" s="1276">
        <v>99</v>
      </c>
      <c r="L108" s="1277">
        <v>286</v>
      </c>
      <c r="M108" s="1278">
        <v>0.20979999999999999</v>
      </c>
      <c r="N108" s="1278">
        <v>3.5000000000000001E-3</v>
      </c>
      <c r="O108" s="1276">
        <v>0</v>
      </c>
      <c r="P108" s="1276">
        <v>1</v>
      </c>
    </row>
    <row r="109" spans="1:16" ht="54.75" customHeight="1" x14ac:dyDescent="0.5">
      <c r="A109" s="1246" t="s">
        <v>2731</v>
      </c>
      <c r="B109" s="2102" t="s">
        <v>2732</v>
      </c>
      <c r="C109" s="2102"/>
      <c r="D109" s="2102"/>
      <c r="E109" s="2102"/>
      <c r="F109" s="2102"/>
      <c r="G109" s="2102"/>
      <c r="H109" s="1313"/>
      <c r="I109" s="1251"/>
      <c r="J109" s="1251"/>
      <c r="K109" s="1276"/>
      <c r="L109" s="1277"/>
      <c r="M109" s="1276"/>
      <c r="N109" s="1385"/>
      <c r="O109" s="1276"/>
      <c r="P109" s="1385"/>
    </row>
    <row r="110" spans="1:16" ht="54.75" customHeight="1" x14ac:dyDescent="0.5">
      <c r="A110" s="1246" t="s">
        <v>681</v>
      </c>
      <c r="B110" s="1246">
        <v>45734</v>
      </c>
      <c r="C110" s="1248" t="s">
        <v>2713</v>
      </c>
      <c r="D110" s="1249" t="s">
        <v>2539</v>
      </c>
      <c r="E110" s="1248" t="s">
        <v>2733</v>
      </c>
      <c r="F110" s="1248" t="s">
        <v>2734</v>
      </c>
      <c r="G110" s="1248" t="s">
        <v>2735</v>
      </c>
      <c r="H110" s="1313"/>
      <c r="I110" s="1551" t="s">
        <v>2736</v>
      </c>
      <c r="J110" s="1276" t="s">
        <v>2737</v>
      </c>
      <c r="K110" s="1276">
        <v>77</v>
      </c>
      <c r="L110" s="1277">
        <v>84</v>
      </c>
      <c r="M110" s="1278">
        <v>0.21429999999999999</v>
      </c>
      <c r="N110" s="1385">
        <v>0</v>
      </c>
      <c r="O110" s="1276">
        <v>0</v>
      </c>
      <c r="P110" s="1276">
        <v>0</v>
      </c>
    </row>
    <row r="111" spans="1:16" ht="54.75" customHeight="1" x14ac:dyDescent="0.5">
      <c r="A111" s="1246" t="s">
        <v>681</v>
      </c>
      <c r="B111" s="1308">
        <v>45736</v>
      </c>
      <c r="C111" s="1248" t="s">
        <v>1239</v>
      </c>
      <c r="D111" s="1249" t="s">
        <v>2539</v>
      </c>
      <c r="E111" s="1248" t="s">
        <v>2738</v>
      </c>
      <c r="F111" s="1275" t="s">
        <v>2739</v>
      </c>
      <c r="G111" s="1302" t="s">
        <v>2740</v>
      </c>
      <c r="H111" s="1313"/>
      <c r="I111" s="1551" t="s">
        <v>2741</v>
      </c>
      <c r="J111" s="1276" t="s">
        <v>2742</v>
      </c>
      <c r="K111" s="1276">
        <v>77</v>
      </c>
      <c r="L111" s="1277">
        <v>434</v>
      </c>
      <c r="M111" s="1278">
        <v>0.2465</v>
      </c>
      <c r="N111" s="1385">
        <v>9.1999999999999998E-3</v>
      </c>
      <c r="O111" s="1276">
        <v>0</v>
      </c>
      <c r="P111" s="1276">
        <v>0</v>
      </c>
    </row>
    <row r="112" spans="1:16" ht="54.75" customHeight="1" x14ac:dyDescent="0.5">
      <c r="A112" s="1246" t="s">
        <v>684</v>
      </c>
      <c r="B112" s="1246">
        <v>45741</v>
      </c>
      <c r="C112" s="1248" t="s">
        <v>86</v>
      </c>
      <c r="D112" s="1275" t="s">
        <v>1005</v>
      </c>
      <c r="E112" s="1248" t="s">
        <v>2743</v>
      </c>
      <c r="F112" s="1248" t="s">
        <v>2744</v>
      </c>
      <c r="G112" s="1248"/>
      <c r="H112" s="1313"/>
      <c r="I112" s="1551" t="s">
        <v>2745</v>
      </c>
      <c r="J112" s="1276" t="s">
        <v>2746</v>
      </c>
      <c r="K112" s="1276">
        <v>55</v>
      </c>
      <c r="L112" s="1277">
        <v>95</v>
      </c>
      <c r="M112" s="1278">
        <v>0.22109999999999999</v>
      </c>
      <c r="N112" s="1278">
        <v>1.0500000000000001E-2</v>
      </c>
      <c r="O112" s="1276">
        <v>1</v>
      </c>
      <c r="P112" s="1276">
        <v>0</v>
      </c>
    </row>
    <row r="113" spans="1:16" ht="54.75" customHeight="1" x14ac:dyDescent="0.5">
      <c r="A113" s="1246" t="s">
        <v>685</v>
      </c>
      <c r="B113" s="1246">
        <v>45748</v>
      </c>
      <c r="C113" s="1248" t="s">
        <v>2713</v>
      </c>
      <c r="D113" s="1249" t="s">
        <v>2539</v>
      </c>
      <c r="E113" s="1248" t="s">
        <v>2747</v>
      </c>
      <c r="F113" s="1248" t="s">
        <v>2748</v>
      </c>
      <c r="G113" s="1248"/>
      <c r="H113" s="1313"/>
      <c r="I113" s="1551" t="s">
        <v>2749</v>
      </c>
      <c r="J113" s="1276" t="s">
        <v>2750</v>
      </c>
      <c r="K113" s="1276">
        <v>76</v>
      </c>
      <c r="L113" s="1277">
        <v>82</v>
      </c>
      <c r="M113" s="1278">
        <v>0.2195</v>
      </c>
      <c r="N113" s="1278">
        <v>1.2200000000000001E-2</v>
      </c>
      <c r="O113" s="1276">
        <v>0</v>
      </c>
      <c r="P113" s="1276">
        <v>1</v>
      </c>
    </row>
    <row r="114" spans="1:16" ht="54.75" customHeight="1" x14ac:dyDescent="0.5">
      <c r="A114" s="1554" t="s">
        <v>426</v>
      </c>
      <c r="B114" s="1308">
        <v>45748</v>
      </c>
      <c r="C114" s="1248" t="s">
        <v>2713</v>
      </c>
      <c r="D114" s="1249" t="s">
        <v>2539</v>
      </c>
      <c r="E114" s="1248" t="s">
        <v>2751</v>
      </c>
      <c r="F114" s="1281" t="s">
        <v>2752</v>
      </c>
      <c r="G114" s="1302" t="s">
        <v>2753</v>
      </c>
      <c r="H114" s="1313" t="s">
        <v>1355</v>
      </c>
      <c r="I114" s="1251"/>
      <c r="J114" s="1251"/>
      <c r="K114" s="1555"/>
      <c r="L114" s="1555"/>
      <c r="M114" s="1555"/>
      <c r="N114" s="1556"/>
      <c r="O114" s="1557"/>
      <c r="P114" s="1557"/>
    </row>
    <row r="115" spans="1:16" ht="54.75" customHeight="1" x14ac:dyDescent="0.5">
      <c r="A115" s="1246" t="s">
        <v>685</v>
      </c>
      <c r="B115" s="2048" t="s">
        <v>2754</v>
      </c>
      <c r="C115" s="2048"/>
      <c r="D115" s="2048"/>
      <c r="E115" s="2048"/>
      <c r="F115" s="2048"/>
      <c r="G115" s="2048"/>
      <c r="H115" s="1313" t="s">
        <v>1355</v>
      </c>
      <c r="I115" s="1251"/>
      <c r="J115" s="1251"/>
      <c r="K115" s="1276"/>
      <c r="L115" s="1277"/>
      <c r="M115" s="1276"/>
      <c r="N115" s="1385"/>
      <c r="O115" s="1276"/>
      <c r="P115" s="1276"/>
    </row>
    <row r="116" spans="1:16" ht="54.75" customHeight="1" x14ac:dyDescent="0.5">
      <c r="A116" s="1246" t="s">
        <v>686</v>
      </c>
      <c r="B116" s="1337">
        <v>45755</v>
      </c>
      <c r="C116" s="1248" t="s">
        <v>2673</v>
      </c>
      <c r="D116" s="1249" t="s">
        <v>2539</v>
      </c>
      <c r="E116" s="1248" t="s">
        <v>2755</v>
      </c>
      <c r="F116" s="1557"/>
      <c r="G116" s="1248"/>
      <c r="H116" s="1313"/>
      <c r="I116" s="1558" t="s">
        <v>2756</v>
      </c>
      <c r="J116" s="1276" t="s">
        <v>2757</v>
      </c>
      <c r="K116" s="1276">
        <v>84</v>
      </c>
      <c r="L116" s="1277">
        <v>138</v>
      </c>
      <c r="M116" s="1278">
        <v>0.22459999999999999</v>
      </c>
      <c r="N116" s="1278">
        <v>1.4500000000000001E-2</v>
      </c>
      <c r="O116" s="1276">
        <v>0</v>
      </c>
      <c r="P116" s="1276">
        <v>0</v>
      </c>
    </row>
    <row r="117" spans="1:16" ht="54.75" customHeight="1" x14ac:dyDescent="0.5">
      <c r="A117" s="1246" t="s">
        <v>687</v>
      </c>
      <c r="B117" s="1337">
        <v>45762</v>
      </c>
      <c r="C117" s="1248" t="s">
        <v>2758</v>
      </c>
      <c r="D117" s="1275" t="s">
        <v>2539</v>
      </c>
      <c r="E117" s="1248" t="s">
        <v>2759</v>
      </c>
      <c r="F117" s="1248" t="s">
        <v>2760</v>
      </c>
      <c r="G117" s="1248"/>
      <c r="H117" s="1313"/>
      <c r="I117" s="1559" t="s">
        <v>2761</v>
      </c>
      <c r="J117" s="1276" t="s">
        <v>2762</v>
      </c>
      <c r="K117" s="1276">
        <v>81</v>
      </c>
      <c r="L117" s="1277">
        <v>130</v>
      </c>
      <c r="M117" s="1278">
        <v>0.22309999999999999</v>
      </c>
      <c r="N117" s="1385">
        <v>3.85E-2</v>
      </c>
      <c r="O117" s="1276">
        <v>0</v>
      </c>
      <c r="P117" s="1276">
        <v>2</v>
      </c>
    </row>
    <row r="118" spans="1:16" ht="54.75" customHeight="1" x14ac:dyDescent="0.5">
      <c r="A118" s="1246" t="s">
        <v>688</v>
      </c>
      <c r="B118" s="1337">
        <v>45769</v>
      </c>
      <c r="C118" s="1248" t="s">
        <v>86</v>
      </c>
      <c r="D118" s="1275" t="s">
        <v>1005</v>
      </c>
      <c r="E118" s="1248" t="s">
        <v>2763</v>
      </c>
      <c r="F118" s="1248" t="s">
        <v>2764</v>
      </c>
      <c r="G118" s="1275" t="s">
        <v>2765</v>
      </c>
      <c r="H118" s="1313"/>
      <c r="I118" s="1559" t="s">
        <v>2766</v>
      </c>
      <c r="J118" s="1276" t="s">
        <v>2767</v>
      </c>
      <c r="K118" s="1276">
        <v>165</v>
      </c>
      <c r="L118" s="1277">
        <v>273</v>
      </c>
      <c r="M118" s="1278">
        <v>0.22339999999999999</v>
      </c>
      <c r="N118" s="1385">
        <v>3.3000000000000002E-2</v>
      </c>
      <c r="O118" s="1276">
        <v>0</v>
      </c>
      <c r="P118" s="1276">
        <v>2</v>
      </c>
    </row>
    <row r="119" spans="1:16" ht="54.75" customHeight="1" x14ac:dyDescent="0.5">
      <c r="A119" s="1246" t="s">
        <v>688</v>
      </c>
      <c r="B119" s="2098" t="s">
        <v>2768</v>
      </c>
      <c r="C119" s="2098"/>
      <c r="D119" s="2098"/>
      <c r="E119" s="2098"/>
      <c r="F119" s="2098"/>
      <c r="G119" s="2098"/>
      <c r="H119" s="1313"/>
      <c r="I119" s="1287" t="s">
        <v>2769</v>
      </c>
      <c r="J119" s="1276" t="s">
        <v>2770</v>
      </c>
      <c r="K119" s="1276">
        <v>165</v>
      </c>
      <c r="L119" s="1277">
        <v>72</v>
      </c>
      <c r="M119" s="1278">
        <v>0.41670000000000001</v>
      </c>
      <c r="N119" s="1278">
        <v>0.16669999999999999</v>
      </c>
      <c r="O119" s="1276">
        <v>0</v>
      </c>
      <c r="P119" s="1276">
        <v>0</v>
      </c>
    </row>
    <row r="120" spans="1:16" ht="54.75" customHeight="1" x14ac:dyDescent="0.5">
      <c r="A120" s="1246" t="s">
        <v>689</v>
      </c>
      <c r="B120" s="1337">
        <v>45776</v>
      </c>
      <c r="C120" s="1248" t="s">
        <v>2713</v>
      </c>
      <c r="D120" s="1275" t="s">
        <v>2539</v>
      </c>
      <c r="E120" s="1248" t="s">
        <v>2771</v>
      </c>
      <c r="F120" s="1275" t="s">
        <v>2772</v>
      </c>
      <c r="G120" s="1248" t="s">
        <v>2773</v>
      </c>
      <c r="H120" s="1313"/>
      <c r="I120" s="1560" t="s">
        <v>2774</v>
      </c>
      <c r="J120" s="1276" t="s">
        <v>2775</v>
      </c>
      <c r="K120" s="1276">
        <v>145</v>
      </c>
      <c r="L120" s="1277">
        <v>106</v>
      </c>
      <c r="M120" s="1278">
        <v>0.23680000000000001</v>
      </c>
      <c r="N120" s="1278">
        <v>9.4000000000000004E-3</v>
      </c>
      <c r="O120" s="1276">
        <v>0</v>
      </c>
      <c r="P120" s="1276">
        <v>0</v>
      </c>
    </row>
    <row r="121" spans="1:16" ht="54.75" customHeight="1" x14ac:dyDescent="0.5">
      <c r="A121" s="1246" t="s">
        <v>2776</v>
      </c>
      <c r="B121" s="1337">
        <v>45783</v>
      </c>
      <c r="C121" s="1248" t="s">
        <v>86</v>
      </c>
      <c r="D121" s="1275" t="s">
        <v>1005</v>
      </c>
      <c r="E121" s="1248" t="s">
        <v>2777</v>
      </c>
      <c r="F121" s="1248" t="s">
        <v>2778</v>
      </c>
      <c r="G121" s="1248"/>
      <c r="H121" s="1313"/>
      <c r="I121" s="1559" t="s">
        <v>2779</v>
      </c>
      <c r="J121" s="1276" t="s">
        <v>2780</v>
      </c>
      <c r="K121" s="1276">
        <v>157</v>
      </c>
      <c r="L121" s="1277">
        <v>419</v>
      </c>
      <c r="M121" s="1278">
        <v>0.18379999999999999</v>
      </c>
      <c r="N121" s="1385">
        <v>4.7999999999999996E-3</v>
      </c>
      <c r="O121" s="1276">
        <v>3</v>
      </c>
      <c r="P121" s="1276">
        <v>1</v>
      </c>
    </row>
    <row r="122" spans="1:16" ht="54.75" customHeight="1" x14ac:dyDescent="0.5">
      <c r="A122" s="1246" t="s">
        <v>2781</v>
      </c>
      <c r="B122" s="1337">
        <v>45790</v>
      </c>
      <c r="C122" s="1248" t="s">
        <v>86</v>
      </c>
      <c r="D122" s="1275" t="s">
        <v>1005</v>
      </c>
      <c r="E122" s="1248" t="s">
        <v>2782</v>
      </c>
      <c r="F122" s="1275" t="s">
        <v>2765</v>
      </c>
      <c r="G122" s="1281" t="s">
        <v>2783</v>
      </c>
      <c r="H122" s="1313"/>
      <c r="I122" s="1287" t="s">
        <v>2784</v>
      </c>
      <c r="J122" s="1276" t="s">
        <v>2785</v>
      </c>
      <c r="K122" s="1276">
        <v>151</v>
      </c>
      <c r="L122" s="1277">
        <v>400</v>
      </c>
      <c r="M122" s="1278">
        <v>0.16500000000000001</v>
      </c>
      <c r="N122" s="1278">
        <v>2.5000000000000001E-3</v>
      </c>
      <c r="O122" s="1276">
        <v>4</v>
      </c>
      <c r="P122" s="1276">
        <v>0</v>
      </c>
    </row>
    <row r="123" spans="1:16" ht="54.75" customHeight="1" x14ac:dyDescent="0.5">
      <c r="A123" s="1246" t="s">
        <v>2786</v>
      </c>
      <c r="B123" s="1337">
        <v>45797</v>
      </c>
      <c r="C123" s="1248" t="s">
        <v>2713</v>
      </c>
      <c r="D123" s="1275" t="s">
        <v>2539</v>
      </c>
      <c r="E123" s="1248" t="s">
        <v>2787</v>
      </c>
      <c r="F123" s="1248" t="s">
        <v>2788</v>
      </c>
      <c r="G123" s="1281"/>
      <c r="H123" s="1251"/>
      <c r="I123" s="1287" t="s">
        <v>2789</v>
      </c>
      <c r="J123" s="1276" t="s">
        <v>2790</v>
      </c>
      <c r="K123" s="1276">
        <v>135</v>
      </c>
      <c r="L123" s="1277">
        <v>103</v>
      </c>
      <c r="M123" s="1278">
        <v>0.2621</v>
      </c>
      <c r="N123" s="1385">
        <v>0</v>
      </c>
      <c r="O123" s="1276">
        <v>0</v>
      </c>
      <c r="P123" s="1276">
        <v>1</v>
      </c>
    </row>
    <row r="124" spans="1:16" ht="54.75" customHeight="1" x14ac:dyDescent="0.5">
      <c r="A124" s="1246" t="s">
        <v>2791</v>
      </c>
      <c r="B124" s="1337">
        <v>45805</v>
      </c>
      <c r="C124" s="1248" t="s">
        <v>2792</v>
      </c>
      <c r="D124" s="1275" t="s">
        <v>2539</v>
      </c>
      <c r="E124" s="1248" t="s">
        <v>2793</v>
      </c>
      <c r="F124" s="1248"/>
      <c r="G124" s="1281"/>
      <c r="H124" s="1251"/>
      <c r="I124" s="1287" t="s">
        <v>2794</v>
      </c>
      <c r="J124" s="1276" t="s">
        <v>2795</v>
      </c>
      <c r="K124" s="1276">
        <v>214</v>
      </c>
      <c r="L124" s="1277">
        <v>26</v>
      </c>
      <c r="M124" s="1278">
        <v>0.53849999999999998</v>
      </c>
      <c r="N124" s="1385">
        <v>0</v>
      </c>
      <c r="O124" s="1276">
        <v>0</v>
      </c>
      <c r="P124" s="1276">
        <v>0</v>
      </c>
    </row>
    <row r="125" spans="1:16" ht="54.75" customHeight="1" x14ac:dyDescent="0.5">
      <c r="A125" s="1246" t="s">
        <v>2791</v>
      </c>
      <c r="B125" s="1337">
        <v>45805</v>
      </c>
      <c r="C125" s="1248" t="s">
        <v>2758</v>
      </c>
      <c r="D125" s="1275" t="s">
        <v>2539</v>
      </c>
      <c r="E125" s="1248" t="s">
        <v>1739</v>
      </c>
      <c r="F125" s="1248" t="s">
        <v>1739</v>
      </c>
      <c r="G125" s="1281"/>
      <c r="H125" s="1251"/>
      <c r="I125" s="1287" t="s">
        <v>2796</v>
      </c>
      <c r="J125" s="1276" t="s">
        <v>2795</v>
      </c>
      <c r="K125" s="1276">
        <v>214</v>
      </c>
      <c r="L125" s="1277">
        <v>61</v>
      </c>
      <c r="M125" s="1278">
        <v>0.19670000000000001</v>
      </c>
      <c r="N125" s="1278">
        <v>3.2800000000000003E-2</v>
      </c>
      <c r="O125" s="1276">
        <v>0</v>
      </c>
      <c r="P125" s="1276">
        <v>2</v>
      </c>
    </row>
    <row r="126" spans="1:16" ht="54.75" customHeight="1" x14ac:dyDescent="0.5">
      <c r="A126" s="1246" t="s">
        <v>2797</v>
      </c>
      <c r="B126" s="2101" t="s">
        <v>2798</v>
      </c>
      <c r="C126" s="2101"/>
      <c r="D126" s="2101"/>
      <c r="E126" s="2101"/>
      <c r="F126" s="2101"/>
      <c r="G126" s="2101"/>
      <c r="H126" s="1313"/>
      <c r="I126" s="1251"/>
      <c r="J126" s="1251"/>
      <c r="K126" s="1276"/>
      <c r="L126" s="1277"/>
      <c r="M126" s="1276"/>
      <c r="N126" s="1385"/>
      <c r="O126" s="1276"/>
      <c r="P126" s="1276"/>
    </row>
    <row r="127" spans="1:16" ht="54.75" customHeight="1" x14ac:dyDescent="0.5">
      <c r="A127" s="1246" t="s">
        <v>697</v>
      </c>
      <c r="B127" s="1337">
        <v>45811</v>
      </c>
      <c r="C127" s="1248" t="s">
        <v>2713</v>
      </c>
      <c r="D127" s="1275" t="s">
        <v>2539</v>
      </c>
      <c r="E127" s="1248" t="s">
        <v>2799</v>
      </c>
      <c r="F127" s="1248" t="s">
        <v>2800</v>
      </c>
      <c r="G127" s="1281" t="s">
        <v>2801</v>
      </c>
      <c r="H127" s="1313"/>
      <c r="I127" s="1287" t="s">
        <v>2802</v>
      </c>
      <c r="J127" s="1276" t="s">
        <v>2803</v>
      </c>
      <c r="K127" s="1276">
        <v>232</v>
      </c>
      <c r="L127" s="1277">
        <v>97</v>
      </c>
      <c r="M127" s="1278">
        <v>0.25769999999999998</v>
      </c>
      <c r="N127" s="1385">
        <v>0</v>
      </c>
      <c r="O127" s="1276">
        <v>0</v>
      </c>
      <c r="P127" s="1276">
        <v>0</v>
      </c>
    </row>
    <row r="128" spans="1:16" ht="54.75" customHeight="1" x14ac:dyDescent="0.5">
      <c r="A128" s="1246" t="s">
        <v>698</v>
      </c>
      <c r="B128" s="1337">
        <v>45818</v>
      </c>
      <c r="C128" s="1248" t="s">
        <v>2713</v>
      </c>
      <c r="D128" s="1275" t="s">
        <v>2539</v>
      </c>
      <c r="E128" s="1248" t="s">
        <v>2804</v>
      </c>
      <c r="F128" s="1248" t="s">
        <v>2805</v>
      </c>
      <c r="G128" s="1281" t="s">
        <v>2806</v>
      </c>
      <c r="H128" s="1313"/>
      <c r="I128" s="1561" t="s">
        <v>2807</v>
      </c>
      <c r="J128" s="1276" t="s">
        <v>2808</v>
      </c>
      <c r="K128" s="1276">
        <v>265</v>
      </c>
      <c r="L128" s="1277">
        <v>106</v>
      </c>
      <c r="M128" s="1278">
        <v>0.29249999999999998</v>
      </c>
      <c r="N128" s="1385">
        <v>0</v>
      </c>
      <c r="O128" s="1276">
        <v>1</v>
      </c>
      <c r="P128" s="1276">
        <v>0</v>
      </c>
    </row>
    <row r="129" spans="1:16" ht="54.75" customHeight="1" x14ac:dyDescent="0.5">
      <c r="A129" s="1246" t="s">
        <v>699</v>
      </c>
      <c r="B129" s="1337">
        <v>45825</v>
      </c>
      <c r="C129" s="1248" t="s">
        <v>86</v>
      </c>
      <c r="D129" s="1275" t="s">
        <v>1005</v>
      </c>
      <c r="E129" s="1248" t="s">
        <v>2809</v>
      </c>
      <c r="F129" s="1248" t="s">
        <v>2810</v>
      </c>
      <c r="G129" s="1281" t="s">
        <v>2811</v>
      </c>
      <c r="H129" s="1313"/>
      <c r="I129" s="1251"/>
      <c r="J129" s="1276" t="s">
        <v>2812</v>
      </c>
      <c r="K129" s="1276">
        <v>425</v>
      </c>
      <c r="L129" s="1277">
        <v>366</v>
      </c>
      <c r="M129" s="1278">
        <v>0.21149999999999999</v>
      </c>
      <c r="N129" s="1278">
        <v>5.4999999999999997E-3</v>
      </c>
      <c r="O129" s="1276">
        <v>2</v>
      </c>
      <c r="P129" s="1276">
        <v>2</v>
      </c>
    </row>
    <row r="130" spans="1:16" ht="54.75" customHeight="1" x14ac:dyDescent="0.5">
      <c r="A130" s="1246" t="s">
        <v>2813</v>
      </c>
      <c r="B130" s="2084" t="s">
        <v>2814</v>
      </c>
      <c r="C130" s="2084"/>
      <c r="D130" s="2084"/>
      <c r="E130" s="2084"/>
      <c r="F130" s="2084"/>
      <c r="G130" s="2084"/>
      <c r="H130" s="1313"/>
      <c r="I130" s="1251"/>
      <c r="J130" s="1276" t="s">
        <v>2815</v>
      </c>
      <c r="K130" s="1396">
        <v>347</v>
      </c>
      <c r="L130" s="1397">
        <v>88</v>
      </c>
      <c r="M130" s="1398">
        <v>0.43180000000000002</v>
      </c>
      <c r="N130" s="1398">
        <v>0.19320000000000001</v>
      </c>
      <c r="O130" s="1396">
        <v>0</v>
      </c>
      <c r="P130" s="1396">
        <v>1</v>
      </c>
    </row>
    <row r="131" spans="1:16" ht="54.75" customHeight="1" x14ac:dyDescent="0.5">
      <c r="A131" s="1246" t="s">
        <v>700</v>
      </c>
      <c r="B131" s="1337">
        <v>45832</v>
      </c>
      <c r="C131" s="1248" t="s">
        <v>2713</v>
      </c>
      <c r="D131" s="1275" t="s">
        <v>2539</v>
      </c>
      <c r="E131" s="1562" t="s">
        <v>2816</v>
      </c>
      <c r="F131" s="1562" t="s">
        <v>2817</v>
      </c>
      <c r="G131" s="1281" t="s">
        <v>2818</v>
      </c>
      <c r="H131" s="1313"/>
      <c r="I131" s="1287" t="s">
        <v>2819</v>
      </c>
      <c r="J131" s="1276" t="s">
        <v>2820</v>
      </c>
      <c r="K131" s="1276">
        <v>347</v>
      </c>
      <c r="L131" s="1277">
        <v>106</v>
      </c>
      <c r="M131" s="1278">
        <v>0.26419999999999999</v>
      </c>
      <c r="N131" s="1278">
        <v>9.4000000000000004E-3</v>
      </c>
      <c r="O131" s="1276">
        <v>0</v>
      </c>
      <c r="P131" s="1276">
        <v>0</v>
      </c>
    </row>
    <row r="132" spans="1:16" ht="54.75" customHeight="1" x14ac:dyDescent="0.5">
      <c r="A132" s="1308">
        <v>45834</v>
      </c>
      <c r="B132" s="2048" t="s">
        <v>2821</v>
      </c>
      <c r="C132" s="2048"/>
      <c r="D132" s="2048"/>
      <c r="E132" s="2048"/>
      <c r="F132" s="2048"/>
      <c r="G132" s="2048"/>
      <c r="H132" s="1313"/>
      <c r="I132" s="1251"/>
      <c r="J132" s="1276"/>
      <c r="K132" s="1276"/>
      <c r="L132" s="1277"/>
      <c r="M132" s="1276"/>
      <c r="N132" s="1385"/>
      <c r="O132" s="1276"/>
      <c r="P132" s="1276"/>
    </row>
    <row r="133" spans="1:16" ht="54.75" customHeight="1" x14ac:dyDescent="0.5">
      <c r="A133" s="1246" t="s">
        <v>701</v>
      </c>
      <c r="B133" s="1337">
        <v>45839</v>
      </c>
      <c r="C133" s="1248" t="s">
        <v>86</v>
      </c>
      <c r="D133" s="1275" t="s">
        <v>1005</v>
      </c>
      <c r="E133" s="1248" t="s">
        <v>2822</v>
      </c>
      <c r="F133" s="1248" t="s">
        <v>2823</v>
      </c>
      <c r="G133" s="1281"/>
      <c r="H133" s="1313"/>
      <c r="I133" s="1287" t="s">
        <v>2824</v>
      </c>
      <c r="J133" s="1276" t="s">
        <v>2825</v>
      </c>
      <c r="K133" s="1276">
        <v>307</v>
      </c>
      <c r="L133" s="1277">
        <v>594</v>
      </c>
      <c r="M133" s="1278">
        <v>0.2374</v>
      </c>
      <c r="N133" s="1278">
        <v>3.3999999999999998E-3</v>
      </c>
      <c r="O133" s="1276">
        <v>5</v>
      </c>
      <c r="P133" s="1276">
        <v>4</v>
      </c>
    </row>
    <row r="134" spans="1:16" ht="54.75" customHeight="1" x14ac:dyDescent="0.5">
      <c r="A134" s="1246" t="s">
        <v>703</v>
      </c>
      <c r="B134" s="1563">
        <v>45846</v>
      </c>
      <c r="C134" s="1310" t="s">
        <v>2713</v>
      </c>
      <c r="D134" s="1564" t="s">
        <v>2539</v>
      </c>
      <c r="E134" s="1310" t="s">
        <v>1558</v>
      </c>
      <c r="F134" s="1310" t="s">
        <v>2826</v>
      </c>
      <c r="G134" s="1319"/>
      <c r="H134" s="1313"/>
      <c r="I134" s="1287" t="s">
        <v>2827</v>
      </c>
      <c r="J134" s="1276" t="s">
        <v>2828</v>
      </c>
      <c r="K134" s="1276">
        <v>329</v>
      </c>
      <c r="L134" s="1277">
        <v>94</v>
      </c>
      <c r="M134" s="1278">
        <v>0.29970000000000002</v>
      </c>
      <c r="N134" s="1278">
        <v>0.10639999999999999</v>
      </c>
      <c r="O134" s="1276">
        <v>0</v>
      </c>
      <c r="P134" s="1276">
        <v>0</v>
      </c>
    </row>
    <row r="135" spans="1:16" ht="54.75" customHeight="1" x14ac:dyDescent="0.5">
      <c r="A135" s="1246" t="s">
        <v>703</v>
      </c>
      <c r="B135" s="1337">
        <v>45846</v>
      </c>
      <c r="C135" s="1248" t="s">
        <v>2673</v>
      </c>
      <c r="D135" s="1275" t="s">
        <v>2539</v>
      </c>
      <c r="E135" s="1248" t="s">
        <v>2829</v>
      </c>
      <c r="F135" s="1248" t="s">
        <v>2701</v>
      </c>
      <c r="G135" s="1281"/>
      <c r="H135" s="1313"/>
      <c r="I135" s="1287" t="s">
        <v>2830</v>
      </c>
      <c r="J135" s="1276" t="s">
        <v>2831</v>
      </c>
      <c r="K135" s="1276">
        <v>329</v>
      </c>
      <c r="L135" s="1277">
        <v>103</v>
      </c>
      <c r="M135" s="1278">
        <v>0.17480000000000001</v>
      </c>
      <c r="N135" s="1385">
        <v>0</v>
      </c>
      <c r="O135" s="1276">
        <v>1</v>
      </c>
      <c r="P135" s="1276">
        <v>0</v>
      </c>
    </row>
    <row r="136" spans="1:16" ht="54.75" customHeight="1" x14ac:dyDescent="0.5">
      <c r="A136" s="1246" t="s">
        <v>1304</v>
      </c>
      <c r="B136" s="1563">
        <v>45853</v>
      </c>
      <c r="C136" s="1310" t="s">
        <v>2713</v>
      </c>
      <c r="D136" s="1564" t="s">
        <v>2539</v>
      </c>
      <c r="E136" s="1310" t="s">
        <v>2260</v>
      </c>
      <c r="F136" s="1310"/>
      <c r="G136" s="1319" t="s">
        <v>2832</v>
      </c>
      <c r="H136" s="1313"/>
      <c r="I136" s="1251"/>
      <c r="J136" s="1276"/>
      <c r="K136" s="1276"/>
      <c r="L136" s="1277"/>
      <c r="M136" s="1276"/>
      <c r="N136" s="1385"/>
      <c r="O136" s="1276"/>
      <c r="P136" s="1276"/>
    </row>
    <row r="137" spans="1:16" ht="54.75" customHeight="1" x14ac:dyDescent="0.5">
      <c r="A137" s="1246" t="s">
        <v>1304</v>
      </c>
      <c r="B137" s="1337">
        <v>45853</v>
      </c>
      <c r="C137" s="1248" t="s">
        <v>2713</v>
      </c>
      <c r="D137" s="1275" t="s">
        <v>1005</v>
      </c>
      <c r="E137" s="1248" t="s">
        <v>2833</v>
      </c>
      <c r="F137" s="1248" t="s">
        <v>2834</v>
      </c>
      <c r="G137" s="1281" t="s">
        <v>2835</v>
      </c>
      <c r="H137" s="1313"/>
      <c r="I137" s="1287" t="s">
        <v>2836</v>
      </c>
      <c r="J137" s="1248" t="s">
        <v>2837</v>
      </c>
      <c r="K137" s="1276"/>
      <c r="L137" s="1277">
        <v>116</v>
      </c>
      <c r="M137" s="1395">
        <v>0.25</v>
      </c>
      <c r="N137" s="1278">
        <v>4.3099999999999999E-2</v>
      </c>
      <c r="O137" s="1276">
        <v>0</v>
      </c>
      <c r="P137" s="1276">
        <v>0</v>
      </c>
    </row>
    <row r="138" spans="1:16" ht="54.75" customHeight="1" x14ac:dyDescent="0.5">
      <c r="A138" s="1246" t="s">
        <v>1310</v>
      </c>
      <c r="B138" s="1563">
        <v>45860</v>
      </c>
      <c r="C138" s="1310" t="s">
        <v>2713</v>
      </c>
      <c r="D138" s="1564" t="s">
        <v>2539</v>
      </c>
      <c r="E138" s="1310" t="s">
        <v>1987</v>
      </c>
      <c r="F138" s="1310" t="s">
        <v>2838</v>
      </c>
      <c r="G138" s="1319" t="s">
        <v>1118</v>
      </c>
      <c r="H138" s="1313"/>
      <c r="I138" s="1287" t="s">
        <v>2839</v>
      </c>
      <c r="J138" s="1276" t="s">
        <v>2840</v>
      </c>
      <c r="K138" s="1276"/>
      <c r="L138" s="1277">
        <v>96</v>
      </c>
      <c r="M138" s="1278">
        <v>0.45829999999999999</v>
      </c>
      <c r="N138" s="1278">
        <v>0.14580000000000001</v>
      </c>
      <c r="O138" s="1276">
        <v>0</v>
      </c>
      <c r="P138" s="1276">
        <v>0</v>
      </c>
    </row>
    <row r="139" spans="1:16" ht="54.75" customHeight="1" x14ac:dyDescent="0.5">
      <c r="A139" s="1246" t="s">
        <v>2841</v>
      </c>
      <c r="B139" s="2084" t="s">
        <v>2842</v>
      </c>
      <c r="C139" s="2084"/>
      <c r="D139" s="2084"/>
      <c r="E139" s="2084"/>
      <c r="F139" s="2084"/>
      <c r="G139" s="2084"/>
      <c r="H139" s="1313"/>
      <c r="I139" s="1287" t="s">
        <v>2843</v>
      </c>
      <c r="J139" s="1276" t="s">
        <v>2844</v>
      </c>
      <c r="K139" s="1555"/>
      <c r="L139" s="1277">
        <v>98</v>
      </c>
      <c r="M139" s="1278">
        <v>0.39800000000000002</v>
      </c>
      <c r="N139" s="1278">
        <v>0.1429</v>
      </c>
      <c r="O139" s="1276"/>
      <c r="P139" s="1276">
        <v>0</v>
      </c>
    </row>
    <row r="140" spans="1:16" ht="54.75" customHeight="1" x14ac:dyDescent="0.5">
      <c r="A140" s="1246" t="s">
        <v>1323</v>
      </c>
      <c r="B140" s="1563">
        <v>45869</v>
      </c>
      <c r="C140" s="1310" t="s">
        <v>2713</v>
      </c>
      <c r="D140" s="1564" t="s">
        <v>2539</v>
      </c>
      <c r="E140" s="1310" t="s">
        <v>2845</v>
      </c>
      <c r="F140" s="1310"/>
      <c r="G140" s="1319" t="s">
        <v>1118</v>
      </c>
      <c r="H140" s="1313"/>
      <c r="I140" s="1287" t="s">
        <v>2846</v>
      </c>
      <c r="J140" s="1276" t="s">
        <v>2847</v>
      </c>
      <c r="K140" s="1276"/>
      <c r="L140" s="1277">
        <v>97</v>
      </c>
      <c r="M140" s="1278">
        <v>0.37109999999999999</v>
      </c>
      <c r="N140" s="1278">
        <v>6.1899999999999997E-2</v>
      </c>
      <c r="O140" s="1276">
        <v>0</v>
      </c>
      <c r="P140" s="1276">
        <v>0</v>
      </c>
    </row>
    <row r="141" spans="1:16" ht="54.75" customHeight="1" x14ac:dyDescent="0.5">
      <c r="A141" s="1246" t="s">
        <v>2848</v>
      </c>
      <c r="B141" s="2099" t="s">
        <v>2849</v>
      </c>
      <c r="C141" s="2099"/>
      <c r="D141" s="2099"/>
      <c r="E141" s="2099"/>
      <c r="F141" s="2099"/>
      <c r="G141" s="2099"/>
      <c r="H141" s="1311"/>
      <c r="I141" s="1251"/>
      <c r="J141" s="1276"/>
      <c r="K141" s="1276"/>
      <c r="L141" s="1277"/>
      <c r="M141" s="1276"/>
      <c r="N141" s="1278"/>
      <c r="O141" s="1276"/>
      <c r="P141" s="1385"/>
    </row>
    <row r="142" spans="1:16" ht="54.75" customHeight="1" x14ac:dyDescent="0.5">
      <c r="A142" s="1246" t="s">
        <v>1769</v>
      </c>
      <c r="B142" s="1563">
        <v>45875</v>
      </c>
      <c r="C142" s="1310" t="s">
        <v>2713</v>
      </c>
      <c r="D142" s="1564" t="s">
        <v>2539</v>
      </c>
      <c r="E142" s="1310" t="s">
        <v>2850</v>
      </c>
      <c r="F142" s="1565" t="s">
        <v>2851</v>
      </c>
      <c r="G142" s="1319" t="s">
        <v>1118</v>
      </c>
      <c r="H142" s="1311"/>
      <c r="I142" s="1287" t="s">
        <v>2852</v>
      </c>
      <c r="J142" s="1276" t="s">
        <v>2853</v>
      </c>
      <c r="K142" s="1276">
        <v>210</v>
      </c>
      <c r="L142" s="1277">
        <v>101</v>
      </c>
      <c r="M142" s="1278">
        <v>0.30690000000000001</v>
      </c>
      <c r="N142" s="1278">
        <v>0.1188</v>
      </c>
      <c r="O142" s="1276">
        <v>0</v>
      </c>
      <c r="P142" s="1276">
        <v>0</v>
      </c>
    </row>
    <row r="143" spans="1:16" ht="54.75" customHeight="1" x14ac:dyDescent="0.5">
      <c r="A143" s="1308">
        <v>45876</v>
      </c>
      <c r="B143" s="2099" t="s">
        <v>2854</v>
      </c>
      <c r="C143" s="2099"/>
      <c r="D143" s="2099"/>
      <c r="E143" s="2099"/>
      <c r="F143" s="2099"/>
      <c r="G143" s="2099"/>
      <c r="H143" s="1311"/>
      <c r="I143" s="1251"/>
      <c r="J143" s="1276"/>
      <c r="K143" s="1276"/>
      <c r="L143" s="1277"/>
      <c r="M143" s="1276"/>
      <c r="N143" s="1278"/>
      <c r="O143" s="1276"/>
      <c r="P143" s="1385"/>
    </row>
    <row r="144" spans="1:16" ht="54.75" customHeight="1" x14ac:dyDescent="0.5">
      <c r="A144" s="1246" t="s">
        <v>1328</v>
      </c>
      <c r="B144" s="1563">
        <v>45881</v>
      </c>
      <c r="C144" s="1310" t="s">
        <v>2713</v>
      </c>
      <c r="D144" s="1564" t="s">
        <v>2539</v>
      </c>
      <c r="E144" s="1310" t="s">
        <v>2855</v>
      </c>
      <c r="F144" s="1566"/>
      <c r="G144" s="1319" t="s">
        <v>1118</v>
      </c>
      <c r="H144" s="1567"/>
      <c r="I144" s="1257" t="s">
        <v>2856</v>
      </c>
      <c r="J144" s="1276" t="s">
        <v>2857</v>
      </c>
      <c r="K144" s="1276">
        <v>119</v>
      </c>
      <c r="L144" s="1277">
        <v>81</v>
      </c>
      <c r="M144" s="1278">
        <v>0.34570000000000001</v>
      </c>
      <c r="N144" s="1278">
        <v>0.1358</v>
      </c>
      <c r="O144" s="1276">
        <v>0</v>
      </c>
      <c r="P144" s="1276">
        <v>1</v>
      </c>
    </row>
    <row r="145" spans="1:16" ht="54.75" customHeight="1" x14ac:dyDescent="0.5">
      <c r="A145" s="1246" t="s">
        <v>1333</v>
      </c>
      <c r="B145" s="1563">
        <v>45888</v>
      </c>
      <c r="C145" s="1310" t="s">
        <v>2713</v>
      </c>
      <c r="D145" s="1564" t="s">
        <v>2539</v>
      </c>
      <c r="E145" s="1310" t="s">
        <v>2293</v>
      </c>
      <c r="F145" s="1566"/>
      <c r="G145" s="1319" t="s">
        <v>1118</v>
      </c>
      <c r="H145" s="1311"/>
      <c r="I145" s="1251"/>
      <c r="J145" s="1276"/>
      <c r="K145" s="1276"/>
      <c r="L145" s="1277"/>
      <c r="M145" s="1276"/>
      <c r="N145" s="1278"/>
      <c r="O145" s="1276"/>
      <c r="P145" s="1385"/>
    </row>
    <row r="146" spans="1:16" ht="54.75" customHeight="1" x14ac:dyDescent="0.5">
      <c r="A146" s="1246" t="s">
        <v>1333</v>
      </c>
      <c r="B146" s="1337">
        <v>45888</v>
      </c>
      <c r="C146" s="1248" t="s">
        <v>2713</v>
      </c>
      <c r="D146" s="1275" t="s">
        <v>1005</v>
      </c>
      <c r="E146" s="1248" t="s">
        <v>2858</v>
      </c>
      <c r="F146" s="1316" t="s">
        <v>2859</v>
      </c>
      <c r="G146" s="1281" t="s">
        <v>2860</v>
      </c>
      <c r="H146" s="1311"/>
      <c r="I146" s="1287" t="s">
        <v>2861</v>
      </c>
      <c r="J146" s="1248" t="s">
        <v>2862</v>
      </c>
      <c r="K146" s="1276">
        <v>96</v>
      </c>
      <c r="L146" s="1277">
        <v>112</v>
      </c>
      <c r="M146" s="1278">
        <v>0.16070000000000001</v>
      </c>
      <c r="N146" s="1278">
        <v>1.7899999999999999E-2</v>
      </c>
      <c r="O146" s="1276">
        <v>0</v>
      </c>
      <c r="P146" s="1276">
        <v>0</v>
      </c>
    </row>
    <row r="147" spans="1:16" ht="54.75" customHeight="1" x14ac:dyDescent="0.5">
      <c r="A147" s="1246" t="s">
        <v>1338</v>
      </c>
      <c r="B147" s="1337">
        <v>45895</v>
      </c>
      <c r="C147" s="1248" t="s">
        <v>2713</v>
      </c>
      <c r="D147" s="1275" t="s">
        <v>2539</v>
      </c>
      <c r="E147" s="1316" t="s">
        <v>2863</v>
      </c>
      <c r="F147" s="1316" t="s">
        <v>2864</v>
      </c>
      <c r="G147" s="1568" t="s">
        <v>521</v>
      </c>
      <c r="H147" s="1311"/>
      <c r="I147" s="1287" t="s">
        <v>2865</v>
      </c>
      <c r="J147" s="1276" t="s">
        <v>2866</v>
      </c>
      <c r="K147" s="1276">
        <v>61</v>
      </c>
      <c r="L147" s="1277">
        <v>113</v>
      </c>
      <c r="M147" s="1278">
        <v>0.17699999999999999</v>
      </c>
      <c r="N147" s="1278">
        <v>1.77E-2</v>
      </c>
      <c r="O147" s="1276">
        <v>0</v>
      </c>
      <c r="P147" s="1276">
        <v>0</v>
      </c>
    </row>
    <row r="148" spans="1:16" ht="54.75" customHeight="1" x14ac:dyDescent="0.5">
      <c r="A148" s="1246" t="s">
        <v>1341</v>
      </c>
      <c r="B148" s="1337">
        <v>45905</v>
      </c>
      <c r="C148" s="1248" t="s">
        <v>41</v>
      </c>
      <c r="D148" s="1275" t="s">
        <v>1005</v>
      </c>
      <c r="E148" s="1316" t="s">
        <v>2867</v>
      </c>
      <c r="F148" s="1316" t="s">
        <v>2868</v>
      </c>
      <c r="G148" s="1568" t="s">
        <v>2869</v>
      </c>
      <c r="H148" s="1311"/>
      <c r="I148" s="1287" t="s">
        <v>2870</v>
      </c>
      <c r="J148" s="1276" t="s">
        <v>2871</v>
      </c>
      <c r="K148" s="1276">
        <v>94</v>
      </c>
      <c r="L148" s="1277">
        <v>233</v>
      </c>
      <c r="M148" s="1278">
        <v>0.18029999999999999</v>
      </c>
      <c r="N148" s="1278">
        <v>1.2800000000000001E-2</v>
      </c>
      <c r="O148" s="1276">
        <v>0</v>
      </c>
      <c r="P148" s="1276">
        <v>1</v>
      </c>
    </row>
    <row r="149" spans="1:16" ht="54.75" customHeight="1" x14ac:dyDescent="0.5">
      <c r="A149" s="1246" t="s">
        <v>1347</v>
      </c>
      <c r="B149" s="1337">
        <v>45909</v>
      </c>
      <c r="C149" s="1248" t="s">
        <v>2872</v>
      </c>
      <c r="D149" s="1275" t="s">
        <v>1005</v>
      </c>
      <c r="E149" s="1316" t="s">
        <v>2873</v>
      </c>
      <c r="F149" s="1316"/>
      <c r="G149" s="1568" t="s">
        <v>2874</v>
      </c>
      <c r="H149" s="1311"/>
      <c r="I149" s="1287" t="s">
        <v>2875</v>
      </c>
      <c r="J149" s="1276" t="s">
        <v>2876</v>
      </c>
      <c r="K149" s="1276">
        <v>78</v>
      </c>
      <c r="L149" s="1277">
        <v>56</v>
      </c>
      <c r="M149" s="1278">
        <v>3.5700000000000003E-2</v>
      </c>
      <c r="N149" s="1278">
        <v>0</v>
      </c>
      <c r="O149" s="1276">
        <v>0</v>
      </c>
      <c r="P149" s="1276">
        <v>0</v>
      </c>
    </row>
    <row r="150" spans="1:16" ht="54.75" customHeight="1" x14ac:dyDescent="0.5">
      <c r="A150" s="1246" t="s">
        <v>2877</v>
      </c>
      <c r="B150" s="2101" t="s">
        <v>2878</v>
      </c>
      <c r="C150" s="2101"/>
      <c r="D150" s="2101"/>
      <c r="E150" s="2101"/>
      <c r="F150" s="2101"/>
      <c r="G150" s="2101"/>
      <c r="H150" s="1311"/>
      <c r="I150" s="1251"/>
      <c r="J150" s="1251"/>
      <c r="K150" s="1276"/>
      <c r="L150" s="1277"/>
      <c r="M150" s="1276"/>
      <c r="N150" s="1278"/>
      <c r="O150" s="1276"/>
      <c r="P150" s="1276"/>
    </row>
    <row r="151" spans="1:16" ht="54.75" customHeight="1" x14ac:dyDescent="0.5">
      <c r="A151" s="1246" t="s">
        <v>1348</v>
      </c>
      <c r="B151" s="1337">
        <v>45918</v>
      </c>
      <c r="C151" s="1316" t="s">
        <v>41</v>
      </c>
      <c r="D151" s="1275" t="s">
        <v>1005</v>
      </c>
      <c r="E151" s="1316" t="s">
        <v>2879</v>
      </c>
      <c r="F151" s="1316" t="s">
        <v>2880</v>
      </c>
      <c r="G151" s="1568"/>
      <c r="H151" s="1311"/>
      <c r="I151" s="1287" t="s">
        <v>2881</v>
      </c>
      <c r="J151" s="1276" t="s">
        <v>2882</v>
      </c>
      <c r="K151" s="1276">
        <v>95</v>
      </c>
      <c r="L151" s="1277">
        <v>299</v>
      </c>
      <c r="M151" s="1278">
        <v>0.18729999999999999</v>
      </c>
      <c r="N151" s="1278">
        <v>3.3E-3</v>
      </c>
      <c r="O151" s="1276">
        <v>2</v>
      </c>
      <c r="P151" s="1276">
        <v>1</v>
      </c>
    </row>
    <row r="152" spans="1:16" ht="54.75" customHeight="1" x14ac:dyDescent="0.5">
      <c r="A152" s="1246" t="s">
        <v>1354</v>
      </c>
      <c r="B152" s="1337">
        <v>45923</v>
      </c>
      <c r="C152" s="1316" t="s">
        <v>41</v>
      </c>
      <c r="D152" s="1275" t="s">
        <v>1005</v>
      </c>
      <c r="E152" s="1316" t="s">
        <v>2883</v>
      </c>
      <c r="F152" s="1316" t="s">
        <v>2884</v>
      </c>
      <c r="G152" s="1568"/>
      <c r="H152" s="1311"/>
      <c r="I152" s="1287" t="s">
        <v>2885</v>
      </c>
      <c r="J152" s="1248" t="s">
        <v>2886</v>
      </c>
      <c r="K152" s="1276">
        <v>97</v>
      </c>
      <c r="L152" s="1277">
        <v>272</v>
      </c>
      <c r="M152" s="1278">
        <v>0.18379999999999999</v>
      </c>
      <c r="N152" s="1278">
        <v>2.5700000000000001E-2</v>
      </c>
      <c r="O152" s="1276">
        <v>0</v>
      </c>
      <c r="P152" s="1276">
        <v>2</v>
      </c>
    </row>
    <row r="153" spans="1:16" ht="54.75" customHeight="1" x14ac:dyDescent="0.5">
      <c r="A153" s="1246" t="s">
        <v>1357</v>
      </c>
      <c r="B153" s="2103" t="s">
        <v>106</v>
      </c>
      <c r="C153" s="2103"/>
      <c r="D153" s="2103"/>
      <c r="E153" s="2103"/>
      <c r="F153" s="2103"/>
      <c r="G153" s="2103"/>
      <c r="H153" s="1311"/>
      <c r="I153" s="1251"/>
      <c r="J153" s="1251"/>
      <c r="K153" s="1276"/>
      <c r="L153" s="1277"/>
      <c r="M153" s="1276"/>
      <c r="N153" s="1385"/>
      <c r="O153" s="1276"/>
      <c r="P153" s="1276"/>
    </row>
    <row r="154" spans="1:16" ht="54.75" customHeight="1" x14ac:dyDescent="0.5">
      <c r="A154" s="1308" t="s">
        <v>2313</v>
      </c>
      <c r="B154" s="1337">
        <v>45939</v>
      </c>
      <c r="C154" s="1316" t="s">
        <v>2887</v>
      </c>
      <c r="D154" s="1275" t="s">
        <v>2539</v>
      </c>
      <c r="E154" s="1316" t="s">
        <v>2888</v>
      </c>
      <c r="F154" s="1316" t="s">
        <v>2889</v>
      </c>
      <c r="G154" s="1568" t="s">
        <v>2890</v>
      </c>
      <c r="H154" s="1311"/>
      <c r="I154" s="1287" t="s">
        <v>2891</v>
      </c>
      <c r="J154" s="1276" t="s">
        <v>2892</v>
      </c>
      <c r="K154" s="1276">
        <v>97</v>
      </c>
      <c r="L154" s="1277">
        <v>353</v>
      </c>
      <c r="M154" s="1278">
        <v>0.2011</v>
      </c>
      <c r="N154" s="1278">
        <v>2.8E-3</v>
      </c>
      <c r="O154" s="1276">
        <v>0</v>
      </c>
      <c r="P154" s="1276">
        <v>1</v>
      </c>
    </row>
    <row r="155" spans="1:16" ht="54.75" customHeight="1" x14ac:dyDescent="0.5">
      <c r="A155" s="1320" t="s">
        <v>2321</v>
      </c>
      <c r="B155" s="1337">
        <v>45944</v>
      </c>
      <c r="C155" s="1316" t="s">
        <v>2872</v>
      </c>
      <c r="D155" s="1275" t="s">
        <v>1005</v>
      </c>
      <c r="E155" s="1316" t="s">
        <v>2893</v>
      </c>
      <c r="F155" s="1316"/>
      <c r="G155" s="1568" t="s">
        <v>2894</v>
      </c>
      <c r="H155" s="1311" t="s">
        <v>1355</v>
      </c>
      <c r="I155" s="1251"/>
      <c r="J155" s="1251"/>
      <c r="K155" s="1555"/>
      <c r="L155" s="1555"/>
      <c r="M155" s="1555"/>
      <c r="N155" s="1556"/>
      <c r="O155" s="1557"/>
      <c r="P155" s="1557"/>
    </row>
    <row r="156" spans="1:16" ht="54.75" customHeight="1" x14ac:dyDescent="0.5">
      <c r="A156" s="1246" t="s">
        <v>2322</v>
      </c>
      <c r="B156" s="2103" t="s">
        <v>106</v>
      </c>
      <c r="C156" s="2103"/>
      <c r="D156" s="2103"/>
      <c r="E156" s="2103"/>
      <c r="F156" s="2103"/>
      <c r="G156" s="2103"/>
      <c r="H156" s="1311"/>
      <c r="I156" s="1251"/>
      <c r="J156" s="1251"/>
      <c r="K156" s="1276"/>
      <c r="L156" s="1277"/>
      <c r="M156" s="1276"/>
      <c r="N156" s="1385"/>
      <c r="O156" s="1276"/>
      <c r="P156" s="1276"/>
    </row>
    <row r="157" spans="1:16" ht="54.75" customHeight="1" x14ac:dyDescent="0.5">
      <c r="A157" s="1246" t="s">
        <v>2327</v>
      </c>
      <c r="B157" s="1337">
        <v>45958</v>
      </c>
      <c r="C157" s="1316" t="s">
        <v>41</v>
      </c>
      <c r="D157" s="1275" t="s">
        <v>1005</v>
      </c>
      <c r="E157" s="1316" t="s">
        <v>2895</v>
      </c>
      <c r="F157" s="1316" t="s">
        <v>2896</v>
      </c>
      <c r="G157" s="1568" t="s">
        <v>2897</v>
      </c>
      <c r="H157" s="1311"/>
      <c r="I157" s="1287" t="s">
        <v>2898</v>
      </c>
      <c r="J157" s="1276" t="s">
        <v>2899</v>
      </c>
      <c r="K157" s="1276">
        <v>124</v>
      </c>
      <c r="L157" s="1277">
        <v>347</v>
      </c>
      <c r="M157" s="1278">
        <v>0.17580000000000001</v>
      </c>
      <c r="N157" s="1385">
        <v>2.8999999999999998E-3</v>
      </c>
      <c r="O157" s="1276">
        <v>3</v>
      </c>
      <c r="P157" s="1276">
        <v>0</v>
      </c>
    </row>
    <row r="158" spans="1:16" ht="50.25" customHeight="1" x14ac:dyDescent="0.5">
      <c r="A158" s="1308">
        <v>45962</v>
      </c>
      <c r="B158" s="2099" t="s">
        <v>2900</v>
      </c>
      <c r="C158" s="2099"/>
      <c r="D158" s="2099"/>
      <c r="E158" s="2099"/>
      <c r="F158" s="2099"/>
      <c r="G158" s="2099"/>
      <c r="H158" s="1311"/>
      <c r="I158" s="1569"/>
      <c r="J158" s="1555"/>
      <c r="K158" s="1555"/>
      <c r="L158" s="1555"/>
      <c r="M158" s="1555"/>
      <c r="N158" s="1556"/>
      <c r="O158" s="1557"/>
      <c r="P158" s="1557"/>
    </row>
    <row r="159" spans="1:16" ht="50.25" customHeight="1" x14ac:dyDescent="0.5">
      <c r="A159" s="1246" t="s">
        <v>2328</v>
      </c>
      <c r="B159" s="1570">
        <v>45966</v>
      </c>
      <c r="C159" s="1571" t="s">
        <v>2713</v>
      </c>
      <c r="D159" s="1572" t="s">
        <v>2539</v>
      </c>
      <c r="E159" s="1571" t="s">
        <v>2901</v>
      </c>
      <c r="F159" s="1571" t="s">
        <v>2902</v>
      </c>
      <c r="G159" s="1569" t="s">
        <v>2903</v>
      </c>
      <c r="H159" s="1311"/>
      <c r="I159" s="1287" t="s">
        <v>2904</v>
      </c>
      <c r="J159" s="1571" t="s">
        <v>2905</v>
      </c>
      <c r="K159" s="1571">
        <v>115</v>
      </c>
      <c r="L159" s="1571">
        <v>339</v>
      </c>
      <c r="M159" s="1573">
        <v>0.27139999999999997</v>
      </c>
      <c r="N159" s="1573">
        <v>1.77E-2</v>
      </c>
      <c r="O159" s="1571">
        <v>0</v>
      </c>
      <c r="P159" s="1571">
        <v>3</v>
      </c>
    </row>
    <row r="160" spans="1:16" ht="50.25" customHeight="1" x14ac:dyDescent="0.5">
      <c r="A160" s="1246" t="s">
        <v>2329</v>
      </c>
      <c r="B160" s="2103" t="s">
        <v>106</v>
      </c>
      <c r="C160" s="2103"/>
      <c r="D160" s="2103"/>
      <c r="E160" s="2103"/>
      <c r="F160" s="2103"/>
      <c r="G160" s="2103"/>
      <c r="H160" s="1311"/>
      <c r="I160" s="1569"/>
      <c r="J160" s="1574"/>
      <c r="K160" s="1571"/>
      <c r="L160" s="1571"/>
      <c r="M160" s="1571"/>
      <c r="N160" s="1573"/>
      <c r="O160" s="1571"/>
      <c r="P160" s="1571"/>
    </row>
    <row r="161" spans="1:16" ht="50.25" customHeight="1" x14ac:dyDescent="0.5">
      <c r="A161" s="1246" t="s">
        <v>2333</v>
      </c>
      <c r="B161" s="1308">
        <v>45980</v>
      </c>
      <c r="C161" s="1246" t="s">
        <v>41</v>
      </c>
      <c r="D161" s="1561" t="s">
        <v>1005</v>
      </c>
      <c r="E161" s="1246" t="s">
        <v>1834</v>
      </c>
      <c r="F161" s="1575"/>
      <c r="G161" s="1575"/>
      <c r="H161" s="1311"/>
      <c r="I161" s="1287" t="s">
        <v>2906</v>
      </c>
      <c r="J161" s="1571" t="s">
        <v>2907</v>
      </c>
      <c r="K161" s="1571">
        <v>149</v>
      </c>
      <c r="L161" s="1571">
        <v>327</v>
      </c>
      <c r="M161" s="1573">
        <v>0.2477</v>
      </c>
      <c r="N161" s="1573">
        <v>1.2200000000000001E-2</v>
      </c>
      <c r="O161" s="1571">
        <v>3</v>
      </c>
      <c r="P161" s="1571">
        <v>0</v>
      </c>
    </row>
    <row r="162" spans="1:16" ht="50.25" customHeight="1" x14ac:dyDescent="0.5">
      <c r="A162" s="1246" t="s">
        <v>2339</v>
      </c>
      <c r="B162" s="2103" t="s">
        <v>1828</v>
      </c>
      <c r="C162" s="2103"/>
      <c r="D162" s="2103"/>
      <c r="E162" s="2103"/>
      <c r="F162" s="2103"/>
      <c r="G162" s="2103"/>
      <c r="H162" s="1311"/>
      <c r="I162" s="1569"/>
      <c r="J162" s="1574"/>
      <c r="K162" s="1571"/>
      <c r="L162" s="1571"/>
      <c r="M162" s="1571"/>
      <c r="N162" s="1573"/>
      <c r="O162" s="1571"/>
      <c r="P162" s="1571"/>
    </row>
    <row r="163" spans="1:16" ht="50.25" customHeight="1" x14ac:dyDescent="0.5">
      <c r="A163" s="1246" t="s">
        <v>2343</v>
      </c>
      <c r="B163" s="1570">
        <v>45993</v>
      </c>
      <c r="C163" s="1316" t="s">
        <v>2908</v>
      </c>
      <c r="D163" s="1572" t="s">
        <v>2539</v>
      </c>
      <c r="E163" s="1571" t="s">
        <v>2909</v>
      </c>
      <c r="F163" s="1571"/>
      <c r="G163" s="1569" t="s">
        <v>2910</v>
      </c>
      <c r="H163" s="1311"/>
      <c r="I163" s="1569"/>
      <c r="J163" s="1291" t="s">
        <v>2911</v>
      </c>
      <c r="K163" s="1571">
        <v>117</v>
      </c>
      <c r="L163" s="1571">
        <v>121</v>
      </c>
      <c r="M163" s="1573">
        <v>0.24790000000000001</v>
      </c>
      <c r="N163" s="1573">
        <v>3.3099999999999997E-2</v>
      </c>
      <c r="O163" s="1571">
        <v>0</v>
      </c>
      <c r="P163" s="1571">
        <v>0</v>
      </c>
    </row>
    <row r="164" spans="1:16" ht="50.25" customHeight="1" x14ac:dyDescent="0.5">
      <c r="A164" s="1571" t="s">
        <v>2344</v>
      </c>
      <c r="B164" s="1570">
        <v>46002</v>
      </c>
      <c r="C164" s="1316" t="s">
        <v>2713</v>
      </c>
      <c r="D164" s="1572" t="s">
        <v>2539</v>
      </c>
      <c r="E164" s="1571" t="s">
        <v>2912</v>
      </c>
      <c r="F164" s="1571"/>
      <c r="G164" s="1314" t="s">
        <v>2913</v>
      </c>
      <c r="H164" s="1311"/>
      <c r="I164" s="1576" t="s">
        <v>2914</v>
      </c>
      <c r="J164" s="1571" t="s">
        <v>2915</v>
      </c>
      <c r="K164" s="1571"/>
      <c r="L164" s="1571"/>
      <c r="M164" s="1571"/>
      <c r="N164" s="1573"/>
      <c r="O164" s="1571"/>
      <c r="P164" s="1571"/>
    </row>
    <row r="165" spans="1:16" ht="50.25" customHeight="1" x14ac:dyDescent="0.5">
      <c r="A165" s="1571" t="s">
        <v>2353</v>
      </c>
      <c r="B165" s="1246" t="s">
        <v>2916</v>
      </c>
      <c r="C165" s="1246" t="s">
        <v>41</v>
      </c>
      <c r="D165" s="1561" t="s">
        <v>1005</v>
      </c>
      <c r="E165" s="1246" t="s">
        <v>2917</v>
      </c>
      <c r="F165" s="1575"/>
      <c r="G165" s="1575" t="s">
        <v>2918</v>
      </c>
      <c r="H165" s="1311"/>
      <c r="I165" s="1569"/>
      <c r="J165" s="1291" t="s">
        <v>2919</v>
      </c>
      <c r="K165" s="1571"/>
      <c r="L165" s="1571">
        <v>202</v>
      </c>
      <c r="M165" s="1573">
        <v>0.2475</v>
      </c>
      <c r="N165" s="1573">
        <v>3.4700000000000002E-2</v>
      </c>
      <c r="O165" s="1571">
        <v>1</v>
      </c>
      <c r="P165" s="1571">
        <v>0</v>
      </c>
    </row>
    <row r="166" spans="1:16" ht="50.25" customHeight="1" x14ac:dyDescent="0.5">
      <c r="A166" s="1337">
        <v>46023</v>
      </c>
      <c r="B166" s="2114" t="s">
        <v>2920</v>
      </c>
      <c r="C166" s="2115"/>
      <c r="D166" s="2115"/>
      <c r="E166" s="2115"/>
      <c r="F166" s="2115"/>
      <c r="G166" s="2116"/>
      <c r="H166" s="1311"/>
      <c r="I166" s="1569"/>
      <c r="J166" s="1658"/>
      <c r="K166" s="1569"/>
      <c r="L166" s="1569"/>
      <c r="M166" s="1569"/>
      <c r="N166" s="1706"/>
      <c r="O166" s="1569"/>
      <c r="P166" s="1569"/>
    </row>
    <row r="167" spans="1:16" ht="50.25" customHeight="1" x14ac:dyDescent="0.5">
      <c r="A167" s="1321" t="s">
        <v>2359</v>
      </c>
      <c r="B167" s="2092" t="s">
        <v>106</v>
      </c>
      <c r="C167" s="2093"/>
      <c r="D167" s="2092"/>
      <c r="E167" s="2093"/>
      <c r="F167" s="2093"/>
      <c r="G167" s="2093"/>
      <c r="H167" s="1311"/>
      <c r="I167" s="1557"/>
      <c r="J167" s="1557"/>
      <c r="K167" s="1571"/>
      <c r="L167" s="1571"/>
      <c r="M167" s="1577"/>
      <c r="N167" s="1571"/>
      <c r="O167" s="1571"/>
      <c r="P167" s="1571"/>
    </row>
    <row r="168" spans="1:16" ht="50.25" customHeight="1" x14ac:dyDescent="0.5">
      <c r="A168" s="1246" t="s">
        <v>2360</v>
      </c>
      <c r="B168" s="1578" t="s">
        <v>2921</v>
      </c>
      <c r="C168" s="1578" t="s">
        <v>41</v>
      </c>
      <c r="D168" s="1579" t="s">
        <v>1005</v>
      </c>
      <c r="E168" s="1578" t="s">
        <v>2922</v>
      </c>
      <c r="F168" s="1578" t="s">
        <v>2923</v>
      </c>
      <c r="G168" s="1578"/>
      <c r="H168" s="1311"/>
      <c r="I168" s="1287" t="s">
        <v>2924</v>
      </c>
      <c r="J168" s="1569" t="s">
        <v>2925</v>
      </c>
      <c r="K168" s="1571">
        <v>145</v>
      </c>
      <c r="L168" s="1571">
        <v>308</v>
      </c>
      <c r="M168" s="1580">
        <v>0.24030000000000001</v>
      </c>
      <c r="N168" s="1573">
        <v>1.95E-2</v>
      </c>
      <c r="O168" s="1571">
        <v>2</v>
      </c>
      <c r="P168" s="1571">
        <v>0</v>
      </c>
    </row>
    <row r="169" spans="1:16" ht="50.25" customHeight="1" x14ac:dyDescent="0.5">
      <c r="A169" s="1246" t="s">
        <v>2365</v>
      </c>
      <c r="B169" s="1569" t="s">
        <v>2926</v>
      </c>
      <c r="C169" s="1569" t="s">
        <v>2927</v>
      </c>
      <c r="D169" s="1572" t="s">
        <v>2539</v>
      </c>
      <c r="E169" s="1569" t="s">
        <v>2928</v>
      </c>
      <c r="F169" s="1569" t="s">
        <v>2929</v>
      </c>
      <c r="G169" s="1569"/>
      <c r="H169" s="1311"/>
      <c r="I169" s="1257" t="s">
        <v>2930</v>
      </c>
      <c r="J169" s="1569" t="s">
        <v>2931</v>
      </c>
      <c r="K169" s="1571">
        <v>168</v>
      </c>
      <c r="L169" s="1571">
        <v>295</v>
      </c>
      <c r="M169" s="1580">
        <v>0.29830000000000001</v>
      </c>
      <c r="N169" s="1573">
        <v>3.39E-2</v>
      </c>
      <c r="O169" s="1571">
        <v>2</v>
      </c>
      <c r="P169" s="1571">
        <v>0</v>
      </c>
    </row>
    <row r="170" spans="1:16" ht="50.25" customHeight="1" x14ac:dyDescent="0.5">
      <c r="A170" s="1315" t="s">
        <v>2366</v>
      </c>
      <c r="B170" s="1569" t="s">
        <v>2367</v>
      </c>
      <c r="C170" s="1578" t="s">
        <v>41</v>
      </c>
      <c r="D170" s="1581" t="s">
        <v>2539</v>
      </c>
      <c r="E170" s="1569" t="s">
        <v>2932</v>
      </c>
      <c r="F170" s="1569"/>
      <c r="G170" s="1569"/>
      <c r="H170" s="1311"/>
      <c r="I170" s="1257" t="s">
        <v>2933</v>
      </c>
      <c r="J170" s="1569" t="s">
        <v>2934</v>
      </c>
      <c r="K170" s="1571">
        <v>173</v>
      </c>
      <c r="L170" s="1571">
        <v>283</v>
      </c>
      <c r="M170" s="1580">
        <v>0.28270000000000001</v>
      </c>
      <c r="N170" s="1573">
        <v>1.06E-2</v>
      </c>
      <c r="O170" s="1571">
        <v>0</v>
      </c>
      <c r="P170" s="1571">
        <v>0</v>
      </c>
    </row>
    <row r="171" spans="1:16" ht="50.25" customHeight="1" x14ac:dyDescent="0.5">
      <c r="A171" s="1246" t="s">
        <v>2372</v>
      </c>
      <c r="B171" s="1569" t="s">
        <v>2935</v>
      </c>
      <c r="C171" s="1578" t="s">
        <v>41</v>
      </c>
      <c r="D171" s="1579" t="s">
        <v>1005</v>
      </c>
      <c r="E171" s="1569" t="s">
        <v>2936</v>
      </c>
      <c r="F171" s="1569" t="s">
        <v>2937</v>
      </c>
      <c r="G171" s="1569"/>
      <c r="H171" s="1311"/>
      <c r="I171" s="634" t="s">
        <v>2938</v>
      </c>
      <c r="J171" s="1569" t="s">
        <v>2939</v>
      </c>
      <c r="K171" s="1571">
        <v>188</v>
      </c>
      <c r="L171" s="1571">
        <v>289</v>
      </c>
      <c r="M171" s="1580">
        <v>0.29409999999999997</v>
      </c>
      <c r="N171" s="1573">
        <v>1.04E-2</v>
      </c>
      <c r="O171" s="1571">
        <v>1</v>
      </c>
      <c r="P171" s="1571">
        <v>2</v>
      </c>
    </row>
    <row r="172" spans="1:16" ht="50.25" customHeight="1" x14ac:dyDescent="0.5">
      <c r="A172" s="1246" t="s">
        <v>2381</v>
      </c>
      <c r="B172" s="1569" t="s">
        <v>2940</v>
      </c>
      <c r="C172" s="1569" t="s">
        <v>2927</v>
      </c>
      <c r="D172" s="1572" t="s">
        <v>2539</v>
      </c>
      <c r="E172" s="1569" t="s">
        <v>1101</v>
      </c>
      <c r="F172" s="1569" t="s">
        <v>2941</v>
      </c>
      <c r="G172" s="1569"/>
      <c r="H172" s="1311"/>
      <c r="I172" s="1191" t="s">
        <v>2942</v>
      </c>
      <c r="J172" s="1569" t="s">
        <v>2943</v>
      </c>
      <c r="K172" s="1569">
        <v>140</v>
      </c>
      <c r="L172" s="1569">
        <v>57</v>
      </c>
      <c r="M172" s="1580">
        <v>0.24560000000000001</v>
      </c>
      <c r="N172" s="1706">
        <v>1.7500000000000002E-2</v>
      </c>
      <c r="O172" s="1569">
        <v>0</v>
      </c>
      <c r="P172" s="1569">
        <v>0</v>
      </c>
    </row>
    <row r="173" spans="1:16" ht="50.25" customHeight="1" x14ac:dyDescent="0.5">
      <c r="A173" s="1246" t="s">
        <v>2382</v>
      </c>
      <c r="B173" s="2092" t="s">
        <v>106</v>
      </c>
      <c r="C173" s="2093"/>
      <c r="D173" s="2092"/>
      <c r="E173" s="2093"/>
      <c r="F173" s="2093"/>
      <c r="G173" s="2093"/>
      <c r="H173" s="1311"/>
      <c r="I173" s="1569"/>
      <c r="J173" s="1569"/>
      <c r="K173" s="1569"/>
      <c r="L173" s="1569"/>
      <c r="M173" s="1582"/>
      <c r="N173" s="1569"/>
      <c r="O173" s="1569"/>
      <c r="P173" s="1569"/>
    </row>
    <row r="174" spans="1:16" ht="50.25" customHeight="1" x14ac:dyDescent="0.5">
      <c r="A174" s="1246" t="s">
        <v>2387</v>
      </c>
      <c r="B174" s="1569" t="s">
        <v>2944</v>
      </c>
      <c r="C174" s="1569" t="s">
        <v>41</v>
      </c>
      <c r="D174" s="1579" t="s">
        <v>1005</v>
      </c>
      <c r="E174" s="1569" t="s">
        <v>2945</v>
      </c>
      <c r="F174" s="1569" t="s">
        <v>2946</v>
      </c>
      <c r="G174" s="1569"/>
      <c r="H174" s="1311"/>
      <c r="I174" s="1191" t="s">
        <v>2947</v>
      </c>
      <c r="J174" s="1569" t="s">
        <v>2948</v>
      </c>
      <c r="K174" s="1569">
        <v>232</v>
      </c>
      <c r="L174" s="1569">
        <v>278</v>
      </c>
      <c r="M174" s="1580">
        <v>0.29139999999999999</v>
      </c>
      <c r="N174" s="1706">
        <v>3.5999999999999999E-3</v>
      </c>
      <c r="O174" s="1569">
        <v>1</v>
      </c>
      <c r="P174" s="1569">
        <v>0</v>
      </c>
    </row>
    <row r="175" spans="1:16" ht="50.25" customHeight="1" x14ac:dyDescent="0.5">
      <c r="A175" s="1246" t="s">
        <v>2387</v>
      </c>
      <c r="B175" s="1576" t="s">
        <v>2949</v>
      </c>
      <c r="C175" s="1781" t="s">
        <v>2950</v>
      </c>
      <c r="D175" s="1782" t="s">
        <v>2951</v>
      </c>
      <c r="E175" s="1727" t="s">
        <v>2952</v>
      </c>
      <c r="F175" s="1727" t="s">
        <v>2953</v>
      </c>
      <c r="G175" s="1727" t="s">
        <v>2954</v>
      </c>
      <c r="H175" s="1311"/>
      <c r="I175" s="1191" t="s">
        <v>2955</v>
      </c>
      <c r="J175" s="1569"/>
      <c r="K175" s="1569">
        <v>206</v>
      </c>
      <c r="L175" s="1569">
        <v>199</v>
      </c>
      <c r="M175" s="1580">
        <v>0.31159999999999999</v>
      </c>
      <c r="N175" s="1708">
        <v>0</v>
      </c>
      <c r="O175" s="1569">
        <v>0</v>
      </c>
      <c r="P175" s="1569">
        <v>0</v>
      </c>
    </row>
    <row r="176" spans="1:16" ht="50.25" customHeight="1" x14ac:dyDescent="0.5">
      <c r="A176" s="1246" t="s">
        <v>2392</v>
      </c>
      <c r="B176" s="1692" t="s">
        <v>2956</v>
      </c>
      <c r="C176" s="1695" t="s">
        <v>41</v>
      </c>
      <c r="D176" s="1778" t="s">
        <v>2539</v>
      </c>
      <c r="E176" s="1784" t="s">
        <v>2957</v>
      </c>
      <c r="F176" s="1778" t="s">
        <v>2958</v>
      </c>
      <c r="G176" s="1695"/>
      <c r="H176" s="1785"/>
      <c r="I176" s="1191" t="s">
        <v>2959</v>
      </c>
      <c r="J176" s="1569"/>
      <c r="K176" s="1569">
        <v>206</v>
      </c>
      <c r="L176" s="1569">
        <v>268</v>
      </c>
      <c r="M176" s="1580">
        <v>0.30969999999999998</v>
      </c>
      <c r="N176" s="1706">
        <v>1.12E-2</v>
      </c>
      <c r="O176" s="1569">
        <v>3</v>
      </c>
      <c r="P176" s="1569">
        <v>0</v>
      </c>
    </row>
    <row r="177" spans="1:16" ht="50.25" customHeight="1" x14ac:dyDescent="0.5">
      <c r="A177" s="1246" t="s">
        <v>2393</v>
      </c>
      <c r="B177" s="1569" t="s">
        <v>2394</v>
      </c>
      <c r="C177" s="1578" t="s">
        <v>41</v>
      </c>
      <c r="D177" s="1579" t="s">
        <v>1005</v>
      </c>
      <c r="E177" s="1569" t="s">
        <v>2960</v>
      </c>
      <c r="F177" s="1557"/>
      <c r="G177" s="1569" t="s">
        <v>2961</v>
      </c>
      <c r="H177" s="1311"/>
      <c r="I177" s="1191" t="s">
        <v>2962</v>
      </c>
      <c r="J177" s="1569" t="s">
        <v>2963</v>
      </c>
      <c r="K177" s="1569">
        <v>209</v>
      </c>
      <c r="L177" s="1569">
        <v>255</v>
      </c>
      <c r="M177" s="1580">
        <v>0.28239999999999998</v>
      </c>
      <c r="N177" s="1706">
        <v>1.18E-2</v>
      </c>
      <c r="O177" s="1569">
        <v>0</v>
      </c>
      <c r="P177" s="1569">
        <v>1</v>
      </c>
    </row>
    <row r="178" spans="1:16" ht="50.25" customHeight="1" x14ac:dyDescent="0.5">
      <c r="A178" s="1246" t="s">
        <v>2397</v>
      </c>
      <c r="B178" s="1569" t="s">
        <v>2398</v>
      </c>
      <c r="C178" s="1569" t="s">
        <v>2927</v>
      </c>
      <c r="D178" s="1579" t="s">
        <v>1005</v>
      </c>
      <c r="E178" s="1569" t="s">
        <v>1101</v>
      </c>
      <c r="F178" s="1569" t="s">
        <v>2964</v>
      </c>
      <c r="G178" s="1569" t="s">
        <v>2965</v>
      </c>
      <c r="H178" s="1311"/>
      <c r="I178" s="1191" t="s">
        <v>2966</v>
      </c>
      <c r="J178" s="1569" t="s">
        <v>2967</v>
      </c>
      <c r="K178" s="1569">
        <v>172</v>
      </c>
      <c r="L178" s="1569">
        <v>56</v>
      </c>
      <c r="M178" s="1790">
        <v>0.32140000000000002</v>
      </c>
      <c r="N178" s="1706">
        <v>3.5700000000000003E-2</v>
      </c>
      <c r="O178" s="1569">
        <v>0</v>
      </c>
      <c r="P178" s="1569">
        <v>0</v>
      </c>
    </row>
    <row r="179" spans="1:16" ht="50.25" customHeight="1" x14ac:dyDescent="0.5">
      <c r="A179" s="1248" t="s">
        <v>2968</v>
      </c>
      <c r="B179" s="2090" t="s">
        <v>2969</v>
      </c>
      <c r="C179" s="2091"/>
      <c r="D179" s="2091"/>
      <c r="E179" s="2091"/>
      <c r="F179" s="2091"/>
      <c r="G179" s="2091"/>
      <c r="H179" s="1311"/>
      <c r="I179" s="1793" t="s">
        <v>2970</v>
      </c>
      <c r="J179" s="1727" t="s">
        <v>2971</v>
      </c>
      <c r="K179" s="1727">
        <v>172</v>
      </c>
      <c r="L179" s="1569">
        <v>45</v>
      </c>
      <c r="M179" s="1708">
        <v>0.4657</v>
      </c>
      <c r="N179" s="1706">
        <v>0.22220000000000001</v>
      </c>
      <c r="O179" s="1569">
        <v>0</v>
      </c>
      <c r="P179" s="1569">
        <v>0</v>
      </c>
    </row>
    <row r="180" spans="1:16" ht="50.25" customHeight="1" x14ac:dyDescent="0.5">
      <c r="A180" s="1246" t="s">
        <v>2400</v>
      </c>
      <c r="B180" s="2092" t="s">
        <v>106</v>
      </c>
      <c r="C180" s="2093"/>
      <c r="D180" s="2092"/>
      <c r="E180" s="2093"/>
      <c r="F180" s="2093"/>
      <c r="G180" s="2093"/>
      <c r="H180" s="1679"/>
      <c r="I180" s="1695"/>
      <c r="J180" s="1794"/>
      <c r="K180" s="1695"/>
      <c r="L180" s="1680"/>
      <c r="M180" s="1577"/>
      <c r="N180" s="1569"/>
      <c r="O180" s="1569"/>
      <c r="P180" s="1569"/>
    </row>
    <row r="181" spans="1:16" ht="50.25" customHeight="1" x14ac:dyDescent="0.5">
      <c r="A181" s="1246" t="s">
        <v>2401</v>
      </c>
      <c r="B181" s="1569" t="s">
        <v>2402</v>
      </c>
      <c r="C181" s="1569" t="s">
        <v>41</v>
      </c>
      <c r="D181" s="1579" t="s">
        <v>1005</v>
      </c>
      <c r="E181" s="1569" t="s">
        <v>2972</v>
      </c>
      <c r="F181" s="1569" t="s">
        <v>2937</v>
      </c>
      <c r="G181" s="1557"/>
      <c r="H181" s="1311"/>
      <c r="I181" s="1801" t="s">
        <v>2973</v>
      </c>
      <c r="J181" s="1803" t="s">
        <v>2974</v>
      </c>
      <c r="K181" s="1719">
        <v>158</v>
      </c>
      <c r="L181" s="1569">
        <v>60</v>
      </c>
      <c r="M181" s="1580">
        <v>0.38329999999999997</v>
      </c>
      <c r="N181" s="1708">
        <v>0</v>
      </c>
      <c r="O181" s="1569">
        <v>0</v>
      </c>
      <c r="P181" s="1569">
        <v>0</v>
      </c>
    </row>
    <row r="182" spans="1:16" ht="50.25" customHeight="1" x14ac:dyDescent="0.5">
      <c r="A182" s="1320" t="s">
        <v>1894</v>
      </c>
      <c r="B182" s="1569" t="s">
        <v>2975</v>
      </c>
      <c r="C182" s="1569" t="s">
        <v>2927</v>
      </c>
      <c r="D182" s="1579" t="s">
        <v>1005</v>
      </c>
      <c r="E182" s="1569" t="s">
        <v>2976</v>
      </c>
      <c r="F182" s="1191" t="s">
        <v>2977</v>
      </c>
      <c r="G182" s="1569" t="s">
        <v>2978</v>
      </c>
      <c r="H182" s="1850" t="s">
        <v>1355</v>
      </c>
      <c r="I182" s="1805"/>
      <c r="J182" s="1806"/>
      <c r="K182" s="1807"/>
      <c r="L182" s="1727"/>
      <c r="M182" s="1851"/>
      <c r="N182" s="1727"/>
      <c r="O182" s="1727"/>
      <c r="P182" s="1727"/>
    </row>
    <row r="183" spans="1:16" ht="50.25" customHeight="1" x14ac:dyDescent="0.5">
      <c r="A183" s="1246" t="s">
        <v>1897</v>
      </c>
      <c r="B183" s="1569" t="s">
        <v>2410</v>
      </c>
      <c r="C183" s="1569" t="s">
        <v>2927</v>
      </c>
      <c r="D183" s="1579" t="s">
        <v>1005</v>
      </c>
      <c r="E183" s="1569" t="s">
        <v>2979</v>
      </c>
      <c r="F183" s="1191" t="s">
        <v>2980</v>
      </c>
      <c r="G183" s="1692"/>
      <c r="H183" s="1833"/>
      <c r="I183" s="1778" t="s">
        <v>2981</v>
      </c>
      <c r="J183" s="1803" t="s">
        <v>2982</v>
      </c>
      <c r="K183" s="1695">
        <v>174</v>
      </c>
      <c r="L183" s="1695">
        <v>77</v>
      </c>
      <c r="M183" s="1852">
        <v>0.30780000000000002</v>
      </c>
      <c r="N183" s="1853">
        <v>1.2999999999999999E-2</v>
      </c>
      <c r="O183" s="1695">
        <v>0</v>
      </c>
      <c r="P183" s="1695">
        <v>0</v>
      </c>
    </row>
    <row r="184" spans="1:16" ht="50.25" hidden="1" customHeight="1" x14ac:dyDescent="0.5">
      <c r="A184" s="1320" t="s">
        <v>1897</v>
      </c>
      <c r="B184" s="1569" t="s">
        <v>2410</v>
      </c>
      <c r="C184" s="1569" t="s">
        <v>2983</v>
      </c>
      <c r="D184" s="1579" t="s">
        <v>1005</v>
      </c>
      <c r="E184" s="1569" t="s">
        <v>2984</v>
      </c>
      <c r="F184" s="1191"/>
      <c r="G184" s="1692"/>
      <c r="H184" s="1833"/>
      <c r="I184" s="1778"/>
      <c r="J184" s="1803"/>
      <c r="K184" s="1695"/>
      <c r="L184" s="1695"/>
      <c r="M184" s="1847"/>
      <c r="N184" s="1695"/>
      <c r="O184" s="1695"/>
      <c r="P184" s="1695"/>
    </row>
    <row r="185" spans="1:16" ht="50.25" customHeight="1" x14ac:dyDescent="0.5">
      <c r="A185" s="1248" t="s">
        <v>2985</v>
      </c>
      <c r="B185" s="2090" t="s">
        <v>1404</v>
      </c>
      <c r="C185" s="2090"/>
      <c r="D185" s="2090"/>
      <c r="E185" s="2090"/>
      <c r="F185" s="2090"/>
      <c r="G185" s="2050"/>
      <c r="H185" s="1833"/>
      <c r="I185" s="1778" t="s">
        <v>2986</v>
      </c>
      <c r="J185" s="1854" t="s">
        <v>2987</v>
      </c>
      <c r="K185" s="1695">
        <v>174</v>
      </c>
      <c r="L185" s="1695">
        <v>57</v>
      </c>
      <c r="M185" s="1853">
        <v>0.40350000000000003</v>
      </c>
      <c r="N185" s="1853">
        <v>0.2281</v>
      </c>
      <c r="O185" s="1695">
        <v>0</v>
      </c>
      <c r="P185" s="1695">
        <v>0</v>
      </c>
    </row>
    <row r="186" spans="1:16" ht="50.25" customHeight="1" x14ac:dyDescent="0.5">
      <c r="A186" s="1248" t="s">
        <v>1906</v>
      </c>
      <c r="B186" s="1248" t="s">
        <v>2988</v>
      </c>
      <c r="C186" s="1569" t="s">
        <v>41</v>
      </c>
      <c r="D186" s="1579" t="s">
        <v>1005</v>
      </c>
      <c r="E186" s="1248" t="s">
        <v>2989</v>
      </c>
      <c r="F186" s="1248"/>
      <c r="G186" s="1248"/>
      <c r="H186" s="1832"/>
      <c r="I186" s="1783" t="s">
        <v>2990</v>
      </c>
      <c r="J186" s="1848" t="s">
        <v>2991</v>
      </c>
      <c r="K186" s="1578">
        <v>166</v>
      </c>
      <c r="L186" s="1578">
        <v>235</v>
      </c>
      <c r="M186" s="1857">
        <v>0.24679999999999999</v>
      </c>
      <c r="N186" s="1857">
        <v>8.5000000000000006E-3</v>
      </c>
      <c r="O186" s="1578">
        <v>1</v>
      </c>
      <c r="P186" s="1578">
        <v>1</v>
      </c>
    </row>
    <row r="187" spans="1:16" ht="50.25" customHeight="1" x14ac:dyDescent="0.5">
      <c r="A187" s="1248" t="s">
        <v>1910</v>
      </c>
      <c r="B187" s="1340" t="s">
        <v>2992</v>
      </c>
      <c r="C187" s="1340" t="s">
        <v>2927</v>
      </c>
      <c r="D187" s="1782" t="s">
        <v>1005</v>
      </c>
      <c r="E187" s="1340" t="s">
        <v>2993</v>
      </c>
      <c r="F187" s="1855" t="s">
        <v>2994</v>
      </c>
      <c r="G187" s="1340" t="s">
        <v>2995</v>
      </c>
      <c r="H187" s="1311"/>
      <c r="I187" s="1870" t="s">
        <v>2996</v>
      </c>
      <c r="J187" s="1854" t="s">
        <v>2997</v>
      </c>
      <c r="K187" s="1719">
        <v>169</v>
      </c>
      <c r="L187" s="1578">
        <v>90</v>
      </c>
      <c r="M187" s="1706">
        <v>0.25559999999999999</v>
      </c>
      <c r="N187" s="1706">
        <v>4.4400000000000002E-2</v>
      </c>
      <c r="O187" s="1569">
        <v>0</v>
      </c>
      <c r="P187" s="1569">
        <v>0</v>
      </c>
    </row>
    <row r="188" spans="1:16" ht="50.25" customHeight="1" x14ac:dyDescent="0.5">
      <c r="A188" s="1248" t="s">
        <v>1914</v>
      </c>
      <c r="B188" s="2092" t="s">
        <v>106</v>
      </c>
      <c r="C188" s="2093"/>
      <c r="D188" s="2092"/>
      <c r="E188" s="2093"/>
      <c r="F188" s="2093"/>
      <c r="G188" s="2093"/>
      <c r="H188" s="1774"/>
      <c r="I188" s="1953"/>
      <c r="J188" s="1854"/>
      <c r="K188" s="1719"/>
      <c r="L188" s="1578"/>
      <c r="M188" s="1706"/>
      <c r="N188" s="1706"/>
      <c r="O188" s="1569"/>
      <c r="P188" s="1569"/>
    </row>
    <row r="189" spans="1:16" ht="50.25" customHeight="1" x14ac:dyDescent="0.5">
      <c r="A189" s="1838" t="s">
        <v>2432</v>
      </c>
      <c r="B189" s="1570">
        <v>45788</v>
      </c>
      <c r="C189" s="1316" t="s">
        <v>2998</v>
      </c>
      <c r="D189" s="1572" t="s">
        <v>2539</v>
      </c>
      <c r="E189" s="1571" t="s">
        <v>2909</v>
      </c>
      <c r="F189" s="1571"/>
      <c r="G189" s="1569" t="s">
        <v>2910</v>
      </c>
      <c r="H189" s="1774"/>
      <c r="I189" s="1778" t="s">
        <v>2999</v>
      </c>
      <c r="J189" s="1854" t="s">
        <v>3000</v>
      </c>
      <c r="K189" s="1719">
        <v>211</v>
      </c>
      <c r="L189" s="1578">
        <v>129</v>
      </c>
      <c r="M189" s="1706">
        <v>0.2016</v>
      </c>
      <c r="N189" s="1706">
        <v>7.7999999999999996E-3</v>
      </c>
      <c r="O189" s="1569">
        <v>1</v>
      </c>
      <c r="P189" s="1569">
        <v>2</v>
      </c>
    </row>
    <row r="190" spans="1:16" ht="50.25" customHeight="1" x14ac:dyDescent="0.5">
      <c r="A190" s="1248" t="s">
        <v>2432</v>
      </c>
      <c r="B190" s="1333" t="s">
        <v>2433</v>
      </c>
      <c r="C190" s="1333" t="s">
        <v>2927</v>
      </c>
      <c r="D190" s="1579" t="s">
        <v>1005</v>
      </c>
      <c r="E190" s="1333" t="s">
        <v>3001</v>
      </c>
      <c r="F190" s="1191" t="s">
        <v>2980</v>
      </c>
      <c r="G190" s="1333"/>
      <c r="H190" s="1679"/>
      <c r="I190" s="1778" t="s">
        <v>3002</v>
      </c>
      <c r="J190" s="1803" t="s">
        <v>3003</v>
      </c>
      <c r="K190" s="1719">
        <v>211</v>
      </c>
      <c r="L190" s="1578">
        <v>102</v>
      </c>
      <c r="M190" s="1706">
        <v>0.35289999999999999</v>
      </c>
      <c r="N190" s="1706">
        <v>8.8200000000000001E-2</v>
      </c>
      <c r="O190" s="1569">
        <v>0</v>
      </c>
      <c r="P190" s="1569">
        <v>0</v>
      </c>
    </row>
    <row r="191" spans="1:16" ht="50.25" customHeight="1" x14ac:dyDescent="0.5">
      <c r="A191" s="1248" t="s">
        <v>1920</v>
      </c>
      <c r="B191" s="1248" t="s">
        <v>2437</v>
      </c>
      <c r="C191" s="1248" t="s">
        <v>2927</v>
      </c>
      <c r="D191" s="1579" t="s">
        <v>1005</v>
      </c>
      <c r="E191" s="1248" t="s">
        <v>3004</v>
      </c>
      <c r="F191" s="517" t="s">
        <v>3005</v>
      </c>
      <c r="G191" s="1248"/>
      <c r="H191" s="1869"/>
      <c r="I191" s="1778" t="s">
        <v>3006</v>
      </c>
      <c r="J191" s="1854" t="s">
        <v>3007</v>
      </c>
      <c r="K191" s="1719">
        <v>146</v>
      </c>
      <c r="L191" s="1578">
        <v>107</v>
      </c>
      <c r="M191" s="1706">
        <v>0.28970000000000001</v>
      </c>
      <c r="N191" s="1706">
        <v>2.8000000000000001E-2</v>
      </c>
      <c r="O191" s="1569">
        <v>0</v>
      </c>
      <c r="P191" s="1569">
        <v>0</v>
      </c>
    </row>
    <row r="192" spans="1:16" ht="50.25" customHeight="1" x14ac:dyDescent="0.5">
      <c r="A192" s="1248" t="s">
        <v>3008</v>
      </c>
      <c r="B192" s="2090" t="s">
        <v>3009</v>
      </c>
      <c r="C192" s="2090"/>
      <c r="D192" s="2090"/>
      <c r="E192" s="2090"/>
      <c r="F192" s="2090"/>
      <c r="G192" s="2050"/>
      <c r="H192" s="1869"/>
      <c r="I192" s="1695"/>
      <c r="J192" s="1849"/>
      <c r="K192" s="1719"/>
      <c r="L192" s="1578"/>
      <c r="M192" s="1569"/>
      <c r="N192" s="1706"/>
      <c r="O192" s="1569"/>
      <c r="P192" s="1569"/>
    </row>
    <row r="193" spans="1:16" ht="50.25" customHeight="1" x14ac:dyDescent="0.5">
      <c r="A193" s="1248" t="s">
        <v>3010</v>
      </c>
      <c r="B193" s="2094" t="s">
        <v>1434</v>
      </c>
      <c r="C193" s="2094"/>
      <c r="D193" s="2094"/>
      <c r="E193" s="2094"/>
      <c r="F193" s="2094"/>
      <c r="G193" s="2056"/>
      <c r="H193" s="1869"/>
      <c r="I193" s="1778" t="s">
        <v>3011</v>
      </c>
      <c r="J193" s="1854" t="s">
        <v>3012</v>
      </c>
      <c r="K193" s="1680">
        <v>213</v>
      </c>
      <c r="L193" s="1569">
        <v>84</v>
      </c>
      <c r="M193" s="1706">
        <v>0.53569999999999995</v>
      </c>
      <c r="N193" s="1706">
        <v>0.36899999999999999</v>
      </c>
      <c r="O193" s="1569">
        <v>0</v>
      </c>
      <c r="P193" s="1569">
        <v>0</v>
      </c>
    </row>
    <row r="194" spans="1:16" ht="50.25" customHeight="1" x14ac:dyDescent="0.5">
      <c r="A194" s="1248" t="s">
        <v>1936</v>
      </c>
      <c r="B194" s="1895" t="s">
        <v>3013</v>
      </c>
      <c r="C194" s="1896" t="s">
        <v>2927</v>
      </c>
      <c r="D194" s="1897" t="s">
        <v>1005</v>
      </c>
      <c r="E194" s="1896" t="s">
        <v>3014</v>
      </c>
      <c r="F194" s="1898"/>
      <c r="G194" s="1898" t="s">
        <v>2994</v>
      </c>
      <c r="H194" s="1886"/>
      <c r="I194" s="1901" t="s">
        <v>3015</v>
      </c>
      <c r="J194" s="1854" t="s">
        <v>3016</v>
      </c>
      <c r="K194" s="1680">
        <v>237</v>
      </c>
      <c r="L194" s="1569">
        <v>131</v>
      </c>
      <c r="M194" s="1706">
        <v>0.25950000000000001</v>
      </c>
      <c r="N194" s="1706">
        <v>7.6E-3</v>
      </c>
      <c r="O194" s="1569">
        <v>0</v>
      </c>
      <c r="P194" s="1569">
        <v>0</v>
      </c>
    </row>
    <row r="195" spans="1:16" ht="50.25" customHeight="1" x14ac:dyDescent="0.5">
      <c r="A195" s="1894" t="s">
        <v>2446</v>
      </c>
      <c r="B195" s="2095" t="s">
        <v>1512</v>
      </c>
      <c r="C195" s="2090"/>
      <c r="D195" s="2096"/>
      <c r="E195" s="2090"/>
      <c r="F195" s="2090"/>
      <c r="G195" s="2090"/>
      <c r="H195" s="1311"/>
      <c r="I195" s="1727"/>
      <c r="J195" s="1906"/>
      <c r="K195" s="1734"/>
      <c r="L195" s="1727"/>
      <c r="M195" s="1727"/>
      <c r="N195" s="1735"/>
      <c r="O195" s="1569"/>
      <c r="P195" s="1569"/>
    </row>
    <row r="196" spans="1:16" ht="50.25" customHeight="1" x14ac:dyDescent="0.5">
      <c r="A196" s="1402" t="s">
        <v>1940</v>
      </c>
      <c r="B196" s="1333" t="s">
        <v>2450</v>
      </c>
      <c r="C196" s="1578" t="s">
        <v>41</v>
      </c>
      <c r="D196" s="1856" t="s">
        <v>1005</v>
      </c>
      <c r="E196" s="1887" t="s">
        <v>3017</v>
      </c>
      <c r="F196" s="1888" t="s">
        <v>3018</v>
      </c>
      <c r="G196" s="1333"/>
      <c r="H196" s="1899"/>
      <c r="I196" s="1778" t="s">
        <v>3019</v>
      </c>
      <c r="J196" s="1803" t="s">
        <v>3020</v>
      </c>
      <c r="K196" s="1695">
        <v>254</v>
      </c>
      <c r="L196" s="1695">
        <v>73</v>
      </c>
      <c r="M196" s="1853">
        <v>0.36990000000000001</v>
      </c>
      <c r="N196" s="1853">
        <v>1.37E-2</v>
      </c>
      <c r="O196" s="1680">
        <v>0</v>
      </c>
      <c r="P196" s="1569">
        <v>0</v>
      </c>
    </row>
    <row r="197" spans="1:16" ht="50.25" customHeight="1" x14ac:dyDescent="0.5">
      <c r="A197" s="1402" t="s">
        <v>1944</v>
      </c>
      <c r="B197" s="1248" t="s">
        <v>3021</v>
      </c>
      <c r="C197" s="1248" t="s">
        <v>3022</v>
      </c>
      <c r="D197" s="1856" t="s">
        <v>1005</v>
      </c>
      <c r="E197" s="1695" t="s">
        <v>3023</v>
      </c>
      <c r="F197" s="843" t="s">
        <v>3024</v>
      </c>
      <c r="G197" s="1248"/>
      <c r="H197" s="1869"/>
      <c r="I197" s="1801" t="s">
        <v>3025</v>
      </c>
      <c r="J197" s="1907" t="s">
        <v>3026</v>
      </c>
      <c r="K197" s="1929"/>
      <c r="L197" s="1930"/>
      <c r="M197" s="1930"/>
      <c r="N197" s="1931"/>
      <c r="O197" s="1858"/>
      <c r="P197" s="1858"/>
    </row>
    <row r="198" spans="1:16" ht="50.25" customHeight="1" x14ac:dyDescent="0.5">
      <c r="A198" s="1402" t="s">
        <v>3027</v>
      </c>
      <c r="B198" s="2090" t="s">
        <v>1555</v>
      </c>
      <c r="C198" s="2090"/>
      <c r="D198" s="2090"/>
      <c r="E198" s="2091"/>
      <c r="F198" s="2090"/>
      <c r="G198" s="2090"/>
      <c r="H198" s="1869"/>
      <c r="I198" s="1569"/>
      <c r="J198" s="1802"/>
      <c r="K198" s="1569"/>
      <c r="L198" s="1569"/>
      <c r="M198" s="1569"/>
      <c r="N198" s="1706"/>
      <c r="O198" s="1569"/>
      <c r="P198" s="1569"/>
    </row>
    <row r="199" spans="1:16" ht="50.25" customHeight="1" x14ac:dyDescent="0.5">
      <c r="A199" s="1248" t="s">
        <v>3028</v>
      </c>
      <c r="B199" s="2090" t="s">
        <v>3029</v>
      </c>
      <c r="C199" s="2090"/>
      <c r="D199" s="2090"/>
      <c r="E199" s="2090"/>
      <c r="F199" s="2090"/>
      <c r="G199" s="2090"/>
      <c r="H199" s="1869"/>
      <c r="I199" s="1569"/>
      <c r="J199" s="1658"/>
      <c r="K199" s="1569"/>
      <c r="L199" s="1569"/>
      <c r="M199" s="1569"/>
      <c r="N199" s="1706"/>
      <c r="O199" s="1569"/>
      <c r="P199" s="1569"/>
    </row>
    <row r="200" spans="1:16" ht="50.25" customHeight="1" x14ac:dyDescent="0.5">
      <c r="A200" s="1248" t="s">
        <v>1953</v>
      </c>
      <c r="B200" s="2092" t="s">
        <v>1954</v>
      </c>
      <c r="C200" s="2093"/>
      <c r="D200" s="2093"/>
      <c r="E200" s="2093"/>
      <c r="F200" s="2093"/>
      <c r="G200" s="2093"/>
      <c r="H200" s="1869"/>
      <c r="I200" s="1569"/>
      <c r="J200" s="1658"/>
      <c r="K200" s="1569"/>
      <c r="L200" s="1569"/>
      <c r="M200" s="1569"/>
      <c r="N200" s="1706"/>
      <c r="O200" s="1569"/>
      <c r="P200" s="1569"/>
    </row>
    <row r="201" spans="1:16" ht="50.25" customHeight="1" x14ac:dyDescent="0.5">
      <c r="A201" s="1248" t="s">
        <v>3030</v>
      </c>
      <c r="B201" s="2090" t="s">
        <v>1471</v>
      </c>
      <c r="C201" s="2090"/>
      <c r="D201" s="2090"/>
      <c r="E201" s="2090"/>
      <c r="F201" s="2090"/>
      <c r="G201" s="2090"/>
      <c r="H201" s="1869"/>
      <c r="I201" s="1569"/>
      <c r="J201" s="1658"/>
      <c r="K201" s="1569"/>
      <c r="L201" s="1569"/>
      <c r="M201" s="1569"/>
      <c r="N201" s="1706"/>
      <c r="O201" s="1569"/>
      <c r="P201" s="1569"/>
    </row>
    <row r="202" spans="1:16" ht="50.25" customHeight="1" x14ac:dyDescent="0.5">
      <c r="A202" s="1248" t="s">
        <v>3031</v>
      </c>
      <c r="B202" s="2090" t="s">
        <v>3032</v>
      </c>
      <c r="C202" s="2090"/>
      <c r="D202" s="2090"/>
      <c r="E202" s="2090"/>
      <c r="F202" s="2090"/>
      <c r="G202" s="2090"/>
      <c r="H202" s="1869"/>
      <c r="I202" s="1569"/>
      <c r="J202" s="1658"/>
      <c r="K202" s="1569"/>
      <c r="L202" s="1569"/>
      <c r="M202" s="1569"/>
      <c r="N202" s="1706"/>
      <c r="O202" s="1569"/>
      <c r="P202" s="1569"/>
    </row>
    <row r="203" spans="1:16" ht="50.25" customHeight="1" x14ac:dyDescent="0.5">
      <c r="A203" s="1248" t="s">
        <v>3033</v>
      </c>
      <c r="B203" s="2050" t="s">
        <v>3034</v>
      </c>
      <c r="C203" s="2051"/>
      <c r="D203" s="2051"/>
      <c r="E203" s="2051"/>
      <c r="F203" s="2051"/>
      <c r="G203" s="2052"/>
      <c r="H203" s="1869"/>
      <c r="I203" s="1569"/>
      <c r="J203" s="1658"/>
      <c r="K203" s="1569"/>
      <c r="L203" s="1569"/>
      <c r="M203" s="1569"/>
      <c r="N203" s="1706"/>
      <c r="O203" s="1569"/>
      <c r="P203" s="1569"/>
    </row>
    <row r="204" spans="1:16" ht="50.25" customHeight="1" x14ac:dyDescent="0.5">
      <c r="A204" s="1248" t="s">
        <v>2466</v>
      </c>
      <c r="B204" s="2090" t="s">
        <v>1562</v>
      </c>
      <c r="C204" s="2090"/>
      <c r="D204" s="2090"/>
      <c r="E204" s="2090"/>
      <c r="F204" s="2090"/>
      <c r="G204" s="2090"/>
      <c r="H204" s="1869"/>
      <c r="I204" s="1569"/>
      <c r="J204" s="1658"/>
      <c r="K204" s="1569"/>
      <c r="L204" s="1569"/>
      <c r="M204" s="1569"/>
      <c r="N204" s="1706"/>
      <c r="O204" s="1569"/>
      <c r="P204" s="1569"/>
    </row>
    <row r="205" spans="1:16" ht="50.25" customHeight="1" x14ac:dyDescent="0.5">
      <c r="A205" s="1248" t="s">
        <v>3035</v>
      </c>
      <c r="B205" s="2090" t="s">
        <v>1563</v>
      </c>
      <c r="C205" s="2090"/>
      <c r="D205" s="2090"/>
      <c r="E205" s="2090"/>
      <c r="F205" s="2090"/>
      <c r="G205" s="2090"/>
      <c r="H205" s="1869"/>
      <c r="I205" s="1569"/>
      <c r="J205" s="1658"/>
      <c r="K205" s="1569"/>
      <c r="L205" s="1569"/>
      <c r="M205" s="1569"/>
      <c r="N205" s="1706"/>
      <c r="O205" s="1569"/>
      <c r="P205" s="1569"/>
    </row>
    <row r="206" spans="1:16" ht="50.25" customHeight="1" x14ac:dyDescent="0.5">
      <c r="A206" s="1248" t="s">
        <v>3036</v>
      </c>
      <c r="B206" s="2090" t="s">
        <v>3037</v>
      </c>
      <c r="C206" s="2090"/>
      <c r="D206" s="2090"/>
      <c r="E206" s="2091"/>
      <c r="F206" s="2090"/>
      <c r="G206" s="2090"/>
      <c r="H206" s="1869"/>
      <c r="I206" s="1569"/>
      <c r="J206" s="1658"/>
      <c r="K206" s="1569"/>
      <c r="L206" s="1569"/>
      <c r="M206" s="1569"/>
      <c r="N206" s="1706"/>
      <c r="O206" s="1569"/>
      <c r="P206" s="1569"/>
    </row>
    <row r="207" spans="1:16" ht="50.25" customHeight="1" x14ac:dyDescent="0.5">
      <c r="A207" s="1248" t="s">
        <v>2471</v>
      </c>
      <c r="B207" s="1912">
        <v>46233</v>
      </c>
      <c r="C207" s="1912" t="s">
        <v>2927</v>
      </c>
      <c r="D207" s="1572" t="s">
        <v>2539</v>
      </c>
      <c r="E207" s="1912" t="s">
        <v>3038</v>
      </c>
      <c r="F207" s="1912" t="s">
        <v>3039</v>
      </c>
      <c r="G207" s="1912"/>
      <c r="H207" s="1869"/>
      <c r="I207" s="1569"/>
      <c r="J207" s="1658"/>
      <c r="K207" s="1569"/>
      <c r="L207" s="1569"/>
      <c r="M207" s="1569"/>
      <c r="N207" s="1706"/>
      <c r="O207" s="1569"/>
      <c r="P207" s="1569"/>
    </row>
    <row r="208" spans="1:16" ht="50.25" customHeight="1" x14ac:dyDescent="0.5">
      <c r="A208" s="1248" t="s">
        <v>3040</v>
      </c>
      <c r="B208" s="2050" t="s">
        <v>3041</v>
      </c>
      <c r="C208" s="2051"/>
      <c r="D208" s="2051"/>
      <c r="E208" s="2051"/>
      <c r="F208" s="2051"/>
      <c r="G208" s="2052"/>
      <c r="H208" s="1869"/>
      <c r="I208" s="1569"/>
      <c r="J208" s="1658"/>
      <c r="K208" s="1569"/>
      <c r="L208" s="1569"/>
      <c r="M208" s="1569"/>
      <c r="N208" s="1706"/>
      <c r="O208" s="1569"/>
      <c r="P208" s="1569"/>
    </row>
    <row r="209" spans="1:16" ht="50.25" customHeight="1" x14ac:dyDescent="0.5">
      <c r="A209" s="1248" t="s">
        <v>3042</v>
      </c>
      <c r="B209" s="2090" t="s">
        <v>1498</v>
      </c>
      <c r="C209" s="2090"/>
      <c r="D209" s="2090"/>
      <c r="E209" s="2090"/>
      <c r="F209" s="2090"/>
      <c r="G209" s="2090"/>
      <c r="H209" s="1869"/>
      <c r="I209" s="1569"/>
      <c r="J209" s="1658"/>
      <c r="K209" s="1569"/>
      <c r="L209" s="1569"/>
      <c r="M209" s="1569"/>
      <c r="N209" s="1706"/>
      <c r="O209" s="1569"/>
      <c r="P209" s="1569"/>
    </row>
    <row r="210" spans="1:16" ht="50.25" customHeight="1" x14ac:dyDescent="0.5">
      <c r="A210" s="1248" t="s">
        <v>2472</v>
      </c>
      <c r="B210" s="1248">
        <v>46238</v>
      </c>
      <c r="C210" s="1248" t="s">
        <v>41</v>
      </c>
      <c r="D210" s="1865" t="s">
        <v>1005</v>
      </c>
      <c r="E210" s="1248" t="s">
        <v>2888</v>
      </c>
      <c r="F210" s="1248"/>
      <c r="G210" s="1248"/>
      <c r="H210" s="1869"/>
      <c r="I210" s="1569"/>
      <c r="J210" s="1658"/>
      <c r="K210" s="1569"/>
      <c r="L210" s="1569"/>
      <c r="M210" s="1569"/>
      <c r="N210" s="1706"/>
      <c r="O210" s="1569"/>
      <c r="P210" s="1569"/>
    </row>
    <row r="211" spans="1:16" ht="52.15" customHeight="1" x14ac:dyDescent="0.5">
      <c r="A211" s="1248" t="s">
        <v>3043</v>
      </c>
      <c r="B211" s="2090" t="s">
        <v>1997</v>
      </c>
      <c r="C211" s="2090"/>
      <c r="D211" s="2090"/>
      <c r="E211" s="2090"/>
      <c r="F211" s="2090"/>
      <c r="G211" s="2090"/>
      <c r="H211" s="1869"/>
      <c r="I211" s="1569"/>
      <c r="J211" s="1658"/>
      <c r="K211" s="1569"/>
      <c r="L211" s="1569"/>
      <c r="M211" s="1569"/>
      <c r="N211" s="1706"/>
      <c r="O211" s="1569"/>
      <c r="P211" s="1569"/>
    </row>
    <row r="212" spans="1:16" ht="55.15" customHeight="1" x14ac:dyDescent="0.5">
      <c r="A212" s="1248" t="s">
        <v>2478</v>
      </c>
      <c r="B212" s="2090" t="s">
        <v>1998</v>
      </c>
      <c r="C212" s="2090"/>
      <c r="D212" s="2090"/>
      <c r="E212" s="2090"/>
      <c r="F212" s="2090"/>
      <c r="G212" s="2090"/>
      <c r="H212" s="1869"/>
      <c r="I212" s="1569"/>
      <c r="J212" s="1658"/>
      <c r="K212" s="1569"/>
      <c r="L212" s="1569"/>
      <c r="M212" s="1569"/>
      <c r="N212" s="1706"/>
      <c r="O212" s="1569"/>
      <c r="P212" s="1569"/>
    </row>
    <row r="213" spans="1:16" ht="55.15" customHeight="1" x14ac:dyDescent="0.5">
      <c r="A213" s="1248" t="s">
        <v>3044</v>
      </c>
      <c r="B213" s="1912">
        <v>46254</v>
      </c>
      <c r="C213" s="1912" t="s">
        <v>41</v>
      </c>
      <c r="D213" s="1865" t="s">
        <v>1005</v>
      </c>
      <c r="E213" s="1912" t="s">
        <v>3045</v>
      </c>
      <c r="F213" s="1912" t="s">
        <v>3046</v>
      </c>
      <c r="G213" s="1912" t="s">
        <v>3047</v>
      </c>
      <c r="H213" s="1311"/>
      <c r="I213" s="1569"/>
      <c r="J213" s="1658"/>
      <c r="K213" s="1569"/>
      <c r="L213" s="1569"/>
      <c r="M213" s="1569"/>
      <c r="N213" s="1706"/>
      <c r="O213" s="1569"/>
      <c r="P213" s="1569"/>
    </row>
    <row r="214" spans="1:16" ht="55.15" customHeight="1" x14ac:dyDescent="0.5">
      <c r="A214" s="1248" t="s">
        <v>3048</v>
      </c>
      <c r="B214" s="1912">
        <v>46259</v>
      </c>
      <c r="C214" s="1912" t="s">
        <v>2927</v>
      </c>
      <c r="D214" s="1572" t="s">
        <v>2539</v>
      </c>
      <c r="E214" s="1912" t="s">
        <v>3049</v>
      </c>
      <c r="F214" s="1912" t="s">
        <v>3050</v>
      </c>
      <c r="G214" s="1912" t="s">
        <v>3051</v>
      </c>
      <c r="H214" s="1311"/>
      <c r="I214" s="1569"/>
      <c r="J214" s="1658"/>
      <c r="K214" s="1569"/>
      <c r="L214" s="1569"/>
      <c r="M214" s="1569"/>
      <c r="N214" s="1706"/>
      <c r="O214" s="1569"/>
      <c r="P214" s="1569"/>
    </row>
    <row r="215" spans="1:16" ht="55.15" customHeight="1" x14ac:dyDescent="0.5">
      <c r="A215" s="1248" t="s">
        <v>2488</v>
      </c>
      <c r="B215" s="2092" t="s">
        <v>1983</v>
      </c>
      <c r="C215" s="2093"/>
      <c r="D215" s="2093"/>
      <c r="E215" s="2093"/>
      <c r="F215" s="2093"/>
      <c r="G215" s="2093"/>
      <c r="H215" s="1311"/>
      <c r="I215" s="1569"/>
      <c r="J215" s="1658"/>
      <c r="K215" s="1569"/>
      <c r="L215" s="1569"/>
      <c r="M215" s="1569"/>
      <c r="N215" s="1706"/>
      <c r="O215" s="1569"/>
      <c r="P215" s="1569"/>
    </row>
    <row r="216" spans="1:16" ht="55.15" customHeight="1" x14ac:dyDescent="0.5">
      <c r="A216" s="1248" t="s">
        <v>3052</v>
      </c>
      <c r="B216" s="1912">
        <v>46274</v>
      </c>
      <c r="C216" s="1912" t="s">
        <v>41</v>
      </c>
      <c r="D216" s="1865" t="s">
        <v>1005</v>
      </c>
      <c r="E216" s="1912" t="s">
        <v>3053</v>
      </c>
      <c r="F216" s="1912"/>
      <c r="G216" s="1912" t="s">
        <v>3054</v>
      </c>
      <c r="H216" s="1311"/>
      <c r="I216" s="1569"/>
      <c r="J216" s="1658"/>
      <c r="K216" s="1569"/>
      <c r="L216" s="1569"/>
      <c r="M216" s="1569"/>
      <c r="N216" s="1706"/>
      <c r="O216" s="1569"/>
      <c r="P216" s="1569"/>
    </row>
    <row r="217" spans="1:16" ht="55.15" customHeight="1" x14ac:dyDescent="0.5">
      <c r="A217" s="1248" t="s">
        <v>3055</v>
      </c>
      <c r="B217" s="1912">
        <v>46281</v>
      </c>
      <c r="C217" s="1912" t="s">
        <v>41</v>
      </c>
      <c r="D217" s="1865" t="s">
        <v>1005</v>
      </c>
      <c r="E217" s="1912" t="s">
        <v>3056</v>
      </c>
      <c r="F217" s="1912" t="s">
        <v>3057</v>
      </c>
      <c r="G217" s="1912"/>
      <c r="H217" s="1311"/>
      <c r="I217" s="1569"/>
      <c r="J217" s="1658"/>
      <c r="K217" s="1569"/>
      <c r="L217" s="1569"/>
      <c r="M217" s="1569"/>
      <c r="N217" s="1706"/>
      <c r="O217" s="1569"/>
      <c r="P217" s="1569"/>
    </row>
    <row r="218" spans="1:16" ht="55.15" customHeight="1" x14ac:dyDescent="0.5">
      <c r="A218" s="1248" t="s">
        <v>3058</v>
      </c>
      <c r="B218" s="1912">
        <v>46288</v>
      </c>
      <c r="C218" s="1912" t="s">
        <v>3059</v>
      </c>
      <c r="D218" s="1572" t="s">
        <v>2539</v>
      </c>
      <c r="E218" s="1912" t="s">
        <v>3060</v>
      </c>
      <c r="F218" s="1912" t="s">
        <v>3061</v>
      </c>
      <c r="G218" s="1912" t="s">
        <v>3062</v>
      </c>
      <c r="H218" s="1311"/>
      <c r="I218" s="1569"/>
      <c r="J218" s="1658"/>
      <c r="K218" s="1569"/>
      <c r="L218" s="1569"/>
      <c r="M218" s="1569"/>
      <c r="N218" s="1706"/>
      <c r="O218" s="1569"/>
      <c r="P218" s="1569"/>
    </row>
    <row r="219" spans="1:16" ht="55.15" customHeight="1" x14ac:dyDescent="0.5">
      <c r="A219" s="1248" t="s">
        <v>3063</v>
      </c>
      <c r="B219" s="1912">
        <v>46294</v>
      </c>
      <c r="C219" s="1912" t="s">
        <v>41</v>
      </c>
      <c r="D219" s="1865" t="s">
        <v>1005</v>
      </c>
      <c r="E219" s="1912" t="s">
        <v>3064</v>
      </c>
      <c r="F219" s="1912"/>
      <c r="G219" s="1912"/>
      <c r="H219" s="1311"/>
      <c r="I219" s="1569"/>
      <c r="J219" s="1658"/>
      <c r="K219" s="1569"/>
      <c r="L219" s="1569"/>
      <c r="M219" s="1569"/>
      <c r="N219" s="1706"/>
      <c r="O219" s="1569"/>
      <c r="P219" s="1569"/>
    </row>
  </sheetData>
  <mergeCells count="57">
    <mergeCell ref="B173:G173"/>
    <mergeCell ref="B166:G166"/>
    <mergeCell ref="B156:G156"/>
    <mergeCell ref="B160:G160"/>
    <mergeCell ref="B162:G162"/>
    <mergeCell ref="B167:G167"/>
    <mergeCell ref="B87:G87"/>
    <mergeCell ref="A1:B1"/>
    <mergeCell ref="B69:G69"/>
    <mergeCell ref="B84:G84"/>
    <mergeCell ref="B86:G86"/>
    <mergeCell ref="B42:G42"/>
    <mergeCell ref="B53:G53"/>
    <mergeCell ref="B74:G74"/>
    <mergeCell ref="B79:G79"/>
    <mergeCell ref="B20:G20"/>
    <mergeCell ref="B48:G48"/>
    <mergeCell ref="B33:I33"/>
    <mergeCell ref="B58:G58"/>
    <mergeCell ref="B83:G83"/>
    <mergeCell ref="B150:G150"/>
    <mergeCell ref="B109:G109"/>
    <mergeCell ref="B126:G126"/>
    <mergeCell ref="B115:G115"/>
    <mergeCell ref="B158:G158"/>
    <mergeCell ref="B143:G143"/>
    <mergeCell ref="B153:G153"/>
    <mergeCell ref="B89:G89"/>
    <mergeCell ref="B119:G119"/>
    <mergeCell ref="B141:G141"/>
    <mergeCell ref="B130:G130"/>
    <mergeCell ref="B139:G139"/>
    <mergeCell ref="B132:G132"/>
    <mergeCell ref="B107:G107"/>
    <mergeCell ref="B91:G91"/>
    <mergeCell ref="B90:G90"/>
    <mergeCell ref="B179:G179"/>
    <mergeCell ref="B185:G185"/>
    <mergeCell ref="B193:G193"/>
    <mergeCell ref="B198:G198"/>
    <mergeCell ref="B199:G199"/>
    <mergeCell ref="B180:G180"/>
    <mergeCell ref="B192:G192"/>
    <mergeCell ref="B188:G188"/>
    <mergeCell ref="B195:G195"/>
    <mergeCell ref="B206:G206"/>
    <mergeCell ref="B203:G203"/>
    <mergeCell ref="B208:G208"/>
    <mergeCell ref="B215:G215"/>
    <mergeCell ref="B200:G200"/>
    <mergeCell ref="B201:G201"/>
    <mergeCell ref="B202:G202"/>
    <mergeCell ref="B204:G204"/>
    <mergeCell ref="B205:G205"/>
    <mergeCell ref="B209:G209"/>
    <mergeCell ref="B211:G211"/>
    <mergeCell ref="B212:G212"/>
  </mergeCells>
  <phoneticPr fontId="93" type="noConversion"/>
  <conditionalFormatting sqref="H100:H219">
    <cfRule type="containsText" dxfId="39" priority="6" operator="containsText" text="Hold">
      <formula>NOT(ISERROR(SEARCH("Hold",H100)))</formula>
    </cfRule>
    <cfRule type="containsText" dxfId="38" priority="7" operator="containsText" text="Ready to Send">
      <formula>NOT(ISERROR(SEARCH("Ready to Send",H100)))</formula>
    </cfRule>
    <cfRule type="containsText" dxfId="37" priority="8" operator="containsText" text="Changes Needed">
      <formula>NOT(ISERROR(SEARCH("Changes Needed",H100)))</formula>
    </cfRule>
    <cfRule type="containsText" dxfId="36" priority="9" operator="containsText" text="Internal Review">
      <formula>NOT(ISERROR(SEARCH("Internal Review",H100)))</formula>
    </cfRule>
    <cfRule type="containsText" dxfId="35" priority="10" operator="containsText" text="In Progress">
      <formula>NOT(ISERROR(SEARCH("In Progress",H100)))</formula>
    </cfRule>
  </conditionalFormatting>
  <dataValidations count="1">
    <dataValidation type="list" allowBlank="1" showInputMessage="1" showErrorMessage="1" sqref="H100:H219" xr:uid="{AC57929A-FABC-48ED-A9A5-64B0747EC749}">
      <formula1>"In Progress, Internal Review, Changes Needed, Ready to Send, Hold"</formula1>
    </dataValidation>
  </dataValidations>
  <hyperlinks>
    <hyperlink ref="D76" r:id="rId1" xr:uid="{817EE621-8940-4F0C-8C01-A2C02FB7C821}"/>
    <hyperlink ref="D15" r:id="rId2" xr:uid="{5557C76B-53D2-43C1-B53F-B46626A565B0}"/>
    <hyperlink ref="D13" r:id="rId3" xr:uid="{5BDAA582-BF7C-47B3-AC34-5E1230B41537}"/>
    <hyperlink ref="D41" r:id="rId4" xr:uid="{C122E5C5-64F3-44A3-B767-6EE8B78FE197}"/>
    <hyperlink ref="D39" r:id="rId5" xr:uid="{227B4224-2E06-4925-B411-2457AE432583}"/>
    <hyperlink ref="D61" r:id="rId6" xr:uid="{010B53CB-318B-462B-BC21-36C8A2DFF10A}"/>
    <hyperlink ref="D8" r:id="rId7" xr:uid="{BBAE2CA1-2CBC-41E9-BAA9-8F95CC0AE4F8}"/>
    <hyperlink ref="I4" r:id="rId8" xr:uid="{C8501D7B-4532-4786-B926-591DF0EF75AE}"/>
    <hyperlink ref="D4" r:id="rId9" xr:uid="{E5F12731-A21F-4C8A-B91A-C4DB4FF61E7D}"/>
    <hyperlink ref="I5" r:id="rId10" xr:uid="{37992E66-1558-4B84-A53B-44CE7911CD11}"/>
    <hyperlink ref="I8" r:id="rId11" xr:uid="{F801E3FE-604B-4BD2-920E-99FD3771BCFD}"/>
    <hyperlink ref="I12" r:id="rId12" xr:uid="{0DF972F1-E2A5-4FC5-B8AA-3827673DE15E}"/>
    <hyperlink ref="I6" r:id="rId13" xr:uid="{B8D797EA-585C-41EB-AF9E-988F01C51170}"/>
    <hyperlink ref="D5" r:id="rId14" xr:uid="{CA388B00-4FBF-44AE-A9A2-B866F8772C8D}"/>
    <hyperlink ref="D6" r:id="rId15" xr:uid="{0D02B66B-4CE5-40E6-B4FD-8F7579B30559}"/>
    <hyperlink ref="I11" r:id="rId16" xr:uid="{6740F8CD-D8BE-4A38-B563-A319AAAC44AF}"/>
    <hyperlink ref="D11" r:id="rId17" xr:uid="{C0036109-AB88-4AB1-BC97-30C9762D7049}"/>
    <hyperlink ref="D12" r:id="rId18" xr:uid="{9DABAD71-FDF8-4727-BBB1-CF4D7C27C1DC}"/>
    <hyperlink ref="D9" r:id="rId19" xr:uid="{21DC88FE-E97A-4D59-AAB1-0CF96F699D7F}"/>
    <hyperlink ref="D10" r:id="rId20" xr:uid="{EDE60199-DC84-4A97-8590-FE12611DBF78}"/>
    <hyperlink ref="I13" r:id="rId21" xr:uid="{4FB99121-F0ED-4487-906B-2509808E843B}"/>
    <hyperlink ref="I17" r:id="rId22" xr:uid="{108D8F20-3D27-4CC2-B92D-79A9EEDA3349}"/>
    <hyperlink ref="I16" r:id="rId23" xr:uid="{6343D5E0-BF69-47E9-94B8-934879F5A860}"/>
    <hyperlink ref="D16" r:id="rId24" xr:uid="{9C9705D0-394F-4BC9-86B8-F25132D5C034}"/>
    <hyperlink ref="D17" r:id="rId25" xr:uid="{09C79D57-9CB2-434D-8EBB-E6DC2A75E765}"/>
    <hyperlink ref="I19" r:id="rId26" xr:uid="{18E0F6E0-B692-4D6E-8036-474B79852505}"/>
    <hyperlink ref="D19" r:id="rId27" xr:uid="{6D26D476-9E82-4550-9863-D28A1858ACF0}"/>
    <hyperlink ref="D21" r:id="rId28" xr:uid="{689034A4-30FC-4398-8809-95B81E84295E}"/>
    <hyperlink ref="D32" r:id="rId29" xr:uid="{A9AD2869-1EBE-4ADC-91D9-FA7375E07E04}"/>
    <hyperlink ref="D25" r:id="rId30" xr:uid="{3734FF59-3C07-4980-BFB2-9E76078BA04A}"/>
    <hyperlink ref="D24" r:id="rId31" xr:uid="{CC791C69-77D9-4AAA-A5FB-5F09EC811C3D}"/>
    <hyperlink ref="D23" r:id="rId32" xr:uid="{5AD83C2D-4FD6-4232-A55A-A84A70254593}"/>
    <hyperlink ref="D22" r:id="rId33" xr:uid="{98D780B8-1C2F-4692-B58B-E7DFAA8C9F85}"/>
    <hyperlink ref="D27" r:id="rId34" xr:uid="{5A5CCC59-904C-43FE-8BA4-7DE0852BF54C}"/>
    <hyperlink ref="D26" r:id="rId35" xr:uid="{3E64D61E-2357-4FD1-8E87-EFB008080752}"/>
    <hyperlink ref="I39" r:id="rId36" xr:uid="{020D89D2-8F38-4F58-9AB8-473C41642039}"/>
    <hyperlink ref="D47" r:id="rId37" xr:uid="{09A61F49-4473-4DDD-A5A9-039C29234DC4}"/>
    <hyperlink ref="D55" r:id="rId38" xr:uid="{73E5D99A-CA41-4408-893F-9E216157D9C3}"/>
    <hyperlink ref="D52" r:id="rId39" xr:uid="{988A9796-2D86-44B7-962C-53B76382B2BA}"/>
    <hyperlink ref="D49" r:id="rId40" xr:uid="{3675AA6D-AA93-4E71-A4BC-3B0CD1581157}"/>
    <hyperlink ref="D50" r:id="rId41" xr:uid="{3EFEFD54-3540-47D9-B848-EEAE26D9D174}"/>
    <hyperlink ref="D56" r:id="rId42" xr:uid="{243DBF53-C17E-4491-B94D-A5D608A069AE}"/>
    <hyperlink ref="D51" r:id="rId43" xr:uid="{342F37CE-A933-415C-AC34-62DE39E00EB2}"/>
    <hyperlink ref="D54" r:id="rId44" xr:uid="{D86FA6E9-39C0-4C94-8FA3-060E187DFD80}"/>
    <hyperlink ref="D57" r:id="rId45" xr:uid="{84E057F8-FACF-4D64-8A17-5118461C8A23}"/>
    <hyperlink ref="D59" r:id="rId46" xr:uid="{D114BD10-F767-438E-905C-BD9FB4F10EF6}"/>
    <hyperlink ref="D60" r:id="rId47" xr:uid="{FF86EBA0-FC05-4EC1-A721-806CDFC3B8FB}"/>
    <hyperlink ref="D62" r:id="rId48" xr:uid="{3721DF33-6044-4C77-8246-B5364F29A568}"/>
    <hyperlink ref="D63" r:id="rId49" xr:uid="{ACA8442D-C425-40BF-8994-E1072263A1BA}"/>
    <hyperlink ref="D64" r:id="rId50" xr:uid="{16DB4EFE-1CD4-444D-886A-DE87514232B0}"/>
    <hyperlink ref="D65" r:id="rId51" xr:uid="{CB87535F-2EA4-423C-9847-06AC16AA7E87}"/>
    <hyperlink ref="D72" r:id="rId52" xr:uid="{9F6CBDD7-5516-4447-BC4C-5ABC21131EA2}"/>
    <hyperlink ref="D73" r:id="rId53" xr:uid="{0ED20D84-03C4-49CD-A485-1A682382750B}"/>
    <hyperlink ref="D75" r:id="rId54" xr:uid="{538AA040-B067-41C5-987F-F17C3FF09CDF}"/>
    <hyperlink ref="D66" r:id="rId55" xr:uid="{83B89646-F706-4E8C-B007-862B60F5ADED}"/>
    <hyperlink ref="D68" r:id="rId56" xr:uid="{1C324C68-7051-44BB-92BB-AB667D921CD8}"/>
    <hyperlink ref="D71" r:id="rId57" xr:uid="{4F925AF8-3F0D-4FFA-A772-ECB7F7685160}"/>
    <hyperlink ref="D81" r:id="rId58" xr:uid="{4E7A5279-A86B-4A75-B610-B2E6010E589F}"/>
    <hyperlink ref="D78" r:id="rId59" xr:uid="{55AC7B7A-1C07-4B4F-80BD-AB14F3F19274}"/>
    <hyperlink ref="D82" r:id="rId60" xr:uid="{597CA939-CC24-4961-BC92-E54D6489E9F0}"/>
    <hyperlink ref="D85" r:id="rId61" xr:uid="{38906CCD-22D8-4E89-BF05-795176AB6911}"/>
    <hyperlink ref="D77" r:id="rId62" xr:uid="{4A064752-56B6-4F05-A5EB-4A630026BF1E}"/>
    <hyperlink ref="I81" r:id="rId63" xr:uid="{3C3C8502-3AB5-4090-AC02-7EFF39AE7D01}"/>
    <hyperlink ref="I82" r:id="rId64" xr:uid="{BFBD654B-DFA8-492D-9FD9-81361CCB1A23}"/>
    <hyperlink ref="D92" r:id="rId65" xr:uid="{9B8A858B-CEF6-4E4B-B1FD-528C37F4F340}"/>
    <hyperlink ref="I85" r:id="rId66" xr:uid="{D46A41A7-37EB-4E24-B2BA-268ABB7D82CC}"/>
    <hyperlink ref="D93" r:id="rId67" xr:uid="{014DBFC0-3DB2-4E20-B5EC-97B44056D987}"/>
    <hyperlink ref="D94" r:id="rId68" xr:uid="{C029C2A1-7A6E-4777-894A-52564BA95B98}"/>
    <hyperlink ref="D88" r:id="rId69" xr:uid="{A23F503A-CD37-497E-AD2B-76E72BFB85CE}"/>
    <hyperlink ref="I88" r:id="rId70" xr:uid="{B5687196-D884-4475-AC1E-D4F32FE1C1BF}"/>
    <hyperlink ref="F93" r:id="rId71" xr:uid="{126B949A-65AD-42CF-9115-AEB3FB66D25B}"/>
    <hyperlink ref="I92" r:id="rId72" xr:uid="{427B8B0A-06DA-4E0D-9108-83D582A71F45}"/>
    <hyperlink ref="I93" r:id="rId73" xr:uid="{17605075-8120-4733-AC8F-A4A9F72ABC43}"/>
    <hyperlink ref="I94" r:id="rId74" xr:uid="{3D7833BF-507A-4855-9CD7-1663E4012D00}"/>
    <hyperlink ref="I97" r:id="rId75" xr:uid="{04AB6C31-F0DD-4021-831F-F6507416F413}"/>
    <hyperlink ref="D100" r:id="rId76" xr:uid="{2D894F22-771D-4820-95BD-A97F3102B3B2}"/>
    <hyperlink ref="D98" r:id="rId77" xr:uid="{56BEC385-0F6D-4A80-98DC-16F0792DD4CA}"/>
    <hyperlink ref="D103" r:id="rId78" xr:uid="{D78884F2-FEA7-466F-94E1-087CC2512C94}"/>
    <hyperlink ref="D110" r:id="rId79" xr:uid="{DF752653-B064-4A81-80B6-D0BB54743A53}"/>
    <hyperlink ref="D113" r:id="rId80" xr:uid="{7F7D04FB-1B00-4A7B-AEA5-C58237D1D9E1}"/>
    <hyperlink ref="D108" r:id="rId81" xr:uid="{59A61B9D-799A-4C25-969E-1C7574AB1D71}"/>
    <hyperlink ref="D102" r:id="rId82" xr:uid="{3298E519-BD75-4DA2-B3BC-41E604E66EAA}"/>
    <hyperlink ref="D97" r:id="rId83" xr:uid="{1EF75678-DC08-49DF-8A3A-E960E985451D}"/>
    <hyperlink ref="D101" r:id="rId84" xr:uid="{508ADE62-502B-44CD-BAC2-6515178058F5}"/>
    <hyperlink ref="D99" r:id="rId85" xr:uid="{E91C7D7B-884C-4244-BEB0-3BC084BD70BF}"/>
    <hyperlink ref="I98" r:id="rId86" xr:uid="{53EF92B2-547C-4BB0-9E14-F825A9C9FD0D}"/>
    <hyperlink ref="G100" r:id="rId87" xr:uid="{D6F56B24-15CA-4EC4-9848-E29AD1116F6C}"/>
    <hyperlink ref="I99" r:id="rId88" xr:uid="{A7D4D391-F5A4-447C-8532-BED5758AEC5F}"/>
    <hyperlink ref="I100" r:id="rId89" xr:uid="{B11E86BA-9918-4326-B0C4-08D6B9929943}"/>
    <hyperlink ref="I102" r:id="rId90" xr:uid="{9804243C-DFEF-4EBE-BE9E-2D1BB449C6E9}"/>
    <hyperlink ref="D106" r:id="rId91" xr:uid="{44CE6D48-8C24-4FDD-A19B-54FA6F4056EA}"/>
    <hyperlink ref="D105" r:id="rId92" xr:uid="{9AA1D700-E8AE-441E-A2C5-589BCDFB2B53}"/>
    <hyperlink ref="D112" r:id="rId93" xr:uid="{BD67462F-957A-4298-9132-F5F0A34ED452}"/>
    <hyperlink ref="D116" r:id="rId94" xr:uid="{3E6B0606-3585-4781-9BA2-3FC70E525779}"/>
    <hyperlink ref="D121" r:id="rId95" xr:uid="{AD056EAA-4905-405B-8FA0-5397A01987DA}"/>
    <hyperlink ref="D104" r:id="rId96" xr:uid="{20A5BB1D-4232-42F9-8582-9C5019785FCD}"/>
    <hyperlink ref="I103" r:id="rId97" xr:uid="{247FA130-6E0C-4DBB-A0FF-952299D148D4}"/>
    <hyperlink ref="I104" r:id="rId98" xr:uid="{E928D8AF-F0A8-4B0E-9E8B-B961BD10C44E}"/>
    <hyperlink ref="D114" r:id="rId99" display="mailto:AHRMM@Smithbucklin.com" xr:uid="{96D22D18-EB28-4BEE-9571-1CAF82AE4543}"/>
    <hyperlink ref="I105" r:id="rId100" xr:uid="{82ED4DC3-F12A-4BC3-80FE-07E1A3F74E39}"/>
    <hyperlink ref="I106" r:id="rId101" xr:uid="{5B4F5A14-15BE-4334-9996-089573E73DE9}"/>
    <hyperlink ref="D118" r:id="rId102" display="mailto:jeiding@smithbucklin.com" xr:uid="{948E0B44-C851-47D3-92A5-CEC7849A8F9C}"/>
    <hyperlink ref="D117" r:id="rId103" display="mailto:AHRMM@Smithbucklin.com" xr:uid="{53A05442-DCA9-479A-889C-3B979170C7AF}"/>
    <hyperlink ref="I107" r:id="rId104" xr:uid="{4B600151-E849-49AC-AD30-A3FA4466F0F3}"/>
    <hyperlink ref="D122" r:id="rId105" display="mailto:jeiding@smithbucklin.com" xr:uid="{48935D5B-5019-4F97-9EDF-0DBA08DC43E7}"/>
    <hyperlink ref="F120" r:id="rId106" location=":~:text=Sponsorship%20Terms%20%26%20Conditions-,Tiered%20Sponsorship%20Program,-Exclusive%20to%20AHRMM25" xr:uid="{4378287E-9D2F-42D4-A910-298E307FC2B5}"/>
    <hyperlink ref="G118" r:id="rId107" xr:uid="{FCDB9950-EA8B-4AE9-B7DA-767521F4B63D}"/>
    <hyperlink ref="D120" r:id="rId108" display="mailto:AHRMM@Smithbucklin.com" xr:uid="{0C124C6A-685B-4F22-A1E9-992BD9BEB17A}"/>
    <hyperlink ref="D123" r:id="rId109" display="mailto:AHRMM@Smithbucklin.com" xr:uid="{766996D0-E82A-4FA9-A142-3863990895EA}"/>
    <hyperlink ref="I108" r:id="rId110" xr:uid="{5447BB42-55FD-426D-A38D-DED6E8474F67}"/>
    <hyperlink ref="D111" r:id="rId111" display="mailto:AHRMM@Smithbucklin.com" xr:uid="{75843581-6A65-489D-8647-576DFA4A40B5}"/>
    <hyperlink ref="F111" r:id="rId112" location=":~:text=Logo%20%26%20Branding%20Recognition" xr:uid="{DB2FF89F-DD44-4168-BF25-5A7EA1544FCF}"/>
    <hyperlink ref="F122" r:id="rId113" xr:uid="{8CCEC18E-21F0-467F-897D-209BF3E23464}"/>
    <hyperlink ref="I110" r:id="rId114" xr:uid="{AB14114B-EFA8-42F1-B1B4-E893CD42C9E8}"/>
    <hyperlink ref="I111" r:id="rId115" xr:uid="{30C437D2-D8FC-4509-8836-4EB8ED24EA72}"/>
    <hyperlink ref="I112" r:id="rId116" xr:uid="{7A3AE25A-6AA2-4CC7-AFCD-05FEFADD8E3A}"/>
    <hyperlink ref="I113" r:id="rId117" xr:uid="{2EFAC223-BE5F-49C1-B35F-6F1A9A25F26C}"/>
    <hyperlink ref="I116" r:id="rId118" xr:uid="{4D4235EA-471D-4F7E-8FB4-2C2902E92133}"/>
    <hyperlink ref="I117" r:id="rId119" xr:uid="{047696C7-49B0-4492-9220-52EB5570DBA0}"/>
    <hyperlink ref="I118" r:id="rId120" xr:uid="{A1275751-3ECD-4DD6-A20D-09A83FBDFB8F}"/>
    <hyperlink ref="I119" r:id="rId121" xr:uid="{524C49F6-F6A1-4490-A97E-871323F87B63}"/>
    <hyperlink ref="I120" r:id="rId122" xr:uid="{2CF699F5-00B9-4E12-A685-4F3759DC5C29}"/>
    <hyperlink ref="I121" r:id="rId123" xr:uid="{64D50E31-0262-49A2-B8E0-2E30B150B921}"/>
    <hyperlink ref="D127" r:id="rId124" display="mailto:AHRMM@Smithbucklin.com" xr:uid="{7C04140D-9D4D-4C37-8BE4-B5BD937C118D}"/>
    <hyperlink ref="D128" r:id="rId125" display="mailto:AHRMM@Smithbucklin.com" xr:uid="{74ED32A8-651D-4751-B38E-0DCFA6C25CEA}"/>
    <hyperlink ref="I122" r:id="rId126" xr:uid="{65ED9A6D-A051-40C5-9296-7BF870030941}"/>
    <hyperlink ref="I123" r:id="rId127" xr:uid="{4E9446D9-62FE-49A0-85AC-D4C287DF0858}"/>
    <hyperlink ref="D136" r:id="rId128" display="mailto:AHRMM@Smithbucklin.com" xr:uid="{DC9FAFC8-6A5B-4B80-B3A2-AD06808D37E8}"/>
    <hyperlink ref="D138" r:id="rId129" display="mailto:AHRMM@Smithbucklin.com" xr:uid="{F449C594-24BA-44E8-AA42-7F6197BF39BD}"/>
    <hyperlink ref="D140" r:id="rId130" display="mailto:AHRMM@Smithbucklin.com" xr:uid="{113E5E84-55EE-4821-A13D-C5C54DEBEEDF}"/>
    <hyperlink ref="D142" r:id="rId131" display="mailto:AHRMM@Smithbucklin.com" xr:uid="{C1CA2BAF-2EAA-49FC-9431-CA80EE5903B0}"/>
    <hyperlink ref="D144" r:id="rId132" display="mailto:AHRMM@Smithbucklin.com" xr:uid="{FA90C11E-67AE-4FBD-9CAA-E2D627139C1B}"/>
    <hyperlink ref="D145" r:id="rId133" display="mailto:AHRMM@Smithbucklin.com" xr:uid="{ECDD3E14-7F8C-4D3F-A228-C648AF5B6F5B}"/>
    <hyperlink ref="D129" r:id="rId134" display="mailto:jeiding@smithbucklin.com" xr:uid="{1E1D5DFB-F80E-42AA-A094-6F0EEED4764E}"/>
    <hyperlink ref="D133" r:id="rId135" display="mailto:jeiding@smithbucklin.com" xr:uid="{3689C10C-90C4-4776-9CE4-D7E2E0DBEF7E}"/>
    <hyperlink ref="D134" r:id="rId136" display="mailto:AHRMM@Smithbucklin.com" xr:uid="{AF648F14-9709-4117-B504-A16CE6666D6A}"/>
    <hyperlink ref="D125" r:id="rId137" display="mailto:AHRMM@Smithbucklin.com" xr:uid="{C67C9A65-E1D7-43D0-808F-21A9C1DD6739}"/>
    <hyperlink ref="D124" r:id="rId138" display="mailto:AHRMM@Smithbucklin.com" xr:uid="{0B7F8C42-6D04-4B62-BB99-B8044676B4DF}"/>
    <hyperlink ref="D131" r:id="rId139" display="mailto:AHRMM@Smithbucklin.com" xr:uid="{9D48C87C-6514-407B-8F0D-189CB5B96225}"/>
    <hyperlink ref="D137" r:id="rId140" xr:uid="{94544B4C-38D9-4DCD-A193-9254F8E6B13C}"/>
    <hyperlink ref="D135" r:id="rId141" display="mailto:AHRMM@Smithbucklin.com" xr:uid="{DB57C060-D9B9-464C-A5ED-E27F05D763BA}"/>
    <hyperlink ref="I127" r:id="rId142" xr:uid="{E111D5DD-E018-47CE-BFE7-4721A4481637}"/>
    <hyperlink ref="I128" r:id="rId143" xr:uid="{62894DFC-5EA0-4DDE-AB21-F1EFB0544387}"/>
    <hyperlink ref="D149" r:id="rId144" display="mailto:jeiding@smithbucklin.com" xr:uid="{18EE4515-76B8-4006-BFFC-3B144FB4FBDC}"/>
    <hyperlink ref="D147" r:id="rId145" display="mailto:AHRMM@Smithbucklin.com" xr:uid="{84C1EE43-6CD4-4C96-BE6E-1C6423E5B47A}"/>
    <hyperlink ref="D148" r:id="rId146" display="mailto:jeiding@smithbucklin.com" xr:uid="{9B818CB6-99DD-4F97-8FC3-0D8E360FD466}"/>
    <hyperlink ref="I131" r:id="rId147" xr:uid="{38F5965C-611A-42CE-A4FE-2B0A0EA9169D}"/>
    <hyperlink ref="D146" r:id="rId148" display="mailto:jeiding@smithbucklin.com" xr:uid="{72CF160C-67FC-4521-B147-52523C5668C0}"/>
    <hyperlink ref="I133" r:id="rId149" xr:uid="{BC5F78F5-66E8-4A38-B462-75FD6A9D8B06}"/>
    <hyperlink ref="I134" r:id="rId150" xr:uid="{7D943CB7-5F82-4133-B0A8-D3387FD7F045}"/>
    <hyperlink ref="I135" r:id="rId151" xr:uid="{225B1573-3A26-400E-B5F0-1A0515F58975}"/>
    <hyperlink ref="F142" r:id="rId152" xr:uid="{E3A2D94C-342D-49D5-A87D-F6DAAADE91BC}"/>
    <hyperlink ref="I137" r:id="rId153" xr:uid="{6003077D-609C-4330-8359-2C898CF7FBB3}"/>
    <hyperlink ref="I138" r:id="rId154" xr:uid="{96F43C20-A174-40B7-9DCE-EB46B0F53E9C}"/>
    <hyperlink ref="I140" r:id="rId155" xr:uid="{9EA49DD9-5C17-4FC4-AEFF-0CFA1A49231B}"/>
    <hyperlink ref="I125" r:id="rId156" xr:uid="{19C756A7-BB16-47DC-8E5E-911E930CCA4B}"/>
    <hyperlink ref="I139" r:id="rId157" xr:uid="{071D4A97-FDE8-4C45-88BD-2EB9BA7E1D96}"/>
    <hyperlink ref="I144" r:id="rId158" xr:uid="{A6B8E7AF-DB92-4E58-B2A5-6A7958FF7A1D}"/>
    <hyperlink ref="I142" r:id="rId159" xr:uid="{9B7BABE7-4263-4164-978A-EFF5E2CF3602}"/>
    <hyperlink ref="I146" r:id="rId160" xr:uid="{64948B0E-E8D5-439F-9634-B421EE5518CC}"/>
    <hyperlink ref="I147" r:id="rId161" xr:uid="{3B122657-EC99-4439-8315-49CC36A0DCD0}"/>
    <hyperlink ref="D152" r:id="rId162" display="mailto:jeiding@smithbucklin.com" xr:uid="{34F25C40-7C54-4B6D-B22C-45D9BDFF4AE3}"/>
    <hyperlink ref="D151" r:id="rId163" display="mailto:jeiding@smithbucklin.com" xr:uid="{53F59215-6A6B-42D2-A905-BB924D080259}"/>
    <hyperlink ref="I148" r:id="rId164" xr:uid="{2E4FA6FA-1C79-4A00-947E-BA6E11227AFE}"/>
    <hyperlink ref="I151" r:id="rId165" xr:uid="{2026E746-894B-4E01-8EE1-A51469FFDF5B}"/>
    <hyperlink ref="I149" r:id="rId166" xr:uid="{65F32264-404C-4FCC-9B4B-A16B2DBC6B5C}"/>
    <hyperlink ref="D155" r:id="rId167" xr:uid="{A9C5E175-2321-4F69-9FBD-65C601483EFA}"/>
    <hyperlink ref="I152" r:id="rId168" xr:uid="{763F9006-AE1A-4EDE-81A2-099E1DABE562}"/>
    <hyperlink ref="D157" r:id="rId169" xr:uid="{7EA4AB8F-AFA3-42F1-A15E-BD3107A7A584}"/>
    <hyperlink ref="D163" r:id="rId170" xr:uid="{26578037-D8DE-4481-ADAE-B3EB4856B744}"/>
    <hyperlink ref="D159" r:id="rId171" xr:uid="{A4107118-9BB6-49D1-9B88-2332C11B7187}"/>
    <hyperlink ref="D165" r:id="rId172" xr:uid="{5DD7F8F7-8200-4AB1-B8D6-F60BA51A9D9F}"/>
    <hyperlink ref="D154" r:id="rId173" display="mailto:AHRMM@Smithbucklin.com" xr:uid="{EF086932-4B46-4E29-9DB8-171AE88614E6}"/>
    <hyperlink ref="I154" r:id="rId174" xr:uid="{F8C98FA7-473B-4B7C-A3F0-695E035FF551}"/>
    <hyperlink ref="D161" r:id="rId175" xr:uid="{AABDA2C2-032B-4B7C-8F07-605E3851EF26}"/>
    <hyperlink ref="I157" r:id="rId176" xr:uid="{07C1C112-5125-4143-A515-19111CD41C95}"/>
    <hyperlink ref="I159" r:id="rId177" xr:uid="{515B5185-9761-4B7C-836E-77F913B9FA5E}"/>
    <hyperlink ref="D164" r:id="rId178" display="mailto:AHRMM@Smithbucklin.com" xr:uid="{0AAEC637-0AF3-4DDB-8E32-C3C1E275CA57}"/>
    <hyperlink ref="I161" r:id="rId179" xr:uid="{7177F9C1-7B51-450E-BFC1-568A61CB29D5}"/>
    <hyperlink ref="D168" r:id="rId180" xr:uid="{6908E730-8676-415A-B3F0-077996647FDF}"/>
    <hyperlink ref="D171" r:id="rId181" xr:uid="{7ABB2EC5-79D2-4C3F-94C2-73D6F1CB73A3}"/>
    <hyperlink ref="D174" r:id="rId182" xr:uid="{A437C57D-8FA4-46A6-AB6C-15BC8F28EC4B}"/>
    <hyperlink ref="D177" r:id="rId183" xr:uid="{FF5F71B1-F3E8-4ED6-B3EF-9FEBA249EA59}"/>
    <hyperlink ref="D178" r:id="rId184" xr:uid="{91AD861C-970E-4F3D-AAC0-5546A977C3E9}"/>
    <hyperlink ref="D181" r:id="rId185" xr:uid="{2E292309-8749-4759-913B-627F2CB9BDB2}"/>
    <hyperlink ref="D172" r:id="rId186" display="mailto:AHRMM@Smithbucklin.com" xr:uid="{44D55DF8-9191-4200-839D-742C33DAC7E9}"/>
    <hyperlink ref="D169" r:id="rId187" display="mailto:AHRMM@Smithbucklin.com" xr:uid="{CE8814D3-4497-45CF-9C2B-68387ADA8608}"/>
    <hyperlink ref="I168" r:id="rId188" xr:uid="{2A4D0951-82F1-47E8-B6CC-0F96CC2942E5}"/>
    <hyperlink ref="D170" r:id="rId189" xr:uid="{F2DBB058-F595-4328-9996-A4B1800FC952}"/>
    <hyperlink ref="I170" r:id="rId190" xr:uid="{11DF36EC-C22B-4E36-A0C0-71EE55F8AAB3}"/>
    <hyperlink ref="I169" r:id="rId191" xr:uid="{513002F1-E687-41AA-9DC6-6ED3D4EAB309}"/>
    <hyperlink ref="I171" r:id="rId192" xr:uid="{05D11A35-F82A-414F-BD8F-01A4D94C0676}"/>
    <hyperlink ref="I172" r:id="rId193" xr:uid="{6C1EAB39-0EBF-43A2-845C-46F45D3E0D0B}"/>
    <hyperlink ref="D175" r:id="rId194" xr:uid="{73327B04-EA40-43CC-BD42-4DAB8290BA98}"/>
    <hyperlink ref="F176" r:id="rId195" xr:uid="{5D18E23D-118C-47F9-BEE6-1DEDED9545FE}"/>
    <hyperlink ref="D176" r:id="rId196" xr:uid="{4F970B04-C60A-4AD1-B46F-0EE6A55264C0}"/>
    <hyperlink ref="I174" r:id="rId197" xr:uid="{61D8D787-31FB-478E-B6BF-FAEEBEBE685F}"/>
    <hyperlink ref="I175" r:id="rId198" xr:uid="{A23E6E3A-EB65-4005-A920-B07076295403}"/>
    <hyperlink ref="I176" r:id="rId199" xr:uid="{2B1EF327-FEE9-4653-BF11-9F853B8981D9}"/>
    <hyperlink ref="I177" r:id="rId200" xr:uid="{E2D222BE-099D-4BB8-B47C-E8B14B56398E}"/>
    <hyperlink ref="I178" r:id="rId201" xr:uid="{66A170BA-4E67-4FF1-9B7E-DE5EB361454F}"/>
    <hyperlink ref="I179" r:id="rId202" xr:uid="{53EE2BBF-8B1E-4B88-8719-FB1D82930039}"/>
    <hyperlink ref="I181" r:id="rId203" xr:uid="{D9F6628F-69CE-4B81-827E-A247186E94AE}"/>
    <hyperlink ref="D182" r:id="rId204" xr:uid="{B9F77579-9B7E-4750-821D-C4DA9056F515}"/>
    <hyperlink ref="F182" r:id="rId205" location=":~:text=NEW!%20Chapters%20Leader%20Luncheon" xr:uid="{25CF36FC-BE34-4F42-BEC5-67D0E1436F30}"/>
    <hyperlink ref="D183" r:id="rId206" xr:uid="{A1A3CE88-9C6F-4A44-B65D-1C55BB118758}"/>
    <hyperlink ref="F183" r:id="rId207" xr:uid="{7E84EE75-F6F6-4ACF-9A70-8462202162BB}"/>
    <hyperlink ref="D184" r:id="rId208" xr:uid="{EDCE6ADF-9156-4D7F-BC1F-E9442A766068}"/>
    <hyperlink ref="D186" r:id="rId209" xr:uid="{1C66B8FC-E422-4FD9-A368-0465DAAFA545}"/>
    <hyperlink ref="F187" r:id="rId210" xr:uid="{37FEED4A-7D21-4846-BCAF-8FAA050ECB78}"/>
    <hyperlink ref="F197" r:id="rId211" xr:uid="{DCB38F91-6E00-4185-A728-8AB26452DFC4}"/>
    <hyperlink ref="D196" r:id="rId212" xr:uid="{09EE3D05-8C88-4ED8-A8AE-EE89E1BC5FE9}"/>
    <hyperlink ref="D191" r:id="rId213" xr:uid="{A4FC6C80-52D8-418D-B06A-D11D3EDD0BED}"/>
    <hyperlink ref="F196" r:id="rId214" xr:uid="{FCF65CA1-E71D-446E-8381-5D4AD93267E2}"/>
    <hyperlink ref="F191" r:id="rId215" location=":~:text=for%20more%20details!-,Welcome%20Reception,-%2420%2C000%20Exclusive%20or" xr:uid="{60B582E0-489F-448E-B87A-71587B6C567C}"/>
    <hyperlink ref="I183" r:id="rId216" xr:uid="{430753C7-8B6D-470D-874C-9514F802F079}"/>
    <hyperlink ref="I185" r:id="rId217" xr:uid="{18E5A7A7-AE59-4C4A-8105-F3378E2BDC81}"/>
    <hyperlink ref="I186" r:id="rId218" xr:uid="{28A783E8-3ED9-4D47-A532-4246BDC6FEE8}"/>
    <hyperlink ref="I187" r:id="rId219" xr:uid="{D799E5A4-DAD4-4F72-BD29-C8FD0E6D6571}"/>
    <hyperlink ref="D189" r:id="rId220" xr:uid="{AF9F770D-2A92-4C00-A3EC-7D0FF0F04B4B}"/>
    <hyperlink ref="F190" r:id="rId221" xr:uid="{3203A3B7-9728-4117-8A13-7DFBD42C31DB}"/>
    <hyperlink ref="I189" r:id="rId222" xr:uid="{EF4A34E1-3E74-4260-8706-F44214DD0E49}"/>
    <hyperlink ref="I190" r:id="rId223" xr:uid="{CE4145F2-794E-4620-8AB8-88799613824E}"/>
    <hyperlink ref="I191" r:id="rId224" xr:uid="{68BDAA8B-3D45-4E35-9934-0247A11685EB}"/>
    <hyperlink ref="D194" r:id="rId225" xr:uid="{512230F6-0454-465C-9771-505FF9C0E6D0}"/>
    <hyperlink ref="D210" r:id="rId226" xr:uid="{E4643814-082D-4A56-A6F3-799A0D510B8F}"/>
    <hyperlink ref="I193" r:id="rId227" xr:uid="{D98C92B3-EC48-4292-86AA-57BAC478821F}"/>
    <hyperlink ref="G194" r:id="rId228" xr:uid="{9FFD09C9-23F4-4D39-AEBA-DB1F6E3D500E}"/>
    <hyperlink ref="I194" r:id="rId229" xr:uid="{33C87213-7FBD-4CF8-B63F-E5317674F263}"/>
    <hyperlink ref="I196" r:id="rId230" xr:uid="{12351A14-CAED-4308-9D64-25C8C2FCD7B6}"/>
    <hyperlink ref="D213" r:id="rId231" xr:uid="{43858E15-2209-46AB-825E-34AA4FF7CF7B}"/>
    <hyperlink ref="D214" r:id="rId232" xr:uid="{F54941B2-1EFA-4A15-A464-F4FE2A24DE5A}"/>
    <hyperlink ref="D218" r:id="rId233" xr:uid="{1C9171A2-D1A2-4ACE-AE1C-5ED41F95E053}"/>
    <hyperlink ref="D207" r:id="rId234" xr:uid="{4767C3B4-04ED-4C86-A563-D76C9475C245}"/>
    <hyperlink ref="D216" r:id="rId235" xr:uid="{F93F3B63-BF54-4F10-BE37-8B9CBD62DF8C}"/>
    <hyperlink ref="D217" r:id="rId236" xr:uid="{679F3552-9D7B-4D1E-8E20-EE99B321A0D6}"/>
    <hyperlink ref="D219" r:id="rId237" xr:uid="{A0899A33-0640-4755-A092-F1D0AD7EB55E}"/>
    <hyperlink ref="I197" r:id="rId238" xr:uid="{D9BF3290-65B8-4524-8170-629820B5FFAA}"/>
  </hyperlinks>
  <pageMargins left="0.7" right="0.7" top="0.75" bottom="0.75" header="0.3" footer="0.3"/>
  <pageSetup orientation="portrait" r:id="rId239"/>
  <drawing r:id="rId24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3064-8FCD-4DE4-9853-AF05A2110325}">
  <sheetPr>
    <tabColor rgb="FFA20D34"/>
  </sheetPr>
  <dimension ref="A1:T214"/>
  <sheetViews>
    <sheetView zoomScale="60" zoomScaleNormal="60" workbookViewId="0">
      <pane ySplit="2" topLeftCell="A186" activePane="bottomLeft" state="frozen"/>
      <selection pane="bottomLeft" activeCell="A190" sqref="A190"/>
    </sheetView>
  </sheetViews>
  <sheetFormatPr defaultColWidth="9.1796875" defaultRowHeight="18.5" x14ac:dyDescent="0.45"/>
  <cols>
    <col min="1" max="1" width="38.81640625" style="1018" customWidth="1"/>
    <col min="2" max="2" width="33" style="1018" customWidth="1"/>
    <col min="3" max="3" width="29.81640625" style="1018" customWidth="1"/>
    <col min="4" max="4" width="48.54296875" style="1018" customWidth="1"/>
    <col min="5" max="5" width="60.453125" style="1018" customWidth="1"/>
    <col min="6" max="6" width="51.453125" style="1018" customWidth="1"/>
    <col min="7" max="7" width="44.54296875" style="1018" customWidth="1"/>
    <col min="8" max="8" width="24.54296875" style="1018" customWidth="1"/>
    <col min="9" max="9" width="27.7265625" style="1018" customWidth="1"/>
    <col min="10" max="11" width="27.7265625" style="1018" hidden="1" customWidth="1"/>
    <col min="12" max="12" width="22.26953125" style="1062" customWidth="1"/>
    <col min="13" max="13" width="19" style="1065" customWidth="1"/>
    <col min="14" max="14" width="21.81640625" style="1185" customWidth="1"/>
    <col min="15" max="15" width="13.54296875" style="1185" customWidth="1"/>
    <col min="16" max="16" width="14.1796875" style="1186" customWidth="1"/>
    <col min="17" max="17" width="20.81640625" style="1185" bestFit="1" customWidth="1"/>
    <col min="18" max="18" width="0" style="1186" hidden="1" customWidth="1"/>
    <col min="19" max="19" width="16.1796875" style="1187" customWidth="1"/>
    <col min="20" max="20" width="0" style="1136" hidden="1" customWidth="1"/>
    <col min="21" max="16384" width="9.1796875" style="1018"/>
  </cols>
  <sheetData>
    <row r="1" spans="1:20" s="942" customFormat="1" ht="153" customHeight="1" x14ac:dyDescent="0.35">
      <c r="A1" s="2142"/>
      <c r="B1" s="2143"/>
      <c r="C1" s="1063"/>
      <c r="D1" s="943" t="s">
        <v>723</v>
      </c>
      <c r="E1" s="974">
        <f>AVERAGE(O94:O213)</f>
        <v>0.30045694444444454</v>
      </c>
      <c r="F1" s="962" t="s">
        <v>724</v>
      </c>
      <c r="G1" s="1064">
        <f>AVERAGE(P94:P213)</f>
        <v>3.7848611111111104E-2</v>
      </c>
      <c r="H1" s="994"/>
      <c r="L1" s="944"/>
      <c r="M1" s="1065"/>
      <c r="N1" s="1066"/>
      <c r="O1" s="1066"/>
      <c r="P1" s="1067"/>
      <c r="Q1" s="1066"/>
      <c r="R1" s="1067"/>
      <c r="S1" s="1066"/>
      <c r="T1" s="1068"/>
    </row>
    <row r="2" spans="1:20" s="1075" customFormat="1" ht="50.25" customHeight="1" x14ac:dyDescent="0.45">
      <c r="A2" s="1069" t="s">
        <v>1</v>
      </c>
      <c r="B2" s="1069" t="s">
        <v>431</v>
      </c>
      <c r="C2" s="1070" t="s">
        <v>3</v>
      </c>
      <c r="D2" s="1070" t="s">
        <v>4</v>
      </c>
      <c r="E2" s="1070" t="s">
        <v>5</v>
      </c>
      <c r="F2" s="1070" t="s">
        <v>6</v>
      </c>
      <c r="G2" s="1071" t="s">
        <v>7</v>
      </c>
      <c r="H2" s="1070" t="s">
        <v>726</v>
      </c>
      <c r="I2" s="1070" t="s">
        <v>727</v>
      </c>
      <c r="J2" s="1070" t="s">
        <v>3065</v>
      </c>
      <c r="K2" s="1070" t="s">
        <v>3066</v>
      </c>
      <c r="L2" s="1070" t="s">
        <v>2009</v>
      </c>
      <c r="M2" s="1072" t="s">
        <v>728</v>
      </c>
      <c r="N2" s="1072" t="s">
        <v>1573</v>
      </c>
      <c r="O2" s="1072" t="s">
        <v>433</v>
      </c>
      <c r="P2" s="1073" t="s">
        <v>729</v>
      </c>
      <c r="Q2" s="1072" t="s">
        <v>653</v>
      </c>
      <c r="R2" s="1073" t="s">
        <v>3067</v>
      </c>
      <c r="S2" s="1072" t="s">
        <v>655</v>
      </c>
      <c r="T2" s="1074" t="s">
        <v>2010</v>
      </c>
    </row>
    <row r="3" spans="1:20" s="982" customFormat="1" ht="43.9" hidden="1" customHeight="1" x14ac:dyDescent="0.35">
      <c r="A3" s="987" t="s">
        <v>739</v>
      </c>
      <c r="B3" s="987">
        <v>45300</v>
      </c>
      <c r="C3" s="987" t="s">
        <v>3068</v>
      </c>
      <c r="D3" s="984" t="s">
        <v>413</v>
      </c>
      <c r="E3" s="988" t="s">
        <v>3069</v>
      </c>
      <c r="F3" s="988"/>
      <c r="G3" s="988"/>
      <c r="H3" s="988"/>
      <c r="I3" s="985" t="s">
        <v>3070</v>
      </c>
      <c r="J3" s="985"/>
      <c r="K3" s="985"/>
      <c r="L3" s="989" t="s">
        <v>3071</v>
      </c>
      <c r="M3" s="1076">
        <v>75</v>
      </c>
      <c r="N3" s="991">
        <v>50</v>
      </c>
      <c r="O3" s="991">
        <v>10</v>
      </c>
      <c r="P3" s="990" t="e">
        <f>#REF!/N3</f>
        <v>#REF!</v>
      </c>
      <c r="Q3" s="991">
        <v>10</v>
      </c>
      <c r="R3" s="990">
        <f>S3/N3</f>
        <v>0.02</v>
      </c>
      <c r="S3" s="991">
        <v>1</v>
      </c>
      <c r="T3" s="968"/>
    </row>
    <row r="4" spans="1:20" s="982" customFormat="1" ht="43.9" hidden="1" customHeight="1" x14ac:dyDescent="0.35">
      <c r="A4" s="987" t="s">
        <v>739</v>
      </c>
      <c r="B4" s="987">
        <v>45300</v>
      </c>
      <c r="C4" s="987" t="s">
        <v>3072</v>
      </c>
      <c r="D4" s="984" t="s">
        <v>413</v>
      </c>
      <c r="E4" s="988" t="s">
        <v>3073</v>
      </c>
      <c r="F4" s="988"/>
      <c r="G4" s="988"/>
      <c r="H4" s="988"/>
      <c r="I4" s="985" t="s">
        <v>3074</v>
      </c>
      <c r="J4" s="985"/>
      <c r="K4" s="985"/>
      <c r="L4" s="989" t="s">
        <v>3071</v>
      </c>
      <c r="M4" s="1076">
        <v>75</v>
      </c>
      <c r="N4" s="991">
        <v>1377</v>
      </c>
      <c r="O4" s="991">
        <v>231</v>
      </c>
      <c r="P4" s="990" t="e">
        <f>#REF!/N4</f>
        <v>#REF!</v>
      </c>
      <c r="Q4" s="991">
        <v>231</v>
      </c>
      <c r="R4" s="990">
        <f>S4/N4</f>
        <v>1.0167029774872912E-2</v>
      </c>
      <c r="S4" s="991">
        <v>14</v>
      </c>
      <c r="T4" s="968"/>
    </row>
    <row r="5" spans="1:20" s="982" customFormat="1" ht="43.9" hidden="1" customHeight="1" x14ac:dyDescent="0.35">
      <c r="A5" s="987" t="s">
        <v>747</v>
      </c>
      <c r="B5" s="987">
        <v>45307</v>
      </c>
      <c r="C5" s="987" t="s">
        <v>86</v>
      </c>
      <c r="D5" s="984" t="s">
        <v>2033</v>
      </c>
      <c r="E5" s="988" t="s">
        <v>3075</v>
      </c>
      <c r="F5" s="988"/>
      <c r="G5" s="988" t="s">
        <v>3076</v>
      </c>
      <c r="H5" s="988"/>
      <c r="I5" s="985" t="s">
        <v>3077</v>
      </c>
      <c r="J5" s="985"/>
      <c r="K5" s="985"/>
      <c r="L5" s="989" t="s">
        <v>3078</v>
      </c>
      <c r="M5" s="1076">
        <v>25</v>
      </c>
      <c r="N5" s="991">
        <v>1628</v>
      </c>
      <c r="O5" s="991">
        <v>269</v>
      </c>
      <c r="P5" s="990" t="e">
        <f>#REF!/N5</f>
        <v>#REF!</v>
      </c>
      <c r="Q5" s="991">
        <v>269</v>
      </c>
      <c r="R5" s="990">
        <f>S5/N5</f>
        <v>1.6584766584766583E-2</v>
      </c>
      <c r="S5" s="991">
        <v>27</v>
      </c>
      <c r="T5" s="968"/>
    </row>
    <row r="6" spans="1:20" s="982" customFormat="1" ht="43.9" hidden="1" customHeight="1" x14ac:dyDescent="0.35">
      <c r="A6" s="992" t="s">
        <v>761</v>
      </c>
      <c r="B6" s="993"/>
      <c r="C6" s="993"/>
      <c r="D6" s="993"/>
      <c r="E6" s="962"/>
      <c r="F6" s="962"/>
      <c r="G6" s="962"/>
      <c r="H6" s="962"/>
      <c r="I6" s="962"/>
      <c r="J6" s="962"/>
      <c r="K6" s="962"/>
      <c r="L6" s="994"/>
      <c r="M6" s="1032"/>
      <c r="N6" s="996"/>
      <c r="O6" s="996"/>
      <c r="P6" s="995"/>
      <c r="Q6" s="996"/>
      <c r="R6" s="995"/>
      <c r="S6" s="996"/>
      <c r="T6" s="963"/>
    </row>
    <row r="7" spans="1:20" s="997" customFormat="1" ht="43.9" hidden="1" customHeight="1" x14ac:dyDescent="0.35">
      <c r="A7" s="987" t="s">
        <v>766</v>
      </c>
      <c r="B7" s="987">
        <v>45322</v>
      </c>
      <c r="C7" s="987" t="s">
        <v>3079</v>
      </c>
      <c r="D7" s="984" t="s">
        <v>2033</v>
      </c>
      <c r="E7" s="988" t="s">
        <v>3080</v>
      </c>
      <c r="F7" s="988"/>
      <c r="G7" s="988" t="s">
        <v>3076</v>
      </c>
      <c r="H7" s="988"/>
      <c r="I7" s="985" t="s">
        <v>3077</v>
      </c>
      <c r="J7" s="985"/>
      <c r="K7" s="985"/>
      <c r="L7" s="989" t="s">
        <v>3081</v>
      </c>
      <c r="M7" s="1076">
        <v>46</v>
      </c>
      <c r="N7" s="991">
        <v>1351</v>
      </c>
      <c r="O7" s="991">
        <v>89</v>
      </c>
      <c r="P7" s="990" t="e">
        <f>#REF!/N7</f>
        <v>#REF!</v>
      </c>
      <c r="Q7" s="991">
        <v>89</v>
      </c>
      <c r="R7" s="990"/>
      <c r="S7" s="991">
        <v>13</v>
      </c>
      <c r="T7" s="968"/>
    </row>
    <row r="8" spans="1:20" s="982" customFormat="1" ht="55.5" hidden="1" customHeight="1" x14ac:dyDescent="0.35">
      <c r="A8" s="992" t="s">
        <v>788</v>
      </c>
      <c r="B8" s="993"/>
      <c r="C8" s="993"/>
      <c r="D8" s="993"/>
      <c r="E8" s="962"/>
      <c r="F8" s="962"/>
      <c r="G8" s="962"/>
      <c r="H8" s="962"/>
      <c r="I8" s="962"/>
      <c r="J8" s="962"/>
      <c r="K8" s="962"/>
      <c r="L8" s="994"/>
      <c r="M8" s="1032"/>
      <c r="N8" s="996"/>
      <c r="O8" s="996"/>
      <c r="P8" s="995"/>
      <c r="Q8" s="996"/>
      <c r="R8" s="995"/>
      <c r="S8" s="996"/>
      <c r="T8" s="963"/>
    </row>
    <row r="9" spans="1:20" s="982" customFormat="1" ht="55.5" hidden="1" customHeight="1" x14ac:dyDescent="0.35">
      <c r="A9" s="987" t="s">
        <v>798</v>
      </c>
      <c r="B9" s="987">
        <v>45335</v>
      </c>
      <c r="C9" s="987" t="s">
        <v>86</v>
      </c>
      <c r="D9" s="984" t="s">
        <v>413</v>
      </c>
      <c r="E9" s="988" t="s">
        <v>3082</v>
      </c>
      <c r="F9" s="988" t="s">
        <v>3083</v>
      </c>
      <c r="G9" s="988"/>
      <c r="H9" s="988"/>
      <c r="I9" s="985" t="s">
        <v>3084</v>
      </c>
      <c r="J9" s="985"/>
      <c r="K9" s="985"/>
      <c r="L9" s="989" t="s">
        <v>801</v>
      </c>
      <c r="M9" s="1076">
        <v>32</v>
      </c>
      <c r="N9" s="991">
        <v>1680</v>
      </c>
      <c r="O9" s="991">
        <v>720</v>
      </c>
      <c r="P9" s="990" t="e">
        <f>#REF!/N9</f>
        <v>#REF!</v>
      </c>
      <c r="Q9" s="991">
        <v>5</v>
      </c>
      <c r="R9" s="990">
        <f>Q9/N9</f>
        <v>2.976190476190476E-3</v>
      </c>
      <c r="S9" s="991">
        <v>96</v>
      </c>
      <c r="T9" s="968">
        <f>S9/N9</f>
        <v>5.7142857142857141E-2</v>
      </c>
    </row>
    <row r="10" spans="1:20" s="997" customFormat="1" ht="43.9" hidden="1" customHeight="1" x14ac:dyDescent="0.35">
      <c r="A10" s="987" t="s">
        <v>806</v>
      </c>
      <c r="B10" s="987">
        <v>45341</v>
      </c>
      <c r="C10" s="987" t="s">
        <v>3085</v>
      </c>
      <c r="D10" s="984" t="s">
        <v>413</v>
      </c>
      <c r="E10" s="988" t="s">
        <v>3086</v>
      </c>
      <c r="F10" s="988"/>
      <c r="G10" s="988" t="s">
        <v>3087</v>
      </c>
      <c r="H10" s="988"/>
      <c r="I10" s="988"/>
      <c r="J10" s="988"/>
      <c r="K10" s="988"/>
      <c r="L10" s="989" t="s">
        <v>3088</v>
      </c>
      <c r="M10" s="1076">
        <v>39</v>
      </c>
      <c r="N10" s="991">
        <v>40</v>
      </c>
      <c r="O10" s="991">
        <v>7</v>
      </c>
      <c r="P10" s="990" t="e">
        <f>#REF!/N10</f>
        <v>#REF!</v>
      </c>
      <c r="Q10" s="991">
        <v>0</v>
      </c>
      <c r="R10" s="990">
        <v>0</v>
      </c>
      <c r="S10" s="991">
        <v>3</v>
      </c>
      <c r="T10" s="968">
        <f>S10/N10</f>
        <v>7.4999999999999997E-2</v>
      </c>
    </row>
    <row r="11" spans="1:20" s="997" customFormat="1" ht="43.9" hidden="1" customHeight="1" x14ac:dyDescent="0.35">
      <c r="A11" s="987" t="s">
        <v>806</v>
      </c>
      <c r="B11" s="987">
        <v>45341</v>
      </c>
      <c r="C11" s="987" t="s">
        <v>3089</v>
      </c>
      <c r="D11" s="984" t="s">
        <v>413</v>
      </c>
      <c r="E11" s="988" t="s">
        <v>3090</v>
      </c>
      <c r="F11" s="988"/>
      <c r="G11" s="988" t="s">
        <v>3087</v>
      </c>
      <c r="H11" s="988"/>
      <c r="I11" s="988"/>
      <c r="J11" s="988"/>
      <c r="K11" s="988"/>
      <c r="L11" s="989" t="s">
        <v>3088</v>
      </c>
      <c r="M11" s="1076">
        <v>39</v>
      </c>
      <c r="N11" s="991">
        <v>1117</v>
      </c>
      <c r="O11" s="991">
        <v>101</v>
      </c>
      <c r="P11" s="990" t="e">
        <f>#REF!/N11</f>
        <v>#REF!</v>
      </c>
      <c r="Q11" s="991">
        <v>2</v>
      </c>
      <c r="R11" s="990">
        <f>Q11/N11</f>
        <v>1.7905102954341987E-3</v>
      </c>
      <c r="S11" s="991">
        <v>58</v>
      </c>
      <c r="T11" s="968">
        <f>S11/N11</f>
        <v>5.1924798567591766E-2</v>
      </c>
    </row>
    <row r="12" spans="1:20" s="982" customFormat="1" ht="43.9" hidden="1" customHeight="1" x14ac:dyDescent="0.35">
      <c r="A12" s="987" t="s">
        <v>816</v>
      </c>
      <c r="B12" s="987">
        <v>45349</v>
      </c>
      <c r="C12" s="987" t="s">
        <v>3091</v>
      </c>
      <c r="D12" s="984" t="s">
        <v>2033</v>
      </c>
      <c r="E12" s="988" t="s">
        <v>3092</v>
      </c>
      <c r="F12" s="988" t="s">
        <v>3093</v>
      </c>
      <c r="G12" s="988"/>
      <c r="H12" s="988"/>
      <c r="I12" s="988"/>
      <c r="J12" s="988"/>
      <c r="K12" s="988"/>
      <c r="L12" s="989" t="s">
        <v>3094</v>
      </c>
      <c r="M12" s="1076">
        <v>31</v>
      </c>
      <c r="N12" s="991">
        <v>1576</v>
      </c>
      <c r="O12" s="991">
        <v>241</v>
      </c>
      <c r="P12" s="990" t="e">
        <f>#REF!/N12</f>
        <v>#REF!</v>
      </c>
      <c r="Q12" s="991">
        <v>3</v>
      </c>
      <c r="R12" s="990">
        <f>Q12/N12</f>
        <v>1.9035532994923859E-3</v>
      </c>
      <c r="S12" s="991">
        <v>27</v>
      </c>
      <c r="T12" s="968">
        <f>S12/N12</f>
        <v>1.7131979695431471E-2</v>
      </c>
    </row>
    <row r="13" spans="1:20" s="982" customFormat="1" ht="49.5" hidden="1" customHeight="1" x14ac:dyDescent="0.35">
      <c r="A13" s="998" t="s">
        <v>829</v>
      </c>
      <c r="B13" s="987">
        <v>45363</v>
      </c>
      <c r="C13" s="998" t="s">
        <v>3095</v>
      </c>
      <c r="D13" s="984" t="s">
        <v>2033</v>
      </c>
      <c r="E13" s="998" t="s">
        <v>3096</v>
      </c>
      <c r="F13" s="998" t="s">
        <v>3093</v>
      </c>
      <c r="G13" s="998"/>
      <c r="H13" s="998"/>
      <c r="I13" s="998"/>
      <c r="J13" s="998"/>
      <c r="K13" s="998"/>
      <c r="L13" s="1022" t="s">
        <v>3097</v>
      </c>
      <c r="M13" s="1076">
        <v>23</v>
      </c>
      <c r="N13" s="1076">
        <v>1294</v>
      </c>
      <c r="O13" s="1076">
        <v>129</v>
      </c>
      <c r="P13" s="1077" t="e">
        <f>#REF!/N13</f>
        <v>#REF!</v>
      </c>
      <c r="Q13" s="1076">
        <v>2</v>
      </c>
      <c r="R13" s="1077">
        <f>Q13/N13</f>
        <v>1.5455950540958269E-3</v>
      </c>
      <c r="S13" s="1076">
        <v>22</v>
      </c>
      <c r="T13" s="969">
        <f>S13/N13</f>
        <v>1.7001545595054096E-2</v>
      </c>
    </row>
    <row r="14" spans="1:20" s="982" customFormat="1" ht="43.9" hidden="1" customHeight="1" x14ac:dyDescent="0.35">
      <c r="A14" s="1027" t="s">
        <v>3098</v>
      </c>
      <c r="B14" s="2145" t="s">
        <v>3099</v>
      </c>
      <c r="C14" s="2146"/>
      <c r="D14" s="2146"/>
      <c r="E14" s="2146"/>
      <c r="F14" s="2146"/>
      <c r="G14" s="2146"/>
      <c r="H14" s="1078"/>
      <c r="I14" s="1028"/>
      <c r="J14" s="1028"/>
      <c r="K14" s="1028"/>
      <c r="L14" s="1000"/>
      <c r="M14" s="1079"/>
      <c r="N14" s="1002"/>
      <c r="O14" s="1002"/>
      <c r="P14" s="1001"/>
      <c r="Q14" s="1002"/>
      <c r="R14" s="1001"/>
      <c r="S14" s="1002"/>
      <c r="T14" s="1080"/>
    </row>
    <row r="15" spans="1:20" s="982" customFormat="1" ht="49.5" hidden="1" customHeight="1" x14ac:dyDescent="0.35">
      <c r="A15" s="1027" t="s">
        <v>829</v>
      </c>
      <c r="B15" s="2139" t="s">
        <v>3100</v>
      </c>
      <c r="C15" s="2139"/>
      <c r="D15" s="2139"/>
      <c r="E15" s="2139"/>
      <c r="F15" s="2139"/>
      <c r="G15" s="2139"/>
      <c r="H15" s="1027"/>
      <c r="I15" s="1081"/>
      <c r="J15" s="1081"/>
      <c r="K15" s="1081"/>
      <c r="L15" s="1027"/>
      <c r="M15" s="1079"/>
      <c r="N15" s="1079"/>
      <c r="O15" s="1079"/>
      <c r="P15" s="1082"/>
      <c r="Q15" s="1079"/>
      <c r="R15" s="1082"/>
      <c r="S15" s="1079"/>
      <c r="T15" s="1083"/>
    </row>
    <row r="16" spans="1:20" s="982" customFormat="1" ht="49.5" hidden="1" customHeight="1" x14ac:dyDescent="0.35">
      <c r="A16" s="1084" t="s">
        <v>841</v>
      </c>
      <c r="B16" s="1019"/>
      <c r="C16" s="1019"/>
      <c r="D16" s="1085"/>
      <c r="E16" s="1019"/>
      <c r="F16" s="1019"/>
      <c r="G16" s="1019"/>
      <c r="H16" s="1019"/>
      <c r="I16" s="1019"/>
      <c r="J16" s="1019"/>
      <c r="K16" s="1019"/>
      <c r="L16" s="1020"/>
      <c r="M16" s="1086"/>
      <c r="N16" s="1086"/>
      <c r="O16" s="1086"/>
      <c r="P16" s="1087"/>
      <c r="Q16" s="1086"/>
      <c r="R16" s="1087"/>
      <c r="S16" s="1086"/>
      <c r="T16" s="970"/>
    </row>
    <row r="17" spans="1:20" s="1096" customFormat="1" ht="49.5" hidden="1" customHeight="1" x14ac:dyDescent="0.35">
      <c r="A17" s="1088" t="s">
        <v>848</v>
      </c>
      <c r="B17" s="1089">
        <v>45379</v>
      </c>
      <c r="C17" s="1089" t="s">
        <v>3101</v>
      </c>
      <c r="D17" s="1090" t="s">
        <v>3102</v>
      </c>
      <c r="E17" s="1089" t="s">
        <v>3103</v>
      </c>
      <c r="F17" s="1089" t="s">
        <v>3104</v>
      </c>
      <c r="G17" s="1089" t="s">
        <v>3105</v>
      </c>
      <c r="H17" s="1089"/>
      <c r="I17" s="1089"/>
      <c r="J17" s="1089"/>
      <c r="K17" s="1089"/>
      <c r="L17" s="1091"/>
      <c r="M17" s="1092"/>
      <c r="N17" s="1093"/>
      <c r="O17" s="1093"/>
      <c r="P17" s="1094"/>
      <c r="Q17" s="1093"/>
      <c r="R17" s="1094"/>
      <c r="S17" s="1093"/>
      <c r="T17" s="1095"/>
    </row>
    <row r="18" spans="1:20" s="1003" customFormat="1" ht="43.9" hidden="1" customHeight="1" x14ac:dyDescent="0.35">
      <c r="A18" s="987" t="s">
        <v>857</v>
      </c>
      <c r="B18" s="998">
        <v>45384</v>
      </c>
      <c r="C18" s="987" t="s">
        <v>3106</v>
      </c>
      <c r="D18" s="984"/>
      <c r="E18" s="988" t="s">
        <v>3107</v>
      </c>
      <c r="F18" s="998" t="s">
        <v>3108</v>
      </c>
      <c r="G18" s="1097"/>
      <c r="H18" s="1097"/>
      <c r="I18" s="1097"/>
      <c r="J18" s="1097"/>
      <c r="K18" s="1097"/>
      <c r="L18" s="989" t="s">
        <v>3109</v>
      </c>
      <c r="M18" s="1076">
        <v>31</v>
      </c>
      <c r="N18" s="991">
        <v>121</v>
      </c>
      <c r="O18" s="991">
        <v>17</v>
      </c>
      <c r="P18" s="990" t="e">
        <f>#REF!/N18</f>
        <v>#REF!</v>
      </c>
      <c r="Q18" s="991">
        <v>0</v>
      </c>
      <c r="R18" s="990">
        <f t="shared" ref="R18:R23" si="0">Q18/N18</f>
        <v>0</v>
      </c>
      <c r="S18" s="991">
        <v>14</v>
      </c>
      <c r="T18" s="968">
        <f>S18/N18</f>
        <v>0.11570247933884298</v>
      </c>
    </row>
    <row r="19" spans="1:20" s="982" customFormat="1" ht="43.9" hidden="1" customHeight="1" x14ac:dyDescent="0.35">
      <c r="A19" s="987" t="s">
        <v>857</v>
      </c>
      <c r="B19" s="998">
        <v>45384</v>
      </c>
      <c r="C19" s="987" t="s">
        <v>3110</v>
      </c>
      <c r="D19" s="984"/>
      <c r="E19" s="988" t="s">
        <v>3111</v>
      </c>
      <c r="F19" s="998" t="s">
        <v>3112</v>
      </c>
      <c r="G19" s="988"/>
      <c r="H19" s="988"/>
      <c r="I19" s="988"/>
      <c r="J19" s="988"/>
      <c r="K19" s="988"/>
      <c r="L19" s="989" t="s">
        <v>3109</v>
      </c>
      <c r="M19" s="1076">
        <v>31</v>
      </c>
      <c r="N19" s="991">
        <v>58</v>
      </c>
      <c r="O19" s="991">
        <v>6</v>
      </c>
      <c r="P19" s="990" t="e">
        <f>#REF!/N19</f>
        <v>#REF!</v>
      </c>
      <c r="Q19" s="991">
        <v>0</v>
      </c>
      <c r="R19" s="990">
        <f t="shared" si="0"/>
        <v>0</v>
      </c>
      <c r="S19" s="991">
        <v>4</v>
      </c>
      <c r="T19" s="968">
        <f>S19/N19</f>
        <v>6.8965517241379309E-2</v>
      </c>
    </row>
    <row r="20" spans="1:20" s="1003" customFormat="1" ht="43.9" hidden="1" customHeight="1" x14ac:dyDescent="0.35">
      <c r="A20" s="987" t="s">
        <v>857</v>
      </c>
      <c r="B20" s="998">
        <v>45384</v>
      </c>
      <c r="C20" s="987" t="s">
        <v>3113</v>
      </c>
      <c r="D20" s="984"/>
      <c r="E20" s="988" t="s">
        <v>3114</v>
      </c>
      <c r="F20" s="998" t="s">
        <v>3112</v>
      </c>
      <c r="G20" s="1097"/>
      <c r="H20" s="1097"/>
      <c r="I20" s="1097"/>
      <c r="J20" s="1097"/>
      <c r="K20" s="1097"/>
      <c r="L20" s="989" t="s">
        <v>3109</v>
      </c>
      <c r="M20" s="1076">
        <v>31</v>
      </c>
      <c r="N20" s="991">
        <v>305</v>
      </c>
      <c r="O20" s="991">
        <v>41</v>
      </c>
      <c r="P20" s="990" t="e">
        <f>#REF!/N20</f>
        <v>#REF!</v>
      </c>
      <c r="Q20" s="991">
        <v>3</v>
      </c>
      <c r="R20" s="990">
        <f t="shared" si="0"/>
        <v>9.8360655737704927E-3</v>
      </c>
      <c r="S20" s="991">
        <v>53</v>
      </c>
      <c r="T20" s="968">
        <f>S20/N20</f>
        <v>0.17377049180327869</v>
      </c>
    </row>
    <row r="21" spans="1:20" s="1003" customFormat="1" ht="43.9" hidden="1" customHeight="1" x14ac:dyDescent="0.35">
      <c r="A21" s="987" t="s">
        <v>859</v>
      </c>
      <c r="B21" s="998">
        <v>45391</v>
      </c>
      <c r="C21" s="987" t="s">
        <v>3115</v>
      </c>
      <c r="D21" s="984"/>
      <c r="E21" s="988" t="s">
        <v>3116</v>
      </c>
      <c r="F21" s="998"/>
      <c r="G21" s="988"/>
      <c r="H21" s="988"/>
      <c r="I21" s="988"/>
      <c r="J21" s="988"/>
      <c r="K21" s="988"/>
      <c r="L21" s="989" t="s">
        <v>3117</v>
      </c>
      <c r="M21" s="1076">
        <v>52</v>
      </c>
      <c r="N21" s="991">
        <v>90</v>
      </c>
      <c r="O21" s="991">
        <v>7</v>
      </c>
      <c r="P21" s="990" t="e">
        <f>#REF!/N21</f>
        <v>#REF!</v>
      </c>
      <c r="Q21" s="991">
        <v>0</v>
      </c>
      <c r="R21" s="990">
        <f t="shared" si="0"/>
        <v>0</v>
      </c>
      <c r="S21" s="991">
        <v>1</v>
      </c>
      <c r="T21" s="968">
        <f>S21/N21</f>
        <v>1.1111111111111112E-2</v>
      </c>
    </row>
    <row r="22" spans="1:20" s="1003" customFormat="1" ht="43.9" hidden="1" customHeight="1" x14ac:dyDescent="0.35">
      <c r="A22" s="987" t="s">
        <v>859</v>
      </c>
      <c r="B22" s="998">
        <v>45391</v>
      </c>
      <c r="C22" s="987" t="s">
        <v>3115</v>
      </c>
      <c r="D22" s="984"/>
      <c r="E22" s="988" t="s">
        <v>3118</v>
      </c>
      <c r="F22" s="998"/>
      <c r="G22" s="1097"/>
      <c r="H22" s="1097"/>
      <c r="I22" s="1097"/>
      <c r="J22" s="1097"/>
      <c r="K22" s="1097"/>
      <c r="L22" s="989" t="s">
        <v>3117</v>
      </c>
      <c r="M22" s="1076">
        <v>52</v>
      </c>
      <c r="N22" s="1098">
        <v>48</v>
      </c>
      <c r="O22" s="1098">
        <v>1</v>
      </c>
      <c r="P22" s="1099" t="e">
        <f>#REF!/N22</f>
        <v>#REF!</v>
      </c>
      <c r="Q22" s="991">
        <v>0</v>
      </c>
      <c r="R22" s="990">
        <f t="shared" si="0"/>
        <v>0</v>
      </c>
      <c r="S22" s="991">
        <v>0</v>
      </c>
      <c r="T22" s="990" t="e">
        <f>S22/#REF!</f>
        <v>#REF!</v>
      </c>
    </row>
    <row r="23" spans="1:20" s="982" customFormat="1" ht="57" hidden="1" customHeight="1" x14ac:dyDescent="0.35">
      <c r="A23" s="987" t="s">
        <v>859</v>
      </c>
      <c r="B23" s="998">
        <v>45391</v>
      </c>
      <c r="C23" s="987" t="s">
        <v>3115</v>
      </c>
      <c r="D23" s="984"/>
      <c r="E23" s="988" t="s">
        <v>3119</v>
      </c>
      <c r="F23" s="998"/>
      <c r="G23" s="988"/>
      <c r="H23" s="988"/>
      <c r="I23" s="988"/>
      <c r="J23" s="988"/>
      <c r="K23" s="988"/>
      <c r="L23" s="989" t="s">
        <v>3120</v>
      </c>
      <c r="M23" s="1076">
        <v>52</v>
      </c>
      <c r="N23" s="991">
        <v>211</v>
      </c>
      <c r="O23" s="991">
        <v>12</v>
      </c>
      <c r="P23" s="990" t="e">
        <f>#REF!/N23</f>
        <v>#REF!</v>
      </c>
      <c r="Q23" s="991">
        <v>0</v>
      </c>
      <c r="R23" s="990">
        <f t="shared" si="0"/>
        <v>0</v>
      </c>
      <c r="S23" s="991">
        <v>0</v>
      </c>
      <c r="T23" s="990" t="e">
        <f>S23/#REF!</f>
        <v>#REF!</v>
      </c>
    </row>
    <row r="24" spans="1:20" ht="61.5" hidden="1" customHeight="1" x14ac:dyDescent="0.45">
      <c r="A24" s="999" t="s">
        <v>865</v>
      </c>
      <c r="B24" s="2139" t="s">
        <v>3121</v>
      </c>
      <c r="C24" s="2144"/>
      <c r="D24" s="2144"/>
      <c r="E24" s="2144"/>
      <c r="F24" s="2144"/>
      <c r="G24" s="2144"/>
      <c r="H24" s="1081"/>
      <c r="I24" s="1028"/>
      <c r="J24" s="1028"/>
      <c r="K24" s="1028"/>
      <c r="L24" s="1000"/>
      <c r="M24" s="981"/>
      <c r="N24" s="1002"/>
      <c r="O24" s="1002"/>
      <c r="P24" s="1001"/>
      <c r="Q24" s="1002"/>
      <c r="R24" s="1001"/>
      <c r="S24" s="1002"/>
      <c r="T24" s="1080"/>
    </row>
    <row r="25" spans="1:20" s="944" customFormat="1" ht="74" hidden="1" x14ac:dyDescent="0.35">
      <c r="A25" s="987" t="s">
        <v>865</v>
      </c>
      <c r="B25" s="987">
        <v>45398</v>
      </c>
      <c r="C25" s="987" t="s">
        <v>2106</v>
      </c>
      <c r="D25" s="984" t="s">
        <v>413</v>
      </c>
      <c r="E25" s="988" t="s">
        <v>3122</v>
      </c>
      <c r="F25" s="988" t="s">
        <v>3123</v>
      </c>
      <c r="G25" s="988" t="s">
        <v>3124</v>
      </c>
      <c r="H25" s="988"/>
      <c r="I25" s="988"/>
      <c r="J25" s="988"/>
      <c r="K25" s="988"/>
      <c r="L25" s="989" t="s">
        <v>3125</v>
      </c>
      <c r="M25" s="991">
        <v>35</v>
      </c>
      <c r="N25" s="991">
        <v>1975</v>
      </c>
      <c r="O25" s="991">
        <v>201</v>
      </c>
      <c r="P25" s="990" t="e">
        <f>#REF!/N25</f>
        <v>#REF!</v>
      </c>
      <c r="Q25" s="991">
        <v>6</v>
      </c>
      <c r="R25" s="990">
        <f>Q25/N25</f>
        <v>3.0379746835443038E-3</v>
      </c>
      <c r="S25" s="991">
        <v>55</v>
      </c>
      <c r="T25" s="968">
        <f>S25/N25</f>
        <v>2.7848101265822784E-2</v>
      </c>
    </row>
    <row r="26" spans="1:20" s="1003" customFormat="1" ht="43.9" hidden="1" customHeight="1" x14ac:dyDescent="0.35">
      <c r="A26" s="1005" t="s">
        <v>868</v>
      </c>
      <c r="B26" s="1005"/>
      <c r="C26" s="1005"/>
      <c r="D26" s="1005"/>
      <c r="E26" s="1004" t="s">
        <v>2065</v>
      </c>
      <c r="F26" s="1006"/>
      <c r="G26" s="1006"/>
      <c r="H26" s="1006"/>
      <c r="I26" s="1006"/>
      <c r="J26" s="1006"/>
      <c r="K26" s="1006"/>
      <c r="L26" s="1004"/>
      <c r="M26" s="1100"/>
      <c r="N26" s="1007"/>
      <c r="O26" s="1007"/>
      <c r="P26" s="1008"/>
      <c r="Q26" s="1007"/>
      <c r="R26" s="1008"/>
      <c r="S26" s="1007"/>
      <c r="T26" s="1101"/>
    </row>
    <row r="27" spans="1:20" s="982" customFormat="1" ht="111" hidden="1" x14ac:dyDescent="0.35">
      <c r="A27" s="987" t="s">
        <v>880</v>
      </c>
      <c r="B27" s="987">
        <v>45412</v>
      </c>
      <c r="C27" s="987" t="s">
        <v>905</v>
      </c>
      <c r="D27" s="984" t="s">
        <v>413</v>
      </c>
      <c r="E27" s="988" t="s">
        <v>3126</v>
      </c>
      <c r="F27" s="988" t="s">
        <v>3127</v>
      </c>
      <c r="G27" s="988"/>
      <c r="H27" s="988"/>
      <c r="I27" s="985" t="s">
        <v>3128</v>
      </c>
      <c r="J27" s="985"/>
      <c r="K27" s="985"/>
      <c r="L27" s="989" t="s">
        <v>3129</v>
      </c>
      <c r="M27" s="1076">
        <v>67</v>
      </c>
      <c r="N27" s="991">
        <v>98</v>
      </c>
      <c r="O27" s="991">
        <v>12</v>
      </c>
      <c r="P27" s="990" t="e">
        <f>#REF!/N27</f>
        <v>#REF!</v>
      </c>
      <c r="Q27" s="991">
        <v>0</v>
      </c>
      <c r="R27" s="990">
        <v>0</v>
      </c>
      <c r="S27" s="991">
        <v>0</v>
      </c>
      <c r="T27" s="968">
        <v>0</v>
      </c>
    </row>
    <row r="28" spans="1:20" s="982" customFormat="1" ht="92.5" hidden="1" x14ac:dyDescent="0.35">
      <c r="A28" s="987" t="s">
        <v>880</v>
      </c>
      <c r="B28" s="987">
        <v>45412</v>
      </c>
      <c r="C28" s="987" t="s">
        <v>3130</v>
      </c>
      <c r="D28" s="984" t="s">
        <v>413</v>
      </c>
      <c r="E28" s="988" t="s">
        <v>3131</v>
      </c>
      <c r="F28" s="988"/>
      <c r="G28" s="988"/>
      <c r="H28" s="988"/>
      <c r="I28" s="985" t="s">
        <v>3132</v>
      </c>
      <c r="J28" s="985"/>
      <c r="K28" s="985"/>
      <c r="L28" s="989" t="s">
        <v>3133</v>
      </c>
      <c r="M28" s="1076">
        <v>67</v>
      </c>
      <c r="N28" s="991">
        <v>71</v>
      </c>
      <c r="O28" s="991">
        <v>14</v>
      </c>
      <c r="P28" s="990">
        <v>0</v>
      </c>
      <c r="Q28" s="991">
        <v>0</v>
      </c>
      <c r="R28" s="990">
        <v>0</v>
      </c>
      <c r="S28" s="991">
        <v>2</v>
      </c>
      <c r="T28" s="968">
        <f>S28/N28</f>
        <v>2.8169014084507043E-2</v>
      </c>
    </row>
    <row r="29" spans="1:20" s="982" customFormat="1" ht="92.5" hidden="1" x14ac:dyDescent="0.35">
      <c r="A29" s="987" t="s">
        <v>880</v>
      </c>
      <c r="B29" s="987">
        <v>45412</v>
      </c>
      <c r="C29" s="987" t="s">
        <v>3072</v>
      </c>
      <c r="D29" s="984" t="s">
        <v>413</v>
      </c>
      <c r="E29" s="988" t="s">
        <v>3134</v>
      </c>
      <c r="F29" s="988"/>
      <c r="G29" s="988"/>
      <c r="H29" s="988"/>
      <c r="I29" s="985" t="s">
        <v>3135</v>
      </c>
      <c r="J29" s="985"/>
      <c r="K29" s="985"/>
      <c r="L29" s="989" t="s">
        <v>3133</v>
      </c>
      <c r="M29" s="1076">
        <v>56</v>
      </c>
      <c r="N29" s="991">
        <v>236</v>
      </c>
      <c r="O29" s="991">
        <v>36</v>
      </c>
      <c r="P29" s="990" t="e">
        <f>#REF!/N29</f>
        <v>#REF!</v>
      </c>
      <c r="Q29" s="991">
        <v>5</v>
      </c>
      <c r="R29" s="990">
        <f>Q29/N29</f>
        <v>2.1186440677966101E-2</v>
      </c>
      <c r="S29" s="991">
        <v>0</v>
      </c>
      <c r="T29" s="968">
        <v>0</v>
      </c>
    </row>
    <row r="30" spans="1:20" s="1102" customFormat="1" ht="43.9" hidden="1" customHeight="1" x14ac:dyDescent="0.35">
      <c r="A30" s="1005" t="s">
        <v>885</v>
      </c>
      <c r="B30" s="1005"/>
      <c r="C30" s="1005"/>
      <c r="D30" s="1005"/>
      <c r="E30" s="1004" t="s">
        <v>2073</v>
      </c>
      <c r="F30" s="1006"/>
      <c r="G30" s="1006"/>
      <c r="H30" s="1006"/>
      <c r="I30" s="1006"/>
      <c r="J30" s="1006"/>
      <c r="K30" s="1006"/>
      <c r="L30" s="1004"/>
      <c r="M30" s="1100"/>
      <c r="N30" s="1007"/>
      <c r="O30" s="1007"/>
      <c r="P30" s="1008"/>
      <c r="Q30" s="1007"/>
      <c r="R30" s="1008"/>
      <c r="S30" s="1007"/>
      <c r="T30" s="1101"/>
    </row>
    <row r="31" spans="1:20" s="982" customFormat="1" ht="57.75" hidden="1" customHeight="1" x14ac:dyDescent="0.35">
      <c r="A31" s="987" t="s">
        <v>885</v>
      </c>
      <c r="B31" s="987">
        <v>45419</v>
      </c>
      <c r="C31" s="987" t="s">
        <v>905</v>
      </c>
      <c r="D31" s="984" t="s">
        <v>413</v>
      </c>
      <c r="E31" s="988" t="s">
        <v>3136</v>
      </c>
      <c r="F31" s="988" t="s">
        <v>3127</v>
      </c>
      <c r="G31" s="988"/>
      <c r="H31" s="988"/>
      <c r="I31" s="988"/>
      <c r="J31" s="988"/>
      <c r="K31" s="988"/>
      <c r="L31" s="989" t="s">
        <v>3133</v>
      </c>
      <c r="M31" s="1076">
        <v>56</v>
      </c>
      <c r="N31" s="991">
        <v>86</v>
      </c>
      <c r="O31" s="991">
        <v>4</v>
      </c>
      <c r="P31" s="990" t="e">
        <f>#REF!/N31</f>
        <v>#REF!</v>
      </c>
      <c r="Q31" s="991">
        <v>0</v>
      </c>
      <c r="R31" s="990">
        <v>0</v>
      </c>
      <c r="S31" s="991">
        <v>0</v>
      </c>
      <c r="T31" s="968">
        <v>0</v>
      </c>
    </row>
    <row r="32" spans="1:20" s="982" customFormat="1" ht="43.9" hidden="1" customHeight="1" x14ac:dyDescent="0.35">
      <c r="A32" s="987" t="s">
        <v>885</v>
      </c>
      <c r="B32" s="987">
        <v>45419</v>
      </c>
      <c r="C32" s="987" t="s">
        <v>3130</v>
      </c>
      <c r="D32" s="984" t="s">
        <v>413</v>
      </c>
      <c r="E32" s="988" t="s">
        <v>3137</v>
      </c>
      <c r="F32" s="988"/>
      <c r="G32" s="988"/>
      <c r="H32" s="988"/>
      <c r="I32" s="988"/>
      <c r="J32" s="988"/>
      <c r="K32" s="988"/>
      <c r="L32" s="989" t="s">
        <v>3133</v>
      </c>
      <c r="M32" s="1076">
        <v>56</v>
      </c>
      <c r="N32" s="991">
        <v>55</v>
      </c>
      <c r="O32" s="991">
        <v>3</v>
      </c>
      <c r="P32" s="990">
        <v>0</v>
      </c>
      <c r="Q32" s="991">
        <v>0</v>
      </c>
      <c r="R32" s="990">
        <v>0</v>
      </c>
      <c r="S32" s="991">
        <v>1</v>
      </c>
      <c r="T32" s="968">
        <f>S32/N32</f>
        <v>1.8181818181818181E-2</v>
      </c>
    </row>
    <row r="33" spans="1:20" s="982" customFormat="1" ht="43.9" hidden="1" customHeight="1" x14ac:dyDescent="0.35">
      <c r="A33" s="987" t="s">
        <v>885</v>
      </c>
      <c r="B33" s="987">
        <v>45419</v>
      </c>
      <c r="C33" s="987" t="s">
        <v>3072</v>
      </c>
      <c r="D33" s="984" t="s">
        <v>413</v>
      </c>
      <c r="E33" s="988" t="s">
        <v>3138</v>
      </c>
      <c r="F33" s="988"/>
      <c r="G33" s="988"/>
      <c r="H33" s="988"/>
      <c r="I33" s="988"/>
      <c r="J33" s="988"/>
      <c r="K33" s="988"/>
      <c r="L33" s="989" t="s">
        <v>3133</v>
      </c>
      <c r="M33" s="1076">
        <v>56</v>
      </c>
      <c r="N33" s="991">
        <v>200</v>
      </c>
      <c r="O33" s="991">
        <v>13</v>
      </c>
      <c r="P33" s="990" t="e">
        <f>#REF!/N33</f>
        <v>#REF!</v>
      </c>
      <c r="Q33" s="991">
        <v>1</v>
      </c>
      <c r="R33" s="990">
        <f>Q33/N33</f>
        <v>5.0000000000000001E-3</v>
      </c>
      <c r="S33" s="991">
        <v>0</v>
      </c>
      <c r="T33" s="968">
        <v>0</v>
      </c>
    </row>
    <row r="34" spans="1:20" s="982" customFormat="1" ht="43.9" hidden="1" customHeight="1" x14ac:dyDescent="0.35">
      <c r="A34" s="987" t="s">
        <v>895</v>
      </c>
      <c r="B34" s="987">
        <v>45426</v>
      </c>
      <c r="C34" s="987" t="s">
        <v>86</v>
      </c>
      <c r="D34" s="984" t="s">
        <v>413</v>
      </c>
      <c r="E34" s="988" t="s">
        <v>3139</v>
      </c>
      <c r="F34" s="988" t="s">
        <v>3140</v>
      </c>
      <c r="G34" s="988"/>
      <c r="H34" s="988"/>
      <c r="I34" s="988"/>
      <c r="J34" s="988"/>
      <c r="K34" s="988"/>
      <c r="L34" s="989" t="s">
        <v>3141</v>
      </c>
      <c r="M34" s="1076">
        <v>46</v>
      </c>
      <c r="N34" s="991">
        <v>1807</v>
      </c>
      <c r="O34" s="991">
        <v>191</v>
      </c>
      <c r="P34" s="990" t="e">
        <f>#REF!/N34</f>
        <v>#REF!</v>
      </c>
      <c r="Q34" s="991">
        <v>12</v>
      </c>
      <c r="R34" s="990">
        <f>Q34/N34</f>
        <v>6.6408411732152743E-3</v>
      </c>
      <c r="S34" s="991">
        <v>24</v>
      </c>
      <c r="T34" s="968">
        <f>S34/N34</f>
        <v>1.3281682346430549E-2</v>
      </c>
    </row>
    <row r="35" spans="1:20" s="982" customFormat="1" ht="56.25" hidden="1" customHeight="1" x14ac:dyDescent="0.35">
      <c r="A35" s="987" t="s">
        <v>903</v>
      </c>
      <c r="B35" s="987">
        <v>45433</v>
      </c>
      <c r="C35" s="987" t="s">
        <v>905</v>
      </c>
      <c r="D35" s="984" t="s">
        <v>413</v>
      </c>
      <c r="E35" s="988" t="s">
        <v>3142</v>
      </c>
      <c r="F35" s="988"/>
      <c r="G35" s="988"/>
      <c r="H35" s="988"/>
      <c r="I35" s="988"/>
      <c r="J35" s="988"/>
      <c r="K35" s="988"/>
      <c r="L35" s="989" t="s">
        <v>3143</v>
      </c>
      <c r="M35" s="1076">
        <v>94</v>
      </c>
      <c r="N35" s="991">
        <v>843</v>
      </c>
      <c r="O35" s="991">
        <v>84</v>
      </c>
      <c r="P35" s="990" t="e">
        <f>#REF!/N35</f>
        <v>#REF!</v>
      </c>
      <c r="Q35" s="991">
        <v>1</v>
      </c>
      <c r="R35" s="990">
        <f>Q35/N35</f>
        <v>1.1862396204033216E-3</v>
      </c>
      <c r="S35" s="991">
        <v>0</v>
      </c>
      <c r="T35" s="968">
        <f>S35/N35</f>
        <v>0</v>
      </c>
    </row>
    <row r="36" spans="1:20" s="982" customFormat="1" ht="43.9" hidden="1" customHeight="1" x14ac:dyDescent="0.35">
      <c r="A36" s="987" t="s">
        <v>903</v>
      </c>
      <c r="B36" s="987">
        <v>45433</v>
      </c>
      <c r="C36" s="987" t="s">
        <v>3130</v>
      </c>
      <c r="D36" s="984" t="s">
        <v>413</v>
      </c>
      <c r="E36" s="988" t="s">
        <v>3131</v>
      </c>
      <c r="F36" s="988"/>
      <c r="G36" s="988"/>
      <c r="H36" s="988"/>
      <c r="I36" s="988"/>
      <c r="J36" s="988"/>
      <c r="K36" s="988"/>
      <c r="L36" s="989" t="s">
        <v>3143</v>
      </c>
      <c r="M36" s="1076">
        <v>94</v>
      </c>
      <c r="N36" s="991">
        <v>44</v>
      </c>
      <c r="O36" s="991">
        <v>11</v>
      </c>
      <c r="P36" s="990">
        <v>0</v>
      </c>
      <c r="Q36" s="991">
        <v>1</v>
      </c>
      <c r="R36" s="990">
        <f>Q36/N36</f>
        <v>2.2727272727272728E-2</v>
      </c>
      <c r="S36" s="991">
        <v>0</v>
      </c>
      <c r="T36" s="968">
        <v>0</v>
      </c>
    </row>
    <row r="37" spans="1:20" s="982" customFormat="1" ht="43.9" hidden="1" customHeight="1" x14ac:dyDescent="0.35">
      <c r="A37" s="987" t="s">
        <v>903</v>
      </c>
      <c r="B37" s="987">
        <v>45433</v>
      </c>
      <c r="C37" s="987" t="s">
        <v>3072</v>
      </c>
      <c r="D37" s="984" t="s">
        <v>413</v>
      </c>
      <c r="E37" s="988" t="s">
        <v>3134</v>
      </c>
      <c r="F37" s="988"/>
      <c r="G37" s="988"/>
      <c r="H37" s="988"/>
      <c r="I37" s="988"/>
      <c r="J37" s="988"/>
      <c r="K37" s="988"/>
      <c r="L37" s="989" t="s">
        <v>3143</v>
      </c>
      <c r="M37" s="1076">
        <v>94</v>
      </c>
      <c r="N37" s="991">
        <v>239</v>
      </c>
      <c r="O37" s="991">
        <v>39</v>
      </c>
      <c r="P37" s="990">
        <v>0</v>
      </c>
      <c r="Q37" s="991">
        <v>1</v>
      </c>
      <c r="R37" s="990">
        <f>Q37/N37</f>
        <v>4.1841004184100415E-3</v>
      </c>
      <c r="S37" s="991">
        <v>0</v>
      </c>
      <c r="T37" s="968">
        <f>S37/N37</f>
        <v>0</v>
      </c>
    </row>
    <row r="38" spans="1:20" s="982" customFormat="1" ht="43.9" hidden="1" customHeight="1" x14ac:dyDescent="0.35">
      <c r="A38" s="976" t="s">
        <v>911</v>
      </c>
      <c r="B38" s="2147" t="s">
        <v>912</v>
      </c>
      <c r="C38" s="2147"/>
      <c r="D38" s="2147"/>
      <c r="E38" s="2147"/>
      <c r="F38" s="2147"/>
      <c r="G38" s="2147"/>
      <c r="H38" s="1009"/>
      <c r="I38" s="979"/>
      <c r="J38" s="979"/>
      <c r="K38" s="979"/>
      <c r="L38" s="979"/>
      <c r="M38" s="1044"/>
      <c r="N38" s="981"/>
      <c r="O38" s="981"/>
      <c r="P38" s="980"/>
      <c r="Q38" s="981"/>
      <c r="R38" s="980"/>
      <c r="S38" s="981"/>
      <c r="T38" s="964"/>
    </row>
    <row r="39" spans="1:20" s="982" customFormat="1" ht="43.9" hidden="1" customHeight="1" x14ac:dyDescent="0.35">
      <c r="A39" s="987" t="s">
        <v>911</v>
      </c>
      <c r="B39" s="987">
        <v>45442</v>
      </c>
      <c r="C39" s="987" t="s">
        <v>2110</v>
      </c>
      <c r="D39" s="984" t="s">
        <v>3102</v>
      </c>
      <c r="E39" s="988" t="s">
        <v>3144</v>
      </c>
      <c r="F39" s="988"/>
      <c r="G39" s="988"/>
      <c r="H39" s="988"/>
      <c r="I39" s="988"/>
      <c r="J39" s="988"/>
      <c r="K39" s="988"/>
      <c r="L39" s="989" t="s">
        <v>3145</v>
      </c>
      <c r="M39" s="1076">
        <v>91</v>
      </c>
      <c r="N39" s="1026">
        <v>45</v>
      </c>
      <c r="O39" s="1026">
        <v>18</v>
      </c>
      <c r="P39" s="1010" t="e">
        <f>#REF!/N39</f>
        <v>#REF!</v>
      </c>
      <c r="Q39" s="1026">
        <v>0</v>
      </c>
      <c r="R39" s="990">
        <v>0</v>
      </c>
      <c r="S39" s="991">
        <v>0</v>
      </c>
      <c r="T39" s="967">
        <v>0</v>
      </c>
    </row>
    <row r="40" spans="1:20" s="975" customFormat="1" ht="45.75" hidden="1" customHeight="1" x14ac:dyDescent="0.35">
      <c r="A40" s="987" t="s">
        <v>917</v>
      </c>
      <c r="B40" s="987">
        <v>45448</v>
      </c>
      <c r="C40" s="987" t="s">
        <v>86</v>
      </c>
      <c r="D40" s="984" t="s">
        <v>413</v>
      </c>
      <c r="E40" s="988" t="s">
        <v>3146</v>
      </c>
      <c r="F40" s="988"/>
      <c r="G40" s="988"/>
      <c r="H40" s="988"/>
      <c r="I40" s="1011"/>
      <c r="J40" s="1011"/>
      <c r="K40" s="1011"/>
      <c r="L40" s="989" t="s">
        <v>2586</v>
      </c>
      <c r="M40" s="1076">
        <v>73</v>
      </c>
      <c r="N40" s="991">
        <v>278</v>
      </c>
      <c r="O40" s="991">
        <v>47</v>
      </c>
      <c r="P40" s="990" t="e">
        <f>#REF!/N40</f>
        <v>#REF!</v>
      </c>
      <c r="Q40" s="991">
        <v>1</v>
      </c>
      <c r="R40" s="990">
        <f>Q40/N40</f>
        <v>3.5971223021582736E-3</v>
      </c>
      <c r="S40" s="991">
        <v>22</v>
      </c>
      <c r="T40" s="968">
        <f>S40/N40</f>
        <v>7.9136690647482008E-2</v>
      </c>
    </row>
    <row r="41" spans="1:20" s="975" customFormat="1" ht="45.75" hidden="1" customHeight="1" x14ac:dyDescent="0.35">
      <c r="A41" s="987" t="s">
        <v>917</v>
      </c>
      <c r="B41" s="987">
        <v>45448</v>
      </c>
      <c r="C41" s="987" t="s">
        <v>3147</v>
      </c>
      <c r="D41" s="984" t="s">
        <v>413</v>
      </c>
      <c r="E41" s="988" t="s">
        <v>3148</v>
      </c>
      <c r="F41" s="988"/>
      <c r="G41" s="988"/>
      <c r="H41" s="988"/>
      <c r="I41" s="1011"/>
      <c r="J41" s="1011"/>
      <c r="K41" s="1011"/>
      <c r="L41" s="989" t="s">
        <v>2586</v>
      </c>
      <c r="M41" s="1076">
        <v>73</v>
      </c>
      <c r="N41" s="991">
        <v>126</v>
      </c>
      <c r="O41" s="991">
        <v>20</v>
      </c>
      <c r="P41" s="990" t="e">
        <f>#REF!/N41</f>
        <v>#REF!</v>
      </c>
      <c r="Q41" s="991">
        <v>0</v>
      </c>
      <c r="R41" s="990">
        <v>0</v>
      </c>
      <c r="S41" s="991">
        <v>2</v>
      </c>
      <c r="T41" s="968">
        <f>S41/N41</f>
        <v>1.5873015873015872E-2</v>
      </c>
    </row>
    <row r="42" spans="1:20" s="986" customFormat="1" ht="45.75" hidden="1" customHeight="1" x14ac:dyDescent="0.35">
      <c r="A42" s="987" t="s">
        <v>921</v>
      </c>
      <c r="B42" s="987">
        <v>45455</v>
      </c>
      <c r="C42" s="987" t="s">
        <v>3149</v>
      </c>
      <c r="D42" s="984" t="s">
        <v>413</v>
      </c>
      <c r="E42" s="988" t="s">
        <v>3150</v>
      </c>
      <c r="F42" s="988"/>
      <c r="G42" s="988"/>
      <c r="H42" s="988"/>
      <c r="I42" s="1011"/>
      <c r="J42" s="1011"/>
      <c r="K42" s="1011"/>
      <c r="L42" s="989" t="s">
        <v>3151</v>
      </c>
      <c r="M42" s="1076">
        <v>101</v>
      </c>
      <c r="N42" s="991">
        <v>209</v>
      </c>
      <c r="O42" s="991">
        <v>10</v>
      </c>
      <c r="P42" s="990">
        <v>0</v>
      </c>
      <c r="Q42" s="991">
        <v>1</v>
      </c>
      <c r="R42" s="990">
        <f>Q42/N42</f>
        <v>4.7846889952153108E-3</v>
      </c>
      <c r="S42" s="991">
        <v>0</v>
      </c>
      <c r="T42" s="968">
        <v>0</v>
      </c>
    </row>
    <row r="43" spans="1:20" s="986" customFormat="1" ht="45.75" hidden="1" customHeight="1" x14ac:dyDescent="0.35">
      <c r="A43" s="987" t="s">
        <v>921</v>
      </c>
      <c r="B43" s="987">
        <v>45455</v>
      </c>
      <c r="C43" s="987" t="s">
        <v>3149</v>
      </c>
      <c r="D43" s="984" t="s">
        <v>413</v>
      </c>
      <c r="E43" s="988" t="s">
        <v>3152</v>
      </c>
      <c r="F43" s="988"/>
      <c r="G43" s="988"/>
      <c r="H43" s="988"/>
      <c r="I43" s="1011"/>
      <c r="J43" s="1011"/>
      <c r="K43" s="1011"/>
      <c r="L43" s="989" t="s">
        <v>3151</v>
      </c>
      <c r="M43" s="1076">
        <v>101</v>
      </c>
      <c r="N43" s="991">
        <v>102</v>
      </c>
      <c r="O43" s="991">
        <v>5</v>
      </c>
      <c r="P43" s="990" t="e">
        <f>#REF!/N43</f>
        <v>#REF!</v>
      </c>
      <c r="Q43" s="991">
        <v>0</v>
      </c>
      <c r="R43" s="990">
        <v>0</v>
      </c>
      <c r="S43" s="991">
        <v>0</v>
      </c>
      <c r="T43" s="968">
        <v>0</v>
      </c>
    </row>
    <row r="44" spans="1:20" s="975" customFormat="1" ht="45.75" hidden="1" customHeight="1" x14ac:dyDescent="0.35">
      <c r="A44" s="999" t="s">
        <v>934</v>
      </c>
      <c r="B44" s="2145" t="s">
        <v>3153</v>
      </c>
      <c r="C44" s="2145"/>
      <c r="D44" s="2145"/>
      <c r="E44" s="2145"/>
      <c r="F44" s="2145"/>
      <c r="G44" s="2145"/>
      <c r="H44" s="999"/>
      <c r="I44" s="1103"/>
      <c r="J44" s="1103"/>
      <c r="K44" s="1103"/>
      <c r="L44" s="1000"/>
      <c r="M44" s="1079"/>
      <c r="N44" s="1002"/>
      <c r="O44" s="1002"/>
      <c r="P44" s="1001"/>
      <c r="Q44" s="1002"/>
      <c r="R44" s="1001"/>
      <c r="S44" s="1002"/>
      <c r="T44" s="1080"/>
    </row>
    <row r="45" spans="1:20" s="975" customFormat="1" ht="45.75" hidden="1" customHeight="1" x14ac:dyDescent="0.35">
      <c r="A45" s="999" t="s">
        <v>934</v>
      </c>
      <c r="B45" s="2145" t="s">
        <v>3154</v>
      </c>
      <c r="C45" s="2145"/>
      <c r="D45" s="2145"/>
      <c r="E45" s="2145"/>
      <c r="F45" s="2145"/>
      <c r="G45" s="2145"/>
      <c r="H45" s="999"/>
      <c r="I45" s="1103"/>
      <c r="J45" s="1103"/>
      <c r="K45" s="1103"/>
      <c r="L45" s="1000"/>
      <c r="M45" s="1104"/>
      <c r="N45" s="1002"/>
      <c r="O45" s="1002"/>
      <c r="P45" s="1001"/>
      <c r="Q45" s="1002"/>
      <c r="R45" s="1001"/>
      <c r="S45" s="1002"/>
      <c r="T45" s="1080"/>
    </row>
    <row r="46" spans="1:20" s="975" customFormat="1" ht="45.75" hidden="1" customHeight="1" x14ac:dyDescent="0.35">
      <c r="A46" s="987" t="s">
        <v>940</v>
      </c>
      <c r="B46" s="987">
        <v>45468</v>
      </c>
      <c r="C46" s="987" t="s">
        <v>86</v>
      </c>
      <c r="D46" s="984" t="s">
        <v>2033</v>
      </c>
      <c r="E46" s="988" t="s">
        <v>3155</v>
      </c>
      <c r="F46" s="988" t="s">
        <v>3156</v>
      </c>
      <c r="G46" s="988"/>
      <c r="H46" s="988"/>
      <c r="I46" s="988"/>
      <c r="J46" s="988"/>
      <c r="K46" s="988"/>
      <c r="L46" s="989" t="s">
        <v>942</v>
      </c>
      <c r="M46" s="1026">
        <v>34</v>
      </c>
      <c r="N46" s="991">
        <v>307</v>
      </c>
      <c r="O46" s="991">
        <v>28</v>
      </c>
      <c r="P46" s="990" t="e">
        <f>#REF!/N46</f>
        <v>#REF!</v>
      </c>
      <c r="Q46" s="991">
        <v>1</v>
      </c>
      <c r="R46" s="990">
        <f>Q46/N46</f>
        <v>3.2573289902280132E-3</v>
      </c>
      <c r="S46" s="991">
        <v>0</v>
      </c>
      <c r="T46" s="968">
        <v>0</v>
      </c>
    </row>
    <row r="47" spans="1:20" s="975" customFormat="1" ht="45.75" hidden="1" customHeight="1" x14ac:dyDescent="0.35">
      <c r="A47" s="1012" t="s">
        <v>946</v>
      </c>
      <c r="B47" s="2148" t="s">
        <v>702</v>
      </c>
      <c r="C47" s="2148"/>
      <c r="D47" s="2148"/>
      <c r="E47" s="2148"/>
      <c r="F47" s="2148"/>
      <c r="G47" s="2148"/>
      <c r="H47" s="1013"/>
      <c r="I47" s="1014"/>
      <c r="J47" s="1014"/>
      <c r="K47" s="1014"/>
      <c r="L47" s="1015"/>
      <c r="M47" s="1086"/>
      <c r="N47" s="1017"/>
      <c r="O47" s="1017"/>
      <c r="P47" s="1016"/>
      <c r="Q47" s="1017"/>
      <c r="R47" s="1016"/>
      <c r="S47" s="1017"/>
      <c r="T47" s="1105"/>
    </row>
    <row r="48" spans="1:20" s="1111" customFormat="1" ht="45.75" hidden="1" customHeight="1" x14ac:dyDescent="0.35">
      <c r="A48" s="1106" t="s">
        <v>947</v>
      </c>
      <c r="B48" s="1106">
        <v>45483</v>
      </c>
      <c r="C48" s="1106" t="s">
        <v>86</v>
      </c>
      <c r="D48" s="1107" t="s">
        <v>2033</v>
      </c>
      <c r="E48" s="1108" t="s">
        <v>3157</v>
      </c>
      <c r="F48" s="1108" t="s">
        <v>3158</v>
      </c>
      <c r="G48" s="1108"/>
      <c r="H48" s="1108"/>
      <c r="I48" s="1108"/>
      <c r="J48" s="1108"/>
      <c r="K48" s="1108"/>
      <c r="L48" s="994"/>
      <c r="M48" s="1032"/>
      <c r="N48" s="1109"/>
      <c r="O48" s="1109"/>
      <c r="P48" s="1110"/>
      <c r="Q48" s="1109"/>
      <c r="R48" s="1110"/>
      <c r="S48" s="1109"/>
      <c r="T48" s="965"/>
    </row>
    <row r="49" spans="1:20" s="1111" customFormat="1" ht="45.75" hidden="1" customHeight="1" x14ac:dyDescent="0.35">
      <c r="A49" s="998" t="s">
        <v>704</v>
      </c>
      <c r="B49" s="998">
        <v>45489</v>
      </c>
      <c r="C49" s="998" t="s">
        <v>86</v>
      </c>
      <c r="D49" s="1021" t="s">
        <v>413</v>
      </c>
      <c r="E49" s="988" t="s">
        <v>3159</v>
      </c>
      <c r="F49" s="1097"/>
      <c r="G49" s="1097"/>
      <c r="H49" s="1097"/>
      <c r="I49" s="1097"/>
      <c r="J49" s="1097"/>
      <c r="K49" s="1097"/>
      <c r="L49" s="989" t="s">
        <v>2604</v>
      </c>
      <c r="M49" s="1076">
        <v>57</v>
      </c>
      <c r="N49" s="991">
        <v>1697</v>
      </c>
      <c r="O49" s="991">
        <v>178</v>
      </c>
      <c r="P49" s="990" t="e">
        <f>#REF!/N49</f>
        <v>#REF!</v>
      </c>
      <c r="Q49" s="991">
        <v>15</v>
      </c>
      <c r="R49" s="990">
        <f>Q49/N49</f>
        <v>8.8391278727165592E-3</v>
      </c>
      <c r="S49" s="991">
        <v>26</v>
      </c>
      <c r="T49" s="968">
        <f>S49/N49</f>
        <v>1.5321154979375369E-2</v>
      </c>
    </row>
    <row r="50" spans="1:20" s="1111" customFormat="1" ht="45.75" hidden="1" customHeight="1" x14ac:dyDescent="0.35">
      <c r="A50" s="998" t="s">
        <v>704</v>
      </c>
      <c r="B50" s="998">
        <v>45492</v>
      </c>
      <c r="C50" s="998" t="s">
        <v>2110</v>
      </c>
      <c r="D50" s="1021" t="s">
        <v>3102</v>
      </c>
      <c r="E50" s="988" t="s">
        <v>3160</v>
      </c>
      <c r="F50" s="1097"/>
      <c r="G50" s="1097"/>
      <c r="H50" s="1097"/>
      <c r="I50" s="1097"/>
      <c r="J50" s="1097"/>
      <c r="K50" s="1097"/>
      <c r="L50" s="989" t="s">
        <v>970</v>
      </c>
      <c r="M50" s="1076">
        <v>30</v>
      </c>
      <c r="N50" s="991">
        <v>51</v>
      </c>
      <c r="O50" s="991">
        <v>22</v>
      </c>
      <c r="P50" s="990" t="e">
        <f>#REF!/N50</f>
        <v>#REF!</v>
      </c>
      <c r="Q50" s="991">
        <v>0</v>
      </c>
      <c r="R50" s="990">
        <v>0</v>
      </c>
      <c r="S50" s="991">
        <v>0</v>
      </c>
      <c r="T50" s="968">
        <v>0</v>
      </c>
    </row>
    <row r="51" spans="1:20" s="1111" customFormat="1" ht="45.75" hidden="1" customHeight="1" x14ac:dyDescent="0.35">
      <c r="A51" s="1106" t="s">
        <v>971</v>
      </c>
      <c r="B51" s="1106"/>
      <c r="C51" s="1106"/>
      <c r="D51" s="1112"/>
      <c r="E51" s="1108"/>
      <c r="F51" s="1108"/>
      <c r="G51" s="1108"/>
      <c r="H51" s="1108"/>
      <c r="I51" s="1108"/>
      <c r="J51" s="1108"/>
      <c r="K51" s="1108"/>
      <c r="L51" s="994"/>
      <c r="M51" s="1032"/>
      <c r="N51" s="1109"/>
      <c r="O51" s="1109"/>
      <c r="P51" s="1110"/>
      <c r="Q51" s="1109"/>
      <c r="R51" s="1110"/>
      <c r="S51" s="1109"/>
      <c r="T51" s="965"/>
    </row>
    <row r="52" spans="1:20" ht="61.5" hidden="1" customHeight="1" x14ac:dyDescent="0.45">
      <c r="A52" s="998" t="s">
        <v>977</v>
      </c>
      <c r="B52" s="998">
        <v>45503</v>
      </c>
      <c r="C52" s="987" t="s">
        <v>3161</v>
      </c>
      <c r="D52" s="1021" t="s">
        <v>413</v>
      </c>
      <c r="E52" s="988" t="s">
        <v>3162</v>
      </c>
      <c r="F52" s="988"/>
      <c r="G52" s="988"/>
      <c r="H52" s="988"/>
      <c r="I52" s="988"/>
      <c r="J52" s="988"/>
      <c r="K52" s="988"/>
      <c r="L52" s="989" t="s">
        <v>2613</v>
      </c>
      <c r="M52" s="1076">
        <v>62</v>
      </c>
      <c r="N52" s="991">
        <v>225</v>
      </c>
      <c r="O52" s="991">
        <v>30</v>
      </c>
      <c r="P52" s="990" t="e">
        <f>#REF!/N52</f>
        <v>#REF!</v>
      </c>
      <c r="Q52" s="991">
        <v>0</v>
      </c>
      <c r="R52" s="990">
        <v>0</v>
      </c>
      <c r="S52" s="991">
        <v>2</v>
      </c>
      <c r="T52" s="968">
        <f>S52/N52</f>
        <v>8.8888888888888889E-3</v>
      </c>
    </row>
    <row r="53" spans="1:20" ht="61.5" hidden="1" customHeight="1" x14ac:dyDescent="0.45">
      <c r="A53" s="998" t="s">
        <v>977</v>
      </c>
      <c r="B53" s="998">
        <v>45503</v>
      </c>
      <c r="C53" s="987" t="s">
        <v>2110</v>
      </c>
      <c r="D53" s="1021" t="s">
        <v>413</v>
      </c>
      <c r="E53" s="988" t="s">
        <v>3163</v>
      </c>
      <c r="F53" s="988" t="s">
        <v>3164</v>
      </c>
      <c r="G53" s="988"/>
      <c r="H53" s="988"/>
      <c r="I53" s="988"/>
      <c r="J53" s="988"/>
      <c r="K53" s="988"/>
      <c r="L53" s="989" t="s">
        <v>2613</v>
      </c>
      <c r="M53" s="1076">
        <v>62</v>
      </c>
      <c r="N53" s="991">
        <v>117</v>
      </c>
      <c r="O53" s="991">
        <v>23</v>
      </c>
      <c r="P53" s="990" t="e">
        <f>#REF!/N53</f>
        <v>#REF!</v>
      </c>
      <c r="Q53" s="991">
        <v>0</v>
      </c>
      <c r="R53" s="990">
        <v>0</v>
      </c>
      <c r="S53" s="991">
        <v>2</v>
      </c>
      <c r="T53" s="968">
        <f>S53/N53</f>
        <v>1.7094017094017096E-2</v>
      </c>
    </row>
    <row r="54" spans="1:20" ht="61.5" hidden="1" customHeight="1" x14ac:dyDescent="0.45">
      <c r="A54" s="998" t="s">
        <v>987</v>
      </c>
      <c r="B54" s="998">
        <v>45510</v>
      </c>
      <c r="C54" s="987" t="s">
        <v>2127</v>
      </c>
      <c r="D54" s="1021" t="s">
        <v>413</v>
      </c>
      <c r="E54" s="988" t="s">
        <v>3165</v>
      </c>
      <c r="F54" s="988"/>
      <c r="G54" s="988"/>
      <c r="H54" s="988"/>
      <c r="I54" s="988"/>
      <c r="J54" s="988"/>
      <c r="K54" s="988"/>
      <c r="L54" s="989" t="s">
        <v>3166</v>
      </c>
      <c r="M54" s="1026">
        <v>64</v>
      </c>
      <c r="N54" s="991">
        <v>140</v>
      </c>
      <c r="O54" s="991">
        <v>20</v>
      </c>
      <c r="P54" s="990" t="e">
        <f>#REF!/N54</f>
        <v>#REF!</v>
      </c>
      <c r="Q54" s="991">
        <v>1</v>
      </c>
      <c r="R54" s="990">
        <f>Q54/N54</f>
        <v>7.1428571428571426E-3</v>
      </c>
      <c r="S54" s="991">
        <v>1</v>
      </c>
      <c r="T54" s="968">
        <f>S54/N54</f>
        <v>7.1428571428571426E-3</v>
      </c>
    </row>
    <row r="55" spans="1:20" ht="61.5" hidden="1" customHeight="1" x14ac:dyDescent="0.45">
      <c r="A55" s="998" t="s">
        <v>987</v>
      </c>
      <c r="B55" s="998">
        <v>45510</v>
      </c>
      <c r="C55" s="987" t="s">
        <v>2127</v>
      </c>
      <c r="D55" s="1021" t="s">
        <v>413</v>
      </c>
      <c r="E55" s="988" t="s">
        <v>3167</v>
      </c>
      <c r="F55" s="988" t="s">
        <v>3164</v>
      </c>
      <c r="G55" s="988"/>
      <c r="H55" s="988"/>
      <c r="I55" s="988"/>
      <c r="J55" s="988"/>
      <c r="K55" s="988"/>
      <c r="L55" s="989" t="s">
        <v>3166</v>
      </c>
      <c r="M55" s="1026">
        <v>64</v>
      </c>
      <c r="N55" s="991">
        <v>83</v>
      </c>
      <c r="O55" s="991">
        <v>8</v>
      </c>
      <c r="P55" s="990" t="e">
        <f>#REF!/N55</f>
        <v>#REF!</v>
      </c>
      <c r="Q55" s="991">
        <v>0</v>
      </c>
      <c r="R55" s="990">
        <v>0</v>
      </c>
      <c r="S55" s="991">
        <v>0</v>
      </c>
      <c r="T55" s="968">
        <v>0</v>
      </c>
    </row>
    <row r="56" spans="1:20" ht="61.5" hidden="1" customHeight="1" x14ac:dyDescent="0.45">
      <c r="A56" s="1027" t="s">
        <v>987</v>
      </c>
      <c r="B56" s="2139" t="s">
        <v>3168</v>
      </c>
      <c r="C56" s="2139"/>
      <c r="D56" s="2139"/>
      <c r="E56" s="2139"/>
      <c r="F56" s="2139"/>
      <c r="G56" s="2139"/>
      <c r="H56" s="1027"/>
      <c r="I56" s="1000"/>
      <c r="J56" s="1000"/>
      <c r="K56" s="1000"/>
      <c r="L56" s="1000"/>
      <c r="M56" s="1002"/>
      <c r="N56" s="1002"/>
      <c r="O56" s="1002"/>
      <c r="P56" s="1001"/>
      <c r="Q56" s="1002"/>
      <c r="R56" s="1001"/>
      <c r="S56" s="1002"/>
      <c r="T56" s="1080"/>
    </row>
    <row r="57" spans="1:20" ht="61.5" hidden="1" customHeight="1" x14ac:dyDescent="0.45">
      <c r="A57" s="1106" t="s">
        <v>989</v>
      </c>
      <c r="B57" s="1113"/>
      <c r="C57" s="1113"/>
      <c r="D57" s="1113"/>
      <c r="E57" s="962"/>
      <c r="F57" s="962"/>
      <c r="G57" s="962"/>
      <c r="H57" s="962"/>
      <c r="I57" s="962"/>
      <c r="J57" s="962"/>
      <c r="K57" s="962"/>
      <c r="L57" s="994"/>
      <c r="M57" s="1032"/>
      <c r="N57" s="996"/>
      <c r="O57" s="996"/>
      <c r="P57" s="995"/>
      <c r="Q57" s="996"/>
      <c r="R57" s="995"/>
      <c r="S57" s="996"/>
      <c r="T57" s="963"/>
    </row>
    <row r="58" spans="1:20" ht="61.5" hidden="1" customHeight="1" x14ac:dyDescent="0.45">
      <c r="A58" s="998" t="s">
        <v>991</v>
      </c>
      <c r="B58" s="998">
        <v>45524</v>
      </c>
      <c r="C58" s="998" t="s">
        <v>2124</v>
      </c>
      <c r="D58" s="1021" t="s">
        <v>413</v>
      </c>
      <c r="E58" s="988" t="s">
        <v>3169</v>
      </c>
      <c r="F58" s="988"/>
      <c r="G58" s="988"/>
      <c r="H58" s="988"/>
      <c r="I58" s="988"/>
      <c r="J58" s="988"/>
      <c r="K58" s="988"/>
      <c r="L58" s="989" t="s">
        <v>3170</v>
      </c>
      <c r="M58" s="1076">
        <v>103</v>
      </c>
      <c r="N58" s="991">
        <v>1124</v>
      </c>
      <c r="O58" s="991">
        <v>119</v>
      </c>
      <c r="P58" s="990" t="e">
        <f>#REF!/N58</f>
        <v>#REF!</v>
      </c>
      <c r="Q58" s="991">
        <v>4</v>
      </c>
      <c r="R58" s="990">
        <f>Q58/N58</f>
        <v>3.5587188612099642E-3</v>
      </c>
      <c r="S58" s="991">
        <v>5</v>
      </c>
      <c r="T58" s="968">
        <f>S58/N58</f>
        <v>4.4483985765124559E-3</v>
      </c>
    </row>
    <row r="59" spans="1:20" ht="61.5" hidden="1" customHeight="1" x14ac:dyDescent="0.45">
      <c r="A59" s="998" t="s">
        <v>991</v>
      </c>
      <c r="B59" s="998">
        <v>45524</v>
      </c>
      <c r="C59" s="998" t="s">
        <v>3171</v>
      </c>
      <c r="D59" s="1021" t="s">
        <v>413</v>
      </c>
      <c r="E59" s="988" t="s">
        <v>3172</v>
      </c>
      <c r="F59" s="988"/>
      <c r="G59" s="988"/>
      <c r="H59" s="988"/>
      <c r="I59" s="988"/>
      <c r="J59" s="988"/>
      <c r="K59" s="988"/>
      <c r="L59" s="989" t="s">
        <v>3170</v>
      </c>
      <c r="M59" s="1076">
        <v>103</v>
      </c>
      <c r="N59" s="991">
        <v>108</v>
      </c>
      <c r="O59" s="991">
        <v>25</v>
      </c>
      <c r="P59" s="990" t="e">
        <f>#REF!/N59</f>
        <v>#REF!</v>
      </c>
      <c r="Q59" s="991">
        <v>0</v>
      </c>
      <c r="R59" s="990">
        <v>0</v>
      </c>
      <c r="S59" s="991">
        <v>0</v>
      </c>
      <c r="T59" s="968">
        <v>0</v>
      </c>
    </row>
    <row r="60" spans="1:20" ht="61.5" hidden="1" customHeight="1" x14ac:dyDescent="0.45">
      <c r="A60" s="998" t="s">
        <v>1004</v>
      </c>
      <c r="B60" s="998">
        <v>45531</v>
      </c>
      <c r="C60" s="998" t="s">
        <v>3173</v>
      </c>
      <c r="D60" s="1021" t="s">
        <v>413</v>
      </c>
      <c r="E60" s="988" t="s">
        <v>3174</v>
      </c>
      <c r="F60" s="988"/>
      <c r="G60" s="988"/>
      <c r="H60" s="988"/>
      <c r="I60" s="988"/>
      <c r="J60" s="988"/>
      <c r="K60" s="988"/>
      <c r="L60" s="989" t="s">
        <v>3175</v>
      </c>
      <c r="M60" s="1076">
        <v>72</v>
      </c>
      <c r="N60" s="991">
        <v>1097</v>
      </c>
      <c r="O60" s="991">
        <v>31</v>
      </c>
      <c r="P60" s="990" t="e">
        <f>#REF!/N60</f>
        <v>#REF!</v>
      </c>
      <c r="Q60" s="991">
        <v>4</v>
      </c>
      <c r="R60" s="990">
        <f>Q60/N60</f>
        <v>3.6463081130355514E-3</v>
      </c>
      <c r="S60" s="991">
        <v>1</v>
      </c>
      <c r="T60" s="990">
        <f>S60/N60</f>
        <v>9.1157702825888785E-4</v>
      </c>
    </row>
    <row r="61" spans="1:20" ht="61.5" hidden="1" customHeight="1" x14ac:dyDescent="0.45">
      <c r="A61" s="998" t="s">
        <v>1004</v>
      </c>
      <c r="B61" s="998">
        <v>45531</v>
      </c>
      <c r="C61" s="998" t="s">
        <v>3173</v>
      </c>
      <c r="D61" s="1021" t="s">
        <v>413</v>
      </c>
      <c r="E61" s="988" t="s">
        <v>3176</v>
      </c>
      <c r="F61" s="988"/>
      <c r="G61" s="988"/>
      <c r="H61" s="988"/>
      <c r="I61" s="988"/>
      <c r="J61" s="988"/>
      <c r="K61" s="988"/>
      <c r="L61" s="989" t="s">
        <v>3175</v>
      </c>
      <c r="M61" s="1076">
        <v>72</v>
      </c>
      <c r="N61" s="991">
        <v>83</v>
      </c>
      <c r="O61" s="991">
        <v>4</v>
      </c>
      <c r="P61" s="990" t="e">
        <f>#REF!/N61</f>
        <v>#REF!</v>
      </c>
      <c r="Q61" s="991">
        <v>0</v>
      </c>
      <c r="R61" s="990">
        <v>0</v>
      </c>
      <c r="S61" s="991">
        <v>0</v>
      </c>
      <c r="T61" s="968">
        <v>0</v>
      </c>
    </row>
    <row r="62" spans="1:20" ht="61.5" hidden="1" customHeight="1" x14ac:dyDescent="0.45">
      <c r="A62" s="998" t="s">
        <v>1004</v>
      </c>
      <c r="B62" s="998">
        <v>45533</v>
      </c>
      <c r="C62" s="998" t="s">
        <v>2110</v>
      </c>
      <c r="D62" s="1021" t="s">
        <v>3102</v>
      </c>
      <c r="E62" s="988" t="s">
        <v>1434</v>
      </c>
      <c r="F62" s="988"/>
      <c r="G62" s="988"/>
      <c r="H62" s="988"/>
      <c r="I62" s="988"/>
      <c r="J62" s="988"/>
      <c r="K62" s="988"/>
      <c r="L62" s="989" t="s">
        <v>3177</v>
      </c>
      <c r="M62" s="1076">
        <v>55</v>
      </c>
      <c r="N62" s="991">
        <v>50</v>
      </c>
      <c r="O62" s="991">
        <v>18</v>
      </c>
      <c r="P62" s="990" t="e">
        <f>#REF!/N62</f>
        <v>#REF!</v>
      </c>
      <c r="Q62" s="991">
        <v>0</v>
      </c>
      <c r="R62" s="990">
        <v>0</v>
      </c>
      <c r="S62" s="991">
        <v>0</v>
      </c>
      <c r="T62" s="968">
        <v>0</v>
      </c>
    </row>
    <row r="63" spans="1:20" ht="46.5" hidden="1" customHeight="1" x14ac:dyDescent="0.45">
      <c r="A63" s="1020" t="s">
        <v>705</v>
      </c>
      <c r="B63" s="2136" t="s">
        <v>290</v>
      </c>
      <c r="C63" s="2136"/>
      <c r="D63" s="2136"/>
      <c r="E63" s="2136"/>
      <c r="F63" s="2136"/>
      <c r="G63" s="2136"/>
      <c r="H63" s="1020"/>
      <c r="I63" s="977"/>
      <c r="J63" s="977"/>
      <c r="K63" s="977"/>
      <c r="L63" s="978"/>
      <c r="M63" s="1044"/>
      <c r="N63" s="981"/>
      <c r="O63" s="981"/>
      <c r="P63" s="980" t="e">
        <f>AVERAGE(P1:P62)</f>
        <v>#REF!</v>
      </c>
      <c r="Q63" s="981"/>
      <c r="R63" s="980">
        <f>AVERAGE(R1:R62)</f>
        <v>3.8950650627822734E-3</v>
      </c>
      <c r="S63" s="981"/>
      <c r="T63" s="964" t="e">
        <f>AVERAGE(T1:T62)</f>
        <v>#REF!</v>
      </c>
    </row>
    <row r="64" spans="1:20" ht="46.5" hidden="1" customHeight="1" x14ac:dyDescent="0.45">
      <c r="A64" s="998" t="s">
        <v>1013</v>
      </c>
      <c r="B64" s="1023">
        <v>45545</v>
      </c>
      <c r="C64" s="998" t="s">
        <v>2124</v>
      </c>
      <c r="D64" s="1021" t="s">
        <v>413</v>
      </c>
      <c r="E64" s="988" t="s">
        <v>3178</v>
      </c>
      <c r="F64" s="1025"/>
      <c r="G64" s="1025"/>
      <c r="H64" s="1025"/>
      <c r="I64" s="1025"/>
      <c r="J64" s="1025"/>
      <c r="K64" s="1025"/>
      <c r="L64" s="1025" t="s">
        <v>3179</v>
      </c>
      <c r="M64" s="1026">
        <v>90</v>
      </c>
      <c r="N64" s="1026">
        <v>1178</v>
      </c>
      <c r="O64" s="1026">
        <v>97</v>
      </c>
      <c r="P64" s="1010" t="e">
        <f>#REF!/N64</f>
        <v>#REF!</v>
      </c>
      <c r="Q64" s="1026">
        <v>4</v>
      </c>
      <c r="R64" s="1010">
        <f>Q64/N64</f>
        <v>3.3955857385398981E-3</v>
      </c>
      <c r="S64" s="1026">
        <v>3</v>
      </c>
      <c r="T64" s="967">
        <f>S64/N64</f>
        <v>2.5466893039049238E-3</v>
      </c>
    </row>
    <row r="65" spans="1:20" ht="61.5" hidden="1" customHeight="1" x14ac:dyDescent="0.45">
      <c r="A65" s="998" t="s">
        <v>1013</v>
      </c>
      <c r="B65" s="1023">
        <v>45545</v>
      </c>
      <c r="C65" s="998" t="s">
        <v>3180</v>
      </c>
      <c r="D65" s="1021" t="s">
        <v>413</v>
      </c>
      <c r="E65" s="988" t="s">
        <v>3181</v>
      </c>
      <c r="F65" s="1025" t="s">
        <v>3182</v>
      </c>
      <c r="G65" s="1025" t="s">
        <v>3183</v>
      </c>
      <c r="H65" s="1025"/>
      <c r="I65" s="1025"/>
      <c r="J65" s="1025"/>
      <c r="K65" s="1025"/>
      <c r="L65" s="1025" t="s">
        <v>3179</v>
      </c>
      <c r="M65" s="1026">
        <v>90</v>
      </c>
      <c r="N65" s="1026">
        <v>115</v>
      </c>
      <c r="O65" s="1026">
        <v>26</v>
      </c>
      <c r="P65" s="1010" t="e">
        <f>#REF!/N65</f>
        <v>#REF!</v>
      </c>
      <c r="Q65" s="1026">
        <v>0</v>
      </c>
      <c r="R65" s="1010">
        <v>0</v>
      </c>
      <c r="S65" s="1026">
        <v>0</v>
      </c>
      <c r="T65" s="967">
        <v>0</v>
      </c>
    </row>
    <row r="66" spans="1:20" ht="61.5" hidden="1" customHeight="1" x14ac:dyDescent="0.45">
      <c r="A66" s="998" t="s">
        <v>1016</v>
      </c>
      <c r="B66" s="998">
        <v>45552</v>
      </c>
      <c r="C66" s="998" t="s">
        <v>2124</v>
      </c>
      <c r="D66" s="1021" t="s">
        <v>413</v>
      </c>
      <c r="E66" s="988" t="s">
        <v>3184</v>
      </c>
      <c r="F66" s="988"/>
      <c r="G66" s="988" t="s">
        <v>3185</v>
      </c>
      <c r="H66" s="988"/>
      <c r="I66" s="988"/>
      <c r="J66" s="988" t="s">
        <v>3186</v>
      </c>
      <c r="K66" s="988" t="s">
        <v>3187</v>
      </c>
      <c r="L66" s="989" t="s">
        <v>3188</v>
      </c>
      <c r="M66" s="1026">
        <v>105</v>
      </c>
      <c r="N66" s="991">
        <v>1070</v>
      </c>
      <c r="O66" s="991">
        <v>49</v>
      </c>
      <c r="P66" s="990" t="e">
        <f>#REF!/N66</f>
        <v>#REF!</v>
      </c>
      <c r="Q66" s="991">
        <v>4</v>
      </c>
      <c r="R66" s="990">
        <f>Q66/N66</f>
        <v>3.7383177570093459E-3</v>
      </c>
      <c r="S66" s="991">
        <v>0</v>
      </c>
      <c r="T66" s="968">
        <v>0</v>
      </c>
    </row>
    <row r="67" spans="1:20" ht="61.5" hidden="1" customHeight="1" x14ac:dyDescent="0.45">
      <c r="A67" s="998" t="s">
        <v>1016</v>
      </c>
      <c r="B67" s="998">
        <v>45552</v>
      </c>
      <c r="C67" s="998" t="s">
        <v>3180</v>
      </c>
      <c r="D67" s="1021" t="s">
        <v>413</v>
      </c>
      <c r="E67" s="988" t="s">
        <v>3189</v>
      </c>
      <c r="F67" s="988"/>
      <c r="G67" s="988"/>
      <c r="H67" s="988"/>
      <c r="I67" s="988"/>
      <c r="J67" s="988" t="s">
        <v>3190</v>
      </c>
      <c r="K67" s="988" t="s">
        <v>3191</v>
      </c>
      <c r="L67" s="989" t="s">
        <v>3188</v>
      </c>
      <c r="M67" s="1026">
        <v>105</v>
      </c>
      <c r="N67" s="991">
        <v>43</v>
      </c>
      <c r="O67" s="991">
        <v>2</v>
      </c>
      <c r="P67" s="990" t="e">
        <f>#REF!/N67</f>
        <v>#REF!</v>
      </c>
      <c r="Q67" s="991">
        <v>0</v>
      </c>
      <c r="R67" s="990">
        <v>0</v>
      </c>
      <c r="S67" s="991">
        <v>0</v>
      </c>
      <c r="T67" s="968">
        <v>0</v>
      </c>
    </row>
    <row r="68" spans="1:20" ht="61.5" hidden="1" customHeight="1" x14ac:dyDescent="0.45">
      <c r="A68" s="998" t="s">
        <v>1026</v>
      </c>
      <c r="B68" s="998">
        <v>45561</v>
      </c>
      <c r="C68" s="983" t="s">
        <v>965</v>
      </c>
      <c r="D68" s="1024" t="s">
        <v>3102</v>
      </c>
      <c r="E68" s="983" t="s">
        <v>3192</v>
      </c>
      <c r="F68" s="1114" t="s">
        <v>3193</v>
      </c>
      <c r="G68" s="988" t="s">
        <v>3194</v>
      </c>
      <c r="H68" s="988"/>
      <c r="I68" s="988"/>
      <c r="J68" s="988"/>
      <c r="K68" s="988"/>
      <c r="L68" s="989" t="s">
        <v>3195</v>
      </c>
      <c r="M68" s="1026">
        <v>91</v>
      </c>
      <c r="N68" s="1076">
        <v>61</v>
      </c>
      <c r="O68" s="1076">
        <v>28</v>
      </c>
      <c r="P68" s="1077" t="e">
        <f>#REF!/N68</f>
        <v>#REF!</v>
      </c>
      <c r="Q68" s="1076">
        <v>0</v>
      </c>
      <c r="R68" s="1077">
        <v>0</v>
      </c>
      <c r="S68" s="1076">
        <v>0</v>
      </c>
      <c r="T68" s="969">
        <v>0</v>
      </c>
    </row>
    <row r="69" spans="1:20" ht="61.5" hidden="1" customHeight="1" x14ac:dyDescent="0.45">
      <c r="A69" s="998" t="s">
        <v>1026</v>
      </c>
      <c r="B69" s="998">
        <v>45562</v>
      </c>
      <c r="C69" s="983" t="s">
        <v>965</v>
      </c>
      <c r="D69" s="1024" t="s">
        <v>3102</v>
      </c>
      <c r="E69" s="983" t="s">
        <v>3196</v>
      </c>
      <c r="F69" s="1114"/>
      <c r="G69" s="988"/>
      <c r="H69" s="988"/>
      <c r="I69" s="988"/>
      <c r="J69" s="988"/>
      <c r="K69" s="988"/>
      <c r="L69" s="989" t="s">
        <v>3197</v>
      </c>
      <c r="M69" s="1026">
        <v>67</v>
      </c>
      <c r="N69" s="1076">
        <v>61</v>
      </c>
      <c r="O69" s="1076">
        <v>20</v>
      </c>
      <c r="P69" s="1077">
        <v>0</v>
      </c>
      <c r="Q69" s="1076">
        <v>0</v>
      </c>
      <c r="R69" s="1077">
        <v>0</v>
      </c>
      <c r="S69" s="1076">
        <v>0</v>
      </c>
      <c r="T69" s="969">
        <v>0</v>
      </c>
    </row>
    <row r="70" spans="1:20" ht="61.5" hidden="1" customHeight="1" x14ac:dyDescent="0.45">
      <c r="A70" s="1027" t="s">
        <v>1035</v>
      </c>
      <c r="B70" s="2139" t="s">
        <v>3198</v>
      </c>
      <c r="C70" s="2139"/>
      <c r="D70" s="2139"/>
      <c r="E70" s="2139"/>
      <c r="F70" s="2139"/>
      <c r="G70" s="2139"/>
      <c r="H70" s="1027"/>
      <c r="I70" s="1028"/>
      <c r="J70" s="1028"/>
      <c r="K70" s="1028"/>
      <c r="L70" s="1000"/>
      <c r="M70" s="1002"/>
      <c r="N70" s="1002"/>
      <c r="O70" s="1002"/>
      <c r="P70" s="1001"/>
      <c r="Q70" s="1002"/>
      <c r="R70" s="1001"/>
      <c r="S70" s="1002"/>
      <c r="T70" s="1080"/>
    </row>
    <row r="71" spans="1:20" ht="61.5" hidden="1" customHeight="1" x14ac:dyDescent="0.45">
      <c r="A71" s="1115" t="s">
        <v>1035</v>
      </c>
      <c r="B71" s="1115">
        <v>45566</v>
      </c>
      <c r="C71" s="1116" t="s">
        <v>965</v>
      </c>
      <c r="D71" s="1117" t="s">
        <v>3102</v>
      </c>
      <c r="E71" s="1116" t="s">
        <v>3199</v>
      </c>
      <c r="F71" s="1116" t="s">
        <v>2108</v>
      </c>
      <c r="G71" s="1118" t="s">
        <v>3200</v>
      </c>
      <c r="H71" s="1118"/>
      <c r="I71" s="1118"/>
      <c r="J71" s="1118"/>
      <c r="K71" s="1118"/>
      <c r="L71" s="1119" t="s">
        <v>1038</v>
      </c>
      <c r="M71" s="1120"/>
      <c r="N71" s="1121">
        <v>57</v>
      </c>
      <c r="O71" s="1121">
        <v>21</v>
      </c>
      <c r="P71" s="1122" t="e">
        <f>#REF!/N71</f>
        <v>#REF!</v>
      </c>
      <c r="Q71" s="1121">
        <v>0</v>
      </c>
      <c r="R71" s="1122">
        <v>0</v>
      </c>
      <c r="S71" s="1121">
        <v>0</v>
      </c>
      <c r="T71" s="1123">
        <v>0</v>
      </c>
    </row>
    <row r="72" spans="1:20" ht="61.5" hidden="1" customHeight="1" x14ac:dyDescent="0.45">
      <c r="A72" s="1115" t="s">
        <v>1035</v>
      </c>
      <c r="B72" s="1115">
        <v>45568</v>
      </c>
      <c r="C72" s="1116" t="s">
        <v>3201</v>
      </c>
      <c r="D72" s="1117" t="s">
        <v>3102</v>
      </c>
      <c r="E72" s="1116" t="s">
        <v>3202</v>
      </c>
      <c r="F72" s="1116" t="s">
        <v>2108</v>
      </c>
      <c r="G72" s="1124"/>
      <c r="H72" s="1124"/>
      <c r="I72" s="1118"/>
      <c r="J72" s="1118"/>
      <c r="K72" s="1118"/>
      <c r="L72" s="1119" t="s">
        <v>3203</v>
      </c>
      <c r="M72" s="1120"/>
      <c r="N72" s="1121">
        <v>37</v>
      </c>
      <c r="O72" s="1121">
        <v>7</v>
      </c>
      <c r="P72" s="1122" t="e">
        <f>#REF!/N72</f>
        <v>#REF!</v>
      </c>
      <c r="Q72" s="1121">
        <v>0</v>
      </c>
      <c r="R72" s="1122">
        <v>0</v>
      </c>
      <c r="S72" s="1121">
        <v>0</v>
      </c>
      <c r="T72" s="1123">
        <v>0</v>
      </c>
    </row>
    <row r="73" spans="1:20" ht="61.5" hidden="1" customHeight="1" x14ac:dyDescent="0.45">
      <c r="A73" s="1027" t="s">
        <v>706</v>
      </c>
      <c r="B73" s="2139" t="s">
        <v>3204</v>
      </c>
      <c r="C73" s="2139"/>
      <c r="D73" s="2139"/>
      <c r="E73" s="2139"/>
      <c r="F73" s="2139"/>
      <c r="G73" s="2139"/>
      <c r="H73" s="1027"/>
      <c r="I73" s="1028"/>
      <c r="J73" s="1028"/>
      <c r="K73" s="1028"/>
      <c r="L73" s="1000"/>
      <c r="M73" s="1002"/>
      <c r="N73" s="1002"/>
      <c r="O73" s="1002"/>
      <c r="P73" s="1001"/>
      <c r="Q73" s="1002"/>
      <c r="R73" s="1001"/>
      <c r="S73" s="1002"/>
      <c r="T73" s="1080"/>
    </row>
    <row r="74" spans="1:20" ht="61.5" hidden="1" customHeight="1" x14ac:dyDescent="0.45">
      <c r="A74" s="998" t="s">
        <v>706</v>
      </c>
      <c r="B74" s="998" t="s">
        <v>3205</v>
      </c>
      <c r="C74" s="983" t="s">
        <v>965</v>
      </c>
      <c r="D74" s="1024" t="s">
        <v>3102</v>
      </c>
      <c r="E74" s="983" t="s">
        <v>3206</v>
      </c>
      <c r="F74" s="983" t="s">
        <v>2108</v>
      </c>
      <c r="G74" s="1125" t="s">
        <v>3207</v>
      </c>
      <c r="H74" s="989"/>
      <c r="I74" s="988"/>
      <c r="J74" s="988"/>
      <c r="K74" s="988"/>
      <c r="L74" s="989" t="s">
        <v>3208</v>
      </c>
      <c r="M74" s="1026"/>
      <c r="N74" s="1076">
        <v>57</v>
      </c>
      <c r="O74" s="1076">
        <v>22</v>
      </c>
      <c r="P74" s="1077" t="e">
        <f>#REF!/N74</f>
        <v>#REF!</v>
      </c>
      <c r="Q74" s="1076">
        <v>0</v>
      </c>
      <c r="R74" s="1077">
        <v>0</v>
      </c>
      <c r="S74" s="1076">
        <v>0</v>
      </c>
      <c r="T74" s="969">
        <v>0</v>
      </c>
    </row>
    <row r="75" spans="1:20" ht="61.5" hidden="1" customHeight="1" x14ac:dyDescent="0.45">
      <c r="A75" s="998" t="s">
        <v>706</v>
      </c>
      <c r="B75" s="1023">
        <v>45574</v>
      </c>
      <c r="C75" s="1126" t="s">
        <v>2110</v>
      </c>
      <c r="D75" s="1024" t="s">
        <v>3102</v>
      </c>
      <c r="E75" s="1126" t="s">
        <v>2121</v>
      </c>
      <c r="F75" s="1126" t="s">
        <v>2122</v>
      </c>
      <c r="G75" s="1126"/>
      <c r="H75" s="1126"/>
      <c r="I75" s="1127"/>
      <c r="J75" s="1127"/>
      <c r="K75" s="1127"/>
      <c r="L75" s="989" t="s">
        <v>3209</v>
      </c>
      <c r="M75" s="1128"/>
      <c r="N75" s="1076">
        <v>57</v>
      </c>
      <c r="O75" s="1076">
        <v>35</v>
      </c>
      <c r="P75" s="1077" t="e">
        <f>#REF!/N75</f>
        <v>#REF!</v>
      </c>
      <c r="Q75" s="1076">
        <v>0</v>
      </c>
      <c r="R75" s="1077">
        <v>0</v>
      </c>
      <c r="S75" s="1076">
        <v>0</v>
      </c>
      <c r="T75" s="969">
        <v>0</v>
      </c>
    </row>
    <row r="76" spans="1:20" ht="61.5" hidden="1" customHeight="1" x14ac:dyDescent="0.45">
      <c r="A76" s="1029" t="s">
        <v>1048</v>
      </c>
      <c r="B76" s="1029">
        <v>45581</v>
      </c>
      <c r="C76" s="973" t="s">
        <v>2124</v>
      </c>
      <c r="D76" s="1033" t="s">
        <v>3102</v>
      </c>
      <c r="E76" s="973" t="s">
        <v>3210</v>
      </c>
      <c r="F76" s="973" t="s">
        <v>3211</v>
      </c>
      <c r="G76" s="973"/>
      <c r="H76" s="973"/>
      <c r="I76" s="1030"/>
      <c r="J76" s="1030"/>
      <c r="K76" s="1030"/>
      <c r="L76" s="973" t="s">
        <v>3212</v>
      </c>
      <c r="M76" s="1036"/>
      <c r="N76" s="1036">
        <v>274</v>
      </c>
      <c r="O76" s="1035">
        <v>0.2482</v>
      </c>
      <c r="P76" s="1035">
        <v>2.92E-2</v>
      </c>
      <c r="Q76" s="1036">
        <v>1</v>
      </c>
      <c r="R76" s="1035"/>
      <c r="S76" s="1036">
        <v>1</v>
      </c>
      <c r="T76" s="971"/>
    </row>
    <row r="77" spans="1:20" ht="61.5" hidden="1" customHeight="1" x14ac:dyDescent="0.45">
      <c r="A77" s="1029" t="s">
        <v>708</v>
      </c>
      <c r="B77" s="2131" t="s">
        <v>106</v>
      </c>
      <c r="C77" s="2132"/>
      <c r="D77" s="2132"/>
      <c r="E77" s="2132"/>
      <c r="F77" s="2132"/>
      <c r="G77" s="2132"/>
      <c r="H77" s="1129"/>
      <c r="I77" s="1030"/>
      <c r="J77" s="1030"/>
      <c r="K77" s="1030"/>
      <c r="L77" s="1031"/>
      <c r="M77" s="1031"/>
      <c r="N77" s="1040"/>
      <c r="O77" s="1040"/>
      <c r="P77" s="1039"/>
      <c r="Q77" s="1040"/>
      <c r="R77" s="1039"/>
      <c r="S77" s="1040"/>
      <c r="T77" s="966"/>
    </row>
    <row r="78" spans="1:20" ht="61.5" hidden="1" customHeight="1" x14ac:dyDescent="0.45">
      <c r="A78" s="1029" t="s">
        <v>1073</v>
      </c>
      <c r="B78" s="1029">
        <v>45594</v>
      </c>
      <c r="C78" s="973" t="s">
        <v>86</v>
      </c>
      <c r="D78" s="1034" t="s">
        <v>413</v>
      </c>
      <c r="E78" s="973" t="s">
        <v>3213</v>
      </c>
      <c r="F78" s="973" t="s">
        <v>3214</v>
      </c>
      <c r="G78" s="973"/>
      <c r="H78" s="973"/>
      <c r="I78" s="1034" t="s">
        <v>3215</v>
      </c>
      <c r="J78" s="1030"/>
      <c r="K78" s="1030"/>
      <c r="L78" s="973" t="s">
        <v>1077</v>
      </c>
      <c r="M78" s="1036">
        <v>35</v>
      </c>
      <c r="N78" s="1038">
        <v>1410</v>
      </c>
      <c r="O78" s="1035">
        <v>9.5699999999999993E-2</v>
      </c>
      <c r="P78" s="1035">
        <v>3.5000000000000001E-3</v>
      </c>
      <c r="Q78" s="1038">
        <v>10</v>
      </c>
      <c r="R78" s="1037"/>
      <c r="S78" s="1038">
        <v>11</v>
      </c>
      <c r="T78" s="966"/>
    </row>
    <row r="79" spans="1:20" ht="61.5" hidden="1" customHeight="1" x14ac:dyDescent="0.45">
      <c r="A79" s="1041" t="s">
        <v>1078</v>
      </c>
      <c r="B79" s="2137" t="s">
        <v>1612</v>
      </c>
      <c r="C79" s="2138"/>
      <c r="D79" s="2138"/>
      <c r="E79" s="2138"/>
      <c r="F79" s="2138"/>
      <c r="G79" s="2138"/>
      <c r="H79" s="1130"/>
      <c r="I79" s="1042"/>
      <c r="J79" s="1042"/>
      <c r="K79" s="1042"/>
      <c r="L79" s="1015"/>
      <c r="M79" s="1044"/>
      <c r="N79" s="1044"/>
      <c r="O79" s="1044"/>
      <c r="P79" s="1043"/>
      <c r="Q79" s="1044"/>
      <c r="R79" s="1043"/>
      <c r="S79" s="1044"/>
      <c r="T79" s="972"/>
    </row>
    <row r="80" spans="1:20" ht="61.5" hidden="1" customHeight="1" x14ac:dyDescent="0.45">
      <c r="A80" s="1029" t="s">
        <v>1078</v>
      </c>
      <c r="B80" s="973">
        <v>45603</v>
      </c>
      <c r="C80" s="973" t="s">
        <v>1613</v>
      </c>
      <c r="D80" s="1033" t="s">
        <v>413</v>
      </c>
      <c r="E80" s="973" t="s">
        <v>3216</v>
      </c>
      <c r="F80" s="973" t="s">
        <v>3214</v>
      </c>
      <c r="G80" s="973"/>
      <c r="H80" s="973"/>
      <c r="I80" s="1034" t="s">
        <v>3217</v>
      </c>
      <c r="J80" s="1030"/>
      <c r="K80" s="1030"/>
      <c r="L80" s="973" t="s">
        <v>1084</v>
      </c>
      <c r="M80" s="1036">
        <v>46</v>
      </c>
      <c r="N80" s="1038">
        <v>129</v>
      </c>
      <c r="O80" s="1035">
        <v>0.68220000000000003</v>
      </c>
      <c r="P80" s="1035">
        <v>7.7999999999999996E-3</v>
      </c>
      <c r="Q80" s="1035">
        <v>0.02</v>
      </c>
      <c r="R80" s="1131"/>
      <c r="S80" s="1038">
        <v>0</v>
      </c>
      <c r="T80" s="966"/>
    </row>
    <row r="81" spans="1:20" ht="61.5" hidden="1" customHeight="1" x14ac:dyDescent="0.45">
      <c r="A81" s="1041" t="s">
        <v>711</v>
      </c>
      <c r="B81" s="2126" t="s">
        <v>712</v>
      </c>
      <c r="C81" s="2126"/>
      <c r="D81" s="2126"/>
      <c r="E81" s="2126"/>
      <c r="F81" s="2126"/>
      <c r="G81" s="2126"/>
      <c r="H81" s="1015"/>
      <c r="I81" s="1042"/>
      <c r="J81" s="1042"/>
      <c r="K81" s="1042"/>
      <c r="L81" s="1015"/>
      <c r="M81" s="1015"/>
      <c r="N81" s="1044"/>
      <c r="O81" s="1044"/>
      <c r="P81" s="1043"/>
      <c r="Q81" s="1044"/>
      <c r="R81" s="1043"/>
      <c r="S81" s="1044"/>
      <c r="T81" s="972"/>
    </row>
    <row r="82" spans="1:20" ht="61.5" hidden="1" customHeight="1" x14ac:dyDescent="0.45">
      <c r="A82" s="1029" t="s">
        <v>711</v>
      </c>
      <c r="B82" s="2131" t="s">
        <v>3218</v>
      </c>
      <c r="C82" s="2132"/>
      <c r="D82" s="2132"/>
      <c r="E82" s="2132"/>
      <c r="F82" s="2132"/>
      <c r="G82" s="2132"/>
      <c r="H82" s="1129"/>
      <c r="I82" s="1030"/>
      <c r="J82" s="1030"/>
      <c r="K82" s="1030"/>
      <c r="L82" s="1031"/>
      <c r="M82" s="1031"/>
      <c r="N82" s="1040"/>
      <c r="O82" s="1040"/>
      <c r="P82" s="1039"/>
      <c r="Q82" s="1040"/>
      <c r="R82" s="1039"/>
      <c r="S82" s="1040"/>
      <c r="T82" s="966"/>
    </row>
    <row r="83" spans="1:20" ht="61.5" hidden="1" customHeight="1" x14ac:dyDescent="0.45">
      <c r="A83" s="1029" t="s">
        <v>713</v>
      </c>
      <c r="B83" s="1029"/>
      <c r="C83" s="973" t="s">
        <v>3219</v>
      </c>
      <c r="D83" s="1033" t="s">
        <v>413</v>
      </c>
      <c r="E83" s="973" t="s">
        <v>3220</v>
      </c>
      <c r="F83" s="973"/>
      <c r="G83" s="973"/>
      <c r="H83" s="973"/>
      <c r="I83" s="1033" t="s">
        <v>3221</v>
      </c>
      <c r="J83" s="973"/>
      <c r="K83" s="973"/>
      <c r="L83" s="973" t="s">
        <v>3222</v>
      </c>
      <c r="M83" s="1036">
        <v>64</v>
      </c>
      <c r="N83" s="1038">
        <v>1257</v>
      </c>
      <c r="O83" s="1035">
        <v>9.0700000000000003E-2</v>
      </c>
      <c r="P83" s="1035">
        <v>5.5999999999999999E-3</v>
      </c>
      <c r="Q83" s="1038">
        <v>4</v>
      </c>
      <c r="R83" s="1037"/>
      <c r="S83" s="1038">
        <v>14</v>
      </c>
      <c r="T83" s="966"/>
    </row>
    <row r="84" spans="1:20" ht="61.5" hidden="1" customHeight="1" x14ac:dyDescent="0.45">
      <c r="A84" s="1029" t="s">
        <v>2667</v>
      </c>
      <c r="B84" s="2131" t="s">
        <v>2668</v>
      </c>
      <c r="C84" s="2132"/>
      <c r="D84" s="2132"/>
      <c r="E84" s="2132"/>
      <c r="F84" s="2132"/>
      <c r="G84" s="2132"/>
      <c r="H84" s="1129"/>
      <c r="I84" s="973"/>
      <c r="J84" s="973"/>
      <c r="K84" s="973"/>
      <c r="L84" s="1031"/>
      <c r="M84" s="1031"/>
      <c r="N84" s="1040"/>
      <c r="O84" s="1040"/>
      <c r="P84" s="1039"/>
      <c r="Q84" s="1040"/>
      <c r="R84" s="1039"/>
      <c r="S84" s="1040"/>
      <c r="T84" s="966"/>
    </row>
    <row r="85" spans="1:20" ht="61.5" hidden="1" customHeight="1" x14ac:dyDescent="0.45">
      <c r="A85" s="1029" t="s">
        <v>717</v>
      </c>
      <c r="B85" s="2131" t="s">
        <v>106</v>
      </c>
      <c r="C85" s="2132"/>
      <c r="D85" s="2132"/>
      <c r="E85" s="2132"/>
      <c r="F85" s="2132"/>
      <c r="G85" s="2132"/>
      <c r="H85" s="1129"/>
      <c r="I85" s="973"/>
      <c r="J85" s="973"/>
      <c r="K85" s="973"/>
      <c r="L85" s="1031"/>
      <c r="M85" s="1031"/>
      <c r="N85" s="1040"/>
      <c r="O85" s="1040"/>
      <c r="P85" s="1039"/>
      <c r="Q85" s="1040"/>
      <c r="R85" s="1039"/>
      <c r="S85" s="1040"/>
      <c r="T85" s="966"/>
    </row>
    <row r="86" spans="1:20" ht="61.5" hidden="1" customHeight="1" x14ac:dyDescent="0.45">
      <c r="A86" s="1041" t="s">
        <v>717</v>
      </c>
      <c r="B86" s="2137" t="s">
        <v>390</v>
      </c>
      <c r="C86" s="2137"/>
      <c r="D86" s="2137"/>
      <c r="E86" s="2137"/>
      <c r="F86" s="2137"/>
      <c r="G86" s="2137"/>
      <c r="H86" s="1041"/>
      <c r="I86" s="1014"/>
      <c r="J86" s="1014"/>
      <c r="K86" s="1014"/>
      <c r="L86" s="1015"/>
      <c r="M86" s="1044"/>
      <c r="N86" s="1044"/>
      <c r="O86" s="1044"/>
      <c r="P86" s="1043"/>
      <c r="Q86" s="1044"/>
      <c r="R86" s="1043"/>
      <c r="S86" s="1044"/>
      <c r="T86" s="972"/>
    </row>
    <row r="87" spans="1:20" ht="61.5" hidden="1" customHeight="1" x14ac:dyDescent="0.45">
      <c r="A87" s="973" t="s">
        <v>719</v>
      </c>
      <c r="B87" s="973"/>
      <c r="C87" s="973" t="s">
        <v>86</v>
      </c>
      <c r="D87" s="1033" t="s">
        <v>413</v>
      </c>
      <c r="E87" s="973" t="s">
        <v>2669</v>
      </c>
      <c r="F87" s="973"/>
      <c r="G87" s="973"/>
      <c r="H87" s="973"/>
      <c r="I87" s="1034" t="s">
        <v>3223</v>
      </c>
      <c r="J87" s="1030"/>
      <c r="K87" s="1030"/>
      <c r="L87" s="973" t="s">
        <v>2672</v>
      </c>
      <c r="M87" s="1036">
        <v>45</v>
      </c>
      <c r="N87" s="1038">
        <v>1126</v>
      </c>
      <c r="O87" s="1035">
        <v>0.13519999999999999</v>
      </c>
      <c r="P87" s="1035">
        <v>4.4000000000000003E-3</v>
      </c>
      <c r="Q87" s="1038">
        <v>5</v>
      </c>
      <c r="R87" s="1037"/>
      <c r="S87" s="1038">
        <v>5</v>
      </c>
      <c r="T87" s="966"/>
    </row>
    <row r="88" spans="1:20" ht="61.5" hidden="1" customHeight="1" x14ac:dyDescent="0.45">
      <c r="A88" s="1029" t="s">
        <v>720</v>
      </c>
      <c r="B88" s="1029"/>
      <c r="C88" s="973" t="s">
        <v>3224</v>
      </c>
      <c r="D88" s="1033" t="s">
        <v>413</v>
      </c>
      <c r="E88" s="973" t="s">
        <v>3225</v>
      </c>
      <c r="F88" s="973" t="s">
        <v>3226</v>
      </c>
      <c r="G88" s="973"/>
      <c r="H88" s="973"/>
      <c r="I88" s="1033" t="s">
        <v>3227</v>
      </c>
      <c r="J88" s="973"/>
      <c r="K88" s="973"/>
      <c r="L88" s="973" t="s">
        <v>3228</v>
      </c>
      <c r="M88" s="1036">
        <v>30</v>
      </c>
      <c r="N88" s="1038">
        <v>89</v>
      </c>
      <c r="O88" s="1035">
        <v>0.22470000000000001</v>
      </c>
      <c r="P88" s="1035" t="s">
        <v>3229</v>
      </c>
      <c r="Q88" s="1038">
        <v>0</v>
      </c>
      <c r="R88" s="1131"/>
      <c r="S88" s="1038">
        <v>2</v>
      </c>
      <c r="T88" s="966"/>
    </row>
    <row r="89" spans="1:20" ht="61.5" hidden="1" customHeight="1" x14ac:dyDescent="0.45">
      <c r="A89" s="1029" t="s">
        <v>721</v>
      </c>
      <c r="B89" s="1029"/>
      <c r="C89" s="973" t="s">
        <v>86</v>
      </c>
      <c r="D89" s="1033" t="s">
        <v>3102</v>
      </c>
      <c r="E89" s="973" t="s">
        <v>3230</v>
      </c>
      <c r="F89" s="973"/>
      <c r="G89" s="973"/>
      <c r="H89" s="973"/>
      <c r="I89" s="1033" t="s">
        <v>3231</v>
      </c>
      <c r="J89" s="973"/>
      <c r="K89" s="973"/>
      <c r="L89" s="973" t="s">
        <v>3232</v>
      </c>
      <c r="M89" s="1036">
        <v>38</v>
      </c>
      <c r="N89" s="1036">
        <v>845</v>
      </c>
      <c r="O89" s="1035">
        <v>0.18229999999999999</v>
      </c>
      <c r="P89" s="1035">
        <v>3.5000000000000001E-3</v>
      </c>
      <c r="Q89" s="1038">
        <v>3</v>
      </c>
      <c r="R89" s="1037"/>
      <c r="S89" s="1038">
        <v>9</v>
      </c>
      <c r="T89" s="966"/>
    </row>
    <row r="90" spans="1:20" ht="61.5" hidden="1" customHeight="1" x14ac:dyDescent="0.45">
      <c r="A90" s="1045" t="s">
        <v>722</v>
      </c>
      <c r="B90" s="2131" t="s">
        <v>1841</v>
      </c>
      <c r="C90" s="2132"/>
      <c r="D90" s="2132"/>
      <c r="E90" s="2132"/>
      <c r="F90" s="2132"/>
      <c r="G90" s="2132"/>
      <c r="H90" s="1129"/>
      <c r="I90" s="1046"/>
      <c r="J90" s="1046"/>
      <c r="K90" s="1046"/>
      <c r="L90" s="1013"/>
      <c r="M90" s="1013"/>
      <c r="N90" s="1044"/>
      <c r="O90" s="1044"/>
      <c r="P90" s="1043"/>
      <c r="Q90" s="1044"/>
      <c r="R90" s="1043"/>
      <c r="S90" s="1044"/>
      <c r="T90" s="972"/>
    </row>
    <row r="91" spans="1:20" ht="61.5" hidden="1" customHeight="1" x14ac:dyDescent="0.45">
      <c r="A91" s="1045" t="s">
        <v>657</v>
      </c>
      <c r="B91" s="2131" t="s">
        <v>1842</v>
      </c>
      <c r="C91" s="2132"/>
      <c r="D91" s="2132"/>
      <c r="E91" s="2132"/>
      <c r="F91" s="2132"/>
      <c r="G91" s="2132"/>
      <c r="H91" s="1129"/>
      <c r="I91" s="1046"/>
      <c r="J91" s="1046"/>
      <c r="K91" s="1046"/>
      <c r="L91" s="1013"/>
      <c r="M91" s="1013"/>
      <c r="N91" s="1044"/>
      <c r="O91" s="1044"/>
      <c r="P91" s="1043"/>
      <c r="Q91" s="1044"/>
      <c r="R91" s="1043"/>
      <c r="S91" s="1044"/>
      <c r="T91" s="972"/>
    </row>
    <row r="92" spans="1:20" ht="61.5" hidden="1" customHeight="1" x14ac:dyDescent="0.45">
      <c r="A92" s="1045" t="s">
        <v>426</v>
      </c>
      <c r="B92" s="2141" t="s">
        <v>3233</v>
      </c>
      <c r="C92" s="2141"/>
      <c r="D92" s="2141"/>
      <c r="E92" s="2141"/>
      <c r="F92" s="2141"/>
      <c r="G92" s="2141"/>
      <c r="H92" s="1046"/>
      <c r="I92" s="1046"/>
      <c r="J92" s="1046"/>
      <c r="K92" s="1046"/>
      <c r="L92" s="1013"/>
      <c r="M92" s="1013"/>
      <c r="N92" s="1044"/>
      <c r="O92" s="1044"/>
      <c r="P92" s="1043"/>
      <c r="Q92" s="1044"/>
      <c r="R92" s="1043"/>
      <c r="S92" s="1044"/>
      <c r="T92" s="972"/>
    </row>
    <row r="93" spans="1:20" ht="61.5" hidden="1" customHeight="1" x14ac:dyDescent="0.45">
      <c r="A93" s="1045" t="s">
        <v>426</v>
      </c>
      <c r="B93" s="2141" t="s">
        <v>3139</v>
      </c>
      <c r="C93" s="2141"/>
      <c r="D93" s="2141"/>
      <c r="E93" s="2141"/>
      <c r="F93" s="2141"/>
      <c r="G93" s="2141"/>
      <c r="H93" s="1046"/>
      <c r="I93" s="1046"/>
      <c r="J93" s="1046"/>
      <c r="K93" s="1046"/>
      <c r="L93" s="1013"/>
      <c r="M93" s="1013"/>
      <c r="N93" s="1044"/>
      <c r="O93" s="1044"/>
      <c r="P93" s="1043"/>
      <c r="Q93" s="1044"/>
      <c r="R93" s="1043"/>
      <c r="S93" s="1044"/>
      <c r="T93" s="972"/>
    </row>
    <row r="94" spans="1:20" ht="54.75" hidden="1" customHeight="1" x14ac:dyDescent="0.45">
      <c r="A94" s="946" t="s">
        <v>659</v>
      </c>
      <c r="B94" s="946">
        <v>45665</v>
      </c>
      <c r="C94" s="946" t="s">
        <v>86</v>
      </c>
      <c r="D94" s="948" t="s">
        <v>413</v>
      </c>
      <c r="E94" s="946" t="s">
        <v>3234</v>
      </c>
      <c r="F94" s="946" t="s">
        <v>3235</v>
      </c>
      <c r="G94" s="946"/>
      <c r="H94" s="946"/>
      <c r="I94" s="1132" t="s">
        <v>3236</v>
      </c>
      <c r="J94" s="946"/>
      <c r="K94" s="946"/>
      <c r="L94" s="946" t="s">
        <v>3237</v>
      </c>
      <c r="M94" s="1133">
        <v>93</v>
      </c>
      <c r="N94" s="1133">
        <v>1473</v>
      </c>
      <c r="O94" s="1134">
        <v>0.13239999999999999</v>
      </c>
      <c r="P94" s="1134">
        <v>4.7999999999999996E-3</v>
      </c>
      <c r="Q94" s="1135">
        <v>5</v>
      </c>
      <c r="R94" s="1135"/>
      <c r="S94" s="1135">
        <v>7</v>
      </c>
    </row>
    <row r="95" spans="1:20" ht="54.75" hidden="1" customHeight="1" x14ac:dyDescent="0.45">
      <c r="A95" s="946" t="s">
        <v>660</v>
      </c>
      <c r="B95" s="946">
        <v>45671</v>
      </c>
      <c r="C95" s="946" t="s">
        <v>86</v>
      </c>
      <c r="D95" s="948" t="s">
        <v>413</v>
      </c>
      <c r="E95" s="946" t="s">
        <v>3238</v>
      </c>
      <c r="F95" s="1132" t="s">
        <v>3239</v>
      </c>
      <c r="G95" s="946" t="s">
        <v>3240</v>
      </c>
      <c r="H95" s="946"/>
      <c r="I95" s="1132" t="s">
        <v>3241</v>
      </c>
      <c r="J95" s="946"/>
      <c r="K95" s="946"/>
      <c r="L95" s="946" t="s">
        <v>2686</v>
      </c>
      <c r="M95" s="1133">
        <v>84</v>
      </c>
      <c r="N95" s="1135">
        <v>688</v>
      </c>
      <c r="O95" s="1137">
        <v>0.26279999999999998</v>
      </c>
      <c r="P95" s="1137">
        <v>2.92E-2</v>
      </c>
      <c r="Q95" s="1135">
        <v>4</v>
      </c>
      <c r="R95" s="1135"/>
      <c r="S95" s="1135">
        <v>0</v>
      </c>
    </row>
    <row r="96" spans="1:20" ht="54.75" hidden="1" customHeight="1" x14ac:dyDescent="0.45">
      <c r="A96" s="946" t="s">
        <v>661</v>
      </c>
      <c r="B96" s="946">
        <v>45678</v>
      </c>
      <c r="C96" s="946" t="s">
        <v>86</v>
      </c>
      <c r="D96" s="948" t="s">
        <v>413</v>
      </c>
      <c r="E96" s="946" t="s">
        <v>3242</v>
      </c>
      <c r="F96" s="946" t="s">
        <v>3243</v>
      </c>
      <c r="G96" s="1132" t="s">
        <v>3244</v>
      </c>
      <c r="H96" s="1054"/>
      <c r="I96" s="1132" t="s">
        <v>3245</v>
      </c>
      <c r="J96" s="946"/>
      <c r="K96" s="946"/>
      <c r="L96" s="946" t="s">
        <v>3246</v>
      </c>
      <c r="M96" s="1135">
        <v>142</v>
      </c>
      <c r="N96" s="1135">
        <v>720</v>
      </c>
      <c r="O96" s="1137">
        <v>0.27779999999999999</v>
      </c>
      <c r="P96" s="1137">
        <v>2.64E-2</v>
      </c>
      <c r="Q96" s="1135">
        <v>4</v>
      </c>
      <c r="R96" s="1135"/>
      <c r="S96" s="1135">
        <v>4</v>
      </c>
    </row>
    <row r="97" spans="1:20" ht="54.75" hidden="1" customHeight="1" x14ac:dyDescent="0.45">
      <c r="A97" s="946" t="s">
        <v>662</v>
      </c>
      <c r="B97" s="946">
        <v>45685</v>
      </c>
      <c r="C97" s="946" t="s">
        <v>3247</v>
      </c>
      <c r="D97" s="948" t="s">
        <v>3248</v>
      </c>
      <c r="E97" s="946" t="s">
        <v>3249</v>
      </c>
      <c r="F97" s="946" t="s">
        <v>3250</v>
      </c>
      <c r="G97" s="1132" t="s">
        <v>3251</v>
      </c>
      <c r="H97" s="954"/>
      <c r="I97" s="1138" t="s">
        <v>3252</v>
      </c>
      <c r="J97" s="946"/>
      <c r="K97" s="946"/>
      <c r="L97" s="946" t="s">
        <v>2695</v>
      </c>
      <c r="M97" s="1135">
        <v>98</v>
      </c>
      <c r="N97" s="1135">
        <v>89</v>
      </c>
      <c r="O97" s="1137">
        <v>0.32579999999999998</v>
      </c>
      <c r="P97" s="1137">
        <v>0</v>
      </c>
      <c r="Q97" s="1135">
        <v>0</v>
      </c>
      <c r="R97" s="1135"/>
      <c r="S97" s="1135">
        <v>0</v>
      </c>
    </row>
    <row r="98" spans="1:20" ht="54.75" hidden="1" customHeight="1" x14ac:dyDescent="0.45">
      <c r="A98" s="946" t="s">
        <v>662</v>
      </c>
      <c r="B98" s="946">
        <v>45685</v>
      </c>
      <c r="C98" s="946" t="s">
        <v>86</v>
      </c>
      <c r="D98" s="948" t="s">
        <v>413</v>
      </c>
      <c r="E98" s="946" t="s">
        <v>3253</v>
      </c>
      <c r="F98" s="946" t="s">
        <v>3254</v>
      </c>
      <c r="G98" s="1132" t="s">
        <v>3255</v>
      </c>
      <c r="H98" s="954"/>
      <c r="I98" s="950" t="s">
        <v>3256</v>
      </c>
      <c r="J98" s="946"/>
      <c r="K98" s="946"/>
      <c r="L98" s="946" t="s">
        <v>2695</v>
      </c>
      <c r="M98" s="1135">
        <v>98</v>
      </c>
      <c r="N98" s="1135">
        <v>673</v>
      </c>
      <c r="O98" s="1137">
        <v>0.25409999999999999</v>
      </c>
      <c r="P98" s="1137">
        <v>1.1900000000000001E-2</v>
      </c>
      <c r="Q98" s="1135">
        <v>2</v>
      </c>
      <c r="R98" s="1135"/>
      <c r="S98" s="1135">
        <v>0</v>
      </c>
    </row>
    <row r="99" spans="1:20" ht="54.75" hidden="1" customHeight="1" x14ac:dyDescent="0.45">
      <c r="A99" s="946" t="s">
        <v>663</v>
      </c>
      <c r="B99" s="946">
        <v>45692</v>
      </c>
      <c r="C99" s="946" t="s">
        <v>86</v>
      </c>
      <c r="D99" s="948" t="s">
        <v>413</v>
      </c>
      <c r="E99" s="946" t="s">
        <v>3257</v>
      </c>
      <c r="F99" s="946" t="s">
        <v>3258</v>
      </c>
      <c r="G99" s="946"/>
      <c r="H99" s="954"/>
      <c r="I99" s="955" t="s">
        <v>3259</v>
      </c>
      <c r="J99" s="946"/>
      <c r="K99" s="946"/>
      <c r="L99" s="946" t="s">
        <v>2699</v>
      </c>
      <c r="M99" s="1135">
        <v>83</v>
      </c>
      <c r="N99" s="1135">
        <v>606</v>
      </c>
      <c r="O99" s="1137">
        <v>0.26569999999999999</v>
      </c>
      <c r="P99" s="1137">
        <v>1.6999999999999999E-3</v>
      </c>
      <c r="Q99" s="1135">
        <v>4</v>
      </c>
      <c r="R99" s="1135"/>
      <c r="S99" s="1135">
        <v>2</v>
      </c>
    </row>
    <row r="100" spans="1:20" ht="54.75" hidden="1" customHeight="1" x14ac:dyDescent="0.45">
      <c r="A100" s="946" t="s">
        <v>667</v>
      </c>
      <c r="B100" s="946">
        <v>45699</v>
      </c>
      <c r="C100" s="946" t="s">
        <v>3260</v>
      </c>
      <c r="D100" s="948" t="s">
        <v>413</v>
      </c>
      <c r="E100" s="946" t="s">
        <v>3261</v>
      </c>
      <c r="F100" s="946" t="s">
        <v>301</v>
      </c>
      <c r="G100" s="1132" t="s">
        <v>3226</v>
      </c>
      <c r="H100" s="954"/>
      <c r="I100" s="1055" t="s">
        <v>3262</v>
      </c>
      <c r="J100" s="958"/>
      <c r="K100" s="958"/>
      <c r="L100" s="958" t="s">
        <v>3263</v>
      </c>
      <c r="M100" s="1139">
        <v>74</v>
      </c>
      <c r="N100" s="1139">
        <v>54</v>
      </c>
      <c r="O100" s="1140">
        <v>0.2407</v>
      </c>
      <c r="P100" s="1140">
        <v>1.8499999999999999E-2</v>
      </c>
      <c r="Q100" s="1139">
        <v>0</v>
      </c>
      <c r="R100" s="1139"/>
      <c r="S100" s="1139">
        <v>0</v>
      </c>
    </row>
    <row r="101" spans="1:20" ht="54.75" hidden="1" customHeight="1" x14ac:dyDescent="0.45">
      <c r="A101" s="946" t="s">
        <v>667</v>
      </c>
      <c r="B101" s="953">
        <v>45701</v>
      </c>
      <c r="C101" s="946" t="s">
        <v>3264</v>
      </c>
      <c r="D101" s="948" t="s">
        <v>413</v>
      </c>
      <c r="E101" s="946" t="s">
        <v>3265</v>
      </c>
      <c r="F101" s="946" t="s">
        <v>3266</v>
      </c>
      <c r="G101" s="1132" t="s">
        <v>3267</v>
      </c>
      <c r="H101" s="954"/>
      <c r="I101" s="1055" t="s">
        <v>3268</v>
      </c>
      <c r="J101" s="958"/>
      <c r="K101" s="958"/>
      <c r="L101" s="958" t="s">
        <v>3269</v>
      </c>
      <c r="M101" s="1139">
        <v>74</v>
      </c>
      <c r="N101" s="1139">
        <v>384</v>
      </c>
      <c r="O101" s="1140">
        <v>0.29499999999999998</v>
      </c>
      <c r="P101" s="1140">
        <v>1.3100000000000001E-2</v>
      </c>
      <c r="Q101" s="1139">
        <v>2</v>
      </c>
      <c r="R101" s="1139"/>
      <c r="S101" s="1139">
        <v>1</v>
      </c>
    </row>
    <row r="102" spans="1:20" ht="54.75" hidden="1" customHeight="1" x14ac:dyDescent="0.45">
      <c r="A102" s="946" t="s">
        <v>670</v>
      </c>
      <c r="B102" s="946">
        <v>45706</v>
      </c>
      <c r="C102" s="946" t="s">
        <v>86</v>
      </c>
      <c r="D102" s="948" t="s">
        <v>413</v>
      </c>
      <c r="E102" s="946" t="s">
        <v>3270</v>
      </c>
      <c r="F102" s="946" t="s">
        <v>3271</v>
      </c>
      <c r="G102" s="1132" t="s">
        <v>3272</v>
      </c>
      <c r="H102" s="954"/>
      <c r="I102" s="1047" t="s">
        <v>3273</v>
      </c>
      <c r="J102" s="946"/>
      <c r="K102" s="946"/>
      <c r="L102" s="946" t="s">
        <v>2709</v>
      </c>
      <c r="M102" s="1139">
        <v>98</v>
      </c>
      <c r="N102" s="1139">
        <v>401</v>
      </c>
      <c r="O102" s="1140">
        <v>0.31669999999999998</v>
      </c>
      <c r="P102" s="1141">
        <v>2.5000000000000001E-3</v>
      </c>
      <c r="Q102" s="1139">
        <v>2</v>
      </c>
      <c r="R102" s="1139"/>
      <c r="S102" s="1139">
        <v>0</v>
      </c>
    </row>
    <row r="103" spans="1:20" ht="54.75" hidden="1" customHeight="1" x14ac:dyDescent="0.45">
      <c r="A103" s="946" t="s">
        <v>672</v>
      </c>
      <c r="B103" s="946">
        <v>45713</v>
      </c>
      <c r="C103" s="946" t="s">
        <v>3247</v>
      </c>
      <c r="D103" s="948" t="s">
        <v>3248</v>
      </c>
      <c r="E103" s="946" t="s">
        <v>3274</v>
      </c>
      <c r="F103" s="946" t="s">
        <v>3275</v>
      </c>
      <c r="G103" s="1053" t="s">
        <v>3251</v>
      </c>
      <c r="H103" s="954"/>
      <c r="I103" s="1047" t="s">
        <v>3276</v>
      </c>
      <c r="J103" s="946"/>
      <c r="K103" s="946"/>
      <c r="L103" s="946" t="s">
        <v>2718</v>
      </c>
      <c r="M103" s="1135">
        <v>84</v>
      </c>
      <c r="N103" s="1135">
        <v>74</v>
      </c>
      <c r="O103" s="1142">
        <v>0.2432</v>
      </c>
      <c r="P103" s="1142">
        <v>0</v>
      </c>
      <c r="Q103" s="1135">
        <v>1</v>
      </c>
      <c r="R103" s="1135"/>
      <c r="S103" s="1135">
        <v>1</v>
      </c>
    </row>
    <row r="104" spans="1:20" ht="54.75" hidden="1" customHeight="1" x14ac:dyDescent="0.45">
      <c r="A104" s="946" t="s">
        <v>674</v>
      </c>
      <c r="B104" s="946">
        <v>45720</v>
      </c>
      <c r="C104" s="946" t="s">
        <v>3260</v>
      </c>
      <c r="D104" s="948" t="s">
        <v>413</v>
      </c>
      <c r="E104" s="946" t="s">
        <v>3277</v>
      </c>
      <c r="F104" s="946" t="s">
        <v>3278</v>
      </c>
      <c r="G104" s="946"/>
      <c r="H104" s="954"/>
      <c r="I104" s="1047" t="s">
        <v>3279</v>
      </c>
      <c r="J104" s="946"/>
      <c r="K104" s="946"/>
      <c r="L104" s="946" t="s">
        <v>2721</v>
      </c>
      <c r="M104" s="1135">
        <v>125</v>
      </c>
      <c r="N104" s="1135">
        <v>54</v>
      </c>
      <c r="O104" s="1142">
        <v>0.31480000000000002</v>
      </c>
      <c r="P104" s="1142">
        <v>5.5599999999999997E-2</v>
      </c>
      <c r="Q104" s="1135">
        <v>0</v>
      </c>
      <c r="R104" s="1135"/>
      <c r="S104" s="1135">
        <v>0</v>
      </c>
    </row>
    <row r="105" spans="1:20" ht="54.75" hidden="1" customHeight="1" x14ac:dyDescent="0.45">
      <c r="A105" s="946" t="s">
        <v>1204</v>
      </c>
      <c r="B105" s="946">
        <v>45727</v>
      </c>
      <c r="C105" s="946" t="s">
        <v>86</v>
      </c>
      <c r="D105" s="948" t="s">
        <v>413</v>
      </c>
      <c r="E105" s="946" t="s">
        <v>3280</v>
      </c>
      <c r="F105" s="946" t="s">
        <v>3281</v>
      </c>
      <c r="G105" s="1143" t="s">
        <v>3282</v>
      </c>
      <c r="H105" s="954"/>
      <c r="I105" s="1047" t="s">
        <v>3283</v>
      </c>
      <c r="J105" s="946"/>
      <c r="K105" s="946"/>
      <c r="L105" s="946" t="s">
        <v>2730</v>
      </c>
      <c r="M105" s="1135">
        <v>99</v>
      </c>
      <c r="N105" s="1135">
        <v>506</v>
      </c>
      <c r="O105" s="1142">
        <v>0.3024</v>
      </c>
      <c r="P105" s="1142">
        <v>5.8999999999999999E-3</v>
      </c>
      <c r="Q105" s="1135">
        <v>1</v>
      </c>
      <c r="R105" s="1135"/>
      <c r="S105" s="1135">
        <v>2</v>
      </c>
    </row>
    <row r="106" spans="1:20" ht="54.75" hidden="1" customHeight="1" x14ac:dyDescent="0.45">
      <c r="A106" s="946" t="s">
        <v>681</v>
      </c>
      <c r="B106" s="946">
        <v>45734</v>
      </c>
      <c r="C106" s="946" t="s">
        <v>3260</v>
      </c>
      <c r="D106" s="948" t="s">
        <v>413</v>
      </c>
      <c r="E106" s="958" t="s">
        <v>1502</v>
      </c>
      <c r="F106" s="946" t="s">
        <v>3284</v>
      </c>
      <c r="G106" s="1053" t="s">
        <v>3285</v>
      </c>
      <c r="H106" s="954"/>
      <c r="I106" s="1047" t="s">
        <v>3286</v>
      </c>
      <c r="J106" s="946"/>
      <c r="K106" s="946"/>
      <c r="L106" s="946" t="s">
        <v>2737</v>
      </c>
      <c r="M106" s="1135">
        <v>77</v>
      </c>
      <c r="N106" s="1135">
        <v>53</v>
      </c>
      <c r="O106" s="1137">
        <v>0.28299999999999997</v>
      </c>
      <c r="P106" s="1137">
        <v>1.89E-2</v>
      </c>
      <c r="Q106" s="1135">
        <v>0</v>
      </c>
      <c r="R106" s="1135"/>
      <c r="S106" s="1135">
        <v>0</v>
      </c>
    </row>
    <row r="107" spans="1:20" ht="54.75" hidden="1" customHeight="1" x14ac:dyDescent="0.45">
      <c r="A107" s="951" t="s">
        <v>3287</v>
      </c>
      <c r="B107" s="2133" t="s">
        <v>3288</v>
      </c>
      <c r="C107" s="2133"/>
      <c r="D107" s="2133"/>
      <c r="E107" s="2133"/>
      <c r="F107" s="2133"/>
      <c r="G107" s="2133"/>
      <c r="H107" s="952"/>
      <c r="I107" s="952"/>
      <c r="J107" s="952"/>
      <c r="K107" s="952"/>
      <c r="L107" s="945"/>
      <c r="M107" s="945"/>
      <c r="N107" s="949"/>
      <c r="O107" s="1144"/>
      <c r="P107" s="1144"/>
      <c r="Q107" s="949"/>
      <c r="R107" s="1144"/>
      <c r="S107" s="949"/>
      <c r="T107" s="972"/>
    </row>
    <row r="108" spans="1:20" ht="54.75" hidden="1" customHeight="1" x14ac:dyDescent="0.45">
      <c r="A108" s="951" t="s">
        <v>3289</v>
      </c>
      <c r="B108" s="2133" t="s">
        <v>3290</v>
      </c>
      <c r="C108" s="2133"/>
      <c r="D108" s="2133"/>
      <c r="E108" s="2133"/>
      <c r="F108" s="2133"/>
      <c r="G108" s="2133"/>
      <c r="H108" s="952"/>
      <c r="I108" s="952"/>
      <c r="J108" s="952"/>
      <c r="K108" s="952"/>
      <c r="L108" s="952"/>
      <c r="M108" s="952"/>
      <c r="N108" s="952"/>
      <c r="O108" s="1145"/>
      <c r="P108" s="1145"/>
      <c r="Q108" s="952"/>
      <c r="R108" s="952"/>
      <c r="S108" s="952"/>
    </row>
    <row r="109" spans="1:20" ht="54.75" hidden="1" customHeight="1" x14ac:dyDescent="0.45">
      <c r="A109" s="946" t="s">
        <v>684</v>
      </c>
      <c r="B109" s="946">
        <v>45741</v>
      </c>
      <c r="C109" s="946" t="s">
        <v>3291</v>
      </c>
      <c r="D109" s="948" t="s">
        <v>413</v>
      </c>
      <c r="E109" s="946" t="s">
        <v>3292</v>
      </c>
      <c r="F109" s="946" t="s">
        <v>3293</v>
      </c>
      <c r="G109" s="1132" t="s">
        <v>3267</v>
      </c>
      <c r="H109" s="954"/>
      <c r="I109" s="1047" t="s">
        <v>3294</v>
      </c>
      <c r="J109" s="946"/>
      <c r="K109" s="946"/>
      <c r="L109" s="946" t="s">
        <v>3295</v>
      </c>
      <c r="M109" s="1135">
        <v>55</v>
      </c>
      <c r="N109" s="1135">
        <v>341</v>
      </c>
      <c r="O109" s="1142">
        <v>0.30969999999999998</v>
      </c>
      <c r="P109" s="1142">
        <v>2.8999999999999998E-3</v>
      </c>
      <c r="Q109" s="1135">
        <v>2</v>
      </c>
      <c r="R109" s="1135"/>
      <c r="S109" s="1135">
        <v>0</v>
      </c>
    </row>
    <row r="110" spans="1:20" ht="54.75" hidden="1" customHeight="1" x14ac:dyDescent="0.45">
      <c r="A110" s="946" t="s">
        <v>685</v>
      </c>
      <c r="B110" s="946">
        <v>45748</v>
      </c>
      <c r="C110" s="946" t="s">
        <v>86</v>
      </c>
      <c r="D110" s="948" t="s">
        <v>413</v>
      </c>
      <c r="E110" s="946" t="s">
        <v>3296</v>
      </c>
      <c r="F110" s="946" t="s">
        <v>3297</v>
      </c>
      <c r="G110" s="946"/>
      <c r="H110" s="954"/>
      <c r="I110" s="1047" t="s">
        <v>3298</v>
      </c>
      <c r="J110" s="946"/>
      <c r="K110" s="946"/>
      <c r="L110" s="946" t="s">
        <v>2750</v>
      </c>
      <c r="M110" s="1135">
        <v>76</v>
      </c>
      <c r="N110" s="1135">
        <v>461</v>
      </c>
      <c r="O110" s="1142">
        <v>0.29499999999999998</v>
      </c>
      <c r="P110" s="1142">
        <v>1.2999999999999999E-2</v>
      </c>
      <c r="Q110" s="1135">
        <v>0</v>
      </c>
      <c r="R110" s="1135"/>
      <c r="S110" s="1135">
        <v>2</v>
      </c>
    </row>
    <row r="111" spans="1:20" ht="54.75" hidden="1" customHeight="1" x14ac:dyDescent="0.45">
      <c r="A111" s="946" t="s">
        <v>686</v>
      </c>
      <c r="B111" s="946">
        <v>45755</v>
      </c>
      <c r="C111" s="946" t="s">
        <v>3299</v>
      </c>
      <c r="D111" s="948" t="s">
        <v>413</v>
      </c>
      <c r="E111" s="946" t="s">
        <v>3300</v>
      </c>
      <c r="F111" s="946" t="s">
        <v>3301</v>
      </c>
      <c r="G111" s="1132" t="s">
        <v>3267</v>
      </c>
      <c r="H111" s="954"/>
      <c r="I111" s="1052" t="s">
        <v>3302</v>
      </c>
      <c r="J111" s="946"/>
      <c r="K111" s="946"/>
      <c r="L111" s="946" t="s">
        <v>2757</v>
      </c>
      <c r="M111" s="1135">
        <v>81</v>
      </c>
      <c r="N111" s="1135">
        <v>81</v>
      </c>
      <c r="O111" s="1142">
        <v>0.2099</v>
      </c>
      <c r="P111" s="1142">
        <v>0</v>
      </c>
      <c r="Q111" s="1135">
        <v>0</v>
      </c>
      <c r="R111" s="1135"/>
      <c r="S111" s="1135">
        <v>1</v>
      </c>
    </row>
    <row r="112" spans="1:20" ht="54.75" hidden="1" customHeight="1" x14ac:dyDescent="0.45">
      <c r="A112" s="946" t="s">
        <v>687</v>
      </c>
      <c r="B112" s="946">
        <v>45762</v>
      </c>
      <c r="C112" s="946" t="s">
        <v>3291</v>
      </c>
      <c r="D112" s="948" t="s">
        <v>413</v>
      </c>
      <c r="E112" s="946" t="s">
        <v>3303</v>
      </c>
      <c r="F112" s="946" t="s">
        <v>3304</v>
      </c>
      <c r="G112" s="946"/>
      <c r="H112" s="954"/>
      <c r="I112" s="1053" t="s">
        <v>3305</v>
      </c>
      <c r="J112" s="946"/>
      <c r="K112" s="946"/>
      <c r="L112" s="946" t="s">
        <v>3306</v>
      </c>
      <c r="M112" s="1135">
        <v>81</v>
      </c>
      <c r="N112" s="1135">
        <v>79</v>
      </c>
      <c r="O112" s="1142">
        <v>0.3291</v>
      </c>
      <c r="P112" s="1142">
        <v>0</v>
      </c>
      <c r="Q112" s="1135">
        <v>0</v>
      </c>
      <c r="R112" s="1135"/>
      <c r="S112" s="1135">
        <v>1</v>
      </c>
    </row>
    <row r="113" spans="1:19" ht="54.75" hidden="1" customHeight="1" x14ac:dyDescent="0.45">
      <c r="A113" s="946" t="s">
        <v>688</v>
      </c>
      <c r="B113" s="946" t="s">
        <v>3307</v>
      </c>
      <c r="C113" s="946" t="s">
        <v>3308</v>
      </c>
      <c r="D113" s="948" t="s">
        <v>413</v>
      </c>
      <c r="E113" s="946" t="s">
        <v>3309</v>
      </c>
      <c r="F113" s="946" t="s">
        <v>3310</v>
      </c>
      <c r="G113" s="1053" t="s">
        <v>3311</v>
      </c>
      <c r="H113" s="954"/>
      <c r="I113" s="1052" t="s">
        <v>3312</v>
      </c>
      <c r="J113" s="946"/>
      <c r="K113" s="946"/>
      <c r="L113" s="946" t="s">
        <v>2767</v>
      </c>
      <c r="M113" s="1146">
        <v>70</v>
      </c>
      <c r="N113" s="1146">
        <v>89</v>
      </c>
      <c r="O113" s="1048">
        <v>0.3034</v>
      </c>
      <c r="P113" s="1048">
        <v>1.12E-2</v>
      </c>
      <c r="Q113" s="1146">
        <v>0</v>
      </c>
      <c r="R113" s="1135"/>
      <c r="S113" s="1146">
        <v>0</v>
      </c>
    </row>
    <row r="114" spans="1:19" ht="54.75" hidden="1" customHeight="1" x14ac:dyDescent="0.45">
      <c r="A114" s="946" t="s">
        <v>689</v>
      </c>
      <c r="B114" s="946" t="s">
        <v>3313</v>
      </c>
      <c r="C114" s="946" t="s">
        <v>86</v>
      </c>
      <c r="D114" s="948" t="s">
        <v>413</v>
      </c>
      <c r="E114" s="946" t="s">
        <v>3314</v>
      </c>
      <c r="F114" s="946" t="s">
        <v>3315</v>
      </c>
      <c r="G114" s="946"/>
      <c r="H114" s="954"/>
      <c r="I114" s="1052" t="s">
        <v>3316</v>
      </c>
      <c r="J114" s="946"/>
      <c r="K114" s="946"/>
      <c r="L114" s="946" t="s">
        <v>2775</v>
      </c>
      <c r="M114" s="1135">
        <v>70</v>
      </c>
      <c r="N114" s="1135">
        <v>434</v>
      </c>
      <c r="O114" s="1142">
        <v>0.30880000000000002</v>
      </c>
      <c r="P114" s="1058">
        <v>9.1999999999999998E-3</v>
      </c>
      <c r="Q114" s="1135">
        <v>1</v>
      </c>
      <c r="R114" s="1135"/>
      <c r="S114" s="1135">
        <v>1</v>
      </c>
    </row>
    <row r="115" spans="1:19" ht="54.75" hidden="1" customHeight="1" x14ac:dyDescent="0.45">
      <c r="A115" s="946" t="s">
        <v>3317</v>
      </c>
      <c r="B115" s="2130" t="s">
        <v>3318</v>
      </c>
      <c r="C115" s="2134"/>
      <c r="D115" s="2135"/>
      <c r="E115" s="2134"/>
      <c r="F115" s="2134"/>
      <c r="G115" s="2134"/>
      <c r="H115" s="1147"/>
      <c r="I115" s="946"/>
      <c r="J115" s="946"/>
      <c r="K115" s="946"/>
      <c r="L115" s="946"/>
      <c r="M115" s="1135"/>
      <c r="N115" s="1135"/>
      <c r="O115" s="1142"/>
      <c r="P115" s="1142"/>
      <c r="Q115" s="1135"/>
      <c r="R115" s="1135"/>
      <c r="S115" s="1135"/>
    </row>
    <row r="116" spans="1:19" ht="54.75" hidden="1" customHeight="1" x14ac:dyDescent="0.45">
      <c r="A116" s="946" t="s">
        <v>691</v>
      </c>
      <c r="B116" s="953">
        <v>45785</v>
      </c>
      <c r="C116" s="946" t="s">
        <v>3260</v>
      </c>
      <c r="D116" s="948" t="s">
        <v>2255</v>
      </c>
      <c r="E116" s="946" t="s">
        <v>3319</v>
      </c>
      <c r="F116" s="946" t="s">
        <v>3320</v>
      </c>
      <c r="G116" s="1053" t="s">
        <v>3321</v>
      </c>
      <c r="H116" s="954"/>
      <c r="I116" s="1052" t="s">
        <v>3322</v>
      </c>
      <c r="J116" s="946"/>
      <c r="K116" s="946"/>
      <c r="L116" s="946" t="s">
        <v>3323</v>
      </c>
      <c r="M116" s="1135">
        <v>99</v>
      </c>
      <c r="N116" s="1135">
        <v>42</v>
      </c>
      <c r="O116" s="1142">
        <v>0.16669999999999999</v>
      </c>
      <c r="P116" s="1148">
        <v>0</v>
      </c>
      <c r="Q116" s="1135">
        <v>0</v>
      </c>
      <c r="R116" s="1135"/>
      <c r="S116" s="1135">
        <v>0</v>
      </c>
    </row>
    <row r="117" spans="1:19" ht="54.75" hidden="1" customHeight="1" x14ac:dyDescent="0.45">
      <c r="A117" s="946" t="s">
        <v>691</v>
      </c>
      <c r="B117" s="953">
        <v>45784</v>
      </c>
      <c r="C117" s="946" t="s">
        <v>3260</v>
      </c>
      <c r="D117" s="957" t="s">
        <v>3324</v>
      </c>
      <c r="E117" s="946" t="s">
        <v>1378</v>
      </c>
      <c r="F117" s="946"/>
      <c r="G117" s="1053"/>
      <c r="H117" s="954"/>
      <c r="I117" s="1053" t="s">
        <v>3325</v>
      </c>
      <c r="J117" s="946"/>
      <c r="K117" s="946"/>
      <c r="L117" s="946" t="s">
        <v>3326</v>
      </c>
      <c r="M117" s="1135">
        <v>99</v>
      </c>
      <c r="N117" s="1135">
        <v>31</v>
      </c>
      <c r="O117" s="1142">
        <v>0.5484</v>
      </c>
      <c r="P117" s="1142">
        <v>0.19350000000000001</v>
      </c>
      <c r="Q117" s="1135">
        <v>0</v>
      </c>
      <c r="R117" s="1135"/>
      <c r="S117" s="1135">
        <v>0</v>
      </c>
    </row>
    <row r="118" spans="1:19" ht="54.75" hidden="1" customHeight="1" x14ac:dyDescent="0.45">
      <c r="A118" s="946" t="s">
        <v>692</v>
      </c>
      <c r="B118" s="953">
        <v>45790</v>
      </c>
      <c r="C118" s="946" t="s">
        <v>3308</v>
      </c>
      <c r="D118" s="948" t="s">
        <v>2255</v>
      </c>
      <c r="E118" s="946" t="s">
        <v>3327</v>
      </c>
      <c r="F118" s="946"/>
      <c r="G118" s="1053"/>
      <c r="H118" s="954"/>
      <c r="I118" s="1053" t="s">
        <v>3328</v>
      </c>
      <c r="J118" s="946"/>
      <c r="K118" s="946"/>
      <c r="L118" s="946" t="s">
        <v>2785</v>
      </c>
      <c r="M118" s="1135">
        <v>79</v>
      </c>
      <c r="N118" s="1135">
        <v>296</v>
      </c>
      <c r="O118" s="1142">
        <v>4.3900000000000002E-2</v>
      </c>
      <c r="P118" s="1142">
        <v>3.3999999999999998E-3</v>
      </c>
      <c r="Q118" s="1135">
        <v>1</v>
      </c>
      <c r="R118" s="1135"/>
      <c r="S118" s="1135">
        <v>5</v>
      </c>
    </row>
    <row r="119" spans="1:19" ht="54.75" hidden="1" customHeight="1" x14ac:dyDescent="0.45">
      <c r="A119" s="946" t="s">
        <v>693</v>
      </c>
      <c r="B119" s="953">
        <v>45797</v>
      </c>
      <c r="C119" s="946" t="s">
        <v>3299</v>
      </c>
      <c r="D119" s="948" t="s">
        <v>2255</v>
      </c>
      <c r="E119" s="946" t="s">
        <v>3329</v>
      </c>
      <c r="F119" s="946" t="s">
        <v>3330</v>
      </c>
      <c r="G119" s="946"/>
      <c r="H119" s="954"/>
      <c r="I119" s="1053" t="s">
        <v>3331</v>
      </c>
      <c r="J119" s="946"/>
      <c r="K119" s="946"/>
      <c r="L119" s="946" t="s">
        <v>2790</v>
      </c>
      <c r="M119" s="1135">
        <v>74</v>
      </c>
      <c r="N119" s="1135">
        <v>36</v>
      </c>
      <c r="O119" s="1137">
        <v>0.33329999999999999</v>
      </c>
      <c r="P119" s="1137">
        <v>0</v>
      </c>
      <c r="Q119" s="1135">
        <v>1</v>
      </c>
      <c r="R119" s="1135"/>
      <c r="S119" s="1135">
        <v>0</v>
      </c>
    </row>
    <row r="120" spans="1:19" ht="54.75" hidden="1" customHeight="1" x14ac:dyDescent="0.45">
      <c r="A120" s="946" t="s">
        <v>693</v>
      </c>
      <c r="B120" s="953">
        <v>45797</v>
      </c>
      <c r="C120" s="946" t="s">
        <v>86</v>
      </c>
      <c r="D120" s="948" t="s">
        <v>2255</v>
      </c>
      <c r="E120" s="946" t="s">
        <v>3332</v>
      </c>
      <c r="F120" s="946" t="s">
        <v>3333</v>
      </c>
      <c r="G120" s="946"/>
      <c r="H120" s="954"/>
      <c r="I120" s="1053" t="s">
        <v>3334</v>
      </c>
      <c r="J120" s="946"/>
      <c r="K120" s="946"/>
      <c r="L120" s="946" t="s">
        <v>2790</v>
      </c>
      <c r="M120" s="1135">
        <v>74</v>
      </c>
      <c r="N120" s="1135">
        <v>418</v>
      </c>
      <c r="O120" s="1137">
        <v>0.29430000000000001</v>
      </c>
      <c r="P120" s="1137">
        <v>4.7999999999999996E-3</v>
      </c>
      <c r="Q120" s="1135">
        <v>0</v>
      </c>
      <c r="R120" s="1135"/>
      <c r="S120" s="1135">
        <v>2</v>
      </c>
    </row>
    <row r="121" spans="1:19" ht="54.75" hidden="1" customHeight="1" x14ac:dyDescent="0.45">
      <c r="A121" s="946" t="s">
        <v>696</v>
      </c>
      <c r="B121" s="953">
        <v>45804</v>
      </c>
      <c r="C121" s="946" t="s">
        <v>3260</v>
      </c>
      <c r="D121" s="948" t="s">
        <v>2255</v>
      </c>
      <c r="E121" s="946" t="s">
        <v>3335</v>
      </c>
      <c r="F121" s="946" t="s">
        <v>2035</v>
      </c>
      <c r="G121" s="1053" t="s">
        <v>3336</v>
      </c>
      <c r="H121" s="954"/>
      <c r="I121" s="1053" t="s">
        <v>3337</v>
      </c>
      <c r="J121" s="946"/>
      <c r="K121" s="946"/>
      <c r="L121" s="946" t="s">
        <v>3338</v>
      </c>
      <c r="M121" s="1135">
        <v>84</v>
      </c>
      <c r="N121" s="1135">
        <v>40</v>
      </c>
      <c r="O121" s="1137">
        <v>0.22500000000000001</v>
      </c>
      <c r="P121" s="1137">
        <v>2.5000000000000001E-2</v>
      </c>
      <c r="Q121" s="1135">
        <v>0</v>
      </c>
      <c r="R121" s="946"/>
      <c r="S121" s="1135">
        <v>1</v>
      </c>
    </row>
    <row r="122" spans="1:19" ht="54.75" hidden="1" customHeight="1" x14ac:dyDescent="0.45">
      <c r="A122" s="946" t="s">
        <v>697</v>
      </c>
      <c r="B122" s="953">
        <v>45811</v>
      </c>
      <c r="C122" s="946" t="s">
        <v>3308</v>
      </c>
      <c r="D122" s="948" t="s">
        <v>2255</v>
      </c>
      <c r="E122" s="946" t="s">
        <v>3339</v>
      </c>
      <c r="F122" s="946" t="s">
        <v>3340</v>
      </c>
      <c r="G122" s="946"/>
      <c r="H122" s="954"/>
      <c r="I122" s="1053" t="s">
        <v>3341</v>
      </c>
      <c r="J122" s="946"/>
      <c r="K122" s="946"/>
      <c r="L122" s="946" t="s">
        <v>2803</v>
      </c>
      <c r="M122" s="1135">
        <v>75</v>
      </c>
      <c r="N122" s="1135">
        <v>75</v>
      </c>
      <c r="O122" s="1137">
        <v>0.21329999999999999</v>
      </c>
      <c r="P122" s="1137">
        <v>1.3299999999999999E-2</v>
      </c>
      <c r="Q122" s="1135">
        <v>0</v>
      </c>
      <c r="R122" s="946"/>
      <c r="S122" s="1135">
        <v>0</v>
      </c>
    </row>
    <row r="123" spans="1:19" ht="54.75" hidden="1" customHeight="1" x14ac:dyDescent="0.45">
      <c r="A123" s="946" t="s">
        <v>698</v>
      </c>
      <c r="B123" s="953">
        <v>45818</v>
      </c>
      <c r="C123" s="946" t="s">
        <v>86</v>
      </c>
      <c r="D123" s="948" t="s">
        <v>2255</v>
      </c>
      <c r="E123" s="946" t="s">
        <v>3342</v>
      </c>
      <c r="F123" s="946" t="s">
        <v>3343</v>
      </c>
      <c r="G123" s="1053" t="s">
        <v>3272</v>
      </c>
      <c r="H123" s="954"/>
      <c r="I123" s="1053" t="s">
        <v>3344</v>
      </c>
      <c r="J123" s="946"/>
      <c r="K123" s="946"/>
      <c r="L123" s="946" t="s">
        <v>2808</v>
      </c>
      <c r="M123" s="1135">
        <v>120</v>
      </c>
      <c r="N123" s="1135">
        <v>394</v>
      </c>
      <c r="O123" s="1137">
        <v>0.29699999999999999</v>
      </c>
      <c r="P123" s="1137">
        <v>7.6E-3</v>
      </c>
      <c r="Q123" s="1135">
        <v>1</v>
      </c>
      <c r="R123" s="946"/>
      <c r="S123" s="1135">
        <v>0</v>
      </c>
    </row>
    <row r="124" spans="1:19" ht="54.75" hidden="1" customHeight="1" x14ac:dyDescent="0.45">
      <c r="A124" s="946" t="s">
        <v>699</v>
      </c>
      <c r="B124" s="953">
        <v>45825</v>
      </c>
      <c r="C124" s="946" t="s">
        <v>3299</v>
      </c>
      <c r="D124" s="948" t="s">
        <v>2255</v>
      </c>
      <c r="E124" s="946" t="s">
        <v>3345</v>
      </c>
      <c r="F124" s="946" t="s">
        <v>3346</v>
      </c>
      <c r="G124" s="1053"/>
      <c r="H124" s="954"/>
      <c r="I124" s="1053" t="s">
        <v>3347</v>
      </c>
      <c r="J124" s="946"/>
      <c r="K124" s="946"/>
      <c r="L124" s="946" t="s">
        <v>2812</v>
      </c>
      <c r="M124" s="1135">
        <v>89</v>
      </c>
      <c r="N124" s="1135">
        <v>33</v>
      </c>
      <c r="O124" s="1137">
        <v>0.30299999999999999</v>
      </c>
      <c r="P124" s="1137">
        <v>6.0600000000000001E-2</v>
      </c>
      <c r="Q124" s="1135">
        <v>0</v>
      </c>
      <c r="R124" s="946"/>
      <c r="S124" s="1135">
        <v>0</v>
      </c>
    </row>
    <row r="125" spans="1:19" ht="54.75" hidden="1" customHeight="1" x14ac:dyDescent="0.45">
      <c r="A125" s="951" t="s">
        <v>3348</v>
      </c>
      <c r="B125" s="2133" t="s">
        <v>3349</v>
      </c>
      <c r="C125" s="2140"/>
      <c r="D125" s="2140"/>
      <c r="E125" s="2140"/>
      <c r="F125" s="2140"/>
      <c r="G125" s="2140"/>
      <c r="H125" s="1149"/>
      <c r="I125" s="1149"/>
      <c r="J125" s="1149"/>
      <c r="K125" s="1149"/>
      <c r="L125" s="1149"/>
      <c r="M125" s="1149"/>
      <c r="N125" s="1150"/>
      <c r="O125" s="1151"/>
      <c r="P125" s="1151"/>
      <c r="Q125" s="1150"/>
      <c r="R125" s="1149"/>
      <c r="S125" s="1150"/>
    </row>
    <row r="126" spans="1:19" ht="54.75" hidden="1" customHeight="1" x14ac:dyDescent="0.45">
      <c r="A126" s="946" t="s">
        <v>700</v>
      </c>
      <c r="B126" s="953">
        <v>45832</v>
      </c>
      <c r="C126" s="946" t="s">
        <v>3260</v>
      </c>
      <c r="D126" s="948" t="s">
        <v>2255</v>
      </c>
      <c r="E126" s="946" t="s">
        <v>3350</v>
      </c>
      <c r="F126" s="946"/>
      <c r="G126" s="1053"/>
      <c r="H126" s="954"/>
      <c r="I126" s="1053" t="s">
        <v>3351</v>
      </c>
      <c r="J126" s="946"/>
      <c r="K126" s="946"/>
      <c r="L126" s="946" t="s">
        <v>2820</v>
      </c>
      <c r="M126" s="1135">
        <v>72</v>
      </c>
      <c r="N126" s="1135">
        <v>115</v>
      </c>
      <c r="O126" s="1137">
        <v>0.28699999999999998</v>
      </c>
      <c r="P126" s="1137">
        <v>2.6100000000000002E-2</v>
      </c>
      <c r="Q126" s="1135">
        <v>0</v>
      </c>
      <c r="R126" s="946"/>
      <c r="S126" s="1135">
        <v>0</v>
      </c>
    </row>
    <row r="127" spans="1:19" ht="54.75" hidden="1" customHeight="1" x14ac:dyDescent="0.45">
      <c r="A127" s="946" t="s">
        <v>701</v>
      </c>
      <c r="B127" s="953">
        <v>45839</v>
      </c>
      <c r="C127" s="946" t="s">
        <v>3260</v>
      </c>
      <c r="D127" s="948" t="s">
        <v>2255</v>
      </c>
      <c r="E127" s="946" t="s">
        <v>3352</v>
      </c>
      <c r="F127" s="946" t="s">
        <v>3353</v>
      </c>
      <c r="G127" s="1053"/>
      <c r="H127" s="954"/>
      <c r="I127" s="1053" t="s">
        <v>3354</v>
      </c>
      <c r="J127" s="946"/>
      <c r="K127" s="946"/>
      <c r="L127" s="958" t="s">
        <v>2825</v>
      </c>
      <c r="M127" s="1135">
        <v>90</v>
      </c>
      <c r="N127" s="1135">
        <v>39</v>
      </c>
      <c r="O127" s="1137">
        <v>0.2051</v>
      </c>
      <c r="P127" s="1137">
        <v>0</v>
      </c>
      <c r="Q127" s="1135">
        <v>0</v>
      </c>
      <c r="R127" s="946"/>
      <c r="S127" s="1135">
        <v>0</v>
      </c>
    </row>
    <row r="128" spans="1:19" ht="54.75" hidden="1" customHeight="1" x14ac:dyDescent="0.45">
      <c r="A128" s="946" t="s">
        <v>703</v>
      </c>
      <c r="B128" s="953">
        <v>45846</v>
      </c>
      <c r="C128" s="946" t="s">
        <v>86</v>
      </c>
      <c r="D128" s="948" t="s">
        <v>2255</v>
      </c>
      <c r="E128" s="946" t="s">
        <v>3355</v>
      </c>
      <c r="F128" s="946" t="s">
        <v>3356</v>
      </c>
      <c r="G128" s="1053"/>
      <c r="H128" s="954"/>
      <c r="I128" s="1053" t="s">
        <v>3357</v>
      </c>
      <c r="J128" s="946"/>
      <c r="K128" s="946"/>
      <c r="L128" s="946" t="s">
        <v>2831</v>
      </c>
      <c r="M128" s="1135">
        <v>89</v>
      </c>
      <c r="N128" s="1135">
        <v>386</v>
      </c>
      <c r="O128" s="1137">
        <v>0.22450000000000001</v>
      </c>
      <c r="P128" s="1137">
        <v>2.5999999999999999E-3</v>
      </c>
      <c r="Q128" s="1135">
        <v>0</v>
      </c>
      <c r="R128" s="946"/>
      <c r="S128" s="1135">
        <v>3</v>
      </c>
    </row>
    <row r="129" spans="1:19" ht="54.75" hidden="1" customHeight="1" x14ac:dyDescent="0.45">
      <c r="A129" s="946" t="s">
        <v>1304</v>
      </c>
      <c r="B129" s="953">
        <v>45853</v>
      </c>
      <c r="C129" s="946" t="s">
        <v>3299</v>
      </c>
      <c r="D129" s="948" t="s">
        <v>2255</v>
      </c>
      <c r="E129" s="946" t="s">
        <v>3358</v>
      </c>
      <c r="F129" s="946" t="s">
        <v>3359</v>
      </c>
      <c r="G129" s="1053"/>
      <c r="H129" s="954"/>
      <c r="I129" s="1053" t="s">
        <v>3360</v>
      </c>
      <c r="J129" s="946"/>
      <c r="K129" s="946"/>
      <c r="L129" s="946" t="s">
        <v>2837</v>
      </c>
      <c r="M129" s="1135"/>
      <c r="N129" s="1135">
        <v>23</v>
      </c>
      <c r="O129" s="1137">
        <v>0.43480000000000002</v>
      </c>
      <c r="P129" s="1137">
        <v>0</v>
      </c>
      <c r="Q129" s="1135">
        <v>0</v>
      </c>
      <c r="R129" s="946"/>
      <c r="S129" s="1135">
        <v>0</v>
      </c>
    </row>
    <row r="130" spans="1:19" ht="54.75" hidden="1" customHeight="1" x14ac:dyDescent="0.45">
      <c r="A130" s="946" t="s">
        <v>3361</v>
      </c>
      <c r="B130" s="2130" t="s">
        <v>3362</v>
      </c>
      <c r="C130" s="2130"/>
      <c r="D130" s="2130"/>
      <c r="E130" s="2130"/>
      <c r="F130" s="2130"/>
      <c r="G130" s="2130"/>
      <c r="H130" s="954"/>
      <c r="I130" s="1053" t="s">
        <v>3363</v>
      </c>
      <c r="J130" s="946"/>
      <c r="K130" s="946"/>
      <c r="L130" s="1057" t="s">
        <v>3364</v>
      </c>
      <c r="M130" s="1135"/>
      <c r="N130" s="1135">
        <v>43</v>
      </c>
      <c r="O130" s="1137">
        <v>0.53490000000000004</v>
      </c>
      <c r="P130" s="1137">
        <v>0.186</v>
      </c>
      <c r="Q130" s="1135">
        <v>0</v>
      </c>
      <c r="R130" s="946"/>
      <c r="S130" s="1135">
        <v>0</v>
      </c>
    </row>
    <row r="131" spans="1:19" ht="54.75" hidden="1" customHeight="1" x14ac:dyDescent="0.45">
      <c r="A131" s="946" t="s">
        <v>1310</v>
      </c>
      <c r="B131" s="2127" t="s">
        <v>106</v>
      </c>
      <c r="C131" s="2128"/>
      <c r="D131" s="2129"/>
      <c r="E131" s="2128"/>
      <c r="F131" s="2128"/>
      <c r="G131" s="2128"/>
      <c r="H131" s="954"/>
      <c r="I131" s="946"/>
      <c r="J131" s="946"/>
      <c r="K131" s="946"/>
      <c r="L131" s="1049"/>
      <c r="M131" s="1135"/>
      <c r="N131" s="1135"/>
      <c r="O131" s="1137"/>
      <c r="P131" s="1137"/>
      <c r="Q131" s="1135"/>
      <c r="R131" s="946"/>
      <c r="S131" s="1135"/>
    </row>
    <row r="132" spans="1:19" ht="54.75" hidden="1" customHeight="1" x14ac:dyDescent="0.45">
      <c r="A132" s="953">
        <v>45863</v>
      </c>
      <c r="B132" s="2130" t="s">
        <v>3365</v>
      </c>
      <c r="C132" s="2130"/>
      <c r="D132" s="2130"/>
      <c r="E132" s="2130"/>
      <c r="F132" s="2130"/>
      <c r="G132" s="2130"/>
      <c r="H132" s="954"/>
      <c r="I132" s="946"/>
      <c r="J132" s="946"/>
      <c r="K132" s="946"/>
      <c r="L132" s="946"/>
      <c r="M132" s="1135"/>
      <c r="N132" s="1135"/>
      <c r="O132" s="1137"/>
      <c r="P132" s="1137"/>
      <c r="Q132" s="946"/>
      <c r="R132" s="946"/>
      <c r="S132" s="946"/>
    </row>
    <row r="133" spans="1:19" ht="54.75" hidden="1" customHeight="1" x14ac:dyDescent="0.45">
      <c r="A133" s="946" t="s">
        <v>1323</v>
      </c>
      <c r="B133" s="953">
        <v>45867</v>
      </c>
      <c r="C133" s="946" t="s">
        <v>3260</v>
      </c>
      <c r="D133" s="948" t="s">
        <v>2255</v>
      </c>
      <c r="E133" s="946" t="s">
        <v>3277</v>
      </c>
      <c r="F133" s="946" t="s">
        <v>3366</v>
      </c>
      <c r="G133" s="1053"/>
      <c r="H133" s="954"/>
      <c r="I133" s="1053" t="s">
        <v>3367</v>
      </c>
      <c r="J133" s="946"/>
      <c r="K133" s="946"/>
      <c r="L133" s="946" t="s">
        <v>3368</v>
      </c>
      <c r="M133" s="1135">
        <v>86</v>
      </c>
      <c r="N133" s="1135">
        <v>111</v>
      </c>
      <c r="O133" s="1137">
        <v>0.34229999999999999</v>
      </c>
      <c r="P133" s="1137">
        <v>0</v>
      </c>
      <c r="Q133" s="1135">
        <v>0</v>
      </c>
      <c r="R133" s="946"/>
      <c r="S133" s="1135">
        <v>0</v>
      </c>
    </row>
    <row r="134" spans="1:19" ht="54.75" hidden="1" customHeight="1" x14ac:dyDescent="0.45">
      <c r="A134" s="946" t="s">
        <v>1769</v>
      </c>
      <c r="B134" s="953">
        <v>45874</v>
      </c>
      <c r="C134" s="946" t="s">
        <v>86</v>
      </c>
      <c r="D134" s="948" t="s">
        <v>2255</v>
      </c>
      <c r="E134" s="1056" t="s">
        <v>3369</v>
      </c>
      <c r="F134" s="946" t="s">
        <v>3370</v>
      </c>
      <c r="G134" s="1053" t="s">
        <v>3272</v>
      </c>
      <c r="H134" s="954"/>
      <c r="I134" s="946"/>
      <c r="J134" s="946"/>
      <c r="K134" s="946"/>
      <c r="L134" s="946" t="s">
        <v>3371</v>
      </c>
      <c r="M134" s="1135">
        <v>101</v>
      </c>
      <c r="N134" s="1135">
        <v>366</v>
      </c>
      <c r="O134" s="1137">
        <v>0.28420000000000001</v>
      </c>
      <c r="P134" s="1137">
        <v>8.2000000000000007E-3</v>
      </c>
      <c r="Q134" s="1135">
        <v>3</v>
      </c>
      <c r="R134" s="1135"/>
      <c r="S134" s="1135">
        <v>1</v>
      </c>
    </row>
    <row r="135" spans="1:19" ht="54.75" hidden="1" customHeight="1" x14ac:dyDescent="0.45">
      <c r="A135" s="946" t="s">
        <v>1328</v>
      </c>
      <c r="B135" s="953">
        <v>45881</v>
      </c>
      <c r="C135" s="946" t="s">
        <v>3291</v>
      </c>
      <c r="D135" s="948" t="s">
        <v>2255</v>
      </c>
      <c r="E135" s="946" t="s">
        <v>3372</v>
      </c>
      <c r="F135" s="946" t="s">
        <v>3373</v>
      </c>
      <c r="G135" s="1053"/>
      <c r="H135" s="954"/>
      <c r="I135" s="1053" t="s">
        <v>3374</v>
      </c>
      <c r="J135" s="946"/>
      <c r="K135" s="946"/>
      <c r="L135" s="946" t="s">
        <v>2857</v>
      </c>
      <c r="M135" s="1135">
        <v>118</v>
      </c>
      <c r="N135" s="1135">
        <v>69</v>
      </c>
      <c r="O135" s="1137">
        <v>0.26090000000000002</v>
      </c>
      <c r="P135" s="1137">
        <v>0</v>
      </c>
      <c r="Q135" s="1135">
        <v>0</v>
      </c>
      <c r="R135" s="1135"/>
      <c r="S135" s="1135">
        <v>1</v>
      </c>
    </row>
    <row r="136" spans="1:19" ht="54.75" hidden="1" customHeight="1" x14ac:dyDescent="0.45">
      <c r="A136" s="946" t="s">
        <v>1333</v>
      </c>
      <c r="B136" s="953">
        <v>45888</v>
      </c>
      <c r="C136" s="946" t="s">
        <v>86</v>
      </c>
      <c r="D136" s="948" t="s">
        <v>2255</v>
      </c>
      <c r="E136" s="946" t="s">
        <v>3375</v>
      </c>
      <c r="F136" s="946" t="s">
        <v>3376</v>
      </c>
      <c r="G136" s="1152" t="s">
        <v>3377</v>
      </c>
      <c r="H136" s="954"/>
      <c r="I136" s="955" t="s">
        <v>3378</v>
      </c>
      <c r="J136" s="946"/>
      <c r="K136" s="946"/>
      <c r="L136" s="946" t="s">
        <v>2862</v>
      </c>
      <c r="M136" s="1135">
        <v>107</v>
      </c>
      <c r="N136" s="1135" t="s">
        <v>3379</v>
      </c>
      <c r="O136" s="1137">
        <v>0.26140000000000002</v>
      </c>
      <c r="P136" s="1137">
        <v>5.7000000000000002E-3</v>
      </c>
      <c r="Q136" s="1135">
        <v>2</v>
      </c>
      <c r="R136" s="1135"/>
      <c r="S136" s="1135">
        <v>1</v>
      </c>
    </row>
    <row r="137" spans="1:19" ht="54.75" hidden="1" customHeight="1" x14ac:dyDescent="0.45">
      <c r="A137" s="946" t="s">
        <v>1338</v>
      </c>
      <c r="B137" s="953">
        <v>45895</v>
      </c>
      <c r="C137" s="946" t="s">
        <v>86</v>
      </c>
      <c r="D137" s="948" t="s">
        <v>2255</v>
      </c>
      <c r="E137" s="946" t="s">
        <v>3380</v>
      </c>
      <c r="F137" s="946" t="s">
        <v>3381</v>
      </c>
      <c r="G137" s="1053" t="s">
        <v>3382</v>
      </c>
      <c r="H137" s="954"/>
      <c r="I137" s="1053" t="s">
        <v>3383</v>
      </c>
      <c r="J137" s="946"/>
      <c r="K137" s="946"/>
      <c r="L137" s="946" t="s">
        <v>2866</v>
      </c>
      <c r="M137" s="1135">
        <v>75</v>
      </c>
      <c r="N137" s="1135">
        <v>105</v>
      </c>
      <c r="O137" s="1137">
        <v>0.28570000000000001</v>
      </c>
      <c r="P137" s="1137">
        <v>0</v>
      </c>
      <c r="Q137" s="1135">
        <v>0</v>
      </c>
      <c r="R137" s="1135"/>
      <c r="S137" s="1135">
        <v>0</v>
      </c>
    </row>
    <row r="138" spans="1:19" ht="54.75" hidden="1" customHeight="1" x14ac:dyDescent="0.45">
      <c r="A138" s="946" t="s">
        <v>3384</v>
      </c>
      <c r="B138" s="2130" t="s">
        <v>3385</v>
      </c>
      <c r="C138" s="2130"/>
      <c r="D138" s="2130"/>
      <c r="E138" s="2130"/>
      <c r="F138" s="2130"/>
      <c r="G138" s="2130"/>
      <c r="H138" s="954"/>
      <c r="I138" s="1053" t="s">
        <v>3386</v>
      </c>
      <c r="J138" s="946"/>
      <c r="K138" s="946"/>
      <c r="L138" s="946" t="s">
        <v>2871</v>
      </c>
      <c r="M138" s="1146">
        <v>95</v>
      </c>
      <c r="N138" s="1146">
        <v>45</v>
      </c>
      <c r="O138" s="1061">
        <v>0.55559999999999998</v>
      </c>
      <c r="P138" s="1061">
        <v>0.24440000000000001</v>
      </c>
      <c r="Q138" s="1146">
        <v>0</v>
      </c>
      <c r="R138" s="1135"/>
      <c r="S138" s="1146">
        <v>1</v>
      </c>
    </row>
    <row r="139" spans="1:19" ht="54.75" hidden="1" customHeight="1" x14ac:dyDescent="0.45">
      <c r="A139" s="946" t="s">
        <v>1341</v>
      </c>
      <c r="B139" s="953">
        <v>45902</v>
      </c>
      <c r="C139" s="946" t="s">
        <v>3387</v>
      </c>
      <c r="D139" s="948" t="s">
        <v>2255</v>
      </c>
      <c r="E139" s="946" t="s">
        <v>3388</v>
      </c>
      <c r="F139" s="946" t="s">
        <v>3389</v>
      </c>
      <c r="G139" s="1053"/>
      <c r="H139" s="954"/>
      <c r="I139" s="1053" t="s">
        <v>3390</v>
      </c>
      <c r="J139" s="946"/>
      <c r="K139" s="946"/>
      <c r="L139" s="946" t="s">
        <v>2871</v>
      </c>
      <c r="M139" s="1146">
        <v>95</v>
      </c>
      <c r="N139" s="1146">
        <v>104</v>
      </c>
      <c r="O139" s="1061">
        <v>0.30769999999999997</v>
      </c>
      <c r="P139" s="1061">
        <v>0</v>
      </c>
      <c r="Q139" s="1146">
        <v>1</v>
      </c>
      <c r="R139" s="1135"/>
      <c r="S139" s="1146">
        <v>0</v>
      </c>
    </row>
    <row r="140" spans="1:19" ht="54.75" hidden="1" customHeight="1" x14ac:dyDescent="0.45">
      <c r="A140" s="946" t="s">
        <v>1347</v>
      </c>
      <c r="B140" s="2130" t="s">
        <v>3391</v>
      </c>
      <c r="C140" s="2130"/>
      <c r="D140" s="2130"/>
      <c r="E140" s="2130"/>
      <c r="F140" s="2130"/>
      <c r="G140" s="2130"/>
      <c r="H140" s="954"/>
      <c r="I140" s="1053" t="s">
        <v>3392</v>
      </c>
      <c r="J140" s="946"/>
      <c r="K140" s="946"/>
      <c r="L140" s="946" t="s">
        <v>3393</v>
      </c>
      <c r="M140" s="1135">
        <v>97</v>
      </c>
      <c r="N140" s="1135">
        <v>50</v>
      </c>
      <c r="O140" s="1137">
        <v>0.5</v>
      </c>
      <c r="P140" s="1137">
        <v>0.26</v>
      </c>
      <c r="Q140" s="1135">
        <v>0</v>
      </c>
      <c r="R140" s="1135"/>
      <c r="S140" s="1135">
        <v>0</v>
      </c>
    </row>
    <row r="141" spans="1:19" ht="54.75" hidden="1" customHeight="1" x14ac:dyDescent="0.45">
      <c r="A141" s="946" t="s">
        <v>1347</v>
      </c>
      <c r="B141" s="953">
        <v>45909</v>
      </c>
      <c r="C141" s="946" t="s">
        <v>3260</v>
      </c>
      <c r="D141" s="948" t="s">
        <v>2255</v>
      </c>
      <c r="E141" s="946" t="s">
        <v>3394</v>
      </c>
      <c r="F141" s="946" t="s">
        <v>3395</v>
      </c>
      <c r="G141" s="1053" t="s">
        <v>3396</v>
      </c>
      <c r="H141" s="954"/>
      <c r="I141" s="1153" t="s">
        <v>3397</v>
      </c>
      <c r="J141" s="946"/>
      <c r="K141" s="946"/>
      <c r="L141" s="946" t="s">
        <v>3398</v>
      </c>
      <c r="M141" s="1135">
        <v>97</v>
      </c>
      <c r="N141" s="1135">
        <v>101</v>
      </c>
      <c r="O141" s="1137">
        <v>0.30690000000000001</v>
      </c>
      <c r="P141" s="1137">
        <v>9.9000000000000008E-3</v>
      </c>
      <c r="Q141" s="1135">
        <v>0</v>
      </c>
      <c r="R141" s="1135"/>
      <c r="S141" s="1135">
        <v>1</v>
      </c>
    </row>
    <row r="142" spans="1:19" ht="54.75" hidden="1" customHeight="1" x14ac:dyDescent="0.45">
      <c r="A142" s="946" t="s">
        <v>1347</v>
      </c>
      <c r="B142" s="953">
        <v>45910</v>
      </c>
      <c r="C142" s="946" t="s">
        <v>3291</v>
      </c>
      <c r="D142" s="948" t="s">
        <v>2255</v>
      </c>
      <c r="E142" s="947" t="s">
        <v>3399</v>
      </c>
      <c r="F142" s="947" t="s">
        <v>3400</v>
      </c>
      <c r="G142" s="1154"/>
      <c r="H142" s="954"/>
      <c r="I142" s="1053" t="s">
        <v>3401</v>
      </c>
      <c r="J142" s="946"/>
      <c r="K142" s="946"/>
      <c r="L142" s="946" t="s">
        <v>3393</v>
      </c>
      <c r="M142" s="1135">
        <v>97</v>
      </c>
      <c r="N142" s="1135">
        <v>64</v>
      </c>
      <c r="O142" s="1137">
        <v>0.21879999999999999</v>
      </c>
      <c r="P142" s="1137">
        <v>0</v>
      </c>
      <c r="Q142" s="1135">
        <v>0</v>
      </c>
      <c r="R142" s="1135"/>
      <c r="S142" s="1135">
        <v>0</v>
      </c>
    </row>
    <row r="143" spans="1:19" ht="54.75" hidden="1" customHeight="1" x14ac:dyDescent="0.45">
      <c r="A143" s="946" t="s">
        <v>3402</v>
      </c>
      <c r="B143" s="2130" t="s">
        <v>2260</v>
      </c>
      <c r="C143" s="2130"/>
      <c r="D143" s="2130"/>
      <c r="E143" s="2130"/>
      <c r="F143" s="2130"/>
      <c r="G143" s="2130"/>
      <c r="H143" s="954"/>
      <c r="I143" s="1143" t="s">
        <v>3403</v>
      </c>
      <c r="J143" s="946"/>
      <c r="K143" s="946"/>
      <c r="L143" s="946"/>
      <c r="M143" s="1135"/>
      <c r="N143" s="946"/>
      <c r="O143" s="1137"/>
      <c r="P143" s="1137"/>
      <c r="Q143" s="1135"/>
      <c r="R143" s="1135"/>
      <c r="S143" s="1135"/>
    </row>
    <row r="144" spans="1:19" ht="54.75" hidden="1" customHeight="1" x14ac:dyDescent="0.45">
      <c r="A144" s="946" t="s">
        <v>3404</v>
      </c>
      <c r="B144" s="2130" t="s">
        <v>3405</v>
      </c>
      <c r="C144" s="2130"/>
      <c r="D144" s="2130"/>
      <c r="E144" s="2130"/>
      <c r="F144" s="2130"/>
      <c r="G144" s="2130"/>
      <c r="H144" s="954"/>
      <c r="I144" s="1053" t="s">
        <v>3406</v>
      </c>
      <c r="J144" s="946"/>
      <c r="K144" s="946"/>
      <c r="L144" s="946" t="s">
        <v>3407</v>
      </c>
      <c r="M144" s="1135">
        <v>96</v>
      </c>
      <c r="N144" s="1135">
        <v>49</v>
      </c>
      <c r="O144" s="1137">
        <v>0.55100000000000005</v>
      </c>
      <c r="P144" s="1137">
        <v>4.0800000000000003E-2</v>
      </c>
      <c r="Q144" s="1135">
        <v>0</v>
      </c>
      <c r="R144" s="1135"/>
      <c r="S144" s="1135">
        <v>0</v>
      </c>
    </row>
    <row r="145" spans="1:19" ht="54.75" hidden="1" customHeight="1" x14ac:dyDescent="0.45">
      <c r="A145" s="959" t="s">
        <v>3408</v>
      </c>
      <c r="B145" s="2130" t="s">
        <v>3409</v>
      </c>
      <c r="C145" s="2130"/>
      <c r="D145" s="2130"/>
      <c r="E145" s="2130"/>
      <c r="F145" s="2130"/>
      <c r="G145" s="2130"/>
      <c r="H145" s="954"/>
      <c r="I145" s="1053" t="s">
        <v>3410</v>
      </c>
      <c r="J145" s="946"/>
      <c r="K145" s="946"/>
      <c r="L145" s="946" t="s">
        <v>3411</v>
      </c>
      <c r="M145" s="1135">
        <v>130</v>
      </c>
      <c r="N145" s="1155">
        <v>46</v>
      </c>
      <c r="O145" s="1137">
        <v>0.54349999999999998</v>
      </c>
      <c r="P145" s="1137">
        <v>0.3261</v>
      </c>
      <c r="Q145" s="1135">
        <v>0</v>
      </c>
      <c r="R145" s="1135"/>
      <c r="S145" s="1135">
        <v>0</v>
      </c>
    </row>
    <row r="146" spans="1:19" ht="54.75" hidden="1" customHeight="1" x14ac:dyDescent="0.45">
      <c r="A146" s="959" t="s">
        <v>3412</v>
      </c>
      <c r="B146" s="2130" t="s">
        <v>2275</v>
      </c>
      <c r="C146" s="2130"/>
      <c r="D146" s="2130"/>
      <c r="E146" s="2130"/>
      <c r="F146" s="2130"/>
      <c r="G146" s="2130"/>
      <c r="H146" s="954"/>
      <c r="I146" s="1053" t="s">
        <v>3413</v>
      </c>
      <c r="J146" s="946"/>
      <c r="K146" s="946"/>
      <c r="L146" s="946" t="s">
        <v>2886</v>
      </c>
      <c r="M146" s="1135">
        <v>130</v>
      </c>
      <c r="N146" s="1135">
        <v>55</v>
      </c>
      <c r="O146" s="1137">
        <v>0.54549999999999998</v>
      </c>
      <c r="P146" s="1137">
        <v>0.21820000000000001</v>
      </c>
      <c r="Q146" s="1135">
        <v>0</v>
      </c>
      <c r="R146" s="1135"/>
      <c r="S146" s="1135">
        <v>0</v>
      </c>
    </row>
    <row r="147" spans="1:19" ht="54.75" customHeight="1" x14ac:dyDescent="0.45">
      <c r="A147" s="951" t="s">
        <v>3414</v>
      </c>
      <c r="B147" s="2133" t="s">
        <v>3415</v>
      </c>
      <c r="C147" s="2133"/>
      <c r="D147" s="2133"/>
      <c r="E147" s="2133"/>
      <c r="F147" s="2133"/>
      <c r="G147" s="2133"/>
      <c r="H147" s="952"/>
      <c r="I147" s="952"/>
      <c r="J147" s="952"/>
      <c r="K147" s="952"/>
      <c r="L147" s="952"/>
      <c r="M147" s="952"/>
      <c r="N147" s="1156"/>
      <c r="O147" s="1145"/>
      <c r="P147" s="1145"/>
      <c r="Q147" s="952"/>
      <c r="R147" s="952"/>
      <c r="S147" s="952"/>
    </row>
    <row r="148" spans="1:19" ht="54.75" customHeight="1" x14ac:dyDescent="0.45">
      <c r="A148" s="946">
        <v>45931</v>
      </c>
      <c r="B148" s="2130" t="s">
        <v>3416</v>
      </c>
      <c r="C148" s="2130"/>
      <c r="D148" s="2130"/>
      <c r="E148" s="2130"/>
      <c r="F148" s="2130"/>
      <c r="G148" s="2130"/>
      <c r="H148" s="954"/>
      <c r="I148" s="946"/>
      <c r="J148" s="946"/>
      <c r="K148" s="946"/>
      <c r="L148" s="946"/>
      <c r="M148" s="946"/>
      <c r="N148" s="1135"/>
      <c r="O148" s="1137"/>
      <c r="P148" s="1137"/>
      <c r="Q148" s="946"/>
      <c r="R148" s="946"/>
      <c r="S148" s="946"/>
    </row>
    <row r="149" spans="1:19" ht="54.75" customHeight="1" x14ac:dyDescent="0.45">
      <c r="A149" s="946">
        <v>45931</v>
      </c>
      <c r="B149" s="2130" t="s">
        <v>3417</v>
      </c>
      <c r="C149" s="2130"/>
      <c r="D149" s="2130"/>
      <c r="E149" s="2130"/>
      <c r="F149" s="2130"/>
      <c r="G149" s="2130"/>
      <c r="H149" s="954"/>
      <c r="I149" s="946"/>
      <c r="J149" s="946"/>
      <c r="K149" s="946"/>
      <c r="L149" s="946"/>
      <c r="M149" s="946"/>
      <c r="N149" s="1135"/>
      <c r="O149" s="1137"/>
      <c r="P149" s="1137"/>
      <c r="Q149" s="946"/>
      <c r="R149" s="946"/>
      <c r="S149" s="946"/>
    </row>
    <row r="150" spans="1:19" ht="54.75" customHeight="1" x14ac:dyDescent="0.45">
      <c r="A150" s="946" t="s">
        <v>3418</v>
      </c>
      <c r="B150" s="2130" t="s">
        <v>3419</v>
      </c>
      <c r="C150" s="2130"/>
      <c r="D150" s="2130"/>
      <c r="E150" s="2130"/>
      <c r="F150" s="2130"/>
      <c r="G150" s="2130"/>
      <c r="H150" s="954"/>
      <c r="I150" s="1053" t="s">
        <v>3420</v>
      </c>
      <c r="J150" s="946"/>
      <c r="K150" s="946"/>
      <c r="L150" s="946" t="s">
        <v>3421</v>
      </c>
      <c r="M150" s="1135">
        <v>60</v>
      </c>
      <c r="N150" s="1135">
        <v>53</v>
      </c>
      <c r="O150" s="1137">
        <v>0.45279999999999998</v>
      </c>
      <c r="P150" s="1137">
        <v>0.16980000000000001</v>
      </c>
      <c r="Q150" s="1135">
        <v>0</v>
      </c>
      <c r="R150" s="1135"/>
      <c r="S150" s="1135">
        <v>0</v>
      </c>
    </row>
    <row r="151" spans="1:19" ht="54.75" customHeight="1" x14ac:dyDescent="0.45">
      <c r="A151" s="946" t="s">
        <v>3422</v>
      </c>
      <c r="B151" s="2130" t="s">
        <v>3423</v>
      </c>
      <c r="C151" s="2130"/>
      <c r="D151" s="2130"/>
      <c r="E151" s="2130"/>
      <c r="F151" s="2130"/>
      <c r="G151" s="2130"/>
      <c r="H151" s="954"/>
      <c r="I151" s="1053" t="s">
        <v>3424</v>
      </c>
      <c r="J151" s="946"/>
      <c r="K151" s="946"/>
      <c r="L151" s="946" t="s">
        <v>3425</v>
      </c>
      <c r="M151" s="946"/>
      <c r="N151" s="1135">
        <v>53</v>
      </c>
      <c r="O151" s="1137">
        <v>0.37740000000000001</v>
      </c>
      <c r="P151" s="1137">
        <v>0.18870000000000001</v>
      </c>
      <c r="Q151" s="1135">
        <v>0</v>
      </c>
      <c r="R151" s="1135"/>
      <c r="S151" s="1135">
        <v>0</v>
      </c>
    </row>
    <row r="152" spans="1:19" ht="54.75" customHeight="1" x14ac:dyDescent="0.45">
      <c r="A152" s="946" t="s">
        <v>3426</v>
      </c>
      <c r="B152" s="2130" t="s">
        <v>2293</v>
      </c>
      <c r="C152" s="2130"/>
      <c r="D152" s="2130"/>
      <c r="E152" s="2130"/>
      <c r="F152" s="2130"/>
      <c r="G152" s="2130"/>
      <c r="H152" s="954"/>
      <c r="I152" s="946"/>
      <c r="J152" s="946"/>
      <c r="K152" s="946"/>
      <c r="L152" s="946"/>
      <c r="M152" s="946"/>
      <c r="N152" s="1157"/>
      <c r="O152" s="1137"/>
      <c r="P152" s="1137"/>
      <c r="Q152" s="946"/>
      <c r="R152" s="946"/>
      <c r="S152" s="946"/>
    </row>
    <row r="153" spans="1:19" ht="50.25" customHeight="1" x14ac:dyDescent="0.45">
      <c r="A153" s="958" t="s">
        <v>3426</v>
      </c>
      <c r="B153" s="2149" t="s">
        <v>3427</v>
      </c>
      <c r="C153" s="2150"/>
      <c r="D153" s="2150"/>
      <c r="E153" s="2150"/>
      <c r="F153" s="2150"/>
      <c r="G153" s="2150"/>
      <c r="H153" s="956" t="s">
        <v>1355</v>
      </c>
      <c r="I153" s="1051"/>
      <c r="J153" s="1051"/>
      <c r="K153" s="1051"/>
      <c r="L153" s="1049"/>
      <c r="M153" s="961"/>
      <c r="N153" s="1158"/>
      <c r="O153" s="1050"/>
      <c r="P153" s="1159"/>
      <c r="Q153" s="1160"/>
      <c r="R153" s="1159"/>
      <c r="S153" s="1161"/>
    </row>
    <row r="154" spans="1:19" ht="54.75" customHeight="1" x14ac:dyDescent="0.45">
      <c r="A154" s="958" t="s">
        <v>1370</v>
      </c>
      <c r="B154" s="2118" t="s">
        <v>106</v>
      </c>
      <c r="C154" s="2119"/>
      <c r="D154" s="2119"/>
      <c r="E154" s="2119"/>
      <c r="F154" s="2119"/>
      <c r="G154" s="2119"/>
      <c r="H154" s="954"/>
      <c r="I154" s="946"/>
      <c r="J154" s="946"/>
      <c r="K154" s="946"/>
      <c r="L154" s="946"/>
      <c r="M154" s="1135"/>
      <c r="N154" s="1157"/>
      <c r="O154" s="1137"/>
      <c r="P154" s="1137"/>
      <c r="Q154" s="946"/>
      <c r="R154" s="946"/>
      <c r="S154" s="946"/>
    </row>
    <row r="155" spans="1:19" ht="54.75" customHeight="1" x14ac:dyDescent="0.45">
      <c r="A155" s="958" t="s">
        <v>1372</v>
      </c>
      <c r="B155" s="961">
        <v>45958</v>
      </c>
      <c r="C155" s="958" t="s">
        <v>86</v>
      </c>
      <c r="D155" s="948" t="s">
        <v>2255</v>
      </c>
      <c r="E155" s="958" t="s">
        <v>3428</v>
      </c>
      <c r="F155" s="1162" t="s">
        <v>3429</v>
      </c>
      <c r="G155" s="1056" t="s">
        <v>3430</v>
      </c>
      <c r="H155" s="954"/>
      <c r="I155" s="1153" t="s">
        <v>3431</v>
      </c>
      <c r="J155" s="1163"/>
      <c r="K155" s="1163"/>
      <c r="L155" s="1164" t="s">
        <v>2899</v>
      </c>
      <c r="M155" s="1135">
        <v>47</v>
      </c>
      <c r="N155" s="1164">
        <v>46</v>
      </c>
      <c r="O155" s="1165">
        <v>0.1739</v>
      </c>
      <c r="P155" s="1165">
        <v>0</v>
      </c>
      <c r="Q155" s="1166">
        <v>0</v>
      </c>
      <c r="R155" s="1165"/>
      <c r="S155" s="1166">
        <v>12</v>
      </c>
    </row>
    <row r="156" spans="1:19" ht="54.75" customHeight="1" x14ac:dyDescent="0.45">
      <c r="A156" s="958" t="s">
        <v>1372</v>
      </c>
      <c r="B156" s="961">
        <v>45958</v>
      </c>
      <c r="C156" s="958" t="s">
        <v>86</v>
      </c>
      <c r="D156" s="948" t="s">
        <v>2255</v>
      </c>
      <c r="E156" s="958" t="s">
        <v>3428</v>
      </c>
      <c r="F156" s="1167" t="s">
        <v>3429</v>
      </c>
      <c r="G156" s="1056" t="s">
        <v>3432</v>
      </c>
      <c r="H156" s="954"/>
      <c r="I156" s="1153" t="s">
        <v>3433</v>
      </c>
      <c r="J156" s="1163"/>
      <c r="K156" s="1163"/>
      <c r="L156" s="1164" t="s">
        <v>2899</v>
      </c>
      <c r="M156" s="1135">
        <v>47</v>
      </c>
      <c r="N156" s="1164">
        <v>37</v>
      </c>
      <c r="O156" s="1168">
        <v>8.1100000000000005E-2</v>
      </c>
      <c r="P156" s="1165">
        <v>0</v>
      </c>
      <c r="Q156" s="1166">
        <v>1</v>
      </c>
      <c r="R156" s="1165"/>
      <c r="S156" s="1166">
        <v>11</v>
      </c>
    </row>
    <row r="157" spans="1:19" ht="50.25" customHeight="1" x14ac:dyDescent="0.45">
      <c r="A157" s="958">
        <v>45962</v>
      </c>
      <c r="B157" s="2133" t="s">
        <v>3434</v>
      </c>
      <c r="C157" s="2133"/>
      <c r="D157" s="2133"/>
      <c r="E157" s="2133"/>
      <c r="F157" s="2133"/>
      <c r="G157" s="2133"/>
      <c r="H157" s="954"/>
      <c r="I157" s="1056"/>
      <c r="J157" s="1051"/>
      <c r="K157" s="1051"/>
      <c r="L157" s="1049"/>
      <c r="M157" s="1060"/>
      <c r="N157" s="1049"/>
      <c r="O157" s="1050"/>
      <c r="P157" s="1159"/>
      <c r="Q157" s="1160"/>
      <c r="R157" s="1159"/>
      <c r="S157" s="1161"/>
    </row>
    <row r="158" spans="1:19" ht="50.25" customHeight="1" x14ac:dyDescent="0.45">
      <c r="A158" s="958">
        <v>45962</v>
      </c>
      <c r="B158" s="2130" t="s">
        <v>3435</v>
      </c>
      <c r="C158" s="2130"/>
      <c r="D158" s="2130"/>
      <c r="E158" s="2130"/>
      <c r="F158" s="2130"/>
      <c r="G158" s="2130"/>
      <c r="H158" s="954"/>
      <c r="I158" s="1056"/>
      <c r="J158" s="1051"/>
      <c r="K158" s="1051"/>
      <c r="L158" s="1049"/>
      <c r="M158" s="1060"/>
      <c r="N158" s="1049"/>
      <c r="O158" s="1050"/>
      <c r="P158" s="1159"/>
      <c r="Q158" s="1160"/>
      <c r="R158" s="1159"/>
      <c r="S158" s="1161"/>
    </row>
    <row r="159" spans="1:19" ht="50.25" customHeight="1" x14ac:dyDescent="0.45">
      <c r="A159" s="946" t="s">
        <v>2328</v>
      </c>
      <c r="B159" s="953">
        <v>45967</v>
      </c>
      <c r="C159" s="946" t="s">
        <v>3387</v>
      </c>
      <c r="D159" s="948" t="s">
        <v>2255</v>
      </c>
      <c r="E159" s="946" t="s">
        <v>3436</v>
      </c>
      <c r="F159" s="946" t="s">
        <v>3437</v>
      </c>
      <c r="G159" s="1056" t="s">
        <v>3438</v>
      </c>
      <c r="H159" s="954"/>
      <c r="I159" s="955" t="s">
        <v>3439</v>
      </c>
      <c r="J159" s="1051"/>
      <c r="K159" s="1051"/>
      <c r="L159" s="1169" t="s">
        <v>3440</v>
      </c>
      <c r="M159" s="1146">
        <v>65</v>
      </c>
      <c r="N159" s="1057">
        <v>90</v>
      </c>
      <c r="O159" s="1058">
        <v>0.26669999999999999</v>
      </c>
      <c r="P159" s="1058">
        <v>3.3300000000000003E-2</v>
      </c>
      <c r="Q159" s="1170">
        <v>0</v>
      </c>
      <c r="R159" s="1058"/>
      <c r="S159" s="1170">
        <v>0</v>
      </c>
    </row>
    <row r="160" spans="1:19" ht="50.25" customHeight="1" x14ac:dyDescent="0.45">
      <c r="A160" s="958" t="s">
        <v>2329</v>
      </c>
      <c r="B160" s="2118" t="s">
        <v>106</v>
      </c>
      <c r="C160" s="2119"/>
      <c r="D160" s="2119"/>
      <c r="E160" s="2119"/>
      <c r="F160" s="2119"/>
      <c r="G160" s="2119"/>
      <c r="H160" s="954"/>
      <c r="I160" s="1056"/>
      <c r="J160" s="1051"/>
      <c r="K160" s="1051"/>
      <c r="L160" s="1059"/>
      <c r="M160" s="1060"/>
      <c r="N160" s="1059"/>
      <c r="O160" s="1171"/>
      <c r="P160" s="1171"/>
      <c r="Q160" s="1172"/>
      <c r="R160" s="1171"/>
      <c r="S160" s="1172"/>
    </row>
    <row r="161" spans="1:19" ht="50.25" customHeight="1" x14ac:dyDescent="0.45">
      <c r="A161" s="946" t="s">
        <v>2333</v>
      </c>
      <c r="B161" s="1057" t="s">
        <v>3441</v>
      </c>
      <c r="C161" s="958" t="s">
        <v>3442</v>
      </c>
      <c r="D161" s="957" t="s">
        <v>3324</v>
      </c>
      <c r="E161" s="958" t="s">
        <v>3443</v>
      </c>
      <c r="F161" s="1057"/>
      <c r="G161" s="1057"/>
      <c r="H161" s="954"/>
      <c r="I161" s="955" t="s">
        <v>3444</v>
      </c>
      <c r="J161" s="1051"/>
      <c r="K161" s="1051"/>
      <c r="L161" s="1057" t="s">
        <v>3445</v>
      </c>
      <c r="M161" s="1146">
        <v>70</v>
      </c>
      <c r="N161" s="1057">
        <v>145</v>
      </c>
      <c r="O161" s="1058">
        <v>0.2828</v>
      </c>
      <c r="P161" s="1058">
        <v>7.5899999999999995E-2</v>
      </c>
      <c r="Q161" s="1170">
        <v>0</v>
      </c>
      <c r="R161" s="1058"/>
      <c r="S161" s="1170">
        <v>0</v>
      </c>
    </row>
    <row r="162" spans="1:19" ht="50.25" customHeight="1" x14ac:dyDescent="0.45">
      <c r="A162" s="958" t="s">
        <v>2339</v>
      </c>
      <c r="B162" s="2118" t="s">
        <v>1828</v>
      </c>
      <c r="C162" s="2119"/>
      <c r="D162" s="2119"/>
      <c r="E162" s="2119"/>
      <c r="F162" s="2119"/>
      <c r="G162" s="2119"/>
      <c r="H162" s="954"/>
      <c r="I162" s="1056"/>
      <c r="J162" s="1051"/>
      <c r="K162" s="1051"/>
      <c r="L162" s="1057"/>
      <c r="M162" s="1060"/>
      <c r="N162" s="1057"/>
      <c r="O162" s="1058"/>
      <c r="P162" s="1058"/>
      <c r="Q162" s="1170"/>
      <c r="R162" s="1058"/>
      <c r="S162" s="1170"/>
    </row>
    <row r="163" spans="1:19" ht="50.25" customHeight="1" x14ac:dyDescent="0.45">
      <c r="A163" s="946" t="s">
        <v>2343</v>
      </c>
      <c r="B163" s="1057" t="s">
        <v>3446</v>
      </c>
      <c r="C163" s="958" t="s">
        <v>86</v>
      </c>
      <c r="D163" s="948" t="s">
        <v>2255</v>
      </c>
      <c r="E163" s="958" t="s">
        <v>3447</v>
      </c>
      <c r="F163" s="958"/>
      <c r="G163" s="1057"/>
      <c r="H163" s="954"/>
      <c r="I163" s="955" t="s">
        <v>3448</v>
      </c>
      <c r="J163" s="1051"/>
      <c r="K163" s="1051"/>
      <c r="L163" s="1057" t="s">
        <v>2911</v>
      </c>
      <c r="M163" s="1146">
        <v>39</v>
      </c>
      <c r="N163" s="1057">
        <v>329</v>
      </c>
      <c r="O163" s="1058">
        <v>0.27050000000000002</v>
      </c>
      <c r="P163" s="1058">
        <v>6.1000000000000004E-3</v>
      </c>
      <c r="Q163" s="1170">
        <v>1</v>
      </c>
      <c r="R163" s="1058"/>
      <c r="S163" s="1170">
        <v>0</v>
      </c>
    </row>
    <row r="164" spans="1:19" ht="50.25" customHeight="1" x14ac:dyDescent="0.45">
      <c r="A164" s="946" t="s">
        <v>2344</v>
      </c>
      <c r="B164" s="2118" t="s">
        <v>106</v>
      </c>
      <c r="C164" s="2119"/>
      <c r="D164" s="2119"/>
      <c r="E164" s="2119"/>
      <c r="F164" s="2119"/>
      <c r="G164" s="2119"/>
      <c r="H164" s="954"/>
      <c r="I164" s="1051"/>
      <c r="J164" s="1051"/>
      <c r="K164" s="1051"/>
      <c r="L164" s="1057"/>
      <c r="M164" s="1146"/>
      <c r="N164" s="1057"/>
      <c r="O164" s="1058"/>
      <c r="P164" s="1058"/>
      <c r="Q164" s="1170"/>
      <c r="R164" s="1058"/>
      <c r="S164" s="1170"/>
    </row>
    <row r="165" spans="1:19" ht="50.25" customHeight="1" x14ac:dyDescent="0.45">
      <c r="A165" s="946" t="s">
        <v>2353</v>
      </c>
      <c r="B165" s="1173" t="s">
        <v>3449</v>
      </c>
      <c r="C165" s="1173" t="s">
        <v>86</v>
      </c>
      <c r="D165" s="1174" t="s">
        <v>2255</v>
      </c>
      <c r="E165" s="1175" t="s">
        <v>3230</v>
      </c>
      <c r="F165" s="1173" t="s">
        <v>3450</v>
      </c>
      <c r="G165" s="1173"/>
      <c r="H165" s="954"/>
      <c r="I165" s="955" t="s">
        <v>3451</v>
      </c>
      <c r="J165" s="1051"/>
      <c r="K165" s="1051"/>
      <c r="L165" s="1057" t="s">
        <v>2919</v>
      </c>
      <c r="M165" s="1146"/>
      <c r="N165" s="1057">
        <v>490</v>
      </c>
      <c r="O165" s="1058">
        <v>0.25309999999999999</v>
      </c>
      <c r="P165" s="1058">
        <v>6.1000000000000004E-3</v>
      </c>
      <c r="Q165" s="1170">
        <v>5</v>
      </c>
      <c r="R165" s="1058"/>
      <c r="S165" s="1170">
        <v>15</v>
      </c>
    </row>
    <row r="166" spans="1:19" ht="50.25" customHeight="1" x14ac:dyDescent="0.45">
      <c r="A166" s="1176" t="s">
        <v>2357</v>
      </c>
      <c r="B166" s="2151" t="s">
        <v>1841</v>
      </c>
      <c r="C166" s="2152"/>
      <c r="D166" s="2152"/>
      <c r="E166" s="2152"/>
      <c r="F166" s="2152"/>
      <c r="G166" s="2152"/>
      <c r="H166" s="1177"/>
      <c r="I166" s="1051"/>
      <c r="J166" s="1051"/>
      <c r="K166" s="1051"/>
      <c r="L166" s="1057"/>
      <c r="M166" s="1060"/>
      <c r="N166" s="1057"/>
      <c r="O166" s="1058"/>
      <c r="P166" s="1058"/>
      <c r="Q166" s="1170"/>
      <c r="R166" s="1058"/>
      <c r="S166" s="1170"/>
    </row>
    <row r="167" spans="1:19" ht="50.25" customHeight="1" x14ac:dyDescent="0.45">
      <c r="A167" s="960" t="s">
        <v>2359</v>
      </c>
      <c r="B167" s="1178" t="s">
        <v>3452</v>
      </c>
      <c r="C167" s="1178" t="s">
        <v>86</v>
      </c>
      <c r="D167" s="1179" t="s">
        <v>2255</v>
      </c>
      <c r="E167" s="1178" t="s">
        <v>3453</v>
      </c>
      <c r="F167" s="1178" t="s">
        <v>2923</v>
      </c>
      <c r="G167" s="1178"/>
      <c r="H167" s="1177"/>
      <c r="I167" s="955" t="s">
        <v>3454</v>
      </c>
      <c r="J167" s="1051"/>
      <c r="K167" s="1051"/>
      <c r="L167" s="1057" t="s">
        <v>3455</v>
      </c>
      <c r="M167" s="1146">
        <v>134</v>
      </c>
      <c r="N167" s="1057">
        <v>461</v>
      </c>
      <c r="O167" s="1058">
        <v>0.2457</v>
      </c>
      <c r="P167" s="1058">
        <v>1.09E-2</v>
      </c>
      <c r="Q167" s="1170">
        <v>1</v>
      </c>
      <c r="R167" s="1058"/>
      <c r="S167" s="1170">
        <v>1</v>
      </c>
    </row>
    <row r="168" spans="1:19" ht="50.25" customHeight="1" x14ac:dyDescent="0.45">
      <c r="A168" s="960" t="s">
        <v>2360</v>
      </c>
      <c r="B168" s="2118" t="s">
        <v>106</v>
      </c>
      <c r="C168" s="2119"/>
      <c r="D168" s="2119"/>
      <c r="E168" s="2119"/>
      <c r="F168" s="2119"/>
      <c r="G168" s="2119"/>
      <c r="H168" s="1177"/>
      <c r="I168" s="955"/>
      <c r="J168" s="1051"/>
      <c r="K168" s="1051"/>
      <c r="L168" s="1057"/>
      <c r="M168" s="1146"/>
      <c r="N168" s="1057"/>
      <c r="O168" s="1058"/>
      <c r="P168" s="1058"/>
      <c r="Q168" s="1170"/>
      <c r="R168" s="1058"/>
      <c r="S168" s="1170"/>
    </row>
    <row r="169" spans="1:19" ht="50.25" customHeight="1" x14ac:dyDescent="0.45">
      <c r="A169" s="960" t="s">
        <v>2365</v>
      </c>
      <c r="B169" s="1178" t="s">
        <v>3456</v>
      </c>
      <c r="C169" s="1178" t="s">
        <v>3457</v>
      </c>
      <c r="D169" s="1179" t="s">
        <v>2255</v>
      </c>
      <c r="E169" s="1178" t="s">
        <v>3458</v>
      </c>
      <c r="F169" s="1178" t="s">
        <v>3459</v>
      </c>
      <c r="G169" s="1180" t="s">
        <v>3460</v>
      </c>
      <c r="H169" s="1177"/>
      <c r="I169" s="1055" t="s">
        <v>3461</v>
      </c>
      <c r="J169" s="1051"/>
      <c r="K169" s="1051"/>
      <c r="L169" s="1057" t="s">
        <v>3462</v>
      </c>
      <c r="M169" s="1146">
        <v>121</v>
      </c>
      <c r="N169" s="1057">
        <v>22</v>
      </c>
      <c r="O169" s="1058">
        <v>0.36359999999999998</v>
      </c>
      <c r="P169" s="1058">
        <v>0</v>
      </c>
      <c r="Q169" s="1170">
        <v>0</v>
      </c>
      <c r="R169" s="1058"/>
      <c r="S169" s="1170">
        <v>0</v>
      </c>
    </row>
    <row r="170" spans="1:19" ht="50.25" customHeight="1" x14ac:dyDescent="0.45">
      <c r="A170" s="960" t="s">
        <v>2366</v>
      </c>
      <c r="B170" s="2118" t="s">
        <v>106</v>
      </c>
      <c r="C170" s="2119"/>
      <c r="D170" s="2119"/>
      <c r="E170" s="2119"/>
      <c r="F170" s="2119"/>
      <c r="G170" s="2119"/>
      <c r="H170" s="1177"/>
      <c r="I170" s="1056"/>
      <c r="J170" s="1051"/>
      <c r="K170" s="1051"/>
      <c r="L170" s="1057"/>
      <c r="M170" s="1146"/>
      <c r="N170" s="1057"/>
      <c r="O170" s="1058"/>
      <c r="P170" s="1058"/>
      <c r="Q170" s="1170"/>
      <c r="R170" s="1058"/>
      <c r="S170" s="1170"/>
    </row>
    <row r="171" spans="1:19" ht="50.25" customHeight="1" x14ac:dyDescent="0.45">
      <c r="A171" s="960" t="s">
        <v>2372</v>
      </c>
      <c r="B171" s="1178" t="s">
        <v>2935</v>
      </c>
      <c r="C171" s="1178"/>
      <c r="D171" s="1179" t="s">
        <v>2255</v>
      </c>
      <c r="E171" s="1178" t="s">
        <v>3463</v>
      </c>
      <c r="F171" s="1178" t="s">
        <v>2923</v>
      </c>
      <c r="G171" s="1180"/>
      <c r="H171" s="1177"/>
      <c r="I171" s="1191" t="s">
        <v>3464</v>
      </c>
      <c r="J171" s="1051"/>
      <c r="K171" s="1051"/>
      <c r="L171" s="1057" t="s">
        <v>3465</v>
      </c>
      <c r="M171" s="1146">
        <v>180</v>
      </c>
      <c r="N171" s="1057">
        <v>341</v>
      </c>
      <c r="O171" s="1058">
        <v>0.28449999999999998</v>
      </c>
      <c r="P171" s="1058">
        <v>3.2300000000000002E-2</v>
      </c>
      <c r="Q171" s="1170">
        <v>2</v>
      </c>
      <c r="R171" s="1058"/>
      <c r="S171" s="1170">
        <v>0</v>
      </c>
    </row>
    <row r="172" spans="1:19" ht="50.25" customHeight="1" x14ac:dyDescent="0.45">
      <c r="A172" s="960" t="s">
        <v>2381</v>
      </c>
      <c r="B172" s="1178" t="s">
        <v>2940</v>
      </c>
      <c r="C172" s="1178" t="s">
        <v>86</v>
      </c>
      <c r="D172" s="1179" t="s">
        <v>2255</v>
      </c>
      <c r="E172" s="1178" t="s">
        <v>3466</v>
      </c>
      <c r="F172" s="1178" t="s">
        <v>2937</v>
      </c>
      <c r="G172" s="1178"/>
      <c r="H172" s="1177"/>
      <c r="I172" s="634" t="s">
        <v>3467</v>
      </c>
      <c r="J172" s="1051"/>
      <c r="K172" s="1051"/>
      <c r="L172" s="1057" t="s">
        <v>2943</v>
      </c>
      <c r="M172" s="1146">
        <v>158</v>
      </c>
      <c r="N172" s="1057">
        <v>277</v>
      </c>
      <c r="O172" s="1058">
        <v>0.2671</v>
      </c>
      <c r="P172" s="1058">
        <v>7.1999999999999998E-3</v>
      </c>
      <c r="Q172" s="1170">
        <v>1</v>
      </c>
      <c r="R172" s="1058"/>
      <c r="S172" s="1170">
        <v>0</v>
      </c>
    </row>
    <row r="173" spans="1:19" ht="50.25" customHeight="1" x14ac:dyDescent="0.45">
      <c r="A173" s="960" t="s">
        <v>2382</v>
      </c>
      <c r="B173" s="1178" t="s">
        <v>3468</v>
      </c>
      <c r="C173" s="1178" t="s">
        <v>86</v>
      </c>
      <c r="D173" s="1179" t="s">
        <v>2255</v>
      </c>
      <c r="E173" s="1178" t="s">
        <v>3469</v>
      </c>
      <c r="F173" s="1180" t="s">
        <v>3470</v>
      </c>
      <c r="G173" s="1778" t="s">
        <v>3471</v>
      </c>
      <c r="H173" s="1177"/>
      <c r="I173" s="634" t="s">
        <v>3472</v>
      </c>
      <c r="J173" s="1779"/>
      <c r="K173" s="1779"/>
      <c r="L173" s="1057" t="s">
        <v>3473</v>
      </c>
      <c r="M173" s="1146">
        <v>115</v>
      </c>
      <c r="N173" s="1057">
        <v>266</v>
      </c>
      <c r="O173" s="1058">
        <v>0.33829999999999999</v>
      </c>
      <c r="P173" s="1058">
        <v>7.4999999999999997E-3</v>
      </c>
      <c r="Q173" s="1170">
        <v>1</v>
      </c>
      <c r="R173" s="1058"/>
      <c r="S173" s="1170">
        <v>0</v>
      </c>
    </row>
    <row r="174" spans="1:19" ht="50.25" customHeight="1" x14ac:dyDescent="0.45">
      <c r="A174" s="960" t="s">
        <v>2387</v>
      </c>
      <c r="B174" s="1178" t="s">
        <v>3474</v>
      </c>
      <c r="C174" s="1178" t="s">
        <v>86</v>
      </c>
      <c r="D174" s="1179" t="s">
        <v>2255</v>
      </c>
      <c r="E174" s="1178" t="s">
        <v>3475</v>
      </c>
      <c r="F174" s="1178" t="s">
        <v>3476</v>
      </c>
      <c r="G174" s="1178"/>
      <c r="H174" s="1177"/>
      <c r="I174" s="1191" t="s">
        <v>3477</v>
      </c>
      <c r="J174" s="1051"/>
      <c r="K174" s="1051"/>
      <c r="L174" s="1057" t="s">
        <v>3478</v>
      </c>
      <c r="M174" s="1146">
        <v>174</v>
      </c>
      <c r="N174" s="1057">
        <v>257</v>
      </c>
      <c r="O174" s="1058">
        <v>0.249</v>
      </c>
      <c r="P174" s="1058">
        <v>7.7999999999999996E-3</v>
      </c>
      <c r="Q174" s="1170">
        <v>0</v>
      </c>
      <c r="R174" s="1058"/>
      <c r="S174" s="1170">
        <v>0</v>
      </c>
    </row>
    <row r="175" spans="1:19" ht="50.25" customHeight="1" x14ac:dyDescent="0.45">
      <c r="A175" s="960" t="s">
        <v>2392</v>
      </c>
      <c r="B175" s="1178" t="s">
        <v>2956</v>
      </c>
      <c r="C175" s="1178" t="s">
        <v>3479</v>
      </c>
      <c r="D175" s="1179" t="s">
        <v>2255</v>
      </c>
      <c r="E175" s="1181" t="s">
        <v>3480</v>
      </c>
      <c r="F175" s="1182" t="s">
        <v>3481</v>
      </c>
      <c r="G175" s="1178"/>
      <c r="H175" s="1177"/>
      <c r="I175" s="1770" t="s">
        <v>3482</v>
      </c>
      <c r="J175" s="1051"/>
      <c r="K175" s="1051"/>
      <c r="L175" s="1169" t="s">
        <v>3483</v>
      </c>
      <c r="M175" s="1146" t="s">
        <v>3484</v>
      </c>
      <c r="N175" s="1057">
        <v>29</v>
      </c>
      <c r="O175" s="1058">
        <v>0.31030000000000002</v>
      </c>
      <c r="P175" s="1058">
        <v>0</v>
      </c>
      <c r="Q175" s="1170">
        <v>0</v>
      </c>
      <c r="R175" s="1058"/>
      <c r="S175" s="1170">
        <v>0</v>
      </c>
    </row>
    <row r="176" spans="1:19" ht="50.25" customHeight="1" x14ac:dyDescent="0.45">
      <c r="A176" s="1176" t="s">
        <v>2393</v>
      </c>
      <c r="B176" s="2118" t="s">
        <v>106</v>
      </c>
      <c r="C176" s="2119"/>
      <c r="D176" s="2119"/>
      <c r="E176" s="2119"/>
      <c r="F176" s="2119"/>
      <c r="G176" s="2119"/>
      <c r="H176" s="1177"/>
      <c r="I176" s="1056"/>
      <c r="J176" s="1051"/>
      <c r="K176" s="1051"/>
      <c r="L176" s="1057"/>
      <c r="M176" s="1146" t="s">
        <v>3484</v>
      </c>
      <c r="N176" s="1057"/>
      <c r="O176" s="1058"/>
      <c r="P176" s="1058"/>
      <c r="Q176" s="1170"/>
      <c r="R176" s="1058"/>
      <c r="S176" s="1170"/>
    </row>
    <row r="177" spans="1:19" ht="50.25" customHeight="1" x14ac:dyDescent="0.45">
      <c r="A177" s="960" t="s">
        <v>2397</v>
      </c>
      <c r="B177" s="1178" t="s">
        <v>2398</v>
      </c>
      <c r="C177" s="1178" t="s">
        <v>86</v>
      </c>
      <c r="D177" s="1179" t="s">
        <v>2255</v>
      </c>
      <c r="E177" s="1178" t="s">
        <v>3485</v>
      </c>
      <c r="F177" s="1178" t="s">
        <v>2937</v>
      </c>
      <c r="G177" s="1178"/>
      <c r="H177" s="1177"/>
      <c r="I177" s="1191" t="s">
        <v>3486</v>
      </c>
      <c r="J177" s="1051"/>
      <c r="K177" s="1051"/>
      <c r="L177" s="1057" t="s">
        <v>2967</v>
      </c>
      <c r="M177" s="1146" t="s">
        <v>3484</v>
      </c>
      <c r="N177" s="1057">
        <v>250</v>
      </c>
      <c r="O177" s="1058">
        <v>0.29199999999999998</v>
      </c>
      <c r="P177" s="1058">
        <v>0</v>
      </c>
      <c r="Q177" s="1170">
        <v>0</v>
      </c>
      <c r="R177" s="1058"/>
      <c r="S177" s="1170">
        <v>0</v>
      </c>
    </row>
    <row r="178" spans="1:19" ht="50.25" customHeight="1" x14ac:dyDescent="0.45">
      <c r="A178" s="960" t="s">
        <v>2400</v>
      </c>
      <c r="B178" s="1178" t="s">
        <v>3487</v>
      </c>
      <c r="C178" s="1178" t="s">
        <v>86</v>
      </c>
      <c r="D178" s="1179" t="s">
        <v>2255</v>
      </c>
      <c r="E178" s="1178" t="s">
        <v>3488</v>
      </c>
      <c r="F178" s="1178" t="s">
        <v>3489</v>
      </c>
      <c r="G178" s="1178"/>
      <c r="H178" s="1177"/>
      <c r="I178" s="1191" t="s">
        <v>3490</v>
      </c>
      <c r="J178" s="1051"/>
      <c r="K178" s="1051"/>
      <c r="L178" s="1795" t="s">
        <v>3491</v>
      </c>
      <c r="M178" s="1146" t="s">
        <v>3484</v>
      </c>
      <c r="N178" s="1057">
        <v>304</v>
      </c>
      <c r="O178" s="1058">
        <v>0.37169999999999997</v>
      </c>
      <c r="P178" s="1058">
        <v>1.32E-2</v>
      </c>
      <c r="Q178" s="1170">
        <v>0</v>
      </c>
      <c r="R178" s="1058"/>
      <c r="S178" s="1170">
        <v>1</v>
      </c>
    </row>
    <row r="179" spans="1:19" ht="50.25" customHeight="1" x14ac:dyDescent="0.45">
      <c r="A179" s="960" t="s">
        <v>2401</v>
      </c>
      <c r="B179" s="1810" t="s">
        <v>2402</v>
      </c>
      <c r="C179" s="1810" t="s">
        <v>86</v>
      </c>
      <c r="D179" s="1811" t="s">
        <v>2255</v>
      </c>
      <c r="E179" s="1810" t="s">
        <v>3492</v>
      </c>
      <c r="F179" s="1810" t="s">
        <v>3493</v>
      </c>
      <c r="G179" s="1810"/>
      <c r="H179" s="1177"/>
      <c r="I179" s="1191" t="s">
        <v>3494</v>
      </c>
      <c r="J179" s="1051"/>
      <c r="K179" s="1051"/>
      <c r="L179" s="1057" t="s">
        <v>2974</v>
      </c>
      <c r="M179" s="1146" t="s">
        <v>3484</v>
      </c>
      <c r="N179" s="1057">
        <v>298</v>
      </c>
      <c r="O179" s="1058">
        <v>0.3054</v>
      </c>
      <c r="P179" s="1058">
        <v>1.34E-2</v>
      </c>
      <c r="Q179" s="1170">
        <v>0</v>
      </c>
      <c r="R179" s="1058"/>
      <c r="S179" s="1170">
        <v>0</v>
      </c>
    </row>
    <row r="180" spans="1:19" ht="50.25" customHeight="1" x14ac:dyDescent="0.45">
      <c r="A180" s="960" t="s">
        <v>1894</v>
      </c>
      <c r="B180" s="2118" t="s">
        <v>106</v>
      </c>
      <c r="C180" s="2119"/>
      <c r="D180" s="2119"/>
      <c r="E180" s="2119"/>
      <c r="F180" s="2119"/>
      <c r="G180" s="2119"/>
      <c r="H180" s="1177"/>
      <c r="I180" s="1191"/>
      <c r="J180" s="1051"/>
      <c r="K180" s="1051"/>
      <c r="L180" s="1057"/>
      <c r="M180" s="1146"/>
      <c r="N180" s="1057"/>
      <c r="O180" s="1058"/>
      <c r="P180" s="1058"/>
      <c r="Q180" s="1170"/>
      <c r="R180" s="1058"/>
      <c r="S180" s="1170"/>
    </row>
    <row r="181" spans="1:19" ht="50.25" customHeight="1" x14ac:dyDescent="0.45">
      <c r="A181" s="960" t="s">
        <v>1897</v>
      </c>
      <c r="B181" s="1056" t="s">
        <v>2410</v>
      </c>
      <c r="C181" s="1056" t="s">
        <v>86</v>
      </c>
      <c r="D181" s="1191" t="s">
        <v>2255</v>
      </c>
      <c r="E181" s="1056" t="s">
        <v>3495</v>
      </c>
      <c r="F181" s="1056"/>
      <c r="G181" s="1056"/>
      <c r="H181" s="1177"/>
      <c r="I181" s="1191" t="s">
        <v>3496</v>
      </c>
      <c r="J181" s="1051"/>
      <c r="K181" s="1051"/>
      <c r="L181" s="1057" t="s">
        <v>2982</v>
      </c>
      <c r="M181" s="1146">
        <v>141</v>
      </c>
      <c r="N181" s="1057">
        <v>342</v>
      </c>
      <c r="O181" s="1058">
        <v>0.2661</v>
      </c>
      <c r="P181" s="1058">
        <v>2.8999999999999998E-3</v>
      </c>
      <c r="Q181" s="1170">
        <v>1</v>
      </c>
      <c r="R181" s="1058"/>
      <c r="S181" s="1170">
        <v>1</v>
      </c>
    </row>
    <row r="182" spans="1:19" ht="50.25" customHeight="1" x14ac:dyDescent="0.45">
      <c r="A182" s="960" t="s">
        <v>1906</v>
      </c>
      <c r="B182" s="1056" t="s">
        <v>2988</v>
      </c>
      <c r="C182" s="1056" t="s">
        <v>3457</v>
      </c>
      <c r="D182" s="1191" t="s">
        <v>2255</v>
      </c>
      <c r="E182" s="1056" t="s">
        <v>3497</v>
      </c>
      <c r="F182" s="1191" t="s">
        <v>3498</v>
      </c>
      <c r="G182" s="1056"/>
      <c r="H182" s="1177"/>
      <c r="I182" s="1191" t="s">
        <v>3499</v>
      </c>
      <c r="J182" s="1051"/>
      <c r="K182" s="1051"/>
      <c r="L182" s="1057" t="s">
        <v>2991</v>
      </c>
      <c r="M182" s="1146">
        <v>182</v>
      </c>
      <c r="N182" s="1057">
        <v>240</v>
      </c>
      <c r="O182" s="1058">
        <v>0.16669999999999999</v>
      </c>
      <c r="P182" s="1058">
        <v>2.0799999999999999E-2</v>
      </c>
      <c r="Q182" s="1170">
        <v>2</v>
      </c>
      <c r="R182" s="1058"/>
      <c r="S182" s="1170">
        <v>2</v>
      </c>
    </row>
    <row r="183" spans="1:19" ht="74" x14ac:dyDescent="0.45">
      <c r="A183" s="960" t="s">
        <v>1910</v>
      </c>
      <c r="B183" s="1056" t="s">
        <v>2992</v>
      </c>
      <c r="C183" s="1056" t="s">
        <v>86</v>
      </c>
      <c r="D183" s="1191" t="s">
        <v>2255</v>
      </c>
      <c r="E183" s="1056" t="s">
        <v>3500</v>
      </c>
      <c r="F183" s="1191" t="s">
        <v>3501</v>
      </c>
      <c r="G183" s="1056" t="s">
        <v>3502</v>
      </c>
      <c r="H183" s="1177"/>
      <c r="I183" s="1191" t="s">
        <v>3503</v>
      </c>
      <c r="J183" s="1051"/>
      <c r="K183" s="1051"/>
      <c r="L183" s="1057" t="s">
        <v>2997</v>
      </c>
      <c r="M183" s="1146">
        <v>156</v>
      </c>
      <c r="N183" s="1057">
        <v>326</v>
      </c>
      <c r="O183" s="1058">
        <v>0.24229999999999999</v>
      </c>
      <c r="P183" s="1058">
        <v>3.0999999999999999E-3</v>
      </c>
      <c r="Q183" s="1170">
        <v>0</v>
      </c>
      <c r="R183" s="1058"/>
      <c r="S183" s="1170">
        <v>2</v>
      </c>
    </row>
    <row r="184" spans="1:19" ht="50.25" customHeight="1" x14ac:dyDescent="0.45">
      <c r="A184" s="960" t="s">
        <v>1914</v>
      </c>
      <c r="B184" s="1056" t="s">
        <v>3504</v>
      </c>
      <c r="C184" s="1175" t="s">
        <v>3505</v>
      </c>
      <c r="D184" s="1793" t="s">
        <v>2255</v>
      </c>
      <c r="E184" s="1175" t="s">
        <v>3506</v>
      </c>
      <c r="F184" s="1793"/>
      <c r="G184" s="1175"/>
      <c r="H184" s="1177"/>
      <c r="I184" s="1191" t="s">
        <v>3507</v>
      </c>
      <c r="J184" s="1051"/>
      <c r="K184" s="1051"/>
      <c r="L184" s="1057" t="s">
        <v>3508</v>
      </c>
      <c r="M184" s="1146">
        <v>146</v>
      </c>
      <c r="N184" s="1057">
        <v>246</v>
      </c>
      <c r="O184" s="1058">
        <v>0.13819999999999999</v>
      </c>
      <c r="P184" s="1058">
        <v>1.2200000000000001E-2</v>
      </c>
      <c r="Q184" s="1170">
        <v>1</v>
      </c>
      <c r="R184" s="1058"/>
      <c r="S184" s="1170">
        <v>8</v>
      </c>
    </row>
    <row r="185" spans="1:19" ht="50.25" customHeight="1" x14ac:dyDescent="0.45">
      <c r="A185" s="960" t="s">
        <v>2432</v>
      </c>
      <c r="B185" s="1846" t="s">
        <v>3509</v>
      </c>
      <c r="C185" s="1056" t="s">
        <v>86</v>
      </c>
      <c r="D185" s="1191" t="s">
        <v>2255</v>
      </c>
      <c r="E185" s="1178" t="s">
        <v>3510</v>
      </c>
      <c r="F185" s="1778" t="s">
        <v>3511</v>
      </c>
      <c r="G185" s="1178"/>
      <c r="H185" s="1177"/>
      <c r="I185" s="1191" t="s">
        <v>3512</v>
      </c>
      <c r="J185" s="1051"/>
      <c r="K185" s="1051"/>
      <c r="L185" s="1057" t="s">
        <v>3513</v>
      </c>
      <c r="M185" s="1146">
        <v>89</v>
      </c>
      <c r="N185" s="1057">
        <v>34</v>
      </c>
      <c r="O185" s="1058">
        <v>0.17649999999999999</v>
      </c>
      <c r="P185" s="1058">
        <v>0</v>
      </c>
      <c r="Q185" s="1170">
        <v>0</v>
      </c>
      <c r="R185" s="1058"/>
      <c r="S185" s="1170">
        <v>0</v>
      </c>
    </row>
    <row r="186" spans="1:19" ht="49.9" customHeight="1" x14ac:dyDescent="0.45">
      <c r="A186" s="947" t="s">
        <v>3514</v>
      </c>
      <c r="B186" s="2125" t="s">
        <v>1378</v>
      </c>
      <c r="C186" s="2125"/>
      <c r="D186" s="2125"/>
      <c r="E186" s="2125"/>
      <c r="F186" s="2125"/>
      <c r="G186" s="2125"/>
      <c r="H186" s="1177"/>
      <c r="I186" s="1191" t="s">
        <v>3515</v>
      </c>
      <c r="J186" s="1051"/>
      <c r="K186" s="1051"/>
      <c r="L186" s="1057" t="s">
        <v>3516</v>
      </c>
      <c r="M186" s="1056">
        <v>103</v>
      </c>
      <c r="N186" s="1057">
        <v>37</v>
      </c>
      <c r="O186" s="1058">
        <v>0.62160000000000004</v>
      </c>
      <c r="P186" s="1058">
        <v>0.2432</v>
      </c>
      <c r="Q186" s="1170">
        <v>0</v>
      </c>
      <c r="R186" s="1058"/>
      <c r="S186" s="1170">
        <v>0</v>
      </c>
    </row>
    <row r="187" spans="1:19" ht="49.9" customHeight="1" x14ac:dyDescent="0.45">
      <c r="A187" s="947" t="s">
        <v>1928</v>
      </c>
      <c r="B187" s="2118" t="s">
        <v>2440</v>
      </c>
      <c r="C187" s="2119"/>
      <c r="D187" s="2119"/>
      <c r="E187" s="2119"/>
      <c r="F187" s="2119"/>
      <c r="G187" s="2119"/>
      <c r="H187" s="1177"/>
      <c r="I187" s="1056"/>
      <c r="J187" s="1051"/>
      <c r="K187" s="1051"/>
      <c r="L187" s="1057"/>
      <c r="M187" s="1183"/>
      <c r="N187" s="1057"/>
      <c r="O187" s="1058"/>
      <c r="P187" s="1058"/>
      <c r="Q187" s="1170"/>
      <c r="R187" s="1058"/>
      <c r="S187" s="1170"/>
    </row>
    <row r="188" spans="1:19" ht="49.9" customHeight="1" x14ac:dyDescent="0.45">
      <c r="A188" s="947" t="s">
        <v>1936</v>
      </c>
      <c r="B188" s="1808" t="s">
        <v>3013</v>
      </c>
      <c r="C188" s="1056" t="s">
        <v>86</v>
      </c>
      <c r="D188" s="1191" t="s">
        <v>2255</v>
      </c>
      <c r="E188" s="1808" t="s">
        <v>3517</v>
      </c>
      <c r="F188" s="1808" t="s">
        <v>3518</v>
      </c>
      <c r="G188" s="1808"/>
      <c r="H188" s="1177"/>
      <c r="I188" s="1191" t="s">
        <v>3519</v>
      </c>
      <c r="J188" s="1051"/>
      <c r="K188" s="1051"/>
      <c r="L188" s="1057" t="s">
        <v>3520</v>
      </c>
      <c r="M188" s="1175">
        <v>127</v>
      </c>
      <c r="N188" s="1173">
        <v>32</v>
      </c>
      <c r="O188" s="1936">
        <v>0.21879999999999999</v>
      </c>
      <c r="P188" s="1910">
        <v>0</v>
      </c>
      <c r="Q188" s="1911">
        <v>0</v>
      </c>
      <c r="R188" s="1910"/>
      <c r="S188" s="1911">
        <v>0</v>
      </c>
    </row>
    <row r="189" spans="1:19" ht="49.9" customHeight="1" x14ac:dyDescent="0.45">
      <c r="A189" s="947" t="s">
        <v>1940</v>
      </c>
      <c r="B189" s="1808" t="s">
        <v>3521</v>
      </c>
      <c r="C189" s="1056" t="s">
        <v>86</v>
      </c>
      <c r="D189" s="1191" t="s">
        <v>2255</v>
      </c>
      <c r="E189" s="1808" t="s">
        <v>3522</v>
      </c>
      <c r="F189" s="1808"/>
      <c r="G189" s="1808"/>
      <c r="H189" s="1177"/>
      <c r="I189" s="1191" t="s">
        <v>3523</v>
      </c>
      <c r="J189" s="1051"/>
      <c r="K189" s="1051"/>
      <c r="L189" s="1909" t="s">
        <v>3524</v>
      </c>
      <c r="M189" s="1939">
        <v>122</v>
      </c>
      <c r="N189" s="1940">
        <v>103</v>
      </c>
      <c r="O189" s="1941">
        <v>0.27179999999999999</v>
      </c>
      <c r="P189" s="1942">
        <v>9.7000000000000003E-3</v>
      </c>
      <c r="Q189" s="1940">
        <v>1</v>
      </c>
      <c r="R189" s="1942"/>
      <c r="S189" s="1940">
        <v>0</v>
      </c>
    </row>
    <row r="190" spans="1:19" ht="49.9" customHeight="1" x14ac:dyDescent="0.45">
      <c r="A190" s="947" t="s">
        <v>1944</v>
      </c>
      <c r="B190" s="1808" t="s">
        <v>3525</v>
      </c>
      <c r="C190" s="1175" t="s">
        <v>3505</v>
      </c>
      <c r="D190" s="1191" t="s">
        <v>2255</v>
      </c>
      <c r="E190" s="1175" t="s">
        <v>3506</v>
      </c>
      <c r="F190" s="1808"/>
      <c r="G190" s="1808"/>
      <c r="H190" s="1177"/>
      <c r="I190" s="1191" t="s">
        <v>3526</v>
      </c>
      <c r="J190" s="1051"/>
      <c r="K190" s="1051"/>
      <c r="L190" s="1057" t="s">
        <v>3527</v>
      </c>
      <c r="M190" s="1932"/>
      <c r="N190" s="1933"/>
      <c r="O190" s="1937"/>
      <c r="P190" s="1934"/>
      <c r="Q190" s="1935"/>
      <c r="R190" s="1934"/>
      <c r="S190" s="1935"/>
    </row>
    <row r="191" spans="1:19" ht="49.9" customHeight="1" x14ac:dyDescent="0.45">
      <c r="A191" s="1885" t="s">
        <v>3027</v>
      </c>
      <c r="B191" s="2117" t="s">
        <v>1404</v>
      </c>
      <c r="C191" s="2117"/>
      <c r="D191" s="2117"/>
      <c r="E191" s="2117"/>
      <c r="F191" s="2117"/>
      <c r="G191" s="2117"/>
      <c r="H191" s="1177"/>
      <c r="I191" s="1056"/>
      <c r="J191" s="1051"/>
      <c r="K191" s="1051"/>
      <c r="L191" s="1057"/>
      <c r="M191" s="1809"/>
      <c r="N191" s="1057"/>
      <c r="O191" s="1938"/>
      <c r="P191" s="1058"/>
      <c r="Q191" s="1170"/>
      <c r="R191" s="1058"/>
      <c r="S191" s="1170"/>
    </row>
    <row r="192" spans="1:19" ht="49.9" customHeight="1" x14ac:dyDescent="0.45">
      <c r="A192" s="1885" t="s">
        <v>3528</v>
      </c>
      <c r="B192" s="947" t="s">
        <v>3529</v>
      </c>
      <c r="C192" s="947" t="s">
        <v>86</v>
      </c>
      <c r="D192" s="1865" t="s">
        <v>2255</v>
      </c>
      <c r="E192" s="1056" t="s">
        <v>3497</v>
      </c>
      <c r="F192" s="1191" t="s">
        <v>3498</v>
      </c>
      <c r="G192" s="947"/>
      <c r="H192" s="1177"/>
      <c r="I192" s="1056"/>
      <c r="J192" s="1051"/>
      <c r="K192" s="1051"/>
      <c r="L192" s="1057"/>
      <c r="M192" s="1809"/>
      <c r="N192" s="1057"/>
      <c r="O192" s="1938"/>
      <c r="P192" s="1058"/>
      <c r="Q192" s="1170"/>
      <c r="R192" s="1058"/>
      <c r="S192" s="1170"/>
    </row>
    <row r="193" spans="1:19" ht="49.9" customHeight="1" x14ac:dyDescent="0.45">
      <c r="A193" s="947" t="s">
        <v>1953</v>
      </c>
      <c r="B193" s="2123" t="s">
        <v>1954</v>
      </c>
      <c r="C193" s="2124"/>
      <c r="D193" s="2124"/>
      <c r="E193" s="2124"/>
      <c r="F193" s="2124"/>
      <c r="G193" s="2124"/>
      <c r="H193" s="1177"/>
      <c r="I193" s="1056"/>
      <c r="J193" s="1051"/>
      <c r="K193" s="1051"/>
      <c r="L193" s="1057"/>
      <c r="M193" s="1809"/>
      <c r="N193" s="1057"/>
      <c r="O193" s="1938"/>
      <c r="P193" s="1058"/>
      <c r="Q193" s="1170"/>
      <c r="R193" s="1058"/>
      <c r="S193" s="1170"/>
    </row>
    <row r="194" spans="1:19" ht="49.9" customHeight="1" x14ac:dyDescent="0.45">
      <c r="A194" s="1885" t="s">
        <v>1957</v>
      </c>
      <c r="B194" s="947">
        <v>46210</v>
      </c>
      <c r="C194" s="947"/>
      <c r="D194" s="1191" t="s">
        <v>2255</v>
      </c>
      <c r="E194" s="947" t="s">
        <v>1958</v>
      </c>
      <c r="F194" s="1865"/>
      <c r="G194" s="1865" t="s">
        <v>1959</v>
      </c>
      <c r="H194" s="1177"/>
      <c r="I194" s="1056"/>
      <c r="J194" s="1051"/>
      <c r="K194" s="1051"/>
      <c r="L194" s="1057"/>
      <c r="M194" s="1809"/>
      <c r="N194" s="1057"/>
      <c r="O194" s="1938"/>
      <c r="P194" s="1058"/>
      <c r="Q194" s="1170"/>
      <c r="R194" s="1058"/>
      <c r="S194" s="1170"/>
    </row>
    <row r="195" spans="1:19" ht="49.9" customHeight="1" x14ac:dyDescent="0.45">
      <c r="A195" s="947" t="s">
        <v>1960</v>
      </c>
      <c r="B195" s="947">
        <v>46218</v>
      </c>
      <c r="C195" s="947" t="s">
        <v>3530</v>
      </c>
      <c r="D195" s="1191" t="s">
        <v>2255</v>
      </c>
      <c r="E195" s="947" t="s">
        <v>3531</v>
      </c>
      <c r="F195" s="947" t="s">
        <v>3532</v>
      </c>
      <c r="G195" s="947"/>
      <c r="H195" s="1177"/>
      <c r="I195" s="1056"/>
      <c r="J195" s="1051"/>
      <c r="K195" s="1051"/>
      <c r="L195" s="1057"/>
      <c r="M195" s="1809"/>
      <c r="N195" s="1057"/>
      <c r="O195" s="1938"/>
      <c r="P195" s="1058"/>
      <c r="Q195" s="1170"/>
      <c r="R195" s="1058"/>
      <c r="S195" s="1170"/>
    </row>
    <row r="196" spans="1:19" ht="49.9" customHeight="1" x14ac:dyDescent="0.45">
      <c r="A196" s="947" t="s">
        <v>1963</v>
      </c>
      <c r="B196" s="947">
        <v>46224</v>
      </c>
      <c r="C196" s="947" t="s">
        <v>3533</v>
      </c>
      <c r="D196" s="1191" t="s">
        <v>2255</v>
      </c>
      <c r="E196" s="947" t="s">
        <v>3534</v>
      </c>
      <c r="F196" s="947" t="s">
        <v>3535</v>
      </c>
      <c r="G196" s="947" t="s">
        <v>3536</v>
      </c>
      <c r="H196" s="1177"/>
      <c r="I196" s="1056"/>
      <c r="J196" s="1051"/>
      <c r="K196" s="1051"/>
      <c r="L196" s="1057"/>
      <c r="M196" s="1809"/>
      <c r="N196" s="1057"/>
      <c r="O196" s="1938"/>
      <c r="P196" s="1058"/>
      <c r="Q196" s="1170"/>
      <c r="R196" s="1058"/>
      <c r="S196" s="1170"/>
    </row>
    <row r="197" spans="1:19" ht="49.9" customHeight="1" x14ac:dyDescent="0.45">
      <c r="A197" s="947" t="s">
        <v>3537</v>
      </c>
      <c r="B197" s="2120" t="s">
        <v>3538</v>
      </c>
      <c r="C197" s="2121"/>
      <c r="D197" s="2121"/>
      <c r="E197" s="2121"/>
      <c r="F197" s="2121"/>
      <c r="G197" s="2122"/>
      <c r="H197" s="1177"/>
      <c r="I197" s="1056"/>
      <c r="J197" s="1051"/>
      <c r="K197" s="1051"/>
      <c r="L197" s="1057"/>
      <c r="M197" s="1809"/>
      <c r="N197" s="1057"/>
      <c r="O197" s="1058"/>
      <c r="P197" s="1058"/>
      <c r="Q197" s="1170"/>
      <c r="R197" s="1058"/>
      <c r="S197" s="1170"/>
    </row>
    <row r="198" spans="1:19" ht="49.9" customHeight="1" x14ac:dyDescent="0.45">
      <c r="A198" s="947" t="s">
        <v>1966</v>
      </c>
      <c r="B198" s="947">
        <v>46233</v>
      </c>
      <c r="C198" s="947" t="s">
        <v>3539</v>
      </c>
      <c r="D198" s="1191" t="s">
        <v>2255</v>
      </c>
      <c r="E198" s="947" t="s">
        <v>3540</v>
      </c>
      <c r="F198" s="947" t="s">
        <v>3541</v>
      </c>
      <c r="G198" s="947"/>
      <c r="H198" s="1177"/>
      <c r="I198" s="1056"/>
      <c r="J198" s="1051"/>
      <c r="K198" s="1051"/>
      <c r="L198" s="1057"/>
      <c r="M198" s="1809"/>
      <c r="N198" s="1057"/>
      <c r="O198" s="1058"/>
      <c r="P198" s="1058"/>
      <c r="Q198" s="1170"/>
      <c r="R198" s="1058"/>
      <c r="S198" s="1170"/>
    </row>
    <row r="199" spans="1:19" ht="49.9" customHeight="1" x14ac:dyDescent="0.45">
      <c r="A199" s="947" t="s">
        <v>1970</v>
      </c>
      <c r="B199" s="947">
        <v>46239</v>
      </c>
      <c r="C199" s="947" t="s">
        <v>3542</v>
      </c>
      <c r="D199" s="1191" t="s">
        <v>2255</v>
      </c>
      <c r="E199" s="947" t="s">
        <v>3543</v>
      </c>
      <c r="F199" s="947" t="s">
        <v>3544</v>
      </c>
      <c r="G199" s="947" t="s">
        <v>3545</v>
      </c>
      <c r="H199" s="1177"/>
      <c r="I199" s="1056"/>
      <c r="J199" s="1051"/>
      <c r="K199" s="1051"/>
      <c r="L199" s="1057"/>
      <c r="M199" s="1809"/>
      <c r="N199" s="1057"/>
      <c r="O199" s="1058"/>
      <c r="P199" s="1058"/>
      <c r="Q199" s="1170"/>
      <c r="R199" s="1058"/>
      <c r="S199" s="1170"/>
    </row>
    <row r="200" spans="1:19" ht="49.9" customHeight="1" x14ac:dyDescent="0.45">
      <c r="A200" s="947" t="s">
        <v>2472</v>
      </c>
      <c r="B200" s="2117" t="s">
        <v>1434</v>
      </c>
      <c r="C200" s="2117"/>
      <c r="D200" s="2117"/>
      <c r="E200" s="2117"/>
      <c r="F200" s="2117"/>
      <c r="G200" s="2117"/>
      <c r="H200" s="1177"/>
      <c r="I200" s="1056"/>
      <c r="J200" s="1051"/>
      <c r="K200" s="1051"/>
      <c r="L200" s="1057"/>
      <c r="M200" s="1183"/>
      <c r="N200" s="1057"/>
      <c r="O200" s="1058"/>
      <c r="P200" s="1058"/>
      <c r="Q200" s="1170"/>
      <c r="R200" s="1058"/>
      <c r="S200" s="1170"/>
    </row>
    <row r="201" spans="1:19" ht="49.9" customHeight="1" x14ac:dyDescent="0.45">
      <c r="A201" s="947" t="s">
        <v>1973</v>
      </c>
      <c r="B201" s="947">
        <v>46246</v>
      </c>
      <c r="C201" s="947" t="s">
        <v>3546</v>
      </c>
      <c r="D201" s="1191" t="s">
        <v>2255</v>
      </c>
      <c r="E201" s="947" t="s">
        <v>3547</v>
      </c>
      <c r="F201" s="947" t="s">
        <v>3548</v>
      </c>
      <c r="G201" s="947" t="s">
        <v>3549</v>
      </c>
      <c r="H201" s="1177"/>
      <c r="I201" s="1056"/>
      <c r="J201" s="1051"/>
      <c r="K201" s="1051"/>
      <c r="L201" s="1057"/>
      <c r="M201" s="1183"/>
      <c r="N201" s="1057"/>
      <c r="O201" s="1058"/>
      <c r="P201" s="1058"/>
      <c r="Q201" s="1170"/>
      <c r="R201" s="1058"/>
      <c r="S201" s="1170"/>
    </row>
    <row r="202" spans="1:19" ht="49.9" customHeight="1" x14ac:dyDescent="0.45">
      <c r="A202" s="947" t="s">
        <v>1976</v>
      </c>
      <c r="B202" s="947">
        <v>46253</v>
      </c>
      <c r="C202" s="947" t="s">
        <v>3550</v>
      </c>
      <c r="D202" s="1191" t="s">
        <v>2255</v>
      </c>
      <c r="E202" s="947" t="s">
        <v>3551</v>
      </c>
      <c r="F202" s="947" t="s">
        <v>3552</v>
      </c>
      <c r="G202" s="947"/>
      <c r="H202" s="1177"/>
      <c r="I202" s="1056"/>
      <c r="J202" s="1051"/>
      <c r="K202" s="1051"/>
      <c r="L202" s="1057"/>
      <c r="M202" s="1183"/>
      <c r="N202" s="1057"/>
      <c r="O202" s="1058"/>
      <c r="P202" s="1058"/>
      <c r="Q202" s="1170"/>
      <c r="R202" s="1058"/>
      <c r="S202" s="1170"/>
    </row>
    <row r="203" spans="1:19" ht="49.9" customHeight="1" x14ac:dyDescent="0.45">
      <c r="A203" s="947" t="s">
        <v>1979</v>
      </c>
      <c r="B203" s="947">
        <v>46259</v>
      </c>
      <c r="C203" s="947" t="s">
        <v>164</v>
      </c>
      <c r="D203" s="1191" t="s">
        <v>2255</v>
      </c>
      <c r="E203" s="947" t="s">
        <v>3553</v>
      </c>
      <c r="F203" s="947" t="s">
        <v>3554</v>
      </c>
      <c r="G203" s="947"/>
      <c r="H203" s="1177"/>
      <c r="I203" s="1056"/>
      <c r="J203" s="1051"/>
      <c r="K203" s="1051"/>
      <c r="L203" s="1057"/>
      <c r="M203" s="1183"/>
      <c r="N203" s="1057"/>
      <c r="O203" s="1058"/>
      <c r="P203" s="1058"/>
      <c r="Q203" s="1170"/>
      <c r="R203" s="1058"/>
      <c r="S203" s="1170"/>
    </row>
    <row r="204" spans="1:19" ht="49.9" customHeight="1" x14ac:dyDescent="0.45">
      <c r="A204" s="947" t="s">
        <v>3555</v>
      </c>
      <c r="B204" s="2117" t="s">
        <v>1555</v>
      </c>
      <c r="C204" s="2117"/>
      <c r="D204" s="2117"/>
      <c r="E204" s="2117"/>
      <c r="F204" s="2117"/>
      <c r="G204" s="2117"/>
      <c r="H204" s="1177"/>
      <c r="I204" s="1056"/>
      <c r="J204" s="1051"/>
      <c r="K204" s="1051"/>
      <c r="L204" s="1059"/>
      <c r="M204" s="1184"/>
      <c r="N204" s="1059"/>
      <c r="O204" s="1171"/>
      <c r="P204" s="1171"/>
      <c r="Q204" s="1172"/>
      <c r="R204" s="1171"/>
      <c r="S204" s="1172"/>
    </row>
    <row r="205" spans="1:19" ht="49.9" customHeight="1" x14ac:dyDescent="0.45">
      <c r="A205" s="947" t="s">
        <v>3556</v>
      </c>
      <c r="B205" s="2117" t="s">
        <v>1558</v>
      </c>
      <c r="C205" s="2117"/>
      <c r="D205" s="2117"/>
      <c r="E205" s="2117"/>
      <c r="F205" s="2117"/>
      <c r="G205" s="2117"/>
      <c r="H205" s="1177"/>
      <c r="I205" s="1056"/>
      <c r="J205" s="1051"/>
      <c r="K205" s="1051"/>
      <c r="L205" s="1059"/>
      <c r="M205" s="1184"/>
      <c r="N205" s="1059"/>
      <c r="O205" s="1171"/>
      <c r="P205" s="1171"/>
      <c r="Q205" s="1172"/>
      <c r="R205" s="1171"/>
      <c r="S205" s="1172"/>
    </row>
    <row r="206" spans="1:19" ht="49.9" customHeight="1" x14ac:dyDescent="0.45">
      <c r="A206" s="947" t="s">
        <v>1984</v>
      </c>
      <c r="B206" s="947"/>
      <c r="C206" s="947"/>
      <c r="D206" s="947"/>
      <c r="E206" s="947"/>
      <c r="F206" s="947"/>
      <c r="G206" s="947"/>
      <c r="H206" s="1177"/>
      <c r="I206" s="1056"/>
      <c r="J206" s="1051"/>
      <c r="K206" s="1051"/>
      <c r="L206" s="1059"/>
      <c r="M206" s="1184"/>
      <c r="N206" s="1059"/>
      <c r="O206" s="1171"/>
      <c r="P206" s="1171"/>
      <c r="Q206" s="1172"/>
      <c r="R206" s="1171"/>
      <c r="S206" s="1172"/>
    </row>
    <row r="207" spans="1:19" ht="49.9" customHeight="1" x14ac:dyDescent="0.45">
      <c r="A207" s="947" t="s">
        <v>3055</v>
      </c>
      <c r="B207" s="2117" t="s">
        <v>3557</v>
      </c>
      <c r="C207" s="2117"/>
      <c r="D207" s="2117"/>
      <c r="E207" s="2117"/>
      <c r="F207" s="2117"/>
      <c r="G207" s="2117"/>
      <c r="H207" s="1177"/>
      <c r="I207" s="1056"/>
      <c r="J207" s="1051"/>
      <c r="K207" s="1051"/>
      <c r="L207" s="1059"/>
      <c r="M207" s="1184"/>
      <c r="N207" s="1059"/>
      <c r="O207" s="1171"/>
      <c r="P207" s="1171"/>
      <c r="Q207" s="1172"/>
      <c r="R207" s="1171"/>
      <c r="S207" s="1172"/>
    </row>
    <row r="208" spans="1:19" ht="49.9" customHeight="1" x14ac:dyDescent="0.45">
      <c r="A208" s="947" t="s">
        <v>3058</v>
      </c>
      <c r="B208" s="2117" t="s">
        <v>1987</v>
      </c>
      <c r="C208" s="2117"/>
      <c r="D208" s="2117"/>
      <c r="E208" s="2117"/>
      <c r="F208" s="2117"/>
      <c r="G208" s="2117"/>
      <c r="H208" s="1177"/>
      <c r="I208" s="1056"/>
      <c r="J208" s="1051"/>
      <c r="K208" s="1051"/>
      <c r="L208" s="1059"/>
      <c r="M208" s="1184"/>
      <c r="N208" s="1059"/>
      <c r="O208" s="1171"/>
      <c r="P208" s="1171"/>
      <c r="Q208" s="1172"/>
      <c r="R208" s="1171"/>
      <c r="S208" s="1172"/>
    </row>
    <row r="209" spans="1:19" ht="49.9" customHeight="1" x14ac:dyDescent="0.45">
      <c r="A209" s="947" t="s">
        <v>3063</v>
      </c>
      <c r="B209" s="2117" t="s">
        <v>1562</v>
      </c>
      <c r="C209" s="2117"/>
      <c r="D209" s="2117"/>
      <c r="E209" s="2117"/>
      <c r="F209" s="2117"/>
      <c r="G209" s="2117"/>
      <c r="H209" s="1177"/>
      <c r="I209" s="1056"/>
      <c r="J209" s="1051"/>
      <c r="K209" s="1051"/>
      <c r="L209" s="1059"/>
      <c r="M209" s="1184"/>
      <c r="N209" s="1059"/>
      <c r="O209" s="1171"/>
      <c r="P209" s="1171"/>
      <c r="Q209" s="1172"/>
      <c r="R209" s="1171"/>
      <c r="S209" s="1172"/>
    </row>
    <row r="210" spans="1:19" ht="49.9" customHeight="1" x14ac:dyDescent="0.45">
      <c r="A210" s="947" t="s">
        <v>3558</v>
      </c>
      <c r="B210" s="2117" t="s">
        <v>1563</v>
      </c>
      <c r="C210" s="2117"/>
      <c r="D210" s="2117"/>
      <c r="E210" s="2117"/>
      <c r="F210" s="2117"/>
      <c r="G210" s="2117"/>
      <c r="H210" s="1177"/>
      <c r="I210" s="1051"/>
      <c r="J210" s="1051"/>
      <c r="K210" s="1051"/>
      <c r="L210" s="1059"/>
      <c r="M210" s="1184"/>
      <c r="N210" s="1059"/>
      <c r="O210" s="1171"/>
      <c r="P210" s="1171"/>
      <c r="Q210" s="1172"/>
      <c r="R210" s="1171"/>
      <c r="S210" s="1172"/>
    </row>
    <row r="211" spans="1:19" ht="49.9" customHeight="1" x14ac:dyDescent="0.45">
      <c r="A211" s="947" t="s">
        <v>3559</v>
      </c>
      <c r="B211" s="2117" t="s">
        <v>1498</v>
      </c>
      <c r="C211" s="2117"/>
      <c r="D211" s="2117"/>
      <c r="E211" s="2117"/>
      <c r="F211" s="2117"/>
      <c r="G211" s="2117"/>
      <c r="H211" s="1177"/>
      <c r="I211" s="1051"/>
      <c r="J211" s="1051"/>
      <c r="K211" s="1051"/>
      <c r="L211" s="1059"/>
      <c r="M211" s="1184"/>
      <c r="N211" s="1059"/>
      <c r="O211" s="1171"/>
      <c r="P211" s="1171"/>
      <c r="Q211" s="1172"/>
      <c r="R211" s="1171"/>
      <c r="S211" s="1172"/>
    </row>
    <row r="212" spans="1:19" ht="49.9" customHeight="1" x14ac:dyDescent="0.45">
      <c r="A212" s="947" t="s">
        <v>3560</v>
      </c>
      <c r="B212" s="2117" t="s">
        <v>1997</v>
      </c>
      <c r="C212" s="2117"/>
      <c r="D212" s="2117"/>
      <c r="E212" s="2117"/>
      <c r="F212" s="2117"/>
      <c r="G212" s="2117"/>
      <c r="H212" s="1177"/>
      <c r="I212" s="1051"/>
      <c r="J212" s="1051"/>
      <c r="K212" s="1051"/>
      <c r="L212" s="1059"/>
      <c r="M212" s="1184"/>
      <c r="N212" s="1059"/>
      <c r="O212" s="1171"/>
      <c r="P212" s="1171"/>
      <c r="Q212" s="1172"/>
      <c r="R212" s="1171"/>
      <c r="S212" s="1172"/>
    </row>
    <row r="213" spans="1:19" ht="49.9" customHeight="1" x14ac:dyDescent="0.45">
      <c r="A213" s="947" t="s">
        <v>3561</v>
      </c>
      <c r="B213" s="2117" t="s">
        <v>3562</v>
      </c>
      <c r="C213" s="2117"/>
      <c r="D213" s="2117"/>
      <c r="E213" s="2117"/>
      <c r="F213" s="2117"/>
      <c r="G213" s="2117"/>
      <c r="H213" s="1177"/>
      <c r="I213" s="1051"/>
      <c r="J213" s="1051"/>
      <c r="K213" s="1051"/>
      <c r="L213" s="1059"/>
      <c r="M213" s="1184"/>
      <c r="N213" s="1059"/>
      <c r="O213" s="1171"/>
      <c r="P213" s="1171"/>
      <c r="Q213" s="1172"/>
      <c r="R213" s="1171"/>
      <c r="S213" s="1172"/>
    </row>
    <row r="214" spans="1:19" x14ac:dyDescent="0.45">
      <c r="N214" s="1062"/>
    </row>
  </sheetData>
  <mergeCells count="69">
    <mergeCell ref="B160:G160"/>
    <mergeCell ref="B162:G162"/>
    <mergeCell ref="B166:G166"/>
    <mergeCell ref="B176:G176"/>
    <mergeCell ref="B164:G164"/>
    <mergeCell ref="B168:G168"/>
    <mergeCell ref="B170:G170"/>
    <mergeCell ref="B157:G157"/>
    <mergeCell ref="B149:G149"/>
    <mergeCell ref="B158:G158"/>
    <mergeCell ref="B153:G153"/>
    <mergeCell ref="B151:G151"/>
    <mergeCell ref="B152:G152"/>
    <mergeCell ref="B154:G154"/>
    <mergeCell ref="A1:B1"/>
    <mergeCell ref="B24:G24"/>
    <mergeCell ref="B45:G45"/>
    <mergeCell ref="B56:G56"/>
    <mergeCell ref="B14:G14"/>
    <mergeCell ref="B15:G15"/>
    <mergeCell ref="B44:G44"/>
    <mergeCell ref="B38:G38"/>
    <mergeCell ref="B47:G47"/>
    <mergeCell ref="B90:G90"/>
    <mergeCell ref="B148:G148"/>
    <mergeCell ref="B86:G86"/>
    <mergeCell ref="B140:G140"/>
    <mergeCell ref="B125:G125"/>
    <mergeCell ref="B91:G91"/>
    <mergeCell ref="B107:G107"/>
    <mergeCell ref="B92:G92"/>
    <mergeCell ref="B93:G93"/>
    <mergeCell ref="B63:G63"/>
    <mergeCell ref="B79:G79"/>
    <mergeCell ref="B73:G73"/>
    <mergeCell ref="B70:G70"/>
    <mergeCell ref="B77:G77"/>
    <mergeCell ref="B81:G81"/>
    <mergeCell ref="B131:G131"/>
    <mergeCell ref="B150:G150"/>
    <mergeCell ref="B130:G130"/>
    <mergeCell ref="B132:G132"/>
    <mergeCell ref="B145:G145"/>
    <mergeCell ref="B146:G146"/>
    <mergeCell ref="B84:G84"/>
    <mergeCell ref="B82:G82"/>
    <mergeCell ref="B108:G108"/>
    <mergeCell ref="B147:G147"/>
    <mergeCell ref="B138:G138"/>
    <mergeCell ref="B143:G143"/>
    <mergeCell ref="B144:G144"/>
    <mergeCell ref="B115:G115"/>
    <mergeCell ref="B85:G85"/>
    <mergeCell ref="B204:G204"/>
    <mergeCell ref="B205:G205"/>
    <mergeCell ref="B212:G212"/>
    <mergeCell ref="B213:G213"/>
    <mergeCell ref="B207:G207"/>
    <mergeCell ref="B208:G208"/>
    <mergeCell ref="B209:G209"/>
    <mergeCell ref="B210:G210"/>
    <mergeCell ref="B211:G211"/>
    <mergeCell ref="B200:G200"/>
    <mergeCell ref="B187:G187"/>
    <mergeCell ref="B180:G180"/>
    <mergeCell ref="B197:G197"/>
    <mergeCell ref="B193:G193"/>
    <mergeCell ref="B186:G186"/>
    <mergeCell ref="B191:G191"/>
  </mergeCells>
  <conditionalFormatting sqref="H97:H106 H126:H146 H154:H213">
    <cfRule type="containsText" dxfId="34" priority="87" operator="containsText" text="Ready to Send">
      <formula>NOT(ISERROR(SEARCH("Ready to Send",H97)))</formula>
    </cfRule>
    <cfRule type="containsText" dxfId="33" priority="88" operator="containsText" text="Changes Needed">
      <formula>NOT(ISERROR(SEARCH("Changes Needed",H97)))</formula>
    </cfRule>
    <cfRule type="containsText" dxfId="32" priority="89" operator="containsText" text="Internal Review">
      <formula>NOT(ISERROR(SEARCH("Internal Review",H97)))</formula>
    </cfRule>
    <cfRule type="containsText" dxfId="31" priority="90" operator="containsText" text="In Progress">
      <formula>NOT(ISERROR(SEARCH("In Progress",H97)))</formula>
    </cfRule>
  </conditionalFormatting>
  <conditionalFormatting sqref="H109:H114 H148:H213">
    <cfRule type="containsText" dxfId="30" priority="81" operator="containsText" text="Hold">
      <formula>NOT(ISERROR(SEARCH("Hold",H109)))</formula>
    </cfRule>
    <cfRule type="containsText" dxfId="29" priority="82" operator="containsText" text="Ready to Send">
      <formula>NOT(ISERROR(SEARCH("Ready to Send",H109)))</formula>
    </cfRule>
    <cfRule type="containsText" dxfId="28" priority="83" operator="containsText" text="Changes Needed">
      <formula>NOT(ISERROR(SEARCH("Changes Needed",H109)))</formula>
    </cfRule>
    <cfRule type="containsText" dxfId="27" priority="84" operator="containsText" text="Internal Review">
      <formula>NOT(ISERROR(SEARCH("Internal Review",H109)))</formula>
    </cfRule>
    <cfRule type="containsText" dxfId="26" priority="85" operator="containsText" text="In Progress">
      <formula>NOT(ISERROR(SEARCH("In Progress",H109)))</formula>
    </cfRule>
  </conditionalFormatting>
  <conditionalFormatting sqref="H116:H124">
    <cfRule type="containsText" dxfId="25" priority="71" operator="containsText" text="Hold">
      <formula>NOT(ISERROR(SEARCH("Hold",H116)))</formula>
    </cfRule>
    <cfRule type="containsText" dxfId="24" priority="72" operator="containsText" text="Ready to Send">
      <formula>NOT(ISERROR(SEARCH("Ready to Send",H116)))</formula>
    </cfRule>
    <cfRule type="containsText" dxfId="23" priority="73" operator="containsText" text="Changes Needed">
      <formula>NOT(ISERROR(SEARCH("Changes Needed",H116)))</formula>
    </cfRule>
    <cfRule type="containsText" dxfId="22" priority="74" operator="containsText" text="Internal Review">
      <formula>NOT(ISERROR(SEARCH("Internal Review",H116)))</formula>
    </cfRule>
    <cfRule type="containsText" dxfId="21" priority="75" operator="containsText" text="In Progress">
      <formula>NOT(ISERROR(SEARCH("In Progress",H116)))</formula>
    </cfRule>
  </conditionalFormatting>
  <conditionalFormatting sqref="H154:H213 H97:H106 H126:H146">
    <cfRule type="containsText" dxfId="20" priority="86" operator="containsText" text="Hold">
      <formula>NOT(ISERROR(SEARCH("Hold",H97)))</formula>
    </cfRule>
  </conditionalFormatting>
  <dataValidations count="1">
    <dataValidation type="list" allowBlank="1" showInputMessage="1" showErrorMessage="1" sqref="H97:H106 H109:H114 H116:H124 H126:H146 H150:H213" xr:uid="{DA9FDF93-F807-4FE0-B6B7-B450956845FD}">
      <formula1>"In Progress, Internal Review, Changes Needed, Ready to Send, Hold"</formula1>
    </dataValidation>
  </dataValidations>
  <hyperlinks>
    <hyperlink ref="D71:D72" r:id="rId1" display="ASHRM@smithbucklin.com" xr:uid="{54B84333-68C4-4FA1-9721-46FF490C6B4E}"/>
    <hyperlink ref="D68" r:id="rId2" xr:uid="{999560DA-AC92-4DA9-84AC-DB217845497B}"/>
    <hyperlink ref="D3" r:id="rId3" xr:uid="{DC8C0923-C470-4EFC-B0EB-C8201765AA6A}"/>
    <hyperlink ref="I3" r:id="rId4" xr:uid="{99F73317-B269-4AC4-BF63-67763CAAB09D}"/>
    <hyperlink ref="I4" r:id="rId5" xr:uid="{D096C7AD-B34D-4379-8BF3-4FE3438C2C39}"/>
    <hyperlink ref="D12" r:id="rId6" xr:uid="{94F430E5-40E6-4C86-B90E-EB7949E8710E}"/>
    <hyperlink ref="D7" r:id="rId7" xr:uid="{2D99A8F6-29BD-4F74-8FE0-D4648F162901}"/>
    <hyperlink ref="D5" r:id="rId8" xr:uid="{D819681D-20FF-4C5E-8AA2-6645264183D6}"/>
    <hyperlink ref="I5" r:id="rId9" xr:uid="{9E0F5F4D-2969-4F6F-B591-5AB9525B43BB}"/>
    <hyperlink ref="I7" r:id="rId10" xr:uid="{65D13969-ADD4-4555-847E-FF90AAAD5578}"/>
    <hyperlink ref="I9" r:id="rId11" xr:uid="{D99C0D18-E1D6-4A3C-BBDA-50AC8CA16CE1}"/>
    <hyperlink ref="D17" r:id="rId12" xr:uid="{898BE24D-03BC-45D2-82B2-31200DEC46D6}"/>
    <hyperlink ref="D13" r:id="rId13" xr:uid="{DC89ED94-B36B-47DF-AB6E-105D7870D313}"/>
    <hyperlink ref="D25" r:id="rId14" xr:uid="{AE2C4E1A-7D4A-4D0F-ADFA-57384E92B7D1}"/>
    <hyperlink ref="D27" r:id="rId15" xr:uid="{6798EA72-FE51-4342-9ACD-60C10BC6E01E}"/>
    <hyperlink ref="D28" r:id="rId16" xr:uid="{A3CFA2EE-2DA7-4302-AF78-6D861AA49587}"/>
    <hyperlink ref="D29" r:id="rId17" xr:uid="{EC0AD59B-2358-4D5A-8F0E-146FC0E09E6F}"/>
    <hyperlink ref="D31" r:id="rId18" xr:uid="{37C39861-9644-4F42-9112-76AE60A03FEE}"/>
    <hyperlink ref="D32" r:id="rId19" xr:uid="{AA52A6E8-0814-46DA-AE14-9112927B82EC}"/>
    <hyperlink ref="D33" r:id="rId20" xr:uid="{C8416E6C-1B28-427B-8F5E-56BD3808C926}"/>
    <hyperlink ref="D34" r:id="rId21" xr:uid="{28890279-9A23-4111-A1D2-CAE9C816F110}"/>
    <hyperlink ref="D35" r:id="rId22" xr:uid="{6EFD70F5-3945-4789-84DB-15BFF42805AD}"/>
    <hyperlink ref="D36" r:id="rId23" xr:uid="{158A3E8B-5F39-4C44-8275-C6FE98FAADB0}"/>
    <hyperlink ref="D37" r:id="rId24" xr:uid="{6616F002-ECC1-40EF-A375-CE5A03EF1426}"/>
    <hyperlink ref="I27" r:id="rId25" xr:uid="{F0FF1378-7E48-4720-9961-C409ACA27435}"/>
    <hyperlink ref="I28" r:id="rId26" xr:uid="{787B3FA0-52E1-4D2A-9135-79AB8870F145}"/>
    <hyperlink ref="I29" r:id="rId27" xr:uid="{8C039143-DC80-42F6-A5C9-361F2964CB08}"/>
    <hyperlink ref="D40" r:id="rId28" xr:uid="{8B8BE48C-96E9-4526-B2AF-6D64DE95AC77}"/>
    <hyperlink ref="D41" r:id="rId29" xr:uid="{899C6C32-97E2-4426-A311-43CEB8CE73E8}"/>
    <hyperlink ref="D46" r:id="rId30" xr:uid="{EFE65775-0EAF-43D5-AA42-28707C3D9629}"/>
    <hyperlink ref="D48" r:id="rId31" xr:uid="{F8CD76D9-8B08-46F7-A95C-6C1464682EA6}"/>
    <hyperlink ref="D39" r:id="rId32" xr:uid="{E28E0F70-21FB-4367-987F-A33425428FAB}"/>
    <hyperlink ref="D42" r:id="rId33" xr:uid="{341534E0-A043-4FDA-BC65-B2AFB0BB0145}"/>
    <hyperlink ref="D43" r:id="rId34" xr:uid="{2F8E7186-EEB3-4FAA-8144-BC4F17C1FDB7}"/>
    <hyperlink ref="D52" r:id="rId35" xr:uid="{A81E2283-9E00-4B35-8D81-C4A77566A241}"/>
    <hyperlink ref="D53" r:id="rId36" xr:uid="{2084101A-D6DE-4C5D-827F-1FBA86E1A77C}"/>
    <hyperlink ref="D54" r:id="rId37" xr:uid="{8B8AC02A-3270-4957-B624-DE48B73AE65B}"/>
    <hyperlink ref="D55" r:id="rId38" xr:uid="{B5311076-8E22-4E85-B5B5-EB1145A723EA}"/>
    <hyperlink ref="D49" r:id="rId39" xr:uid="{276FC8CB-9473-459E-ACCD-978D5E547BFB}"/>
    <hyperlink ref="D50" r:id="rId40" xr:uid="{5C96B85B-D7AF-4C66-AEDD-789424BA25B7}"/>
    <hyperlink ref="D74" r:id="rId41" xr:uid="{E826387B-3EB4-40F6-9E11-B890F5E32105}"/>
    <hyperlink ref="D58" r:id="rId42" xr:uid="{4171EE86-D583-413B-8A56-413717D9A610}"/>
    <hyperlink ref="D59" r:id="rId43" xr:uid="{DDF5E35C-180D-4BCF-A46C-A3B560D16AAF}"/>
    <hyperlink ref="D60" r:id="rId44" xr:uid="{FC90F10C-DF6D-4843-861F-3EB78A340A01}"/>
    <hyperlink ref="D61" r:id="rId45" xr:uid="{24A30981-331B-45BF-B785-FF9F82FF4F0F}"/>
    <hyperlink ref="D64" r:id="rId46" xr:uid="{563261F1-A851-4B15-8B4B-50D29DDBD2F4}"/>
    <hyperlink ref="D65" r:id="rId47" xr:uid="{CA723111-81C0-4361-8014-5EFB1E15285D}"/>
    <hyperlink ref="D66" r:id="rId48" xr:uid="{D8364383-E872-4A7B-B50A-42F7FB9DDE34}"/>
    <hyperlink ref="D67" r:id="rId49" xr:uid="{F32F2BEF-54EE-43A9-8A5B-F7741D4462D9}"/>
    <hyperlink ref="D75" r:id="rId50" xr:uid="{09BEDF06-3C8E-4F8A-88A7-1649FC1F1681}"/>
    <hyperlink ref="D76" r:id="rId51" xr:uid="{E4ADCC63-D9D8-4A0B-816B-0D227920ACDA}"/>
    <hyperlink ref="D62" r:id="rId52" xr:uid="{1C56E43B-1DAC-4B14-BDD7-2D7F09D23642}"/>
    <hyperlink ref="D78" r:id="rId53" xr:uid="{A22B6410-78C0-4DFA-924E-BBF9A437FD28}"/>
    <hyperlink ref="D80" r:id="rId54" xr:uid="{DEFF638E-903F-4E34-BEA9-F6CDB8CDEB20}"/>
    <hyperlink ref="D69" r:id="rId55" xr:uid="{CF5E305B-AEBF-44B8-AFC7-EC1DBAE4DC6E}"/>
    <hyperlink ref="I78" r:id="rId56" xr:uid="{53AEE685-B09D-4B76-A133-6B502D5CF0C0}"/>
    <hyperlink ref="D83" r:id="rId57" xr:uid="{22D14FAF-3DD2-4C84-A601-FD9DB227FEDB}"/>
    <hyperlink ref="I80" r:id="rId58" xr:uid="{F06FE83E-E707-49EA-AD84-92A8C8F6544E}"/>
    <hyperlink ref="I83" r:id="rId59" xr:uid="{00C8B473-00B4-40B4-9082-1EC71CD822BC}"/>
    <hyperlink ref="D88" r:id="rId60" xr:uid="{5FA4A8D1-54A2-4039-B4C1-D09816085CD0}"/>
    <hyperlink ref="D87" r:id="rId61" xr:uid="{F781DBF7-4276-4943-A0B5-A3E3FD6E53F5}"/>
    <hyperlink ref="I87" r:id="rId62" xr:uid="{88440ABE-3BFE-48C4-A5CF-4C61FE0686D8}"/>
    <hyperlink ref="I88" r:id="rId63" xr:uid="{0C65ACB5-632F-4DB4-A4C1-DE439515C577}"/>
    <hyperlink ref="D89" r:id="rId64" xr:uid="{35B095E7-6F49-4ADC-B646-544B25662E53}"/>
    <hyperlink ref="D94" r:id="rId65" xr:uid="{4B9CEE3B-20FC-4D63-8904-E24860DF2F53}"/>
    <hyperlink ref="I89" r:id="rId66" xr:uid="{54B45274-8057-4175-9819-8B8032EF5986}"/>
    <hyperlink ref="I94" r:id="rId67" display="'http://45453675.hs-sites.com/what-to-expect-from-ashrm-2025" xr:uid="{9E8EABA2-5CBD-4136-A56A-9DE52C0F4362}"/>
    <hyperlink ref="D95" r:id="rId68" xr:uid="{50DFB4CF-7B91-4632-A14C-A57757D8C9BC}"/>
    <hyperlink ref="D96" r:id="rId69" xr:uid="{A08E1EA8-E5AA-4A98-8D29-E1BE6E87B8D3}"/>
    <hyperlink ref="D99" r:id="rId70" xr:uid="{3F5AC68B-78F1-4FA0-9533-2FAE927216B0}"/>
    <hyperlink ref="D104" r:id="rId71" xr:uid="{03290196-BD20-423E-B073-5302A878D01C}"/>
    <hyperlink ref="D102" r:id="rId72" xr:uid="{975C27CD-F9C0-4372-98AA-6615F01F3F0D}"/>
    <hyperlink ref="D106" r:id="rId73" xr:uid="{4C66C778-FABC-4205-8F59-8123FA016725}"/>
    <hyperlink ref="F95" r:id="rId74" xr:uid="{3C817BA8-F3E8-481F-8C61-57F98757AB75}"/>
    <hyperlink ref="G96" r:id="rId75" xr:uid="{72A32B91-DFFB-4659-8D25-A494D1DE0909}"/>
    <hyperlink ref="G109" r:id="rId76" xr:uid="{F5B59640-717B-48A1-B3CB-F0B002CBC613}"/>
    <hyperlink ref="G111" r:id="rId77" xr:uid="{31F6E43C-BB83-40AA-8E99-331017CC2DCD}"/>
    <hyperlink ref="G102" r:id="rId78" xr:uid="{20D99F3C-7417-4642-B7FE-345A363FE0EE}"/>
    <hyperlink ref="D97" r:id="rId79" xr:uid="{9E565F3A-401F-4CA3-853C-202C2B776212}"/>
    <hyperlink ref="G97" r:id="rId80" xr:uid="{3502E160-93DC-43ED-986C-5E5A2B0094A0}"/>
    <hyperlink ref="D98" r:id="rId81" xr:uid="{0854880B-8488-4ECA-B97E-E1A982745850}"/>
    <hyperlink ref="G98" r:id="rId82" xr:uid="{346F5512-16DC-458C-9AEF-17D755A357D5}"/>
    <hyperlink ref="G101" r:id="rId83" xr:uid="{9146EF5D-B5C2-4F68-862C-C2E03BBE5327}"/>
    <hyperlink ref="D101" r:id="rId84" xr:uid="{9BC1FB2C-0C0A-4EFE-8C07-E0F2216028F1}"/>
    <hyperlink ref="D100" r:id="rId85" xr:uid="{C2E2392E-11A8-4FC4-991D-735B114A5DCF}"/>
    <hyperlink ref="G100" r:id="rId86" xr:uid="{648D1863-CB57-4B25-94E3-5B43106AA337}"/>
    <hyperlink ref="I95" r:id="rId87" xr:uid="{3D7C5694-DD8D-4815-8D15-939CEB35F6DB}"/>
    <hyperlink ref="I96" r:id="rId88" xr:uid="{CB874D82-C2AC-4C0C-B1D2-0EACAAEA99AD}"/>
    <hyperlink ref="I98" r:id="rId89" xr:uid="{639AC992-CAAC-43D7-812A-5EDA92AC5A92}"/>
    <hyperlink ref="I97" r:id="rId90" xr:uid="{BAAA9BC4-3680-4A58-AEDA-B33AE2AD4E4D}"/>
    <hyperlink ref="I99" r:id="rId91" xr:uid="{3FED9FF1-87C3-4C28-BF28-D366D2DDFEC6}"/>
    <hyperlink ref="I100" r:id="rId92" xr:uid="{6FC1904A-BB93-4ECD-A663-7CD2B42AF770}"/>
    <hyperlink ref="I101" r:id="rId93" xr:uid="{7A36068F-AEEF-487E-AFE9-741643DB31C3}"/>
    <hyperlink ref="D110" r:id="rId94" display="mailto:nschuette@smithbucklin.com" xr:uid="{07CA7A2E-72C7-4EAF-8F1E-E60BC2ABBEEB}"/>
    <hyperlink ref="D103" r:id="rId95" display="mailto:pbrayley@smithbucklin.com" xr:uid="{124325C1-A423-41A2-8F56-08A3194DAE57}"/>
    <hyperlink ref="D109" r:id="rId96" display="mailto:nschuette@smithbucklin.com" xr:uid="{1C217AF1-FE0F-414E-B2B8-C7EBDF7984AC}"/>
    <hyperlink ref="D111" r:id="rId97" display="mailto:nschuette@smithbucklin.com" xr:uid="{8763219C-FB5E-468B-9C5E-68E34605AF78}"/>
    <hyperlink ref="D112" r:id="rId98" display="mailto:nschuette@smithbucklin.com" xr:uid="{B5DABC6F-C50A-4233-8A75-4CD1313DB690}"/>
    <hyperlink ref="G103" r:id="rId99" xr:uid="{19CCC638-07AA-47B1-AE67-ADDFBC8BA3F1}"/>
    <hyperlink ref="I102" r:id="rId100" xr:uid="{9E4C08E4-8850-40DD-AC97-197A25F2EA80}"/>
    <hyperlink ref="I103" r:id="rId101" xr:uid="{67F3279D-0A68-42B3-9134-89D276AB2608}"/>
    <hyperlink ref="D107" r:id="rId102" display="nschuette@smithbucklin.com" xr:uid="{8A7A1EE2-84D9-464A-A6FF-5CF4367FE036}"/>
    <hyperlink ref="G106" r:id="rId103" location=":~:text=Click%20Here-,Venue%20Branding,-Partner%20with%20ASHRM" xr:uid="{43AAEED4-45CB-4FAE-8DF1-91A3D48232FF}"/>
    <hyperlink ref="I104" r:id="rId104" xr:uid="{1BCA8B21-968E-4F35-BC7C-50BAE1A71A5D}"/>
    <hyperlink ref="I105" r:id="rId105" xr:uid="{CC53AD91-998F-4794-8E22-7F9732EDC9EF}"/>
    <hyperlink ref="D113" r:id="rId106" display="mailto:nschuette@smithbucklin.com" xr:uid="{28D3576C-35DB-4EB4-B1FF-CEB991C46283}"/>
    <hyperlink ref="G113" r:id="rId107" xr:uid="{31AB21A3-798E-456B-B703-B31440C11B12}"/>
    <hyperlink ref="D114" r:id="rId108" display="mailto:nschuette@smithbucklin.com" xr:uid="{ECAFEDC5-72E0-45D2-A6F3-2F6C4D9C0BE3}"/>
    <hyperlink ref="G116" r:id="rId109" location=":~:text=Sponsorship%20Program%20%26%20Levels" xr:uid="{296D30CA-BC85-4EA5-B994-6030DE294714}"/>
    <hyperlink ref="G121" r:id="rId110" location=":~:text=Booth%20Traffic%20Drivers" xr:uid="{C6AA05BE-040A-4BFE-8DBD-AB48622468B4}"/>
    <hyperlink ref="I106" r:id="rId111" xr:uid="{08698363-44E3-4ED7-BEB4-FE771DB1FA35}"/>
    <hyperlink ref="I109" r:id="rId112" xr:uid="{9F4FC349-3DFE-4B28-813F-7BFFC22736DE}"/>
    <hyperlink ref="I110" r:id="rId113" xr:uid="{FD517E60-F7BB-4859-A5C8-82EDEB32BD6A}"/>
    <hyperlink ref="I111" r:id="rId114" xr:uid="{707670F4-A509-499C-8291-BE4778A25ED4}"/>
    <hyperlink ref="I112" r:id="rId115" xr:uid="{DE41C05D-E89A-4446-A748-9AD9A8D45EE0}"/>
    <hyperlink ref="I113" r:id="rId116" xr:uid="{3DD04313-0F29-4C26-9A3B-F1B216EADBE0}"/>
    <hyperlink ref="I114" r:id="rId117" xr:uid="{59C69E21-5119-4F47-AC78-879C9942783F}"/>
    <hyperlink ref="D116" r:id="rId118" xr:uid="{B0A73A6D-2A65-4615-A113-191383A347CD}"/>
    <hyperlink ref="D118:D122" r:id="rId119" display="kmcdonnell@smithbucklin.com" xr:uid="{226D7B24-677D-4264-9D68-7407A934167D}"/>
    <hyperlink ref="D117" r:id="rId120" xr:uid="{C0BE5F8D-4E0D-4F0F-9D16-81BA86B0B775}"/>
    <hyperlink ref="I117" r:id="rId121" xr:uid="{2CC5BB6E-620A-4A3D-B074-E4449D64BBCC}"/>
    <hyperlink ref="I116" r:id="rId122" xr:uid="{3192B996-9682-4B2D-A775-796AA9FB9FD7}"/>
    <hyperlink ref="I118" r:id="rId123" xr:uid="{67D7AEFC-4A61-4C39-AC20-44D54CBD58CF}"/>
    <hyperlink ref="I119" r:id="rId124" xr:uid="{4A453E99-4754-43F5-B226-1D65DC536BF0}"/>
    <hyperlink ref="D123:D124" r:id="rId125" display="kmcdonnell@smithbucklin.com" xr:uid="{D4393BAF-0105-48AA-B208-CC5994FDBCED}"/>
    <hyperlink ref="I121" r:id="rId126" xr:uid="{890C782F-9676-4EA6-B697-73C47FA6674D}"/>
    <hyperlink ref="D134:D137" r:id="rId127" display="kmcdonnell@smithbucklin.com" xr:uid="{D60B14EA-5040-431D-8F04-FECCAAB097CE}"/>
    <hyperlink ref="D139:D141" r:id="rId128" display="kmcdonnell@smithbucklin.com" xr:uid="{5DC49A6C-D2B7-4B8C-9DEE-889883A92862}"/>
    <hyperlink ref="D142" r:id="rId129" xr:uid="{D781A8CF-60D1-49E8-9B97-70E8D5518629}"/>
    <hyperlink ref="D126:D130" r:id="rId130" display="kmcdonnell@smithbucklin.com" xr:uid="{8B739669-09D8-4941-90B1-B18F11C78D83}"/>
    <hyperlink ref="I122" r:id="rId131" xr:uid="{337B043C-1FAA-4289-B4A1-BCD2583DC071}"/>
    <hyperlink ref="I123" r:id="rId132" xr:uid="{958EA70A-8F4C-481A-8B96-4D13532F009C}"/>
    <hyperlink ref="I124" r:id="rId133" xr:uid="{7F038153-007A-4D42-A1C1-A164B7A1C13A}"/>
    <hyperlink ref="I126" r:id="rId134" xr:uid="{4BE71D4B-355D-40E5-BCD0-0A8975A027EC}"/>
    <hyperlink ref="I128" r:id="rId135" xr:uid="{35B066E0-E5D6-4DA1-9853-0119A90C000B}"/>
    <hyperlink ref="I127" r:id="rId136" xr:uid="{B26CEB40-E5F3-4F73-ABAE-0FC53FB65BF9}"/>
    <hyperlink ref="I129" r:id="rId137" xr:uid="{A0F04A21-B6F7-49E4-9112-54DFAB28A3E2}"/>
    <hyperlink ref="I133" r:id="rId138" xr:uid="{12F919D8-74B0-4214-B4B1-66F1F17AACB0}"/>
    <hyperlink ref="I130" r:id="rId139" xr:uid="{4012BA46-C15A-4C45-B223-D74EEF936FD1}"/>
    <hyperlink ref="I120" r:id="rId140" display="'http://45453675.hs-sites.com/promote-your-brand-to-key-decision-makers-on-ashrm-platforms" xr:uid="{DF3EC6BD-0EF6-40CD-9539-F1C111D40B15}"/>
    <hyperlink ref="G137" r:id="rId141" display="'https://www.ashrmmediakit.org/digital/ " xr:uid="{69CC79BF-3A57-4790-8F59-F825745DCF94}"/>
    <hyperlink ref="I135" r:id="rId142" xr:uid="{53746451-EEE6-4566-824F-3368F4025F0D}"/>
    <hyperlink ref="I136" r:id="rId143" xr:uid="{017C5475-E03A-4B58-8CB5-4EB3CD8CD72E}"/>
    <hyperlink ref="I137" r:id="rId144" xr:uid="{EE0FD51F-F844-43F1-A0EC-735E8284AD5A}"/>
    <hyperlink ref="I138" r:id="rId145" xr:uid="{B1F97F72-63FE-4DC4-8B63-523483E2F7FE}"/>
    <hyperlink ref="I139" r:id="rId146" xr:uid="{F41EBB88-5151-418E-B371-00B36775C2EB}"/>
    <hyperlink ref="I141" r:id="rId147" xr:uid="{52134D36-0694-4F54-AF17-86EF3E716AC3}"/>
    <hyperlink ref="I142" r:id="rId148" xr:uid="{33222B56-2831-4505-9EED-4F49E41ECCF1}"/>
    <hyperlink ref="I144" r:id="rId149" xr:uid="{7FDCA261-27EB-404D-BFA0-B73B93D72940}"/>
    <hyperlink ref="I145" r:id="rId150" xr:uid="{4386D3C9-93EF-4C25-8AD8-E9CC8047973B}"/>
    <hyperlink ref="I146" r:id="rId151" xr:uid="{248C86E8-BA7A-4BC3-A55A-E113486A3BC9}"/>
    <hyperlink ref="I150" r:id="rId152" xr:uid="{2C1A346C-B296-4849-A4F4-CCA9D7ADD6BE}"/>
    <hyperlink ref="I151" r:id="rId153" xr:uid="{8289F854-CEB2-411B-97FE-2772645C8961}"/>
    <hyperlink ref="D161" r:id="rId154" xr:uid="{AC0BFF1A-CDF0-4C90-80A3-4C59F5463374}"/>
    <hyperlink ref="D163" r:id="rId155" xr:uid="{2F1B0D9C-8F0F-40E5-B0B6-AA7BF41D3FA9}"/>
    <hyperlink ref="D165" r:id="rId156" xr:uid="{BB523D73-CFFF-4CA0-8737-18A9B433B508}"/>
    <hyperlink ref="D155" r:id="rId157" display="mailto:kmcdonnell@smithbucklin.com" xr:uid="{5CE13C96-A475-4804-BA47-8890783838CA}"/>
    <hyperlink ref="D159" r:id="rId158" display="mailto:kmcdonnell@smithbucklin.com" xr:uid="{EB225801-7019-4120-928A-2140ACDB231E}"/>
    <hyperlink ref="D156" r:id="rId159" display="mailto:kmcdonnell@smithbucklin.com" xr:uid="{10790283-25D0-429D-8183-E3DE64A14AB5}"/>
    <hyperlink ref="I155" r:id="rId160" xr:uid="{2F0EF506-D405-4986-A344-B924AAA2E098}"/>
    <hyperlink ref="I156" r:id="rId161" xr:uid="{56ED79F8-31C4-46DA-A447-9748FE24CC24}"/>
    <hyperlink ref="I159" r:id="rId162" xr:uid="{E912A6DF-2F5E-44DC-B002-69B77539060F}"/>
    <hyperlink ref="I161" r:id="rId163" xr:uid="{09A41C7E-4EE1-4543-A6BC-928032A55B7F}"/>
    <hyperlink ref="I163" r:id="rId164" xr:uid="{1D069F88-F93D-4F35-BB55-B3718979DDC0}"/>
    <hyperlink ref="I165" r:id="rId165" xr:uid="{91CEEBFB-A9A5-4448-B174-A89024C06180}"/>
    <hyperlink ref="D169" r:id="rId166" xr:uid="{E69D4A01-E07F-49C7-AC6A-280820719CC1}"/>
    <hyperlink ref="D167" r:id="rId167" display="mailto:kmcdonnell@smithbucklin.com" xr:uid="{674935CE-8B91-4460-9C75-51AC1F6D86E8}"/>
    <hyperlink ref="I167" r:id="rId168" xr:uid="{5CABE96B-3A0D-4812-BCDB-F687DF47622B}"/>
    <hyperlink ref="I169" r:id="rId169" xr:uid="{3C3795EE-FEB1-4B7D-A6EB-3224F1AE81C5}"/>
    <hyperlink ref="I171" r:id="rId170" xr:uid="{85F0E7FE-B6B2-4C79-9730-2257132D3FE6}"/>
    <hyperlink ref="G173" r:id="rId171" xr:uid="{E85B3616-AB24-4AA1-8578-ADE6A9FE6BB4}"/>
    <hyperlink ref="I172" r:id="rId172" xr:uid="{2EBF7005-3AA9-4352-ACFD-276DDD4B7B45}"/>
    <hyperlink ref="I173" r:id="rId173" xr:uid="{D307B87B-D12C-450A-B6A8-0AC93C870D78}"/>
    <hyperlink ref="I174" r:id="rId174" xr:uid="{17756968-5D57-4A71-9FE4-D4D5A5AB1FC1}"/>
    <hyperlink ref="I175" r:id="rId175" xr:uid="{BD72630E-4328-4EAE-8C37-5EF9F40131E2}"/>
    <hyperlink ref="I177" r:id="rId176" xr:uid="{2BEE8FC4-FC99-423A-BA79-66F8F2C04682}"/>
    <hyperlink ref="I179" r:id="rId177" xr:uid="{D0CA92A7-7F45-4697-BE70-7A04117BB767}"/>
    <hyperlink ref="I178" r:id="rId178" xr:uid="{B9DBA0FC-4D7B-437E-91FA-E21AC99E69FE}"/>
    <hyperlink ref="D181" r:id="rId179" xr:uid="{FB4A7D1C-29A9-4E1D-8141-2186A03AC703}"/>
    <hyperlink ref="D182" r:id="rId180" xr:uid="{F42FCDBF-EF57-478B-B50F-41F8C01CD94D}"/>
    <hyperlink ref="I181" r:id="rId181" xr:uid="{ABB9FACF-72A3-4659-A0FE-5DEBA22DD772}"/>
    <hyperlink ref="D184" r:id="rId182" xr:uid="{2E375104-8E4F-4EE2-B0B1-C28F417D4550}"/>
    <hyperlink ref="D183" r:id="rId183" xr:uid="{CD1C7934-970C-4391-A9A3-013437319FC8}"/>
    <hyperlink ref="D185" r:id="rId184" xr:uid="{256725E8-7C22-4A53-ABF2-43A9B295A7E7}"/>
    <hyperlink ref="D188" r:id="rId185" xr:uid="{63934420-469D-4912-B9F4-7993FDD18C6E}"/>
    <hyperlink ref="F183" r:id="rId186" xr:uid="{BE25625C-EAD5-46EB-8D53-DDEF86A44F2A}"/>
    <hyperlink ref="F185" r:id="rId187" xr:uid="{40C2AC86-9543-446C-909D-B864AD8C30A0}"/>
    <hyperlink ref="F182" r:id="rId188" location=":~:text=Solution%20Center%20Golf%20Hub" xr:uid="{F6ED5C7F-05C4-40DA-A5C1-FE9E3D2E5DF1}"/>
    <hyperlink ref="I182" r:id="rId189" xr:uid="{B1C23058-E252-456B-8406-4F050EEDE284}"/>
    <hyperlink ref="I184" r:id="rId190" xr:uid="{414D4926-126A-4F8E-B86D-D131CC98F4F1}"/>
    <hyperlink ref="I185" r:id="rId191" xr:uid="{89191743-E6FD-433E-92A0-7C13C49C3DB2}"/>
    <hyperlink ref="I186" r:id="rId192" xr:uid="{78B88D65-8A63-4EBB-B0E5-3F1D4099C7AD}"/>
    <hyperlink ref="I183" r:id="rId193" xr:uid="{8648716F-B540-472A-8EF7-5A4D45334B83}"/>
    <hyperlink ref="D189" r:id="rId194" xr:uid="{490182FA-90AE-4DD6-AB9C-72D45A2D42F7}"/>
    <hyperlink ref="I188" r:id="rId195" xr:uid="{4DF68BBA-48C2-4CA6-9C3B-ADA461184825}"/>
    <hyperlink ref="I189" r:id="rId196" xr:uid="{C2F2ECCC-71B4-474B-888E-4FF03D7F4151}"/>
    <hyperlink ref="D190" r:id="rId197" xr:uid="{DB2BB07A-0B25-4739-BAB8-9A99B3EA354E}"/>
    <hyperlink ref="G194" r:id="rId198" xr:uid="{7EFBB593-C39C-421C-B752-F461E865EE4F}"/>
    <hyperlink ref="I190" r:id="rId199" xr:uid="{2C3B96A6-01AF-491F-A1A3-DF2062854F9E}"/>
    <hyperlink ref="D194" r:id="rId200" xr:uid="{26931D1D-CD35-4097-B729-A06D40C0B636}"/>
    <hyperlink ref="D195" r:id="rId201" xr:uid="{74ECD708-80DD-4195-9768-BF8EAD6B6DE4}"/>
    <hyperlink ref="D196" r:id="rId202" xr:uid="{4C52EFD1-7867-4821-84E8-94A2CED91BBF}"/>
    <hyperlink ref="D198" r:id="rId203" xr:uid="{B60EA3C2-9C69-449A-A809-102103C2F98B}"/>
    <hyperlink ref="D199" r:id="rId204" xr:uid="{9E030E63-B067-4151-AB98-A2030980EDA0}"/>
    <hyperlink ref="D201" r:id="rId205" xr:uid="{E88CACAA-4CEA-4A5E-8986-B00242031446}"/>
    <hyperlink ref="D202" r:id="rId206" xr:uid="{C8BA3F3E-4F78-44C9-A5EB-2D2C7413E5C1}"/>
    <hyperlink ref="D203" r:id="rId207" xr:uid="{7EFFEF31-01CA-43E3-BE20-6848367C553F}"/>
    <hyperlink ref="D192" r:id="rId208" xr:uid="{EF35C285-37AB-47E5-80C0-77C17C9E95F7}"/>
    <hyperlink ref="F192" r:id="rId209" location=":~:text=Solution%20Center%20Golf%20Hub" xr:uid="{78BBB253-5CE4-4292-BC14-7B4071ED9B83}"/>
  </hyperlinks>
  <pageMargins left="0.7" right="0.7" top="0.75" bottom="0.75" header="0.3" footer="0.3"/>
  <pageSetup orientation="portrait" r:id="rId210"/>
  <drawing r:id="rId2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F05A5-833C-4D54-A3E4-50E91EE29B2B}">
  <sheetPr>
    <tabColor rgb="FFFFC000"/>
  </sheetPr>
  <dimension ref="A1:O152"/>
  <sheetViews>
    <sheetView tabSelected="1" zoomScale="60" zoomScaleNormal="60" workbookViewId="0">
      <pane ySplit="2" topLeftCell="A3" activePane="bottomLeft" state="frozen"/>
      <selection pane="bottomLeft" activeCell="A140" sqref="A140"/>
    </sheetView>
  </sheetViews>
  <sheetFormatPr defaultColWidth="9.1796875" defaultRowHeight="39.75" customHeight="1" x14ac:dyDescent="0.5"/>
  <cols>
    <col min="1" max="1" width="35.81640625" style="1685" customWidth="1"/>
    <col min="2" max="2" width="26.54296875" style="1685" customWidth="1"/>
    <col min="3" max="3" width="41.54296875" style="1685" customWidth="1"/>
    <col min="4" max="4" width="51.7265625" style="1685" customWidth="1"/>
    <col min="5" max="5" width="45.7265625" style="1685" customWidth="1"/>
    <col min="6" max="6" width="47" style="1685" customWidth="1"/>
    <col min="7" max="7" width="21.453125" style="1685" customWidth="1"/>
    <col min="8" max="8" width="29.453125" style="1685" customWidth="1"/>
    <col min="9" max="9" width="23.453125" style="1685" customWidth="1"/>
    <col min="10" max="10" width="16.81640625" style="1685" customWidth="1"/>
    <col min="11" max="11" width="21.26953125" style="1685" customWidth="1"/>
    <col min="12" max="12" width="14.7265625" style="1685" customWidth="1"/>
    <col min="13" max="15" width="15.453125" style="1685" customWidth="1"/>
    <col min="16" max="16384" width="9.1796875" style="1685"/>
  </cols>
  <sheetData>
    <row r="1" spans="1:15" ht="39.75" customHeight="1" x14ac:dyDescent="0.5">
      <c r="A1" s="1583" t="s">
        <v>3563</v>
      </c>
      <c r="D1" s="1583" t="s">
        <v>3564</v>
      </c>
      <c r="E1" s="1701">
        <f>AVERAGE(L:L)</f>
        <v>0.31795135135135127</v>
      </c>
      <c r="F1" s="1583" t="s">
        <v>3565</v>
      </c>
      <c r="G1" s="1701">
        <f>AVERAGE(M:M)</f>
        <v>6.7601351351351355E-2</v>
      </c>
    </row>
    <row r="2" spans="1:15" ht="39.75" customHeight="1" x14ac:dyDescent="0.5">
      <c r="A2" s="1702" t="s">
        <v>3566</v>
      </c>
      <c r="B2" s="1702" t="s">
        <v>431</v>
      </c>
      <c r="C2" s="1702" t="s">
        <v>3567</v>
      </c>
      <c r="D2" s="1702" t="s">
        <v>3568</v>
      </c>
      <c r="E2" s="1702" t="s">
        <v>3569</v>
      </c>
      <c r="F2" s="1702" t="s">
        <v>3570</v>
      </c>
      <c r="G2" s="1702" t="s">
        <v>726</v>
      </c>
      <c r="H2" s="1702" t="s">
        <v>727</v>
      </c>
      <c r="I2" s="1702" t="s">
        <v>9</v>
      </c>
      <c r="J2" s="1702" t="s">
        <v>3571</v>
      </c>
      <c r="K2" s="1702" t="s">
        <v>3572</v>
      </c>
      <c r="L2" s="1702" t="s">
        <v>433</v>
      </c>
      <c r="M2" s="1702" t="s">
        <v>729</v>
      </c>
      <c r="N2" s="1702" t="s">
        <v>655</v>
      </c>
      <c r="O2" s="1702" t="s">
        <v>653</v>
      </c>
    </row>
    <row r="3" spans="1:15" ht="39.75" customHeight="1" x14ac:dyDescent="0.5">
      <c r="A3" s="1703">
        <v>45159</v>
      </c>
      <c r="B3" s="1704"/>
      <c r="C3" s="1966" t="s">
        <v>3573</v>
      </c>
      <c r="D3" s="1966"/>
      <c r="E3" s="1966"/>
      <c r="F3" s="1966"/>
      <c r="G3" s="1705"/>
      <c r="H3" s="1705"/>
      <c r="I3" s="1569"/>
      <c r="J3" s="1569"/>
      <c r="K3" s="1569"/>
      <c r="L3" s="1569"/>
      <c r="M3" s="1569"/>
      <c r="N3" s="1583"/>
      <c r="O3" s="1583"/>
    </row>
    <row r="4" spans="1:15" ht="39.75" customHeight="1" x14ac:dyDescent="0.5">
      <c r="A4" s="1703">
        <v>45166</v>
      </c>
      <c r="B4" s="1703"/>
      <c r="C4" s="1569" t="s">
        <v>3574</v>
      </c>
      <c r="D4" s="1569" t="s">
        <v>3575</v>
      </c>
      <c r="E4" s="1569" t="s">
        <v>3576</v>
      </c>
      <c r="F4" s="1569" t="s">
        <v>3577</v>
      </c>
      <c r="G4" s="1569"/>
      <c r="H4" s="1569"/>
      <c r="I4" s="1569" t="s">
        <v>602</v>
      </c>
      <c r="J4" s="1569"/>
      <c r="K4" s="1569" t="s">
        <v>3578</v>
      </c>
      <c r="L4" s="1569"/>
      <c r="M4" s="1569"/>
      <c r="N4" s="1583"/>
      <c r="O4" s="1583"/>
    </row>
    <row r="5" spans="1:15" ht="39.75" customHeight="1" x14ac:dyDescent="0.5">
      <c r="A5" s="1703">
        <v>45166</v>
      </c>
      <c r="B5" s="1703"/>
      <c r="C5" s="1569" t="s">
        <v>140</v>
      </c>
      <c r="D5" s="1569" t="s">
        <v>3575</v>
      </c>
      <c r="E5" s="1569" t="s">
        <v>3576</v>
      </c>
      <c r="F5" s="1569" t="s">
        <v>3577</v>
      </c>
      <c r="G5" s="1569"/>
      <c r="H5" s="1569"/>
      <c r="I5" s="1569" t="s">
        <v>3579</v>
      </c>
      <c r="J5" s="1569"/>
      <c r="K5" s="1569" t="s">
        <v>3578</v>
      </c>
      <c r="L5" s="1569"/>
      <c r="M5" s="1569"/>
      <c r="N5" s="1583"/>
      <c r="O5" s="1583"/>
    </row>
    <row r="6" spans="1:15" ht="39.75" customHeight="1" x14ac:dyDescent="0.5">
      <c r="A6" s="1703">
        <v>45173</v>
      </c>
      <c r="B6" s="1703"/>
      <c r="C6" s="1569" t="s">
        <v>3580</v>
      </c>
      <c r="D6" s="1569" t="s">
        <v>3581</v>
      </c>
      <c r="E6" s="1569" t="s">
        <v>3576</v>
      </c>
      <c r="F6" s="1569" t="s">
        <v>3577</v>
      </c>
      <c r="G6" s="1569"/>
      <c r="H6" s="1569"/>
      <c r="I6" s="1569" t="s">
        <v>3582</v>
      </c>
      <c r="J6" s="1569"/>
      <c r="K6" s="1569" t="s">
        <v>3583</v>
      </c>
      <c r="L6" s="1569"/>
      <c r="M6" s="1569"/>
      <c r="N6" s="1583"/>
      <c r="O6" s="1583"/>
    </row>
    <row r="7" spans="1:15" ht="39.75" customHeight="1" x14ac:dyDescent="0.5">
      <c r="A7" s="1703">
        <v>45180</v>
      </c>
      <c r="B7" s="1704"/>
      <c r="C7" s="1966" t="s">
        <v>3584</v>
      </c>
      <c r="D7" s="1966"/>
      <c r="E7" s="1966"/>
      <c r="F7" s="1966"/>
      <c r="G7" s="1705"/>
      <c r="H7" s="1705"/>
      <c r="I7" s="1569"/>
      <c r="J7" s="1569"/>
      <c r="K7" s="1569"/>
      <c r="L7" s="1569"/>
      <c r="M7" s="1569"/>
      <c r="N7" s="1583"/>
      <c r="O7" s="1583"/>
    </row>
    <row r="8" spans="1:15" ht="39.75" customHeight="1" x14ac:dyDescent="0.5">
      <c r="A8" s="1703">
        <v>45187</v>
      </c>
      <c r="B8" s="1704"/>
      <c r="C8" s="1965" t="s">
        <v>106</v>
      </c>
      <c r="D8" s="1965"/>
      <c r="E8" s="1965"/>
      <c r="F8" s="1965"/>
      <c r="G8" s="1705"/>
      <c r="H8" s="1705"/>
      <c r="I8" s="1569"/>
      <c r="J8" s="1569"/>
      <c r="K8" s="1569"/>
      <c r="L8" s="1569"/>
      <c r="M8" s="1569"/>
      <c r="N8" s="1583"/>
      <c r="O8" s="1583"/>
    </row>
    <row r="9" spans="1:15" ht="39.75" customHeight="1" x14ac:dyDescent="0.5">
      <c r="A9" s="1703">
        <v>45194</v>
      </c>
      <c r="B9" s="1704"/>
      <c r="C9" s="1965" t="s">
        <v>106</v>
      </c>
      <c r="D9" s="1965"/>
      <c r="E9" s="1965"/>
      <c r="F9" s="1965"/>
      <c r="G9" s="1705"/>
      <c r="H9" s="1705"/>
      <c r="I9" s="1569"/>
      <c r="J9" s="1569"/>
      <c r="K9" s="1569"/>
      <c r="L9" s="1569"/>
      <c r="M9" s="1569"/>
      <c r="N9" s="1583"/>
      <c r="O9" s="1583"/>
    </row>
    <row r="10" spans="1:15" ht="39.75" customHeight="1" x14ac:dyDescent="0.5">
      <c r="A10" s="1703">
        <v>45201</v>
      </c>
      <c r="B10" s="1704"/>
      <c r="C10" s="1965" t="s">
        <v>106</v>
      </c>
      <c r="D10" s="1965"/>
      <c r="E10" s="1965"/>
      <c r="F10" s="1965"/>
      <c r="G10" s="1705"/>
      <c r="H10" s="1705"/>
      <c r="I10" s="1569"/>
      <c r="J10" s="1569"/>
      <c r="K10" s="1569"/>
      <c r="L10" s="1569"/>
      <c r="M10" s="1569"/>
      <c r="N10" s="1583"/>
      <c r="O10" s="1583"/>
    </row>
    <row r="11" spans="1:15" ht="39.75" customHeight="1" x14ac:dyDescent="0.5">
      <c r="A11" s="1703">
        <v>45208</v>
      </c>
      <c r="B11" s="1704"/>
      <c r="C11" s="1965" t="s">
        <v>106</v>
      </c>
      <c r="D11" s="1965"/>
      <c r="E11" s="1965"/>
      <c r="F11" s="1965"/>
      <c r="G11" s="1705"/>
      <c r="H11" s="1705"/>
      <c r="I11" s="1569"/>
      <c r="J11" s="1569"/>
      <c r="K11" s="1569"/>
      <c r="L11" s="1569"/>
      <c r="M11" s="1569"/>
      <c r="N11" s="1583"/>
      <c r="O11" s="1583"/>
    </row>
    <row r="12" spans="1:15" ht="39.75" customHeight="1" x14ac:dyDescent="0.5">
      <c r="A12" s="1703">
        <v>45215</v>
      </c>
      <c r="B12" s="1703"/>
      <c r="C12" s="1569" t="s">
        <v>41</v>
      </c>
      <c r="D12" s="1569" t="s">
        <v>3585</v>
      </c>
      <c r="E12" s="1569"/>
      <c r="F12" s="1569"/>
      <c r="G12" s="1569"/>
      <c r="H12" s="1569"/>
      <c r="I12" s="1569" t="s">
        <v>3586</v>
      </c>
      <c r="J12" s="1569"/>
      <c r="K12" s="1569" t="s">
        <v>3587</v>
      </c>
      <c r="L12" s="1569"/>
      <c r="M12" s="1569"/>
      <c r="N12" s="1583"/>
      <c r="O12" s="1583"/>
    </row>
    <row r="13" spans="1:15" ht="39.75" customHeight="1" x14ac:dyDescent="0.5">
      <c r="A13" s="1703">
        <v>45222</v>
      </c>
      <c r="B13" s="1703"/>
      <c r="C13" s="1569" t="s">
        <v>41</v>
      </c>
      <c r="D13" s="1569" t="s">
        <v>3588</v>
      </c>
      <c r="E13" s="1569"/>
      <c r="F13" s="1569" t="s">
        <v>3589</v>
      </c>
      <c r="G13" s="1569"/>
      <c r="H13" s="1569"/>
      <c r="I13" s="1569" t="s">
        <v>3590</v>
      </c>
      <c r="J13" s="1569"/>
      <c r="K13" s="1569" t="s">
        <v>3591</v>
      </c>
      <c r="L13" s="1569"/>
      <c r="M13" s="1569"/>
      <c r="N13" s="1583"/>
      <c r="O13" s="1583"/>
    </row>
    <row r="14" spans="1:15" ht="39.75" customHeight="1" x14ac:dyDescent="0.5">
      <c r="A14" s="1703">
        <v>45226</v>
      </c>
      <c r="B14" s="1704"/>
      <c r="C14" s="1966" t="s">
        <v>3592</v>
      </c>
      <c r="D14" s="1966"/>
      <c r="E14" s="1966"/>
      <c r="F14" s="1966"/>
      <c r="G14" s="1705"/>
      <c r="H14" s="1705"/>
      <c r="I14" s="1569"/>
      <c r="J14" s="1569"/>
      <c r="K14" s="1569"/>
      <c r="L14" s="1569"/>
      <c r="M14" s="1569"/>
      <c r="N14" s="1583"/>
      <c r="O14" s="1583"/>
    </row>
    <row r="15" spans="1:15" ht="39.75" customHeight="1" x14ac:dyDescent="0.5">
      <c r="A15" s="1703">
        <v>45229</v>
      </c>
      <c r="B15" s="1703"/>
      <c r="C15" s="1569" t="s">
        <v>3574</v>
      </c>
      <c r="D15" s="1569" t="s">
        <v>3593</v>
      </c>
      <c r="E15" s="1569"/>
      <c r="F15" s="1314" t="s">
        <v>3594</v>
      </c>
      <c r="G15" s="1314"/>
      <c r="H15" s="1314"/>
      <c r="I15" s="1569" t="s">
        <v>3595</v>
      </c>
      <c r="J15" s="1569"/>
      <c r="K15" s="1569" t="s">
        <v>3596</v>
      </c>
      <c r="L15" s="1706">
        <v>0.16400000000000001</v>
      </c>
      <c r="M15" s="1706">
        <v>1.4E-2</v>
      </c>
      <c r="N15" s="1707"/>
      <c r="O15" s="1707"/>
    </row>
    <row r="16" spans="1:15" ht="39.75" customHeight="1" x14ac:dyDescent="0.5">
      <c r="A16" s="1703">
        <v>45236</v>
      </c>
      <c r="B16" s="1704"/>
      <c r="C16" s="1965" t="s">
        <v>106</v>
      </c>
      <c r="D16" s="1965"/>
      <c r="E16" s="1965"/>
      <c r="F16" s="1965"/>
      <c r="G16" s="1705"/>
      <c r="H16" s="1705"/>
      <c r="I16" s="1569"/>
      <c r="J16" s="1569"/>
      <c r="K16" s="1569"/>
      <c r="L16" s="1569"/>
      <c r="M16" s="1569"/>
      <c r="N16" s="1583"/>
      <c r="O16" s="1583"/>
    </row>
    <row r="17" spans="1:15" ht="39.75" customHeight="1" x14ac:dyDescent="0.5">
      <c r="A17" s="1703">
        <v>45243</v>
      </c>
      <c r="B17" s="1704"/>
      <c r="C17" s="1965" t="s">
        <v>106</v>
      </c>
      <c r="D17" s="1965"/>
      <c r="E17" s="1965"/>
      <c r="F17" s="1965"/>
      <c r="G17" s="1705"/>
      <c r="H17" s="1705"/>
      <c r="I17" s="1569"/>
      <c r="J17" s="1569"/>
      <c r="K17" s="1569"/>
      <c r="L17" s="1569"/>
      <c r="M17" s="1569"/>
      <c r="N17" s="1583"/>
      <c r="O17" s="1583"/>
    </row>
    <row r="18" spans="1:15" ht="39.75" customHeight="1" x14ac:dyDescent="0.5">
      <c r="A18" s="1703">
        <v>45250</v>
      </c>
      <c r="B18" s="1704"/>
      <c r="C18" s="1967" t="s">
        <v>1828</v>
      </c>
      <c r="D18" s="1967"/>
      <c r="E18" s="1967"/>
      <c r="F18" s="1967"/>
      <c r="G18" s="1705"/>
      <c r="H18" s="1705"/>
      <c r="I18" s="1569"/>
      <c r="J18" s="1569"/>
      <c r="K18" s="1569"/>
      <c r="L18" s="1569"/>
      <c r="M18" s="1569"/>
      <c r="N18" s="1583"/>
      <c r="O18" s="1583"/>
    </row>
    <row r="19" spans="1:15" ht="39.75" customHeight="1" x14ac:dyDescent="0.5">
      <c r="A19" s="1703">
        <v>45257</v>
      </c>
      <c r="B19" s="1703"/>
      <c r="C19" s="1569" t="s">
        <v>41</v>
      </c>
      <c r="D19" s="1569" t="s">
        <v>3597</v>
      </c>
      <c r="E19" s="1569" t="s">
        <v>3598</v>
      </c>
      <c r="F19" s="1569"/>
      <c r="G19" s="1569"/>
      <c r="H19" s="1569"/>
      <c r="I19" s="1569" t="s">
        <v>3599</v>
      </c>
      <c r="J19" s="1569"/>
      <c r="K19" s="1569" t="s">
        <v>3600</v>
      </c>
      <c r="L19" s="1706">
        <v>0.20699999999999999</v>
      </c>
      <c r="M19" s="1706">
        <v>3.2000000000000001E-2</v>
      </c>
      <c r="N19" s="1707"/>
      <c r="O19" s="1707"/>
    </row>
    <row r="20" spans="1:15" ht="39.75" customHeight="1" x14ac:dyDescent="0.5">
      <c r="A20" s="1703">
        <v>45258</v>
      </c>
      <c r="B20" s="1704"/>
      <c r="C20" s="1966" t="s">
        <v>3601</v>
      </c>
      <c r="D20" s="1966"/>
      <c r="E20" s="1966"/>
      <c r="F20" s="1966"/>
      <c r="G20" s="1705"/>
      <c r="H20" s="1705"/>
      <c r="I20" s="1569"/>
      <c r="J20" s="1569"/>
      <c r="K20" s="1569"/>
      <c r="L20" s="1569"/>
      <c r="M20" s="1569"/>
      <c r="N20" s="1583"/>
      <c r="O20" s="1583"/>
    </row>
    <row r="21" spans="1:15" ht="39.75" customHeight="1" x14ac:dyDescent="0.5">
      <c r="A21" s="1703">
        <v>45264</v>
      </c>
      <c r="B21" s="1703"/>
      <c r="C21" s="1569" t="s">
        <v>3580</v>
      </c>
      <c r="D21" s="1569" t="s">
        <v>3602</v>
      </c>
      <c r="E21" s="1569"/>
      <c r="F21" s="1687"/>
      <c r="G21" s="1687"/>
      <c r="H21" s="1687"/>
      <c r="I21" s="1569" t="s">
        <v>3603</v>
      </c>
      <c r="J21" s="1569"/>
      <c r="K21" s="1569" t="s">
        <v>3604</v>
      </c>
      <c r="L21" s="1708">
        <v>0.04</v>
      </c>
      <c r="M21" s="1708">
        <v>0</v>
      </c>
      <c r="N21" s="1709"/>
      <c r="O21" s="1709"/>
    </row>
    <row r="22" spans="1:15" ht="39.75" customHeight="1" x14ac:dyDescent="0.5">
      <c r="A22" s="1703">
        <v>45271</v>
      </c>
      <c r="B22" s="1704"/>
      <c r="C22" s="1965" t="s">
        <v>106</v>
      </c>
      <c r="D22" s="1965"/>
      <c r="E22" s="1965"/>
      <c r="F22" s="1965"/>
      <c r="G22" s="1705"/>
      <c r="H22" s="1705"/>
      <c r="I22" s="1569"/>
      <c r="J22" s="1569"/>
      <c r="K22" s="1569"/>
      <c r="L22" s="1569"/>
      <c r="M22" s="1569"/>
      <c r="N22" s="1583"/>
      <c r="O22" s="1583"/>
    </row>
    <row r="23" spans="1:15" ht="39.75" customHeight="1" x14ac:dyDescent="0.5">
      <c r="A23" s="1703">
        <v>45278</v>
      </c>
      <c r="B23" s="1703"/>
      <c r="C23" s="1569" t="s">
        <v>41</v>
      </c>
      <c r="D23" s="1569" t="s">
        <v>3605</v>
      </c>
      <c r="E23" s="1569" t="s">
        <v>3606</v>
      </c>
      <c r="F23" s="1687"/>
      <c r="G23" s="1687"/>
      <c r="H23" s="1687"/>
      <c r="I23" s="1569" t="s">
        <v>3607</v>
      </c>
      <c r="J23" s="1569"/>
      <c r="K23" s="1710"/>
      <c r="L23" s="1706">
        <v>0.217</v>
      </c>
      <c r="M23" s="1706">
        <v>2.1999999999999999E-2</v>
      </c>
      <c r="N23" s="1707"/>
      <c r="O23" s="1707"/>
    </row>
    <row r="24" spans="1:15" ht="39.75" customHeight="1" x14ac:dyDescent="0.5">
      <c r="A24" s="1703">
        <v>45285</v>
      </c>
      <c r="B24" s="1704"/>
      <c r="C24" s="1965" t="s">
        <v>1842</v>
      </c>
      <c r="D24" s="1965"/>
      <c r="E24" s="1965"/>
      <c r="F24" s="1965"/>
      <c r="G24" s="1705"/>
      <c r="H24" s="1705"/>
      <c r="I24" s="1569"/>
      <c r="J24" s="1569"/>
      <c r="K24" s="1569"/>
      <c r="L24" s="1569"/>
      <c r="M24" s="1569"/>
      <c r="N24" s="1583"/>
      <c r="O24" s="1583"/>
    </row>
    <row r="25" spans="1:15" ht="39.75" customHeight="1" x14ac:dyDescent="0.5">
      <c r="A25" s="1703">
        <v>44927</v>
      </c>
      <c r="B25" s="1704"/>
      <c r="C25" s="1965" t="s">
        <v>106</v>
      </c>
      <c r="D25" s="1965"/>
      <c r="E25" s="1965"/>
      <c r="F25" s="1965"/>
      <c r="G25" s="1705"/>
      <c r="H25" s="1705"/>
      <c r="I25" s="1569"/>
      <c r="J25" s="1569"/>
      <c r="K25" s="1569"/>
      <c r="L25" s="1569"/>
      <c r="M25" s="1569"/>
      <c r="N25" s="1583"/>
      <c r="O25" s="1583"/>
    </row>
    <row r="26" spans="1:15" ht="39.75" customHeight="1" x14ac:dyDescent="0.5">
      <c r="A26" s="1703">
        <v>44931</v>
      </c>
      <c r="B26" s="1704"/>
      <c r="C26" s="1966" t="s">
        <v>3608</v>
      </c>
      <c r="D26" s="1966"/>
      <c r="E26" s="1966"/>
      <c r="F26" s="1966"/>
      <c r="G26" s="1705"/>
      <c r="H26" s="1705"/>
      <c r="I26" s="1569"/>
      <c r="J26" s="1569"/>
      <c r="K26" s="1569"/>
      <c r="L26" s="1569"/>
      <c r="M26" s="1569"/>
      <c r="N26" s="1583"/>
      <c r="O26" s="1583"/>
    </row>
    <row r="27" spans="1:15" ht="39.75" customHeight="1" x14ac:dyDescent="0.5">
      <c r="A27" s="1711">
        <v>44934</v>
      </c>
      <c r="B27" s="1711"/>
      <c r="C27" s="1569" t="s">
        <v>41</v>
      </c>
      <c r="D27" s="1256" t="s">
        <v>3609</v>
      </c>
      <c r="E27" s="1256" t="s">
        <v>3610</v>
      </c>
      <c r="F27" s="1687"/>
      <c r="G27" s="1687"/>
      <c r="H27" s="1687"/>
      <c r="I27" s="1569" t="s">
        <v>3611</v>
      </c>
      <c r="J27" s="1569"/>
      <c r="K27" s="1569" t="s">
        <v>3612</v>
      </c>
      <c r="L27" s="1706">
        <v>0.45400000000000001</v>
      </c>
      <c r="M27" s="1706">
        <v>5.0000000000000001E-3</v>
      </c>
      <c r="N27" s="1707"/>
      <c r="O27" s="1707"/>
    </row>
    <row r="28" spans="1:15" ht="39.75" customHeight="1" x14ac:dyDescent="0.5">
      <c r="A28" s="1703">
        <v>44941</v>
      </c>
      <c r="B28" s="1703"/>
      <c r="C28" s="1569" t="s">
        <v>3574</v>
      </c>
      <c r="D28" s="1256" t="s">
        <v>3613</v>
      </c>
      <c r="E28" s="1256" t="s">
        <v>3614</v>
      </c>
      <c r="F28" s="1314" t="s">
        <v>3615</v>
      </c>
      <c r="G28" s="1314"/>
      <c r="H28" s="1314"/>
      <c r="I28" s="1569" t="s">
        <v>3616</v>
      </c>
      <c r="J28" s="1569"/>
      <c r="K28" s="1569" t="s">
        <v>3617</v>
      </c>
      <c r="L28" s="1706">
        <v>0.188</v>
      </c>
      <c r="M28" s="1706">
        <v>2.8000000000000001E-2</v>
      </c>
      <c r="N28" s="1707"/>
      <c r="O28" s="1707"/>
    </row>
    <row r="29" spans="1:15" ht="39.75" customHeight="1" x14ac:dyDescent="0.5">
      <c r="A29" s="1703">
        <v>44945</v>
      </c>
      <c r="B29" s="1704"/>
      <c r="C29" s="1966" t="s">
        <v>3618</v>
      </c>
      <c r="D29" s="1966"/>
      <c r="E29" s="1966"/>
      <c r="F29" s="1966"/>
      <c r="G29" s="1705"/>
      <c r="H29" s="1705"/>
      <c r="I29" s="1569"/>
      <c r="J29" s="1569"/>
      <c r="K29" s="1569"/>
      <c r="L29" s="1569"/>
      <c r="M29" s="1569"/>
      <c r="N29" s="1583"/>
      <c r="O29" s="1583"/>
    </row>
    <row r="30" spans="1:15" ht="39.75" customHeight="1" x14ac:dyDescent="0.5">
      <c r="A30" s="1703">
        <v>44948</v>
      </c>
      <c r="B30" s="1703"/>
      <c r="C30" s="1569" t="s">
        <v>3574</v>
      </c>
      <c r="D30" s="1569" t="s">
        <v>3619</v>
      </c>
      <c r="E30" s="1569" t="s">
        <v>3620</v>
      </c>
      <c r="F30" s="1314" t="s">
        <v>3615</v>
      </c>
      <c r="G30" s="1314"/>
      <c r="H30" s="1314"/>
      <c r="I30" s="1569" t="s">
        <v>3621</v>
      </c>
      <c r="J30" s="1569"/>
      <c r="K30" s="1569" t="s">
        <v>3622</v>
      </c>
      <c r="L30" s="1706">
        <v>0.158</v>
      </c>
      <c r="M30" s="1706">
        <v>0.02</v>
      </c>
      <c r="N30" s="1707"/>
      <c r="O30" s="1707"/>
    </row>
    <row r="31" spans="1:15" ht="39.75" customHeight="1" x14ac:dyDescent="0.5">
      <c r="A31" s="1703">
        <v>44955</v>
      </c>
      <c r="B31" s="1703"/>
      <c r="C31" s="1256" t="s">
        <v>3623</v>
      </c>
      <c r="D31" s="1569" t="s">
        <v>3624</v>
      </c>
      <c r="E31" s="1256" t="s">
        <v>3625</v>
      </c>
      <c r="F31" s="1687"/>
      <c r="G31" s="1687"/>
      <c r="H31" s="1687"/>
      <c r="I31" s="1569" t="s">
        <v>3626</v>
      </c>
      <c r="J31" s="1569"/>
      <c r="K31" s="1569" t="s">
        <v>3627</v>
      </c>
      <c r="L31" s="1706">
        <v>0.13100000000000001</v>
      </c>
      <c r="M31" s="1708">
        <v>0</v>
      </c>
      <c r="N31" s="1709"/>
      <c r="O31" s="1709"/>
    </row>
    <row r="32" spans="1:15" ht="39.75" customHeight="1" x14ac:dyDescent="0.5">
      <c r="A32" s="1703">
        <v>44962</v>
      </c>
      <c r="B32" s="1703"/>
      <c r="C32" s="1256" t="s">
        <v>3623</v>
      </c>
      <c r="D32" s="1569" t="s">
        <v>3628</v>
      </c>
      <c r="E32" s="1687"/>
      <c r="F32" s="1687"/>
      <c r="G32" s="1687"/>
      <c r="H32" s="1687"/>
      <c r="I32" s="1569" t="s">
        <v>3629</v>
      </c>
      <c r="J32" s="1569"/>
      <c r="K32" s="1569" t="s">
        <v>3630</v>
      </c>
      <c r="L32" s="1706">
        <v>0.26700000000000002</v>
      </c>
      <c r="M32" s="1706">
        <v>3.3000000000000002E-2</v>
      </c>
      <c r="N32" s="1707"/>
      <c r="O32" s="1707"/>
    </row>
    <row r="33" spans="1:15" ht="39.75" customHeight="1" x14ac:dyDescent="0.5">
      <c r="A33" s="1703">
        <v>44969</v>
      </c>
      <c r="B33" s="1703"/>
      <c r="C33" s="1256" t="s">
        <v>3623</v>
      </c>
      <c r="D33" s="1569" t="s">
        <v>3631</v>
      </c>
      <c r="E33" s="1687"/>
      <c r="F33" s="1687"/>
      <c r="G33" s="1687"/>
      <c r="H33" s="1687"/>
      <c r="I33" s="1569" t="s">
        <v>3632</v>
      </c>
      <c r="J33" s="1569"/>
      <c r="K33" s="1569" t="s">
        <v>3633</v>
      </c>
      <c r="L33" s="1706">
        <v>0.27300000000000002</v>
      </c>
      <c r="M33" s="1708">
        <v>0</v>
      </c>
      <c r="N33" s="1709"/>
      <c r="O33" s="1709"/>
    </row>
    <row r="34" spans="1:15" ht="39.75" customHeight="1" x14ac:dyDescent="0.5">
      <c r="A34" s="1703">
        <v>44976</v>
      </c>
      <c r="B34" s="1703"/>
      <c r="C34" s="1256" t="s">
        <v>3623</v>
      </c>
      <c r="D34" s="1569" t="s">
        <v>3634</v>
      </c>
      <c r="E34" s="1687" t="s">
        <v>3635</v>
      </c>
      <c r="F34" s="1687"/>
      <c r="G34" s="1687"/>
      <c r="H34" s="1687"/>
      <c r="I34" s="1569" t="s">
        <v>3636</v>
      </c>
      <c r="J34" s="1569"/>
      <c r="K34" s="1569" t="s">
        <v>3637</v>
      </c>
      <c r="L34" s="1706">
        <v>0.23100000000000001</v>
      </c>
      <c r="M34" s="1706">
        <v>1.4999999999999999E-2</v>
      </c>
      <c r="N34" s="1707"/>
      <c r="O34" s="1707"/>
    </row>
    <row r="35" spans="1:15" ht="39.75" customHeight="1" x14ac:dyDescent="0.5">
      <c r="A35" s="1711">
        <v>44983</v>
      </c>
      <c r="B35" s="1711"/>
      <c r="C35" s="1256" t="s">
        <v>3623</v>
      </c>
      <c r="D35" s="1569" t="s">
        <v>3638</v>
      </c>
      <c r="E35" s="1687" t="s">
        <v>3639</v>
      </c>
      <c r="F35" s="1687" t="s">
        <v>3640</v>
      </c>
      <c r="G35" s="1687"/>
      <c r="H35" s="1687"/>
      <c r="I35" s="1569" t="s">
        <v>3641</v>
      </c>
      <c r="J35" s="1569"/>
      <c r="K35" s="1569" t="s">
        <v>3642</v>
      </c>
      <c r="L35" s="1706">
        <v>0.24099999999999999</v>
      </c>
      <c r="M35" s="1706">
        <v>1.2999999999999999E-2</v>
      </c>
      <c r="N35" s="1707"/>
      <c r="O35" s="1707"/>
    </row>
    <row r="36" spans="1:15" ht="39.75" customHeight="1" x14ac:dyDescent="0.5">
      <c r="A36" s="1703">
        <v>44989</v>
      </c>
      <c r="B36" s="1703"/>
      <c r="C36" s="1256" t="s">
        <v>3643</v>
      </c>
      <c r="D36" s="1569" t="s">
        <v>3644</v>
      </c>
      <c r="E36" s="1687" t="s">
        <v>3645</v>
      </c>
      <c r="F36" s="1687" t="s">
        <v>3646</v>
      </c>
      <c r="G36" s="1687"/>
      <c r="H36" s="1687"/>
      <c r="I36" s="1569" t="s">
        <v>3647</v>
      </c>
      <c r="J36" s="1569"/>
      <c r="K36" s="1569" t="s">
        <v>3648</v>
      </c>
      <c r="L36" s="1706">
        <v>0.252</v>
      </c>
      <c r="M36" s="1706">
        <v>2.1999999999999999E-2</v>
      </c>
      <c r="N36" s="1707"/>
      <c r="O36" s="1707"/>
    </row>
    <row r="37" spans="1:15" ht="39.75" customHeight="1" x14ac:dyDescent="0.5">
      <c r="A37" s="1703">
        <v>44996</v>
      </c>
      <c r="B37" s="1703"/>
      <c r="C37" s="1256" t="s">
        <v>3623</v>
      </c>
      <c r="D37" s="1256" t="s">
        <v>1166</v>
      </c>
      <c r="E37" s="1687" t="s">
        <v>3649</v>
      </c>
      <c r="F37" s="1687" t="s">
        <v>3650</v>
      </c>
      <c r="G37" s="1687"/>
      <c r="H37" s="1687"/>
      <c r="I37" s="1569" t="s">
        <v>3651</v>
      </c>
      <c r="J37" s="1569"/>
      <c r="K37" s="1569" t="s">
        <v>3652</v>
      </c>
      <c r="L37" s="1706">
        <v>0.20449999999999999</v>
      </c>
      <c r="M37" s="1708">
        <v>0</v>
      </c>
      <c r="N37" s="1709"/>
      <c r="O37" s="1709"/>
    </row>
    <row r="38" spans="1:15" ht="39.75" customHeight="1" x14ac:dyDescent="0.5">
      <c r="A38" s="1703">
        <v>45003</v>
      </c>
      <c r="B38" s="1703"/>
      <c r="C38" s="1256" t="s">
        <v>3623</v>
      </c>
      <c r="D38" s="1569" t="s">
        <v>1101</v>
      </c>
      <c r="E38" s="1687" t="s">
        <v>3653</v>
      </c>
      <c r="F38" s="1687"/>
      <c r="G38" s="1687"/>
      <c r="H38" s="1687"/>
      <c r="I38" s="1569" t="s">
        <v>3654</v>
      </c>
      <c r="J38" s="1569"/>
      <c r="K38" s="1569" t="s">
        <v>3655</v>
      </c>
      <c r="L38" s="1706">
        <v>0.1366</v>
      </c>
      <c r="M38" s="1706">
        <v>1.09E-2</v>
      </c>
      <c r="N38" s="1707"/>
      <c r="O38" s="1707"/>
    </row>
    <row r="39" spans="1:15" ht="39.75" customHeight="1" x14ac:dyDescent="0.5">
      <c r="A39" s="1712">
        <v>45010</v>
      </c>
      <c r="B39" s="1713"/>
      <c r="C39" s="1955" t="s">
        <v>3656</v>
      </c>
      <c r="D39" s="1955"/>
      <c r="E39" s="1955"/>
      <c r="F39" s="1955"/>
      <c r="G39" s="1714"/>
      <c r="H39" s="1714"/>
      <c r="I39" s="1569"/>
      <c r="J39" s="1569"/>
      <c r="K39" s="1569"/>
      <c r="L39" s="1569"/>
      <c r="M39" s="1569"/>
      <c r="N39" s="1583"/>
      <c r="O39" s="1583"/>
    </row>
    <row r="40" spans="1:15" s="1583" customFormat="1" ht="39.75" customHeight="1" x14ac:dyDescent="0.35">
      <c r="A40" s="1703">
        <v>45010</v>
      </c>
      <c r="B40" s="1715"/>
      <c r="C40" s="1680" t="s">
        <v>3623</v>
      </c>
      <c r="D40" s="1716" t="s">
        <v>3657</v>
      </c>
      <c r="E40" s="1716"/>
      <c r="F40" s="1716" t="s">
        <v>3658</v>
      </c>
      <c r="G40" s="1717"/>
      <c r="H40" s="1717"/>
      <c r="I40" s="1680" t="s">
        <v>3659</v>
      </c>
      <c r="J40" s="1680"/>
      <c r="K40" s="1569" t="s">
        <v>3660</v>
      </c>
      <c r="L40" s="1706">
        <v>0.2319</v>
      </c>
      <c r="M40" s="1706">
        <v>4.3499999999999997E-2</v>
      </c>
      <c r="N40" s="1707"/>
      <c r="O40" s="1707"/>
    </row>
    <row r="41" spans="1:15" s="1583" customFormat="1" ht="39.75" customHeight="1" x14ac:dyDescent="0.35">
      <c r="A41" s="1703">
        <v>45010</v>
      </c>
      <c r="B41" s="1718"/>
      <c r="C41" s="1719" t="s">
        <v>3574</v>
      </c>
      <c r="D41" s="1720" t="s">
        <v>1958</v>
      </c>
      <c r="E41" s="1720"/>
      <c r="F41" s="1720"/>
      <c r="G41" s="1721"/>
      <c r="H41" s="1721"/>
      <c r="I41" s="1680" t="s">
        <v>3661</v>
      </c>
      <c r="J41" s="1680"/>
      <c r="K41" s="1569" t="s">
        <v>3662</v>
      </c>
      <c r="L41" s="1706" t="s">
        <v>3663</v>
      </c>
      <c r="M41" s="1706" t="s">
        <v>3664</v>
      </c>
      <c r="N41" s="1707"/>
      <c r="O41" s="1707"/>
    </row>
    <row r="42" spans="1:15" ht="39.75" customHeight="1" x14ac:dyDescent="0.5">
      <c r="A42" s="1722">
        <v>45017</v>
      </c>
      <c r="B42" s="1718"/>
      <c r="C42" s="1680" t="s">
        <v>3623</v>
      </c>
      <c r="D42" s="1723" t="s">
        <v>1101</v>
      </c>
      <c r="E42" s="1723" t="s">
        <v>3665</v>
      </c>
      <c r="F42" s="1724"/>
      <c r="G42" s="1724"/>
      <c r="H42" s="1724"/>
      <c r="I42" s="1569" t="s">
        <v>3666</v>
      </c>
      <c r="J42" s="1569"/>
      <c r="K42" s="1569" t="s">
        <v>3667</v>
      </c>
      <c r="L42" s="1706">
        <v>9.2999999999999999E-2</v>
      </c>
      <c r="M42" s="1708">
        <v>0</v>
      </c>
      <c r="N42" s="1709"/>
      <c r="O42" s="1709"/>
    </row>
    <row r="43" spans="1:15" ht="39.75" customHeight="1" x14ac:dyDescent="0.5">
      <c r="A43" s="1703">
        <v>45024</v>
      </c>
      <c r="B43" s="1703"/>
      <c r="C43" s="1256" t="s">
        <v>3623</v>
      </c>
      <c r="D43" s="1256" t="s">
        <v>1101</v>
      </c>
      <c r="E43" s="1256" t="s">
        <v>3668</v>
      </c>
      <c r="F43" s="1687"/>
      <c r="G43" s="1687"/>
      <c r="H43" s="1687"/>
      <c r="I43" s="1569" t="s">
        <v>3669</v>
      </c>
      <c r="J43" s="1569"/>
      <c r="K43" s="1569" t="s">
        <v>3670</v>
      </c>
      <c r="L43" s="1706">
        <v>0.1827</v>
      </c>
      <c r="M43" s="1706">
        <v>4.8099999999999997E-2</v>
      </c>
      <c r="N43" s="1707"/>
      <c r="O43" s="1707"/>
    </row>
    <row r="44" spans="1:15" ht="39.75" customHeight="1" x14ac:dyDescent="0.5">
      <c r="A44" s="1703">
        <v>45031</v>
      </c>
      <c r="B44" s="1715"/>
      <c r="C44" s="1680" t="s">
        <v>3623</v>
      </c>
      <c r="D44" s="1723" t="s">
        <v>3671</v>
      </c>
      <c r="E44" s="1723" t="s">
        <v>3665</v>
      </c>
      <c r="F44" s="1687"/>
      <c r="G44" s="1687"/>
      <c r="H44" s="1687"/>
      <c r="I44" s="1569" t="s">
        <v>3672</v>
      </c>
      <c r="J44" s="1569"/>
      <c r="K44" s="1569" t="s">
        <v>3670</v>
      </c>
      <c r="L44" s="1706">
        <v>0.23080000000000001</v>
      </c>
      <c r="M44" s="1706">
        <v>5.7700000000000001E-2</v>
      </c>
      <c r="N44" s="1707"/>
      <c r="O44" s="1707"/>
    </row>
    <row r="45" spans="1:15" ht="39.75" customHeight="1" x14ac:dyDescent="0.5">
      <c r="A45" s="1703">
        <v>45031</v>
      </c>
      <c r="B45" s="1703"/>
      <c r="C45" s="1256" t="s">
        <v>3623</v>
      </c>
      <c r="D45" s="1723" t="s">
        <v>3673</v>
      </c>
      <c r="E45" s="1723" t="s">
        <v>3674</v>
      </c>
      <c r="F45" s="1687"/>
      <c r="G45" s="1687"/>
      <c r="H45" s="1687"/>
      <c r="I45" s="1569" t="s">
        <v>3675</v>
      </c>
      <c r="J45" s="1569"/>
      <c r="K45" s="1569" t="s">
        <v>3676</v>
      </c>
      <c r="L45" s="1706">
        <v>0.28160000000000002</v>
      </c>
      <c r="M45" s="1706">
        <v>4.8500000000000001E-2</v>
      </c>
      <c r="N45" s="1707"/>
      <c r="O45" s="1707"/>
    </row>
    <row r="46" spans="1:15" ht="39.75" customHeight="1" x14ac:dyDescent="0.5">
      <c r="A46" s="1703">
        <v>45031</v>
      </c>
      <c r="B46" s="1713"/>
      <c r="C46" s="1955" t="s">
        <v>3656</v>
      </c>
      <c r="D46" s="1955"/>
      <c r="E46" s="1955"/>
      <c r="F46" s="1955"/>
      <c r="G46" s="1714"/>
      <c r="H46" s="1714"/>
      <c r="I46" s="1569" t="s">
        <v>3677</v>
      </c>
      <c r="J46" s="1569"/>
      <c r="K46" s="1569" t="s">
        <v>3676</v>
      </c>
      <c r="L46" s="1706">
        <v>0.34620000000000001</v>
      </c>
      <c r="M46" s="1706">
        <v>0.17949999999999999</v>
      </c>
      <c r="N46" s="1707"/>
      <c r="O46" s="1707"/>
    </row>
    <row r="47" spans="1:15" ht="39.75" customHeight="1" x14ac:dyDescent="0.5">
      <c r="A47" s="1703">
        <v>45038</v>
      </c>
      <c r="B47" s="1703"/>
      <c r="C47" s="1256" t="s">
        <v>3678</v>
      </c>
      <c r="D47" s="1256" t="s">
        <v>1958</v>
      </c>
      <c r="E47" s="1256" t="s">
        <v>3679</v>
      </c>
      <c r="F47" s="1687"/>
      <c r="G47" s="1687"/>
      <c r="H47" s="1687"/>
      <c r="I47" s="1569" t="s">
        <v>3680</v>
      </c>
      <c r="J47" s="1569"/>
      <c r="K47" s="1569" t="s">
        <v>3676</v>
      </c>
      <c r="L47" s="1706">
        <v>0.2162</v>
      </c>
      <c r="M47" s="1706">
        <v>3.5999999999999997E-2</v>
      </c>
      <c r="N47" s="1707"/>
      <c r="O47" s="1707"/>
    </row>
    <row r="48" spans="1:15" ht="39.75" customHeight="1" x14ac:dyDescent="0.5">
      <c r="A48" s="1703">
        <v>45038</v>
      </c>
      <c r="B48" s="1712"/>
      <c r="C48" s="1725" t="s">
        <v>3623</v>
      </c>
      <c r="D48" s="1723" t="s">
        <v>3681</v>
      </c>
      <c r="E48" s="1725" t="s">
        <v>3682</v>
      </c>
      <c r="F48" s="1726"/>
      <c r="G48" s="1726"/>
      <c r="H48" s="1726"/>
      <c r="I48" s="1569" t="s">
        <v>3683</v>
      </c>
      <c r="J48" s="1569"/>
      <c r="K48" s="1569" t="s">
        <v>3676</v>
      </c>
      <c r="L48" s="1706">
        <v>0.11600000000000001</v>
      </c>
      <c r="M48" s="1706">
        <v>1.0999999999999999E-2</v>
      </c>
      <c r="N48" s="1707"/>
      <c r="O48" s="1707"/>
    </row>
    <row r="49" spans="1:15" ht="39.75" customHeight="1" x14ac:dyDescent="0.5">
      <c r="A49" s="1703">
        <v>45045</v>
      </c>
      <c r="B49" s="1712"/>
      <c r="C49" s="1727" t="s">
        <v>3623</v>
      </c>
      <c r="D49" s="1727" t="s">
        <v>3684</v>
      </c>
      <c r="E49" s="1727" t="s">
        <v>3685</v>
      </c>
      <c r="F49" s="1726"/>
      <c r="G49" s="1726"/>
      <c r="H49" s="1726"/>
      <c r="I49" s="1569" t="s">
        <v>3686</v>
      </c>
      <c r="J49" s="1569"/>
      <c r="K49" s="1569" t="s">
        <v>3687</v>
      </c>
      <c r="L49" s="1706">
        <v>0.1356</v>
      </c>
      <c r="M49" s="1706">
        <v>5.5999999999999999E-3</v>
      </c>
      <c r="N49" s="1707"/>
      <c r="O49" s="1707"/>
    </row>
    <row r="50" spans="1:15" ht="39.75" customHeight="1" x14ac:dyDescent="0.5">
      <c r="A50" s="1704">
        <v>45418</v>
      </c>
      <c r="B50" s="1713"/>
      <c r="C50" s="1727" t="s">
        <v>3623</v>
      </c>
      <c r="D50" s="1727" t="s">
        <v>3684</v>
      </c>
      <c r="E50" s="1727" t="s">
        <v>3688</v>
      </c>
      <c r="F50" s="1725"/>
      <c r="G50" s="1728"/>
      <c r="H50" s="1728"/>
      <c r="I50" s="1680" t="s">
        <v>3689</v>
      </c>
      <c r="J50" s="1680"/>
      <c r="K50" s="1569" t="s">
        <v>3690</v>
      </c>
      <c r="L50" s="1706">
        <v>0.113</v>
      </c>
      <c r="M50" s="1708">
        <v>0</v>
      </c>
      <c r="N50" s="1709"/>
      <c r="O50" s="1709"/>
    </row>
    <row r="51" spans="1:15" ht="39.75" customHeight="1" x14ac:dyDescent="0.5">
      <c r="A51" s="1704">
        <v>45418</v>
      </c>
      <c r="B51" s="1704"/>
      <c r="C51" s="1256" t="s">
        <v>3678</v>
      </c>
      <c r="D51" s="1569" t="s">
        <v>1958</v>
      </c>
      <c r="E51" s="1569" t="s">
        <v>3691</v>
      </c>
      <c r="F51" s="1256" t="s">
        <v>3692</v>
      </c>
      <c r="G51" s="1729"/>
      <c r="H51" s="1729"/>
      <c r="I51" s="1680" t="s">
        <v>3693</v>
      </c>
      <c r="J51" s="1680"/>
      <c r="K51" s="1569" t="s">
        <v>3690</v>
      </c>
      <c r="L51" s="1706">
        <v>0.12620000000000001</v>
      </c>
      <c r="M51" s="1708">
        <v>0</v>
      </c>
      <c r="N51" s="1709"/>
      <c r="O51" s="1709"/>
    </row>
    <row r="52" spans="1:15" ht="39.75" customHeight="1" x14ac:dyDescent="0.5">
      <c r="A52" s="1703">
        <v>45425</v>
      </c>
      <c r="B52" s="1704"/>
      <c r="C52" s="1965" t="s">
        <v>106</v>
      </c>
      <c r="D52" s="1965"/>
      <c r="E52" s="1965"/>
      <c r="F52" s="1965"/>
      <c r="G52" s="1705"/>
      <c r="H52" s="1705"/>
      <c r="I52" s="1680"/>
      <c r="J52" s="1680"/>
      <c r="K52" s="1569"/>
      <c r="L52" s="1569"/>
      <c r="M52" s="1569"/>
      <c r="N52" s="1583"/>
      <c r="O52" s="1583"/>
    </row>
    <row r="53" spans="1:15" s="1583" customFormat="1" ht="39.75" customHeight="1" x14ac:dyDescent="0.35">
      <c r="A53" s="1704">
        <v>45432</v>
      </c>
      <c r="B53" s="1704"/>
      <c r="C53" s="1256" t="s">
        <v>3623</v>
      </c>
      <c r="D53" s="1716" t="s">
        <v>3694</v>
      </c>
      <c r="E53" s="1690" t="s">
        <v>3695</v>
      </c>
      <c r="F53" s="1569"/>
      <c r="G53" s="1680"/>
      <c r="H53" s="1680"/>
      <c r="I53" s="1680" t="s">
        <v>3696</v>
      </c>
      <c r="J53" s="1680"/>
      <c r="K53" s="1569" t="s">
        <v>3697</v>
      </c>
      <c r="L53" s="1706">
        <v>0.13469999999999999</v>
      </c>
      <c r="M53" s="1706">
        <v>0</v>
      </c>
      <c r="N53" s="1707"/>
      <c r="O53" s="1707"/>
    </row>
    <row r="54" spans="1:15" s="1583" customFormat="1" ht="39.75" customHeight="1" x14ac:dyDescent="0.35">
      <c r="A54" s="1704">
        <v>45432</v>
      </c>
      <c r="B54" s="1704"/>
      <c r="C54" s="1256" t="s">
        <v>3623</v>
      </c>
      <c r="D54" s="1716" t="s">
        <v>3698</v>
      </c>
      <c r="E54" s="1690" t="s">
        <v>3699</v>
      </c>
      <c r="F54" s="1578" t="s">
        <v>3700</v>
      </c>
      <c r="G54" s="1719"/>
      <c r="H54" s="1719"/>
      <c r="I54" s="1680" t="s">
        <v>3701</v>
      </c>
      <c r="J54" s="1680"/>
      <c r="K54" s="1569" t="s">
        <v>3697</v>
      </c>
      <c r="L54" s="1706">
        <v>0.41839999999999999</v>
      </c>
      <c r="M54" s="1706">
        <v>5.0999999999999997E-2</v>
      </c>
      <c r="N54" s="1707"/>
      <c r="O54" s="1707"/>
    </row>
    <row r="55" spans="1:15" s="1583" customFormat="1" ht="39.75" customHeight="1" x14ac:dyDescent="0.35">
      <c r="A55" s="1704">
        <v>45432</v>
      </c>
      <c r="B55" s="1704"/>
      <c r="C55" s="1256" t="s">
        <v>3623</v>
      </c>
      <c r="D55" s="1716" t="s">
        <v>3698</v>
      </c>
      <c r="E55" s="1690" t="s">
        <v>3699</v>
      </c>
      <c r="F55" s="1578" t="s">
        <v>3700</v>
      </c>
      <c r="G55" s="1719"/>
      <c r="H55" s="1719"/>
      <c r="I55" s="1680" t="s">
        <v>3696</v>
      </c>
      <c r="J55" s="1680"/>
      <c r="K55" s="1569" t="s">
        <v>3697</v>
      </c>
      <c r="L55" s="1706">
        <v>0.34689999999999999</v>
      </c>
      <c r="M55" s="1706">
        <v>3.0599999999999999E-2</v>
      </c>
      <c r="N55" s="1707"/>
      <c r="O55" s="1707"/>
    </row>
    <row r="56" spans="1:15" s="1583" customFormat="1" ht="39.75" customHeight="1" x14ac:dyDescent="0.35">
      <c r="A56" s="1704">
        <v>45432</v>
      </c>
      <c r="B56" s="1704"/>
      <c r="C56" s="1256" t="s">
        <v>3623</v>
      </c>
      <c r="D56" s="1716" t="s">
        <v>3702</v>
      </c>
      <c r="E56" s="1690"/>
      <c r="F56" s="1578"/>
      <c r="G56" s="1719"/>
      <c r="H56" s="1719"/>
      <c r="I56" s="1680" t="s">
        <v>3703</v>
      </c>
      <c r="J56" s="1680"/>
      <c r="K56" s="1569" t="s">
        <v>3697</v>
      </c>
      <c r="L56" s="1706">
        <v>0.51429999999999998</v>
      </c>
      <c r="M56" s="1706">
        <v>0.1429</v>
      </c>
      <c r="N56" s="1707"/>
      <c r="O56" s="1707"/>
    </row>
    <row r="57" spans="1:15" ht="39.75" customHeight="1" x14ac:dyDescent="0.5">
      <c r="A57" s="1704">
        <v>45439</v>
      </c>
      <c r="B57" s="1704"/>
      <c r="C57" s="1965" t="s">
        <v>3704</v>
      </c>
      <c r="D57" s="1965"/>
      <c r="E57" s="1965"/>
      <c r="F57" s="1965"/>
      <c r="G57" s="1705"/>
      <c r="H57" s="1705"/>
      <c r="I57" s="1680"/>
      <c r="J57" s="1680"/>
      <c r="K57" s="1569"/>
      <c r="L57" s="1569"/>
      <c r="M57" s="1569"/>
      <c r="N57" s="1583"/>
      <c r="O57" s="1583"/>
    </row>
    <row r="58" spans="1:15" ht="39.75" customHeight="1" x14ac:dyDescent="0.5">
      <c r="A58" s="1569" t="s">
        <v>3705</v>
      </c>
      <c r="B58" s="1730"/>
      <c r="C58" s="1969" t="s">
        <v>3706</v>
      </c>
      <c r="D58" s="1969"/>
      <c r="E58" s="1969"/>
      <c r="F58" s="1969"/>
      <c r="G58" s="1731"/>
      <c r="H58" s="1731"/>
      <c r="I58" s="1569"/>
      <c r="J58" s="1569"/>
      <c r="K58" s="1569"/>
      <c r="L58" s="1569"/>
      <c r="M58" s="1569"/>
      <c r="N58" s="1583"/>
      <c r="O58" s="1583"/>
    </row>
    <row r="59" spans="1:15" s="1583" customFormat="1" ht="39.75" customHeight="1" x14ac:dyDescent="0.5">
      <c r="A59" s="1704">
        <v>45453</v>
      </c>
      <c r="B59" s="1704"/>
      <c r="C59" s="1965" t="s">
        <v>3707</v>
      </c>
      <c r="D59" s="1965"/>
      <c r="E59" s="1965"/>
      <c r="F59" s="1965"/>
      <c r="G59" s="1705"/>
      <c r="H59" s="1705"/>
      <c r="I59" s="1680"/>
      <c r="J59" s="1680"/>
      <c r="K59" s="1569"/>
      <c r="L59" s="1569"/>
      <c r="M59" s="1569"/>
    </row>
    <row r="60" spans="1:15" s="1583" customFormat="1" ht="39.75" customHeight="1" x14ac:dyDescent="0.5">
      <c r="A60" s="1704">
        <v>45460</v>
      </c>
      <c r="B60" s="1704"/>
      <c r="C60" s="1965" t="s">
        <v>3707</v>
      </c>
      <c r="D60" s="1965"/>
      <c r="E60" s="1965"/>
      <c r="F60" s="1965"/>
      <c r="G60" s="1705"/>
      <c r="H60" s="1705"/>
      <c r="I60" s="1680" t="s">
        <v>3708</v>
      </c>
      <c r="J60" s="1680"/>
      <c r="K60" s="1569"/>
      <c r="L60" s="1569"/>
      <c r="M60" s="1569"/>
    </row>
    <row r="61" spans="1:15" ht="39.75" customHeight="1" x14ac:dyDescent="0.5">
      <c r="A61" s="1713">
        <v>45467</v>
      </c>
      <c r="B61" s="1713"/>
      <c r="C61" s="1725" t="s">
        <v>41</v>
      </c>
      <c r="D61" s="1732" t="s">
        <v>3709</v>
      </c>
      <c r="E61" s="1732" t="s">
        <v>3710</v>
      </c>
      <c r="F61" s="1733"/>
      <c r="G61" s="1714"/>
      <c r="H61" s="1714"/>
      <c r="I61" s="1734" t="s">
        <v>3711</v>
      </c>
      <c r="J61" s="1734"/>
      <c r="K61" s="1727" t="s">
        <v>3712</v>
      </c>
      <c r="L61" s="1735">
        <v>0.27210000000000001</v>
      </c>
      <c r="M61" s="1735">
        <v>2.7199999999999998E-2</v>
      </c>
      <c r="N61" s="1707"/>
      <c r="O61" s="1707"/>
    </row>
    <row r="62" spans="1:15" ht="39.75" customHeight="1" x14ac:dyDescent="0.5">
      <c r="A62" s="1968"/>
      <c r="B62" s="1968"/>
      <c r="C62" s="1968"/>
      <c r="D62" s="1968"/>
      <c r="E62" s="1968"/>
      <c r="F62" s="1968"/>
      <c r="G62" s="1968"/>
      <c r="H62" s="1968"/>
      <c r="I62" s="1968"/>
      <c r="J62" s="1968"/>
      <c r="K62" s="1968"/>
      <c r="L62" s="1968"/>
      <c r="M62" s="1968"/>
      <c r="N62" s="1736"/>
      <c r="O62" s="1736"/>
    </row>
    <row r="63" spans="1:15" ht="39.75" customHeight="1" x14ac:dyDescent="0.5">
      <c r="A63" s="1712" t="s">
        <v>3713</v>
      </c>
      <c r="B63" s="1713"/>
      <c r="C63" s="1955" t="s">
        <v>3714</v>
      </c>
      <c r="D63" s="1955"/>
      <c r="E63" s="1955"/>
      <c r="F63" s="1955"/>
      <c r="G63" s="1714"/>
      <c r="H63" s="1714"/>
      <c r="I63" s="1727"/>
      <c r="J63" s="1727"/>
      <c r="K63" s="1727"/>
      <c r="L63" s="1727"/>
      <c r="M63" s="1727"/>
      <c r="N63" s="1569"/>
      <c r="O63" s="1569"/>
    </row>
    <row r="64" spans="1:15" ht="39.75" customHeight="1" x14ac:dyDescent="0.5">
      <c r="A64" s="1703">
        <v>45474</v>
      </c>
      <c r="B64" s="1704"/>
      <c r="C64" s="1965" t="s">
        <v>3707</v>
      </c>
      <c r="D64" s="1965"/>
      <c r="E64" s="1965"/>
      <c r="F64" s="1965"/>
      <c r="G64" s="1705"/>
      <c r="H64" s="1705"/>
      <c r="I64" s="1569"/>
      <c r="J64" s="1569"/>
      <c r="K64" s="1569"/>
      <c r="L64" s="1569"/>
      <c r="M64" s="1569"/>
      <c r="N64" s="1569"/>
      <c r="O64" s="1569"/>
    </row>
    <row r="65" spans="1:15" ht="39.75" customHeight="1" x14ac:dyDescent="0.5">
      <c r="A65" s="1703">
        <v>45480</v>
      </c>
      <c r="B65" s="1713"/>
      <c r="C65" s="1955" t="s">
        <v>3715</v>
      </c>
      <c r="D65" s="1955"/>
      <c r="E65" s="1955"/>
      <c r="F65" s="1955"/>
      <c r="G65" s="1714"/>
      <c r="H65" s="1714"/>
      <c r="I65" s="1727"/>
      <c r="J65" s="1727"/>
      <c r="K65" s="1727"/>
      <c r="L65" s="1727"/>
      <c r="M65" s="1727"/>
      <c r="N65" s="1569"/>
      <c r="O65" s="1569"/>
    </row>
    <row r="66" spans="1:15" ht="39.75" customHeight="1" x14ac:dyDescent="0.5">
      <c r="A66" s="1703">
        <v>45480</v>
      </c>
      <c r="B66" s="1704"/>
      <c r="C66" s="1737" t="s">
        <v>3716</v>
      </c>
      <c r="D66" s="1716" t="s">
        <v>3717</v>
      </c>
      <c r="E66" s="1716" t="s">
        <v>3718</v>
      </c>
      <c r="F66" s="1737" t="s">
        <v>3719</v>
      </c>
      <c r="G66" s="1313"/>
      <c r="H66" s="1688" t="s">
        <v>3720</v>
      </c>
      <c r="I66" s="1728" t="s">
        <v>2831</v>
      </c>
      <c r="J66" s="1728" t="s">
        <v>3364</v>
      </c>
      <c r="K66" s="1727">
        <v>56</v>
      </c>
      <c r="L66" s="1735">
        <v>0.2361</v>
      </c>
      <c r="M66" s="1735">
        <v>3.3700000000000001E-2</v>
      </c>
      <c r="N66" s="1706"/>
      <c r="O66" s="1706"/>
    </row>
    <row r="67" spans="1:15" ht="39.75" customHeight="1" x14ac:dyDescent="0.5">
      <c r="A67" s="1703">
        <v>45480</v>
      </c>
      <c r="B67" s="1704"/>
      <c r="C67" s="1737" t="s">
        <v>3721</v>
      </c>
      <c r="D67" s="1716" t="s">
        <v>3717</v>
      </c>
      <c r="E67" s="1716" t="s">
        <v>3718</v>
      </c>
      <c r="F67" s="1737" t="s">
        <v>3719</v>
      </c>
      <c r="G67" s="1313"/>
      <c r="H67" s="1688" t="s">
        <v>3722</v>
      </c>
      <c r="I67" s="1728" t="s">
        <v>2831</v>
      </c>
      <c r="J67" s="1728" t="s">
        <v>3364</v>
      </c>
      <c r="K67" s="1727">
        <v>56</v>
      </c>
      <c r="L67" s="1735">
        <v>0.33329999999999999</v>
      </c>
      <c r="M67" s="1735">
        <v>0.13159999999999999</v>
      </c>
      <c r="N67" s="1706"/>
      <c r="O67" s="1706"/>
    </row>
    <row r="68" spans="1:15" ht="39.75" customHeight="1" x14ac:dyDescent="0.5">
      <c r="A68" s="1703">
        <v>45852</v>
      </c>
      <c r="B68" s="1703"/>
      <c r="C68" s="1256" t="s">
        <v>3723</v>
      </c>
      <c r="D68" s="1720" t="s">
        <v>3724</v>
      </c>
      <c r="E68" s="1720"/>
      <c r="F68" s="1738"/>
      <c r="G68" s="1313"/>
      <c r="H68" s="1689" t="s">
        <v>3725</v>
      </c>
      <c r="I68" s="1680" t="s">
        <v>2837</v>
      </c>
      <c r="J68" s="1728" t="s">
        <v>3364</v>
      </c>
      <c r="K68" s="1569">
        <v>46</v>
      </c>
      <c r="L68" s="1706">
        <v>0.26029999999999998</v>
      </c>
      <c r="M68" s="1706">
        <v>0.1164</v>
      </c>
      <c r="N68" s="1706"/>
      <c r="O68" s="1706"/>
    </row>
    <row r="69" spans="1:15" ht="39.75" customHeight="1" x14ac:dyDescent="0.5">
      <c r="A69" s="1703">
        <v>45859</v>
      </c>
      <c r="B69" s="1703"/>
      <c r="C69" s="1256" t="s">
        <v>3726</v>
      </c>
      <c r="D69" s="1716" t="s">
        <v>3727</v>
      </c>
      <c r="E69" s="1716"/>
      <c r="F69" s="1739"/>
      <c r="G69" s="1313"/>
      <c r="H69" s="1689" t="s">
        <v>3728</v>
      </c>
      <c r="I69" s="1680" t="s">
        <v>3729</v>
      </c>
      <c r="J69" s="1680" t="s">
        <v>3730</v>
      </c>
      <c r="K69" s="1569">
        <v>6</v>
      </c>
      <c r="L69" s="1706">
        <v>0.83330000000000004</v>
      </c>
      <c r="M69" s="1708">
        <v>0.5</v>
      </c>
      <c r="N69" s="1708"/>
      <c r="O69" s="1708"/>
    </row>
    <row r="70" spans="1:15" ht="39.75" customHeight="1" x14ac:dyDescent="0.5">
      <c r="A70" s="1703">
        <v>45860</v>
      </c>
      <c r="B70" s="1713"/>
      <c r="C70" s="1955" t="s">
        <v>3731</v>
      </c>
      <c r="D70" s="1955"/>
      <c r="E70" s="1955"/>
      <c r="F70" s="1955"/>
      <c r="G70" s="1313"/>
      <c r="H70" s="1680"/>
      <c r="I70" s="1680"/>
      <c r="J70" s="1680"/>
      <c r="K70" s="1569"/>
      <c r="L70" s="1569"/>
      <c r="M70" s="1569"/>
      <c r="N70" s="1569"/>
      <c r="O70" s="1569"/>
    </row>
    <row r="71" spans="1:15" ht="39.75" customHeight="1" x14ac:dyDescent="0.5">
      <c r="A71" s="1703">
        <v>45863</v>
      </c>
      <c r="B71" s="1713"/>
      <c r="C71" s="1955" t="s">
        <v>3732</v>
      </c>
      <c r="D71" s="1955"/>
      <c r="E71" s="1955"/>
      <c r="F71" s="1955"/>
      <c r="G71" s="1313"/>
      <c r="H71" s="1680"/>
      <c r="I71" s="1680"/>
      <c r="J71" s="1680"/>
      <c r="K71" s="1569"/>
      <c r="L71" s="1569"/>
      <c r="M71" s="1569"/>
      <c r="N71" s="1569"/>
      <c r="O71" s="1569"/>
    </row>
    <row r="72" spans="1:15" ht="39.75" customHeight="1" x14ac:dyDescent="0.5">
      <c r="A72" s="1703">
        <v>45866</v>
      </c>
      <c r="B72" s="1713"/>
      <c r="C72" s="1955" t="s">
        <v>3733</v>
      </c>
      <c r="D72" s="1955"/>
      <c r="E72" s="1955"/>
      <c r="F72" s="1955"/>
      <c r="G72" s="1313"/>
      <c r="H72" s="1680"/>
      <c r="I72" s="1680"/>
      <c r="J72" s="1680"/>
      <c r="K72" s="1569"/>
      <c r="L72" s="1569"/>
      <c r="M72" s="1569"/>
      <c r="N72" s="1569"/>
      <c r="O72" s="1569"/>
    </row>
    <row r="73" spans="1:15" ht="39.75" customHeight="1" x14ac:dyDescent="0.5">
      <c r="A73" s="1703">
        <v>45866</v>
      </c>
      <c r="B73" s="1704"/>
      <c r="C73" s="1737" t="s">
        <v>3734</v>
      </c>
      <c r="D73" s="1716" t="s">
        <v>3735</v>
      </c>
      <c r="E73" s="1740"/>
      <c r="F73" s="1741" t="s">
        <v>3736</v>
      </c>
      <c r="G73" s="1313"/>
      <c r="H73" s="1689" t="s">
        <v>3737</v>
      </c>
      <c r="I73" s="1680" t="s">
        <v>3738</v>
      </c>
      <c r="J73" s="1680" t="s">
        <v>3739</v>
      </c>
      <c r="K73" s="1569">
        <v>46</v>
      </c>
      <c r="L73" s="1706">
        <v>0.4839</v>
      </c>
      <c r="M73" s="1706">
        <v>0.2581</v>
      </c>
      <c r="N73" s="1706"/>
      <c r="O73" s="1706"/>
    </row>
    <row r="74" spans="1:15" ht="39.75" customHeight="1" x14ac:dyDescent="0.5">
      <c r="A74" s="1703">
        <v>45866</v>
      </c>
      <c r="B74" s="1713"/>
      <c r="C74" s="1742" t="s">
        <v>3734</v>
      </c>
      <c r="D74" s="1732" t="s">
        <v>3740</v>
      </c>
      <c r="E74" s="1743"/>
      <c r="F74" s="1744" t="s">
        <v>3741</v>
      </c>
      <c r="G74" s="1313"/>
      <c r="H74" s="1689" t="s">
        <v>3742</v>
      </c>
      <c r="I74" s="1680" t="s">
        <v>3730</v>
      </c>
      <c r="J74" s="1680" t="s">
        <v>3739</v>
      </c>
      <c r="K74" s="1569">
        <v>15</v>
      </c>
      <c r="L74" s="1706">
        <v>0.49180000000000001</v>
      </c>
      <c r="M74" s="1706">
        <v>0.16389999999999999</v>
      </c>
      <c r="N74" s="1706"/>
      <c r="O74" s="1706"/>
    </row>
    <row r="75" spans="1:15" ht="39.75" customHeight="1" x14ac:dyDescent="0.5">
      <c r="A75" s="1704">
        <v>45866</v>
      </c>
      <c r="B75" s="1704"/>
      <c r="C75" s="1256" t="s">
        <v>3743</v>
      </c>
      <c r="D75" s="1716" t="s">
        <v>3744</v>
      </c>
      <c r="E75" s="1716"/>
      <c r="F75" s="1314" t="s">
        <v>3745</v>
      </c>
      <c r="G75" s="1323"/>
      <c r="H75" s="1688" t="s">
        <v>3746</v>
      </c>
      <c r="I75" s="1734" t="s">
        <v>2847</v>
      </c>
      <c r="J75" s="1680" t="s">
        <v>3739</v>
      </c>
      <c r="K75" s="1727">
        <v>15</v>
      </c>
      <c r="L75" s="1735">
        <v>0.39579999999999999</v>
      </c>
      <c r="M75" s="1735">
        <v>4.1700000000000001E-2</v>
      </c>
      <c r="N75" s="1706"/>
      <c r="O75" s="1706"/>
    </row>
    <row r="76" spans="1:15" ht="39.75" customHeight="1" x14ac:dyDescent="0.5">
      <c r="A76" s="1712" t="s">
        <v>3747</v>
      </c>
      <c r="B76" s="1745"/>
      <c r="C76" s="1959" t="s">
        <v>3748</v>
      </c>
      <c r="D76" s="1959"/>
      <c r="E76" s="1959"/>
      <c r="F76" s="1959"/>
      <c r="G76" s="1313"/>
      <c r="H76" s="1680"/>
      <c r="I76" s="1734"/>
      <c r="J76" s="1734"/>
      <c r="K76" s="1727"/>
      <c r="L76" s="1727"/>
      <c r="M76" s="1727"/>
      <c r="N76" s="1569"/>
      <c r="O76" s="1569"/>
    </row>
    <row r="77" spans="1:15" ht="39.75" customHeight="1" x14ac:dyDescent="0.5">
      <c r="A77" s="1703">
        <v>45873</v>
      </c>
      <c r="B77" s="1704"/>
      <c r="C77" s="1965" t="s">
        <v>3707</v>
      </c>
      <c r="D77" s="1965"/>
      <c r="E77" s="1965"/>
      <c r="F77" s="1965"/>
      <c r="G77" s="1339"/>
      <c r="H77" s="1680"/>
      <c r="I77" s="1680"/>
      <c r="J77" s="1680"/>
      <c r="K77" s="1569"/>
      <c r="L77" s="1569"/>
      <c r="M77" s="1569"/>
      <c r="N77" s="1569"/>
      <c r="O77" s="1569"/>
    </row>
    <row r="78" spans="1:15" ht="39.75" customHeight="1" x14ac:dyDescent="0.5">
      <c r="A78" s="1703">
        <v>45880</v>
      </c>
      <c r="B78" s="1704"/>
      <c r="C78" s="1965" t="s">
        <v>3707</v>
      </c>
      <c r="D78" s="1965"/>
      <c r="E78" s="1965"/>
      <c r="F78" s="1965"/>
      <c r="G78" s="1339"/>
      <c r="H78" s="1680"/>
      <c r="I78" s="1680"/>
      <c r="J78" s="1680"/>
      <c r="K78" s="1569"/>
      <c r="L78" s="1569"/>
      <c r="M78" s="1569"/>
      <c r="N78" s="1569"/>
      <c r="O78" s="1569"/>
    </row>
    <row r="79" spans="1:15" ht="39.75" customHeight="1" x14ac:dyDescent="0.5">
      <c r="A79" s="1703">
        <v>45887</v>
      </c>
      <c r="B79" s="1704"/>
      <c r="C79" s="1965" t="s">
        <v>3707</v>
      </c>
      <c r="D79" s="1965"/>
      <c r="E79" s="1965"/>
      <c r="F79" s="1965"/>
      <c r="G79" s="1339"/>
      <c r="H79" s="1680"/>
      <c r="I79" s="1680"/>
      <c r="J79" s="1680"/>
      <c r="K79" s="1569"/>
      <c r="L79" s="1569"/>
      <c r="M79" s="1569"/>
      <c r="N79" s="1569"/>
      <c r="O79" s="1569"/>
    </row>
    <row r="80" spans="1:15" ht="39.75" customHeight="1" x14ac:dyDescent="0.5">
      <c r="A80" s="1703">
        <v>45894</v>
      </c>
      <c r="B80" s="1703"/>
      <c r="C80" s="1256" t="s">
        <v>3749</v>
      </c>
      <c r="D80" s="1716" t="s">
        <v>3750</v>
      </c>
      <c r="E80" s="1716" t="s">
        <v>3751</v>
      </c>
      <c r="F80" s="1690" t="s">
        <v>3752</v>
      </c>
      <c r="G80" s="1339"/>
      <c r="H80" s="1680"/>
      <c r="I80" s="1746" t="s">
        <v>3753</v>
      </c>
      <c r="J80" s="1680"/>
      <c r="K80" s="1569"/>
      <c r="L80" s="1569"/>
      <c r="M80" s="1569"/>
      <c r="N80" s="1569"/>
      <c r="O80" s="1569"/>
    </row>
    <row r="81" spans="1:15" ht="39.75" customHeight="1" x14ac:dyDescent="0.5">
      <c r="A81" s="1703">
        <v>45898</v>
      </c>
      <c r="B81" s="1713"/>
      <c r="C81" s="1955" t="s">
        <v>3754</v>
      </c>
      <c r="D81" s="1955"/>
      <c r="E81" s="1955"/>
      <c r="F81" s="1955"/>
      <c r="G81" s="1339"/>
      <c r="H81" s="1680"/>
      <c r="I81" s="1734"/>
      <c r="J81" s="1734"/>
      <c r="K81" s="1727"/>
      <c r="L81" s="1727"/>
      <c r="M81" s="1727"/>
      <c r="N81" s="1569"/>
      <c r="O81" s="1569"/>
    </row>
    <row r="82" spans="1:15" ht="39.75" customHeight="1" x14ac:dyDescent="0.5">
      <c r="A82" s="1703">
        <v>45901</v>
      </c>
      <c r="B82" s="1703"/>
      <c r="C82" s="1256" t="s">
        <v>140</v>
      </c>
      <c r="D82" s="1716" t="s">
        <v>3755</v>
      </c>
      <c r="E82" s="1716" t="s">
        <v>3756</v>
      </c>
      <c r="F82" s="1690" t="s">
        <v>3757</v>
      </c>
      <c r="G82" s="1339"/>
      <c r="H82" s="1691" t="s">
        <v>3758</v>
      </c>
      <c r="I82" s="1734" t="s">
        <v>1786</v>
      </c>
      <c r="J82" s="1734" t="s">
        <v>3398</v>
      </c>
      <c r="K82" s="1727">
        <v>20</v>
      </c>
      <c r="L82" s="1735">
        <v>0.45710000000000001</v>
      </c>
      <c r="M82" s="1735">
        <v>0.1714</v>
      </c>
      <c r="N82" s="1569">
        <v>0</v>
      </c>
      <c r="O82" s="1569">
        <v>0</v>
      </c>
    </row>
    <row r="83" spans="1:15" ht="39.75" customHeight="1" x14ac:dyDescent="0.5">
      <c r="A83" s="1703">
        <v>45901</v>
      </c>
      <c r="B83" s="1703"/>
      <c r="C83" s="1256" t="s">
        <v>41</v>
      </c>
      <c r="D83" s="1716" t="s">
        <v>3759</v>
      </c>
      <c r="E83" s="1716" t="s">
        <v>3760</v>
      </c>
      <c r="F83" s="1583" t="s">
        <v>3761</v>
      </c>
      <c r="G83" s="1339"/>
      <c r="H83" s="1691" t="s">
        <v>3762</v>
      </c>
      <c r="I83" s="1734" t="s">
        <v>1346</v>
      </c>
      <c r="J83" s="1734" t="s">
        <v>3398</v>
      </c>
      <c r="K83" s="1727">
        <v>41</v>
      </c>
      <c r="L83" s="1735">
        <v>0.23219999999999999</v>
      </c>
      <c r="M83" s="1735">
        <v>5.62E-2</v>
      </c>
      <c r="N83" s="1569">
        <v>8</v>
      </c>
      <c r="O83" s="1569">
        <v>1</v>
      </c>
    </row>
    <row r="84" spans="1:15" ht="39.75" customHeight="1" x14ac:dyDescent="0.5">
      <c r="A84" s="1704">
        <v>45908</v>
      </c>
      <c r="B84" s="1713"/>
      <c r="C84" s="1725" t="s">
        <v>1846</v>
      </c>
      <c r="D84" s="1732" t="s">
        <v>3763</v>
      </c>
      <c r="E84" s="1732" t="s">
        <v>3764</v>
      </c>
      <c r="F84" s="1744" t="s">
        <v>3765</v>
      </c>
      <c r="G84" s="1339"/>
      <c r="H84" s="1691" t="s">
        <v>3766</v>
      </c>
      <c r="I84" s="1734" t="s">
        <v>1790</v>
      </c>
      <c r="J84" s="1734" t="s">
        <v>3767</v>
      </c>
      <c r="K84" s="1727">
        <v>117</v>
      </c>
      <c r="L84" s="1735">
        <v>0.72729999999999995</v>
      </c>
      <c r="M84" s="1747">
        <v>0.5</v>
      </c>
      <c r="N84" s="1569">
        <v>0</v>
      </c>
      <c r="O84" s="1569">
        <v>0</v>
      </c>
    </row>
    <row r="85" spans="1:15" ht="39.75" customHeight="1" x14ac:dyDescent="0.5">
      <c r="A85" s="1704">
        <v>45908</v>
      </c>
      <c r="B85" s="1713"/>
      <c r="C85" s="1725" t="s">
        <v>3768</v>
      </c>
      <c r="D85" s="1732" t="s">
        <v>1921</v>
      </c>
      <c r="E85" s="1732"/>
      <c r="F85" s="1744" t="s">
        <v>3769</v>
      </c>
      <c r="G85" s="1339"/>
      <c r="H85" s="1691"/>
      <c r="I85" s="1734" t="s">
        <v>3770</v>
      </c>
      <c r="J85" s="1734"/>
      <c r="K85" s="1727"/>
      <c r="L85" s="1727"/>
      <c r="M85" s="1727"/>
      <c r="N85" s="1569"/>
      <c r="O85" s="1569"/>
    </row>
    <row r="86" spans="1:15" ht="39.75" customHeight="1" x14ac:dyDescent="0.5">
      <c r="A86" s="1704">
        <v>45908</v>
      </c>
      <c r="B86" s="1713"/>
      <c r="C86" s="1971" t="s">
        <v>3771</v>
      </c>
      <c r="D86" s="1971"/>
      <c r="E86" s="1971"/>
      <c r="F86" s="1971"/>
      <c r="G86" s="1339"/>
      <c r="H86" s="1691" t="s">
        <v>3772</v>
      </c>
      <c r="I86" s="1734" t="s">
        <v>3773</v>
      </c>
      <c r="J86" s="1734" t="s">
        <v>3767</v>
      </c>
      <c r="K86" s="1727">
        <v>83</v>
      </c>
      <c r="L86" s="1735">
        <v>0.2888</v>
      </c>
      <c r="M86" s="1735">
        <v>5.6000000000000001E-2</v>
      </c>
      <c r="N86" s="1569">
        <v>0</v>
      </c>
      <c r="O86" s="1569">
        <v>1</v>
      </c>
    </row>
    <row r="87" spans="1:15" ht="39.75" customHeight="1" x14ac:dyDescent="0.5">
      <c r="A87" s="1704">
        <v>45915</v>
      </c>
      <c r="B87" s="1704"/>
      <c r="C87" s="1569" t="s">
        <v>3774</v>
      </c>
      <c r="D87" s="1569" t="s">
        <v>1844</v>
      </c>
      <c r="E87" s="1569" t="s">
        <v>3775</v>
      </c>
      <c r="F87" s="1727"/>
      <c r="G87" s="1339"/>
      <c r="H87" s="1691" t="s">
        <v>3776</v>
      </c>
      <c r="I87" s="1569" t="s">
        <v>1351</v>
      </c>
      <c r="J87" s="1734" t="s">
        <v>3767</v>
      </c>
      <c r="K87" s="1569">
        <v>56</v>
      </c>
      <c r="L87" s="1706">
        <v>0.23849999999999999</v>
      </c>
      <c r="M87" s="1706">
        <v>3.3500000000000002E-2</v>
      </c>
      <c r="N87" s="1569">
        <v>3</v>
      </c>
      <c r="O87" s="1569">
        <v>2</v>
      </c>
    </row>
    <row r="88" spans="1:15" ht="39.75" customHeight="1" x14ac:dyDescent="0.5">
      <c r="A88" s="1704">
        <v>45922</v>
      </c>
      <c r="B88" s="1704"/>
      <c r="C88" s="1569" t="s">
        <v>3777</v>
      </c>
      <c r="D88" s="1569" t="s">
        <v>3778</v>
      </c>
      <c r="E88" s="1692" t="s">
        <v>3779</v>
      </c>
      <c r="F88" s="1695" t="s">
        <v>3780</v>
      </c>
      <c r="G88" s="1330"/>
      <c r="H88" s="1691" t="s">
        <v>3781</v>
      </c>
      <c r="I88" s="1569" t="s">
        <v>1800</v>
      </c>
      <c r="J88" s="1569" t="s">
        <v>3421</v>
      </c>
      <c r="K88" s="1569">
        <v>53</v>
      </c>
      <c r="L88" s="1706">
        <v>0.2243</v>
      </c>
      <c r="M88" s="1706">
        <v>9.2999999999999992E-3</v>
      </c>
      <c r="N88" s="1569">
        <v>0</v>
      </c>
      <c r="O88" s="1569">
        <v>0</v>
      </c>
    </row>
    <row r="89" spans="1:15" ht="39.75" customHeight="1" x14ac:dyDescent="0.5">
      <c r="A89" s="1704">
        <v>45929</v>
      </c>
      <c r="B89" s="1704"/>
      <c r="C89" s="1965" t="s">
        <v>3707</v>
      </c>
      <c r="D89" s="1965"/>
      <c r="E89" s="1965"/>
      <c r="F89" s="1965"/>
      <c r="G89" s="1339"/>
      <c r="H89" s="1680"/>
      <c r="I89" s="1569"/>
      <c r="J89" s="1657"/>
      <c r="K89" s="1657"/>
      <c r="L89" s="1657"/>
      <c r="M89" s="1657"/>
      <c r="N89" s="1657"/>
      <c r="O89" s="1657"/>
    </row>
    <row r="90" spans="1:15" ht="39.75" customHeight="1" x14ac:dyDescent="0.5">
      <c r="A90" s="1704">
        <v>45936</v>
      </c>
      <c r="B90" s="1704"/>
      <c r="C90" s="1569" t="s">
        <v>3782</v>
      </c>
      <c r="D90" s="1569" t="s">
        <v>3778</v>
      </c>
      <c r="E90" s="1692" t="s">
        <v>3779</v>
      </c>
      <c r="F90" s="1695" t="s">
        <v>3780</v>
      </c>
      <c r="G90" s="1330"/>
      <c r="H90" s="1691" t="s">
        <v>3783</v>
      </c>
      <c r="I90" s="1569" t="s">
        <v>1367</v>
      </c>
      <c r="J90" s="1569" t="s">
        <v>3784</v>
      </c>
      <c r="K90" s="1569">
        <v>38</v>
      </c>
      <c r="L90" s="1706">
        <v>0.31580000000000003</v>
      </c>
      <c r="M90" s="1706">
        <v>5.2600000000000001E-2</v>
      </c>
      <c r="N90" s="1569">
        <v>0</v>
      </c>
      <c r="O90" s="1569">
        <v>0</v>
      </c>
    </row>
    <row r="91" spans="1:15" ht="39.75" customHeight="1" x14ac:dyDescent="0.5">
      <c r="A91" s="1704">
        <v>45943</v>
      </c>
      <c r="B91" s="1713"/>
      <c r="C91" s="1971" t="s">
        <v>3785</v>
      </c>
      <c r="D91" s="1971"/>
      <c r="E91" s="1971"/>
      <c r="F91" s="1971"/>
      <c r="G91" s="1339"/>
      <c r="H91" s="1691" t="s">
        <v>3786</v>
      </c>
      <c r="I91" s="1569" t="s">
        <v>3787</v>
      </c>
      <c r="J91" s="1569" t="s">
        <v>3788</v>
      </c>
      <c r="K91" s="1569">
        <v>161</v>
      </c>
      <c r="L91" s="1706">
        <v>0.41070000000000001</v>
      </c>
      <c r="M91" s="1706">
        <v>0.1071</v>
      </c>
      <c r="N91" s="1569">
        <v>0</v>
      </c>
      <c r="O91" s="1569">
        <v>1</v>
      </c>
    </row>
    <row r="92" spans="1:15" ht="39.75" customHeight="1" x14ac:dyDescent="0.5">
      <c r="A92" s="1704">
        <v>45950</v>
      </c>
      <c r="B92" s="1704">
        <v>45953</v>
      </c>
      <c r="C92" s="1569" t="s">
        <v>3774</v>
      </c>
      <c r="D92" s="1569" t="s">
        <v>1844</v>
      </c>
      <c r="E92" s="1569" t="s">
        <v>3789</v>
      </c>
      <c r="F92" s="1692"/>
      <c r="G92" s="1339"/>
      <c r="H92" s="1691" t="s">
        <v>3790</v>
      </c>
      <c r="I92" s="1569" t="s">
        <v>3791</v>
      </c>
      <c r="J92" s="1699" t="s">
        <v>3792</v>
      </c>
      <c r="K92" s="1569">
        <v>89</v>
      </c>
      <c r="L92" s="1706">
        <v>0.36509999999999998</v>
      </c>
      <c r="M92" s="1706">
        <v>6.3500000000000001E-2</v>
      </c>
      <c r="N92" s="1569">
        <v>0</v>
      </c>
      <c r="O92" s="1569">
        <v>0</v>
      </c>
    </row>
    <row r="93" spans="1:15" ht="39.75" customHeight="1" x14ac:dyDescent="0.5">
      <c r="A93" s="1704">
        <v>45957</v>
      </c>
      <c r="B93" s="1704">
        <v>45958</v>
      </c>
      <c r="C93" s="1959" t="s">
        <v>106</v>
      </c>
      <c r="D93" s="1959"/>
      <c r="E93" s="1959"/>
      <c r="F93" s="1959"/>
      <c r="G93" s="1339"/>
      <c r="H93" s="1734"/>
      <c r="I93" s="1748"/>
      <c r="J93" s="1748"/>
      <c r="K93" s="1748"/>
      <c r="L93" s="1748"/>
      <c r="M93" s="1748"/>
      <c r="N93" s="1748"/>
      <c r="O93" s="1748"/>
    </row>
    <row r="94" spans="1:15" ht="39.75" customHeight="1" x14ac:dyDescent="0.5">
      <c r="A94" s="1704">
        <v>45964</v>
      </c>
      <c r="B94" s="1704">
        <v>45966</v>
      </c>
      <c r="C94" s="1578" t="s">
        <v>3793</v>
      </c>
      <c r="D94" s="1578" t="s">
        <v>3794</v>
      </c>
      <c r="E94" s="1578" t="s">
        <v>3795</v>
      </c>
      <c r="F94" s="1578" t="s">
        <v>3796</v>
      </c>
      <c r="G94" s="1339"/>
      <c r="H94" s="1551" t="s">
        <v>3797</v>
      </c>
      <c r="I94" s="1569" t="s">
        <v>3798</v>
      </c>
      <c r="J94" s="1569" t="s">
        <v>3799</v>
      </c>
      <c r="K94" s="1569">
        <v>63</v>
      </c>
      <c r="L94" s="1706">
        <v>0.22220000000000001</v>
      </c>
      <c r="M94" s="1706">
        <v>1.11E-2</v>
      </c>
      <c r="N94" s="1569">
        <v>1</v>
      </c>
      <c r="O94" s="1569">
        <v>0</v>
      </c>
    </row>
    <row r="95" spans="1:15" ht="39.75" customHeight="1" x14ac:dyDescent="0.5">
      <c r="A95" s="1704">
        <v>45971</v>
      </c>
      <c r="B95" s="1704">
        <v>45974</v>
      </c>
      <c r="C95" s="1569" t="s">
        <v>3774</v>
      </c>
      <c r="D95" s="1569" t="s">
        <v>3800</v>
      </c>
      <c r="E95" s="1569" t="s">
        <v>3801</v>
      </c>
      <c r="F95" s="1692" t="s">
        <v>3802</v>
      </c>
      <c r="G95" s="1339"/>
      <c r="H95" s="1559" t="s">
        <v>3803</v>
      </c>
      <c r="I95" s="1569" t="s">
        <v>1395</v>
      </c>
      <c r="J95" s="1569" t="s">
        <v>3804</v>
      </c>
      <c r="K95" s="1569">
        <v>117</v>
      </c>
      <c r="L95" s="1706">
        <v>0.3387</v>
      </c>
      <c r="M95" s="1706">
        <v>8.0600000000000005E-2</v>
      </c>
      <c r="N95" s="1569">
        <v>0</v>
      </c>
      <c r="O95" s="1569">
        <v>0</v>
      </c>
    </row>
    <row r="96" spans="1:15" ht="39.75" customHeight="1" x14ac:dyDescent="0.5">
      <c r="A96" s="1704">
        <v>45978</v>
      </c>
      <c r="B96" s="1704">
        <v>45979</v>
      </c>
      <c r="C96" s="1569" t="s">
        <v>3805</v>
      </c>
      <c r="D96" s="1569" t="s">
        <v>3806</v>
      </c>
      <c r="E96" s="1287" t="s">
        <v>3807</v>
      </c>
      <c r="F96" s="1314" t="s">
        <v>3808</v>
      </c>
      <c r="G96" s="1339"/>
      <c r="H96" s="1693" t="s">
        <v>3809</v>
      </c>
      <c r="I96" s="1727" t="s">
        <v>3810</v>
      </c>
      <c r="J96" s="1569" t="s">
        <v>3811</v>
      </c>
      <c r="K96" s="1569">
        <v>130</v>
      </c>
      <c r="L96" s="1706">
        <v>0.29509999999999997</v>
      </c>
      <c r="M96" s="1706">
        <v>3.2800000000000003E-2</v>
      </c>
      <c r="N96" s="1569">
        <v>0</v>
      </c>
      <c r="O96" s="1569">
        <v>0</v>
      </c>
    </row>
    <row r="97" spans="1:15" ht="39.75" customHeight="1" x14ac:dyDescent="0.5">
      <c r="A97" s="1704">
        <v>45985</v>
      </c>
      <c r="B97" s="1704"/>
      <c r="C97" s="1963" t="s">
        <v>1828</v>
      </c>
      <c r="D97" s="1963"/>
      <c r="E97" s="1963"/>
      <c r="F97" s="1963"/>
      <c r="G97" s="1694"/>
      <c r="H97" s="1695"/>
      <c r="I97" s="1695"/>
      <c r="J97" s="1680"/>
      <c r="K97" s="1569"/>
      <c r="L97" s="1569"/>
      <c r="M97" s="1569"/>
      <c r="N97" s="1569"/>
      <c r="O97" s="1569"/>
    </row>
    <row r="98" spans="1:15" ht="39.75" customHeight="1" x14ac:dyDescent="0.5">
      <c r="A98" s="1704">
        <v>45992</v>
      </c>
      <c r="B98" s="1704">
        <v>45995</v>
      </c>
      <c r="C98" s="1964" t="s">
        <v>3812</v>
      </c>
      <c r="D98" s="1964"/>
      <c r="E98" s="1964"/>
      <c r="F98" s="1964"/>
      <c r="G98" s="1339"/>
      <c r="H98" s="1334" t="s">
        <v>3813</v>
      </c>
      <c r="I98" s="1578" t="s">
        <v>3814</v>
      </c>
      <c r="J98" s="1699" t="s">
        <v>3815</v>
      </c>
      <c r="K98" s="1569">
        <v>93</v>
      </c>
      <c r="L98" s="1706">
        <v>0.56140000000000001</v>
      </c>
      <c r="M98" s="1706">
        <v>0.21049999999999999</v>
      </c>
      <c r="N98" s="1569">
        <v>0</v>
      </c>
      <c r="O98" s="1569">
        <v>0</v>
      </c>
    </row>
    <row r="99" spans="1:15" ht="39.75" customHeight="1" x14ac:dyDescent="0.5">
      <c r="A99" s="1704">
        <v>45999</v>
      </c>
      <c r="B99" s="1704">
        <v>46000</v>
      </c>
      <c r="C99" s="1695" t="s">
        <v>3774</v>
      </c>
      <c r="D99" s="1695" t="s">
        <v>3816</v>
      </c>
      <c r="E99" s="1695" t="s">
        <v>3817</v>
      </c>
      <c r="F99" s="1696" t="s">
        <v>3818</v>
      </c>
      <c r="G99" s="1339"/>
      <c r="H99" s="1334" t="s">
        <v>3819</v>
      </c>
      <c r="I99" s="1578" t="s">
        <v>1831</v>
      </c>
      <c r="J99" s="1569" t="s">
        <v>3820</v>
      </c>
      <c r="K99" s="1569">
        <v>61</v>
      </c>
      <c r="L99" s="1706">
        <v>0.4098</v>
      </c>
      <c r="M99" s="1706">
        <v>4.9200000000000001E-2</v>
      </c>
      <c r="N99" s="1569">
        <v>0</v>
      </c>
      <c r="O99" s="1569">
        <v>0</v>
      </c>
    </row>
    <row r="100" spans="1:15" ht="39.75" customHeight="1" x14ac:dyDescent="0.5">
      <c r="A100" s="1704">
        <v>45999</v>
      </c>
      <c r="B100" s="1704">
        <v>46002</v>
      </c>
      <c r="C100" s="1695" t="s">
        <v>3821</v>
      </c>
      <c r="D100" s="1695" t="s">
        <v>3822</v>
      </c>
      <c r="E100" s="1695" t="s">
        <v>3823</v>
      </c>
      <c r="F100" s="1695" t="s">
        <v>3824</v>
      </c>
      <c r="G100" s="1339"/>
      <c r="H100" s="1287" t="s">
        <v>3825</v>
      </c>
      <c r="I100" s="1569" t="s">
        <v>3826</v>
      </c>
      <c r="J100" s="1569" t="s">
        <v>3820</v>
      </c>
      <c r="K100" s="1569">
        <v>86</v>
      </c>
      <c r="L100" s="1706">
        <v>0.27910000000000001</v>
      </c>
      <c r="M100" s="1708">
        <v>0</v>
      </c>
      <c r="N100" s="1569">
        <v>0</v>
      </c>
      <c r="O100" s="1569">
        <v>0</v>
      </c>
    </row>
    <row r="101" spans="1:15" ht="39.75" customHeight="1" x14ac:dyDescent="0.5">
      <c r="A101" s="1704">
        <v>46006</v>
      </c>
      <c r="B101" s="1704">
        <v>46007</v>
      </c>
      <c r="C101" s="1695" t="s">
        <v>41</v>
      </c>
      <c r="D101" s="1695" t="s">
        <v>3827</v>
      </c>
      <c r="E101" s="1695" t="s">
        <v>3828</v>
      </c>
      <c r="F101" s="1695"/>
      <c r="G101" s="1339"/>
      <c r="H101" s="1287" t="s">
        <v>3829</v>
      </c>
      <c r="I101" s="1569" t="s">
        <v>1839</v>
      </c>
      <c r="J101" s="1699" t="s">
        <v>3830</v>
      </c>
      <c r="K101" s="1569"/>
      <c r="L101" s="1706">
        <v>0.3367</v>
      </c>
      <c r="M101" s="1706">
        <v>3.3300000000000003E-2</v>
      </c>
      <c r="N101" s="1569">
        <v>0</v>
      </c>
      <c r="O101" s="1569">
        <v>0</v>
      </c>
    </row>
    <row r="102" spans="1:15" ht="39.75" customHeight="1" x14ac:dyDescent="0.5">
      <c r="A102" s="1704">
        <v>46013</v>
      </c>
      <c r="B102" s="1704"/>
      <c r="C102" s="1959" t="s">
        <v>1841</v>
      </c>
      <c r="D102" s="1959"/>
      <c r="E102" s="1959"/>
      <c r="F102" s="1959"/>
      <c r="G102" s="1339"/>
      <c r="H102" s="1569"/>
      <c r="I102" s="1569"/>
      <c r="J102" s="1569"/>
      <c r="K102" s="1569"/>
      <c r="L102" s="1569"/>
      <c r="M102" s="1569"/>
      <c r="N102" s="1569"/>
      <c r="O102" s="1569"/>
    </row>
    <row r="103" spans="1:15" ht="39.75" customHeight="1" x14ac:dyDescent="0.5">
      <c r="A103" s="1704">
        <v>46020</v>
      </c>
      <c r="B103" s="1704"/>
      <c r="C103" s="1963" t="s">
        <v>1842</v>
      </c>
      <c r="D103" s="1963"/>
      <c r="E103" s="1963"/>
      <c r="F103" s="1963"/>
      <c r="G103" s="1339"/>
      <c r="H103" s="1569"/>
      <c r="I103" s="1569"/>
      <c r="J103" s="1569"/>
      <c r="K103" s="1569"/>
      <c r="L103" s="1569"/>
      <c r="M103" s="1569"/>
      <c r="N103" s="1569"/>
      <c r="O103" s="1569"/>
    </row>
    <row r="104" spans="1:15" ht="39.75" customHeight="1" x14ac:dyDescent="0.5">
      <c r="A104" s="1713">
        <v>45662</v>
      </c>
      <c r="B104" s="1713" t="s">
        <v>3831</v>
      </c>
      <c r="C104" s="1695" t="s">
        <v>41</v>
      </c>
      <c r="D104" s="1695" t="s">
        <v>3832</v>
      </c>
      <c r="E104" s="1695"/>
      <c r="F104" s="1695"/>
      <c r="G104" s="1330"/>
      <c r="H104" s="1697" t="s">
        <v>3833</v>
      </c>
      <c r="I104" s="1727" t="s">
        <v>3834</v>
      </c>
      <c r="J104" s="1749">
        <v>46042</v>
      </c>
      <c r="K104" s="1727"/>
      <c r="L104" s="1735">
        <v>0.38329999999999997</v>
      </c>
      <c r="M104" s="1747">
        <v>0.05</v>
      </c>
      <c r="N104" s="1727">
        <v>0</v>
      </c>
      <c r="O104" s="1727">
        <v>0</v>
      </c>
    </row>
    <row r="105" spans="1:15" ht="39.75" customHeight="1" x14ac:dyDescent="0.5">
      <c r="A105" s="1704">
        <v>46034</v>
      </c>
      <c r="B105" s="1704">
        <v>46036</v>
      </c>
      <c r="C105" s="1960" t="s">
        <v>3835</v>
      </c>
      <c r="D105" s="1960"/>
      <c r="E105" s="1960"/>
      <c r="F105" s="1960"/>
      <c r="G105" s="1694"/>
      <c r="H105" s="1287" t="s">
        <v>3836</v>
      </c>
      <c r="I105" s="1727" t="s">
        <v>3837</v>
      </c>
      <c r="J105" s="1749">
        <v>46042</v>
      </c>
      <c r="K105" s="1657"/>
      <c r="L105" s="1706">
        <v>0.5645</v>
      </c>
      <c r="M105" s="1706">
        <v>3.2300000000000002E-2</v>
      </c>
      <c r="N105" s="1569">
        <v>0</v>
      </c>
      <c r="O105" s="1569">
        <v>0</v>
      </c>
    </row>
    <row r="106" spans="1:15" ht="39.75" customHeight="1" x14ac:dyDescent="0.5">
      <c r="A106" s="1713">
        <v>46041</v>
      </c>
      <c r="B106" s="1750" t="s">
        <v>3838</v>
      </c>
      <c r="C106" s="1569" t="s">
        <v>3774</v>
      </c>
      <c r="D106" s="1569" t="s">
        <v>3839</v>
      </c>
      <c r="E106" s="1569" t="s">
        <v>3840</v>
      </c>
      <c r="F106" s="1314" t="s">
        <v>3841</v>
      </c>
      <c r="G106" s="1698"/>
      <c r="H106" s="1287" t="s">
        <v>3842</v>
      </c>
      <c r="I106" s="1569" t="s">
        <v>1849</v>
      </c>
      <c r="J106" s="1699">
        <v>46048</v>
      </c>
      <c r="K106" s="1569">
        <v>133</v>
      </c>
      <c r="L106" s="1706">
        <v>0.28129999999999999</v>
      </c>
      <c r="M106" s="1706">
        <v>3.1300000000000001E-2</v>
      </c>
      <c r="N106" s="1569">
        <v>0</v>
      </c>
      <c r="O106" s="1569">
        <v>0</v>
      </c>
    </row>
    <row r="107" spans="1:15" ht="39.75" customHeight="1" x14ac:dyDescent="0.5">
      <c r="A107" s="1713">
        <v>46041</v>
      </c>
      <c r="B107" s="1695" t="s">
        <v>3843</v>
      </c>
      <c r="C107" s="1695" t="s">
        <v>3844</v>
      </c>
      <c r="D107" s="1695" t="s">
        <v>3845</v>
      </c>
      <c r="E107" s="1692" t="s">
        <v>3779</v>
      </c>
      <c r="F107" s="1751"/>
      <c r="G107" s="1698"/>
      <c r="H107" s="1257" t="s">
        <v>3846</v>
      </c>
      <c r="I107" s="1569" t="s">
        <v>1452</v>
      </c>
      <c r="J107" s="1699">
        <v>46048</v>
      </c>
      <c r="K107" s="1569">
        <v>133</v>
      </c>
      <c r="L107" s="1706">
        <v>0.3175</v>
      </c>
      <c r="M107" s="1706">
        <v>1.5900000000000001E-2</v>
      </c>
      <c r="N107" s="1569">
        <v>1</v>
      </c>
      <c r="O107" s="1569">
        <v>0</v>
      </c>
    </row>
    <row r="108" spans="1:15" ht="39.75" customHeight="1" x14ac:dyDescent="0.5">
      <c r="A108" s="1704">
        <v>46055</v>
      </c>
      <c r="B108" s="1752">
        <v>46056</v>
      </c>
      <c r="C108" s="1695" t="s">
        <v>3774</v>
      </c>
      <c r="D108" s="1695" t="s">
        <v>3847</v>
      </c>
      <c r="E108" s="1695" t="s">
        <v>3848</v>
      </c>
      <c r="F108" s="1696" t="s">
        <v>3849</v>
      </c>
      <c r="G108" s="1698"/>
      <c r="H108" s="1681" t="s">
        <v>3850</v>
      </c>
      <c r="I108" s="1569" t="s">
        <v>3851</v>
      </c>
      <c r="J108" s="1699">
        <v>46062</v>
      </c>
      <c r="K108" s="1569">
        <v>155</v>
      </c>
      <c r="L108" s="1706">
        <v>0.34379999999999999</v>
      </c>
      <c r="M108" s="1706">
        <v>1.5599999999999999E-2</v>
      </c>
      <c r="N108" s="1569">
        <v>0</v>
      </c>
      <c r="O108" s="1569">
        <v>0</v>
      </c>
    </row>
    <row r="109" spans="1:15" ht="39.75" customHeight="1" x14ac:dyDescent="0.5">
      <c r="A109" s="1713">
        <v>45690</v>
      </c>
      <c r="B109" s="1752">
        <v>46058</v>
      </c>
      <c r="C109" s="1695" t="s">
        <v>3774</v>
      </c>
      <c r="D109" s="1695" t="s">
        <v>3852</v>
      </c>
      <c r="E109" s="1700" t="s">
        <v>3853</v>
      </c>
      <c r="F109" s="1696" t="s">
        <v>3854</v>
      </c>
      <c r="G109" s="1694"/>
      <c r="H109" s="1681" t="s">
        <v>3855</v>
      </c>
      <c r="I109" s="1569" t="s">
        <v>1460</v>
      </c>
      <c r="J109" s="1699">
        <v>46062</v>
      </c>
      <c r="K109" s="1569">
        <v>155</v>
      </c>
      <c r="L109" s="1706">
        <v>0.43940000000000001</v>
      </c>
      <c r="M109" s="1706">
        <v>6.0600000000000001E-2</v>
      </c>
      <c r="N109" s="1569">
        <v>0</v>
      </c>
      <c r="O109" s="1569">
        <v>0</v>
      </c>
    </row>
    <row r="110" spans="1:15" ht="39.75" customHeight="1" x14ac:dyDescent="0.5">
      <c r="A110" s="1703">
        <v>45697</v>
      </c>
      <c r="B110" s="1752">
        <v>46064</v>
      </c>
      <c r="C110" s="1970" t="s">
        <v>106</v>
      </c>
      <c r="D110" s="1970"/>
      <c r="E110" s="1970"/>
      <c r="F110" s="1970"/>
      <c r="G110" s="1323"/>
      <c r="I110" s="1569"/>
      <c r="J110" s="1569"/>
      <c r="K110" s="1569"/>
      <c r="L110" s="1569"/>
      <c r="M110" s="1569"/>
      <c r="N110" s="1569"/>
      <c r="O110" s="1569"/>
    </row>
    <row r="111" spans="1:15" ht="39.75" customHeight="1" x14ac:dyDescent="0.5">
      <c r="A111" s="1752">
        <v>43872</v>
      </c>
      <c r="B111" s="1752">
        <v>46064</v>
      </c>
      <c r="C111" s="1961" t="s">
        <v>3856</v>
      </c>
      <c r="D111" s="1961"/>
      <c r="E111" s="1961"/>
      <c r="F111" s="1961"/>
      <c r="G111" s="1323"/>
      <c r="H111" s="1569"/>
      <c r="I111" s="1569"/>
      <c r="J111" s="1569"/>
      <c r="K111" s="1569"/>
      <c r="L111" s="1569"/>
      <c r="M111" s="1569"/>
      <c r="N111" s="1569"/>
      <c r="O111" s="1569"/>
    </row>
    <row r="112" spans="1:15" ht="39.75" customHeight="1" x14ac:dyDescent="0.5">
      <c r="A112" s="1713">
        <v>45704</v>
      </c>
      <c r="B112" s="1752">
        <v>46073</v>
      </c>
      <c r="C112" s="1695" t="s">
        <v>3857</v>
      </c>
      <c r="D112" s="1695" t="s">
        <v>3858</v>
      </c>
      <c r="E112" s="1788" t="s">
        <v>3859</v>
      </c>
      <c r="F112" s="1695" t="s">
        <v>3860</v>
      </c>
      <c r="G112" s="1323"/>
      <c r="H112" s="1191" t="s">
        <v>3861</v>
      </c>
      <c r="I112" s="1569" t="s">
        <v>2386</v>
      </c>
      <c r="J112" s="1699">
        <v>46079</v>
      </c>
      <c r="K112" s="1569">
        <v>61</v>
      </c>
      <c r="L112" s="1706">
        <v>0.29509999999999997</v>
      </c>
      <c r="M112" s="1706">
        <v>6.5600000000000006E-2</v>
      </c>
      <c r="N112" s="1569">
        <v>0</v>
      </c>
      <c r="O112" s="1569">
        <v>0</v>
      </c>
    </row>
    <row r="113" spans="1:15" ht="39.75" customHeight="1" x14ac:dyDescent="0.5">
      <c r="A113" s="1704">
        <v>45711</v>
      </c>
      <c r="B113" s="1745">
        <v>46077</v>
      </c>
      <c r="C113" s="1970" t="s">
        <v>106</v>
      </c>
      <c r="D113" s="1970"/>
      <c r="E113" s="1970"/>
      <c r="F113" s="1970"/>
      <c r="G113" s="1698"/>
      <c r="H113" s="1657"/>
      <c r="I113" s="1569"/>
      <c r="J113" s="1569"/>
      <c r="K113" s="1569"/>
      <c r="L113" s="1569"/>
      <c r="M113" s="1569"/>
      <c r="N113" s="1569"/>
      <c r="O113" s="1569"/>
    </row>
    <row r="114" spans="1:15" ht="39.75" customHeight="1" x14ac:dyDescent="0.5">
      <c r="A114" s="1713">
        <v>45718</v>
      </c>
      <c r="B114" s="1787">
        <v>46085</v>
      </c>
      <c r="C114" s="1695" t="s">
        <v>3862</v>
      </c>
      <c r="D114" s="1695" t="s">
        <v>3863</v>
      </c>
      <c r="E114" s="1695" t="s">
        <v>3864</v>
      </c>
      <c r="F114" s="1751"/>
      <c r="G114" s="1698"/>
      <c r="H114" s="1191" t="s">
        <v>3865</v>
      </c>
      <c r="I114" s="1569" t="s">
        <v>3866</v>
      </c>
      <c r="J114" s="1699">
        <v>46090</v>
      </c>
      <c r="K114" s="1569">
        <v>68</v>
      </c>
      <c r="L114" s="1706">
        <v>0.36759999999999998</v>
      </c>
      <c r="M114" s="1708">
        <v>0</v>
      </c>
      <c r="N114" s="1569">
        <v>0</v>
      </c>
      <c r="O114" s="1569">
        <v>0</v>
      </c>
    </row>
    <row r="115" spans="1:15" ht="39.75" customHeight="1" x14ac:dyDescent="0.5">
      <c r="A115" s="1713">
        <v>46090</v>
      </c>
      <c r="B115" s="1752">
        <v>46092</v>
      </c>
      <c r="C115" s="1695" t="s">
        <v>3867</v>
      </c>
      <c r="D115" s="1695" t="s">
        <v>3868</v>
      </c>
      <c r="E115" s="1695" t="s">
        <v>3779</v>
      </c>
      <c r="F115" s="1695" t="s">
        <v>3869</v>
      </c>
      <c r="G115" s="1698"/>
      <c r="H115" s="661" t="s">
        <v>3870</v>
      </c>
      <c r="I115" s="1727" t="s">
        <v>1500</v>
      </c>
      <c r="J115" s="1749">
        <v>46097</v>
      </c>
      <c r="K115" s="1727">
        <v>146</v>
      </c>
      <c r="L115" s="1735">
        <v>0.34089999999999998</v>
      </c>
      <c r="M115" s="1735">
        <v>6.8199999999999997E-2</v>
      </c>
      <c r="N115" s="1727">
        <v>0</v>
      </c>
      <c r="O115" s="1727">
        <v>0</v>
      </c>
    </row>
    <row r="116" spans="1:15" ht="39.75" customHeight="1" x14ac:dyDescent="0.5">
      <c r="A116" s="1713">
        <v>45732</v>
      </c>
      <c r="B116" s="1752">
        <v>46100</v>
      </c>
      <c r="C116" s="1970" t="s">
        <v>106</v>
      </c>
      <c r="D116" s="1970"/>
      <c r="E116" s="1970"/>
      <c r="F116" s="1970"/>
      <c r="G116" s="1698"/>
      <c r="H116" s="1727"/>
      <c r="I116" s="1727"/>
      <c r="J116" s="1727"/>
      <c r="K116" s="1727"/>
      <c r="L116" s="1727"/>
      <c r="M116" s="1727"/>
      <c r="N116" s="1727"/>
      <c r="O116" s="1727"/>
    </row>
    <row r="117" spans="1:15" ht="39.75" customHeight="1" x14ac:dyDescent="0.5">
      <c r="A117" s="1703">
        <v>43908</v>
      </c>
      <c r="B117" s="1752">
        <v>43908</v>
      </c>
      <c r="C117" s="1961" t="s">
        <v>3871</v>
      </c>
      <c r="D117" s="1961"/>
      <c r="E117" s="1961"/>
      <c r="F117" s="1961"/>
      <c r="G117" s="1323"/>
      <c r="H117" s="1191" t="s">
        <v>3872</v>
      </c>
      <c r="I117" s="1796" t="s">
        <v>1882</v>
      </c>
      <c r="J117" s="1699">
        <v>46106</v>
      </c>
      <c r="K117" s="1569">
        <v>75</v>
      </c>
      <c r="L117" s="1708">
        <v>0.48</v>
      </c>
      <c r="M117" s="1706">
        <v>0.1867</v>
      </c>
      <c r="N117" s="1569">
        <v>1</v>
      </c>
      <c r="O117" s="1569">
        <v>0</v>
      </c>
    </row>
    <row r="118" spans="1:15" ht="39.75" customHeight="1" x14ac:dyDescent="0.5">
      <c r="A118" s="1703">
        <v>45739</v>
      </c>
      <c r="B118" s="1752">
        <v>43914</v>
      </c>
      <c r="C118" s="1695" t="s">
        <v>3844</v>
      </c>
      <c r="D118" s="1695" t="s">
        <v>3873</v>
      </c>
      <c r="E118" s="1695"/>
      <c r="F118" s="1695"/>
      <c r="G118" s="1323"/>
      <c r="H118" s="1191" t="s">
        <v>3874</v>
      </c>
      <c r="I118" s="1569" t="s">
        <v>3875</v>
      </c>
      <c r="J118" s="1699">
        <v>46114</v>
      </c>
      <c r="K118" s="1569">
        <v>162</v>
      </c>
      <c r="L118" s="1706">
        <v>0.25369999999999998</v>
      </c>
      <c r="M118" s="1706">
        <v>5.9700000000000003E-2</v>
      </c>
      <c r="N118" s="1569">
        <v>0</v>
      </c>
      <c r="O118" s="1569">
        <v>0</v>
      </c>
    </row>
    <row r="119" spans="1:15" ht="39.75" customHeight="1" x14ac:dyDescent="0.5">
      <c r="A119" s="1703">
        <v>46111</v>
      </c>
      <c r="B119" s="1752" t="s">
        <v>3876</v>
      </c>
      <c r="C119" s="1695" t="s">
        <v>3877</v>
      </c>
      <c r="D119" s="1695" t="s">
        <v>3878</v>
      </c>
      <c r="E119" s="1695" t="s">
        <v>3879</v>
      </c>
      <c r="F119" s="1695" t="s">
        <v>3880</v>
      </c>
      <c r="G119" s="1323"/>
      <c r="H119" s="1191" t="s">
        <v>3881</v>
      </c>
      <c r="I119" s="1569" t="s">
        <v>1892</v>
      </c>
      <c r="J119" s="1699">
        <v>46118</v>
      </c>
      <c r="K119" s="1569">
        <v>184</v>
      </c>
      <c r="L119" s="1706">
        <v>0.4194</v>
      </c>
      <c r="M119" s="1706">
        <v>4.8399999999999999E-2</v>
      </c>
      <c r="N119" s="1569">
        <v>0</v>
      </c>
      <c r="O119" s="1569">
        <v>0</v>
      </c>
    </row>
    <row r="120" spans="1:15" ht="39.75" customHeight="1" x14ac:dyDescent="0.5">
      <c r="A120" s="1703">
        <v>46113</v>
      </c>
      <c r="B120" s="1752"/>
      <c r="C120" s="1961" t="s">
        <v>3882</v>
      </c>
      <c r="D120" s="1961"/>
      <c r="E120" s="1961"/>
      <c r="F120" s="1961"/>
      <c r="G120" s="1323"/>
      <c r="H120" s="1569"/>
      <c r="I120" s="1569"/>
      <c r="J120" s="1569"/>
      <c r="K120" s="1569"/>
      <c r="L120" s="1569"/>
      <c r="M120" s="1569"/>
      <c r="N120" s="1569"/>
      <c r="O120" s="1569"/>
    </row>
    <row r="121" spans="1:15" ht="39.75" customHeight="1" x14ac:dyDescent="0.5">
      <c r="A121" s="1703">
        <v>46118</v>
      </c>
      <c r="B121" s="1752" t="s">
        <v>2406</v>
      </c>
      <c r="C121" s="1970" t="s">
        <v>106</v>
      </c>
      <c r="D121" s="1970"/>
      <c r="E121" s="1970"/>
      <c r="F121" s="1970"/>
      <c r="G121" s="1323"/>
      <c r="H121" s="1569"/>
      <c r="I121" s="1569"/>
      <c r="J121" s="1569"/>
      <c r="K121" s="1569"/>
      <c r="L121" s="1569"/>
      <c r="M121" s="1569"/>
      <c r="N121" s="1569"/>
      <c r="O121" s="1569"/>
    </row>
    <row r="122" spans="1:15" ht="39.75" customHeight="1" x14ac:dyDescent="0.5">
      <c r="A122" s="1703">
        <v>46120</v>
      </c>
      <c r="B122" s="1704"/>
      <c r="C122" s="1961" t="s">
        <v>3883</v>
      </c>
      <c r="D122" s="1961"/>
      <c r="E122" s="1961"/>
      <c r="F122" s="1961"/>
      <c r="G122" s="1323"/>
      <c r="H122" s="1569"/>
      <c r="I122" s="1569"/>
      <c r="J122" s="1569"/>
      <c r="K122" s="1569"/>
      <c r="L122" s="1569"/>
      <c r="M122" s="1569"/>
      <c r="N122" s="1569"/>
      <c r="O122" s="1569"/>
    </row>
    <row r="123" spans="1:15" ht="39.75" customHeight="1" x14ac:dyDescent="0.5">
      <c r="A123" s="1703">
        <v>46125</v>
      </c>
      <c r="B123" s="1704" t="s">
        <v>3884</v>
      </c>
      <c r="C123" s="1695" t="s">
        <v>3885</v>
      </c>
      <c r="D123" s="1695" t="s">
        <v>3886</v>
      </c>
      <c r="E123" s="1695" t="s">
        <v>3887</v>
      </c>
      <c r="F123" s="1695" t="s">
        <v>3888</v>
      </c>
      <c r="G123" s="1323"/>
      <c r="H123" s="1191" t="s">
        <v>3889</v>
      </c>
      <c r="I123" s="1569" t="s">
        <v>1518</v>
      </c>
      <c r="J123" s="1699">
        <v>46132</v>
      </c>
      <c r="K123" s="1569">
        <v>217</v>
      </c>
      <c r="L123" s="1706">
        <v>0.36759999999999998</v>
      </c>
      <c r="M123" s="1706">
        <v>5.8799999999999998E-2</v>
      </c>
      <c r="N123" s="1569">
        <v>0</v>
      </c>
      <c r="O123" s="1569">
        <v>0</v>
      </c>
    </row>
    <row r="124" spans="1:15" ht="39.75" customHeight="1" x14ac:dyDescent="0.5">
      <c r="A124" s="1703">
        <v>46132</v>
      </c>
      <c r="B124" s="1713" t="s">
        <v>3890</v>
      </c>
      <c r="C124" s="1970" t="s">
        <v>106</v>
      </c>
      <c r="D124" s="1970"/>
      <c r="E124" s="1970"/>
      <c r="F124" s="1970"/>
      <c r="G124" s="1323"/>
      <c r="H124" s="1569"/>
      <c r="I124" s="1569"/>
      <c r="J124" s="1569"/>
      <c r="K124" s="1569"/>
      <c r="L124" s="1569"/>
      <c r="M124" s="1569"/>
      <c r="N124" s="1569"/>
      <c r="O124" s="1569"/>
    </row>
    <row r="125" spans="1:15" ht="39.75" customHeight="1" x14ac:dyDescent="0.5">
      <c r="A125" s="1704">
        <v>46139</v>
      </c>
      <c r="B125" s="1704" t="s">
        <v>3891</v>
      </c>
      <c r="C125" s="1970" t="s">
        <v>106</v>
      </c>
      <c r="D125" s="1970"/>
      <c r="E125" s="1970"/>
      <c r="F125" s="1970"/>
      <c r="G125" s="1323"/>
      <c r="H125" s="1569"/>
      <c r="I125" s="1569"/>
      <c r="J125" s="1569"/>
      <c r="K125" s="1569"/>
      <c r="L125" s="1569"/>
      <c r="M125" s="1569"/>
      <c r="N125" s="1569"/>
      <c r="O125" s="1569"/>
    </row>
    <row r="126" spans="1:15" ht="39.75" customHeight="1" x14ac:dyDescent="0.5">
      <c r="A126" s="1704">
        <v>46146</v>
      </c>
      <c r="B126" s="1704" t="s">
        <v>3892</v>
      </c>
      <c r="C126" s="1695" t="s">
        <v>3505</v>
      </c>
      <c r="D126" s="1695" t="s">
        <v>3893</v>
      </c>
      <c r="E126" s="1695" t="s">
        <v>3894</v>
      </c>
      <c r="F126" s="1695" t="s">
        <v>3895</v>
      </c>
      <c r="G126" s="1323"/>
      <c r="H126" s="1191" t="s">
        <v>3896</v>
      </c>
      <c r="I126" s="1569" t="s">
        <v>1917</v>
      </c>
      <c r="J126" s="1699">
        <v>46153</v>
      </c>
      <c r="K126" s="1569">
        <v>338</v>
      </c>
      <c r="L126" s="1706">
        <v>0.19120000000000001</v>
      </c>
      <c r="M126" s="1706">
        <v>4.41E-2</v>
      </c>
      <c r="N126" s="1569">
        <v>0</v>
      </c>
      <c r="O126" s="1569">
        <v>0</v>
      </c>
    </row>
    <row r="127" spans="1:15" ht="39.75" customHeight="1" x14ac:dyDescent="0.5">
      <c r="A127" s="1704">
        <v>46153</v>
      </c>
      <c r="B127" s="1704" t="s">
        <v>3897</v>
      </c>
      <c r="C127" s="1695" t="s">
        <v>3774</v>
      </c>
      <c r="D127" s="1695" t="s">
        <v>923</v>
      </c>
      <c r="E127" s="1695" t="s">
        <v>3898</v>
      </c>
      <c r="F127" s="1695"/>
      <c r="G127" s="1323"/>
      <c r="H127" s="1191" t="s">
        <v>3899</v>
      </c>
      <c r="I127" s="1569" t="s">
        <v>1534</v>
      </c>
      <c r="J127" s="1699">
        <v>46160</v>
      </c>
      <c r="K127" s="1569">
        <v>376</v>
      </c>
      <c r="L127" s="1706">
        <v>0.33900000000000002</v>
      </c>
      <c r="M127" s="1706">
        <v>3.39E-2</v>
      </c>
      <c r="N127" s="1569">
        <v>0</v>
      </c>
      <c r="O127" s="1569">
        <v>0</v>
      </c>
    </row>
    <row r="128" spans="1:15" ht="39.75" customHeight="1" x14ac:dyDescent="0.5">
      <c r="A128" s="1704">
        <v>46153</v>
      </c>
      <c r="B128" s="1722"/>
      <c r="C128" s="1961" t="s">
        <v>3900</v>
      </c>
      <c r="D128" s="1961"/>
      <c r="E128" s="1961"/>
      <c r="F128" s="1961"/>
      <c r="G128" s="1323"/>
      <c r="H128" s="1569"/>
      <c r="I128" s="1569"/>
      <c r="J128" s="1569"/>
      <c r="K128" s="1569"/>
      <c r="L128" s="1569"/>
      <c r="M128" s="1569"/>
      <c r="N128" s="1569"/>
      <c r="O128" s="1569"/>
    </row>
    <row r="129" spans="1:15" ht="39.75" customHeight="1" x14ac:dyDescent="0.5">
      <c r="A129" s="1703">
        <v>46159</v>
      </c>
      <c r="B129" s="1722" t="s">
        <v>3901</v>
      </c>
      <c r="C129" s="1578" t="s">
        <v>3774</v>
      </c>
      <c r="D129" s="1569" t="s">
        <v>3902</v>
      </c>
      <c r="E129" s="1569" t="s">
        <v>1548</v>
      </c>
      <c r="F129" s="1569" t="s">
        <v>3903</v>
      </c>
      <c r="G129" s="1867"/>
      <c r="H129" s="1191" t="s">
        <v>3904</v>
      </c>
      <c r="I129" s="1569" t="s">
        <v>1923</v>
      </c>
      <c r="J129" s="1699">
        <v>46168</v>
      </c>
      <c r="K129" s="1569">
        <v>68</v>
      </c>
      <c r="L129" s="1706">
        <v>0.38240000000000002</v>
      </c>
      <c r="M129" s="1706">
        <v>4.41E-2</v>
      </c>
      <c r="N129" s="1569">
        <v>0</v>
      </c>
      <c r="O129" s="1569">
        <v>0</v>
      </c>
    </row>
    <row r="130" spans="1:15" ht="39.75" customHeight="1" x14ac:dyDescent="0.5">
      <c r="A130" s="1703">
        <v>46162</v>
      </c>
      <c r="B130" s="1703"/>
      <c r="C130" s="1956" t="s">
        <v>3905</v>
      </c>
      <c r="D130" s="1956"/>
      <c r="E130" s="1956"/>
      <c r="F130" s="1956"/>
      <c r="G130" s="1323"/>
      <c r="H130" s="1569"/>
      <c r="I130" s="1569"/>
      <c r="J130" s="1569"/>
      <c r="K130" s="1569"/>
      <c r="L130" s="1569"/>
      <c r="M130" s="1569"/>
      <c r="N130" s="1569"/>
      <c r="O130" s="1569"/>
    </row>
    <row r="131" spans="1:15" ht="39.75" customHeight="1" x14ac:dyDescent="0.5">
      <c r="A131" s="1703">
        <v>46167</v>
      </c>
      <c r="B131" s="1704" t="s">
        <v>3906</v>
      </c>
      <c r="C131" s="1854" t="s">
        <v>3505</v>
      </c>
      <c r="D131" s="1854" t="s">
        <v>3907</v>
      </c>
      <c r="E131" s="1854" t="s">
        <v>3908</v>
      </c>
      <c r="F131" s="1854" t="s">
        <v>3909</v>
      </c>
      <c r="G131" s="1323"/>
      <c r="H131" s="1569"/>
      <c r="I131" s="1569"/>
      <c r="J131" s="1569"/>
      <c r="K131" s="1569"/>
      <c r="L131" s="1569"/>
      <c r="M131" s="1569"/>
      <c r="N131" s="1569"/>
      <c r="O131" s="1569"/>
    </row>
    <row r="132" spans="1:15" ht="39.75" customHeight="1" x14ac:dyDescent="0.5">
      <c r="A132" s="1703">
        <v>46167</v>
      </c>
      <c r="B132" s="1722" t="s">
        <v>3906</v>
      </c>
      <c r="C132" s="1962" t="s">
        <v>3910</v>
      </c>
      <c r="D132" s="1962"/>
      <c r="E132" s="1962"/>
      <c r="F132" s="1962"/>
      <c r="G132" s="1323"/>
      <c r="H132" s="1191" t="s">
        <v>3911</v>
      </c>
      <c r="I132" s="1569" t="s">
        <v>1931</v>
      </c>
      <c r="J132" s="1699">
        <v>46174</v>
      </c>
      <c r="K132" s="1569">
        <v>365</v>
      </c>
      <c r="L132" s="1706">
        <v>0.53059999999999996</v>
      </c>
      <c r="M132" s="1706">
        <v>0.1633</v>
      </c>
      <c r="N132" s="1569">
        <v>0</v>
      </c>
      <c r="O132" s="1569">
        <v>0</v>
      </c>
    </row>
    <row r="133" spans="1:15" ht="39.75" customHeight="1" x14ac:dyDescent="0.5">
      <c r="A133" s="1703">
        <v>46181</v>
      </c>
      <c r="B133" s="1703" t="s">
        <v>3912</v>
      </c>
      <c r="C133" s="1314" t="s">
        <v>3913</v>
      </c>
      <c r="D133" s="1569" t="s">
        <v>3914</v>
      </c>
      <c r="E133" s="1314" t="s">
        <v>3915</v>
      </c>
      <c r="F133" s="1569" t="s">
        <v>3916</v>
      </c>
      <c r="G133" s="1323"/>
      <c r="H133" s="1314" t="s">
        <v>3917</v>
      </c>
      <c r="I133" s="1569" t="s">
        <v>2448</v>
      </c>
      <c r="J133" s="1699">
        <v>46188</v>
      </c>
      <c r="K133" s="1569" t="s">
        <v>3918</v>
      </c>
      <c r="L133" s="1706">
        <v>0.4839</v>
      </c>
      <c r="M133" s="1706">
        <v>9.6799999999999997E-2</v>
      </c>
      <c r="N133" s="1569">
        <v>0</v>
      </c>
      <c r="O133" s="1569">
        <v>0</v>
      </c>
    </row>
    <row r="134" spans="1:15" ht="39.75" customHeight="1" x14ac:dyDescent="0.5">
      <c r="A134" s="1703">
        <v>46181</v>
      </c>
      <c r="B134" s="1703" t="s">
        <v>3919</v>
      </c>
      <c r="C134" s="1569" t="s">
        <v>3774</v>
      </c>
      <c r="D134" s="1569" t="s">
        <v>1558</v>
      </c>
      <c r="E134" s="1569"/>
      <c r="F134" s="1569"/>
      <c r="G134" s="1323"/>
      <c r="H134" s="1191" t="s">
        <v>3920</v>
      </c>
      <c r="I134" s="1569" t="s">
        <v>3921</v>
      </c>
      <c r="J134" s="1699">
        <v>46189</v>
      </c>
      <c r="K134" s="1569">
        <v>449</v>
      </c>
      <c r="L134" s="1706">
        <v>0.60229999999999995</v>
      </c>
      <c r="M134" s="1706">
        <v>0.31819999999999998</v>
      </c>
      <c r="N134" s="1569">
        <v>1</v>
      </c>
      <c r="O134" s="1569">
        <v>0</v>
      </c>
    </row>
    <row r="135" spans="1:15" ht="39.75" customHeight="1" x14ac:dyDescent="0.5">
      <c r="A135" s="1703">
        <v>46188</v>
      </c>
      <c r="B135" s="1703" t="s">
        <v>3922</v>
      </c>
      <c r="C135" s="1314" t="s">
        <v>3913</v>
      </c>
      <c r="D135" s="1569" t="s">
        <v>3923</v>
      </c>
      <c r="E135" s="1569"/>
      <c r="F135" s="1569"/>
      <c r="G135" s="1323"/>
      <c r="H135" s="1191" t="s">
        <v>3924</v>
      </c>
      <c r="I135" s="1569" t="s">
        <v>3925</v>
      </c>
      <c r="J135" s="1699">
        <v>46189</v>
      </c>
      <c r="K135" s="1569" t="s">
        <v>3918</v>
      </c>
      <c r="L135" s="1706">
        <v>0.4839</v>
      </c>
      <c r="M135" s="1708">
        <v>0</v>
      </c>
      <c r="N135" s="1569">
        <v>0</v>
      </c>
      <c r="O135" s="1569">
        <v>0</v>
      </c>
    </row>
    <row r="136" spans="1:15" ht="39.75" customHeight="1" x14ac:dyDescent="0.5">
      <c r="A136" s="1703">
        <v>46188</v>
      </c>
      <c r="B136" s="1703" t="s">
        <v>3922</v>
      </c>
      <c r="C136" s="1569" t="s">
        <v>3774</v>
      </c>
      <c r="D136" s="1569" t="s">
        <v>3926</v>
      </c>
      <c r="E136" s="1569"/>
      <c r="F136" s="1569"/>
      <c r="G136" s="1323"/>
      <c r="H136" s="1191" t="s">
        <v>3927</v>
      </c>
      <c r="I136" s="1569" t="s">
        <v>3925</v>
      </c>
      <c r="J136" s="1858"/>
      <c r="K136" s="1858"/>
      <c r="L136" s="1858"/>
      <c r="M136" s="1858"/>
      <c r="N136" s="1858"/>
      <c r="O136" s="1858"/>
    </row>
    <row r="137" spans="1:15" ht="39.75" customHeight="1" x14ac:dyDescent="0.5">
      <c r="A137" s="1703">
        <v>46190</v>
      </c>
      <c r="B137" s="1703">
        <v>43999</v>
      </c>
      <c r="C137" s="1957" t="s">
        <v>3928</v>
      </c>
      <c r="D137" s="1958"/>
      <c r="E137" s="1958"/>
      <c r="F137" s="1958"/>
      <c r="G137" s="1323" t="s">
        <v>1952</v>
      </c>
      <c r="H137" s="1569"/>
      <c r="I137" s="1569"/>
      <c r="J137" s="1569"/>
      <c r="K137" s="1569"/>
      <c r="L137" s="1569"/>
      <c r="M137" s="1569"/>
      <c r="N137" s="1569"/>
      <c r="O137" s="1569"/>
    </row>
    <row r="138" spans="1:15" ht="39.75" customHeight="1" x14ac:dyDescent="0.5">
      <c r="A138" s="1703">
        <v>46192</v>
      </c>
      <c r="B138" s="1703">
        <v>46192</v>
      </c>
      <c r="C138" s="1569" t="s">
        <v>3774</v>
      </c>
      <c r="D138" s="1569" t="s">
        <v>3926</v>
      </c>
      <c r="E138" s="1569" t="s">
        <v>3929</v>
      </c>
      <c r="F138" s="1569"/>
      <c r="G138" s="1867"/>
      <c r="H138" s="1191" t="s">
        <v>3930</v>
      </c>
      <c r="I138" s="1569" t="s">
        <v>3931</v>
      </c>
      <c r="J138" s="1858"/>
      <c r="K138" s="1858"/>
      <c r="L138" s="1858"/>
      <c r="M138" s="1858"/>
      <c r="N138" s="1858"/>
      <c r="O138" s="1858"/>
    </row>
    <row r="139" spans="1:15" ht="39.75" customHeight="1" x14ac:dyDescent="0.5">
      <c r="A139" s="1703" t="s">
        <v>3932</v>
      </c>
      <c r="B139" s="1703"/>
      <c r="C139" s="1977" t="s">
        <v>3933</v>
      </c>
      <c r="D139" s="1976"/>
      <c r="E139" s="1976"/>
      <c r="F139" s="1976"/>
      <c r="G139" s="1323"/>
      <c r="H139" s="1569"/>
      <c r="I139" s="1657"/>
      <c r="J139" s="1569"/>
      <c r="K139" s="1569"/>
      <c r="L139" s="1569"/>
      <c r="M139" s="1569"/>
      <c r="N139" s="1569"/>
      <c r="O139" s="1569"/>
    </row>
    <row r="140" spans="1:15" ht="39.75" customHeight="1" x14ac:dyDescent="0.5">
      <c r="A140" s="1868">
        <v>46197</v>
      </c>
      <c r="B140" s="1703">
        <v>44006</v>
      </c>
      <c r="C140" s="1972" t="s">
        <v>3934</v>
      </c>
      <c r="D140" s="1956"/>
      <c r="E140" s="1956"/>
      <c r="F140" s="1956"/>
      <c r="G140" s="1323"/>
      <c r="H140" s="1314" t="s">
        <v>3935</v>
      </c>
      <c r="I140" s="1657"/>
      <c r="J140" s="1569"/>
      <c r="K140" s="1569"/>
      <c r="L140" s="1569"/>
      <c r="M140" s="1569"/>
      <c r="N140" s="1569"/>
      <c r="O140" s="1569"/>
    </row>
    <row r="141" spans="1:15" ht="39.75" customHeight="1" x14ac:dyDescent="0.5">
      <c r="A141" s="1703">
        <v>46202</v>
      </c>
      <c r="B141" s="1713"/>
      <c r="C141" s="1978" t="s">
        <v>1954</v>
      </c>
      <c r="D141" s="1978"/>
      <c r="E141" s="1978"/>
      <c r="F141" s="1978"/>
      <c r="G141" s="1330"/>
      <c r="H141" s="1569"/>
      <c r="I141" s="1657"/>
      <c r="J141" s="1569"/>
      <c r="K141" s="1569"/>
      <c r="L141" s="1569"/>
      <c r="M141" s="1569"/>
      <c r="N141" s="1569"/>
      <c r="O141" s="1569"/>
    </row>
    <row r="142" spans="1:15" ht="39.75" customHeight="1" x14ac:dyDescent="0.5">
      <c r="A142" s="1704">
        <v>46209</v>
      </c>
      <c r="B142" s="1703">
        <v>46210</v>
      </c>
      <c r="C142" s="1256" t="s">
        <v>3936</v>
      </c>
      <c r="D142" s="1256" t="s">
        <v>3937</v>
      </c>
      <c r="E142" s="1256" t="s">
        <v>3938</v>
      </c>
      <c r="F142" s="1576"/>
      <c r="G142" s="1924"/>
      <c r="H142" s="1680"/>
      <c r="I142" s="1657"/>
      <c r="J142" s="1569"/>
      <c r="K142" s="1569"/>
      <c r="L142" s="1569"/>
      <c r="M142" s="1569"/>
      <c r="N142" s="1569"/>
      <c r="O142" s="1569"/>
    </row>
    <row r="143" spans="1:15" ht="39.75" customHeight="1" x14ac:dyDescent="0.5">
      <c r="A143" s="1704">
        <v>46216</v>
      </c>
      <c r="B143" s="1703">
        <v>46218</v>
      </c>
      <c r="C143" s="1256"/>
      <c r="D143" s="1256"/>
      <c r="E143" s="1256"/>
      <c r="F143" s="1256"/>
      <c r="G143" s="1924"/>
      <c r="H143" s="1680"/>
      <c r="I143" s="1657"/>
      <c r="J143" s="1569"/>
      <c r="K143" s="1569"/>
      <c r="L143" s="1569"/>
      <c r="M143" s="1569"/>
      <c r="N143" s="1569"/>
      <c r="O143" s="1569"/>
    </row>
    <row r="144" spans="1:15" ht="39.75" customHeight="1" x14ac:dyDescent="0.5">
      <c r="A144" s="1704">
        <v>46223</v>
      </c>
      <c r="B144" s="1703">
        <v>46225</v>
      </c>
      <c r="C144" s="1256" t="s">
        <v>3939</v>
      </c>
      <c r="D144" s="1256" t="s">
        <v>3940</v>
      </c>
      <c r="E144" s="1256" t="s">
        <v>3941</v>
      </c>
      <c r="F144" s="1256"/>
      <c r="G144" s="1924"/>
      <c r="H144" s="1680"/>
      <c r="I144" s="1657"/>
      <c r="J144" s="1657"/>
      <c r="K144" s="1657"/>
      <c r="L144" s="1657"/>
      <c r="M144" s="1657"/>
      <c r="N144" s="1657"/>
      <c r="O144" s="1657"/>
    </row>
    <row r="145" spans="1:15" ht="39.75" customHeight="1" x14ac:dyDescent="0.5">
      <c r="A145" s="1704">
        <v>46230</v>
      </c>
      <c r="B145" s="1703">
        <v>46233</v>
      </c>
      <c r="C145" s="1256"/>
      <c r="D145" s="1256"/>
      <c r="E145" s="1256"/>
      <c r="F145" s="1256"/>
      <c r="G145" s="1924"/>
      <c r="H145" s="1680"/>
      <c r="I145" s="1657"/>
      <c r="J145" s="1657"/>
      <c r="K145" s="1657"/>
      <c r="L145" s="1657"/>
      <c r="M145" s="1657"/>
      <c r="N145" s="1657"/>
      <c r="O145" s="1657"/>
    </row>
    <row r="146" spans="1:15" ht="39.75" customHeight="1" x14ac:dyDescent="0.5">
      <c r="A146" s="1703">
        <v>46234</v>
      </c>
      <c r="B146" s="1722"/>
      <c r="C146" s="1973" t="s">
        <v>3942</v>
      </c>
      <c r="D146" s="1974"/>
      <c r="E146" s="1974"/>
      <c r="F146" s="1975"/>
      <c r="G146" s="1335"/>
      <c r="H146" s="1569"/>
      <c r="I146" s="1657"/>
      <c r="J146" s="1657"/>
      <c r="K146" s="1657"/>
      <c r="L146" s="1657"/>
      <c r="M146" s="1657"/>
      <c r="N146" s="1657"/>
      <c r="O146" s="1657"/>
    </row>
    <row r="147" spans="1:15" ht="39.75" customHeight="1" x14ac:dyDescent="0.5">
      <c r="A147" s="1703">
        <v>46237</v>
      </c>
      <c r="B147" s="1703"/>
      <c r="C147" s="1958" t="s">
        <v>3943</v>
      </c>
      <c r="D147" s="1958"/>
      <c r="E147" s="1958"/>
      <c r="F147" s="1958"/>
      <c r="G147" s="1323"/>
      <c r="H147" s="1569"/>
      <c r="I147" s="1657"/>
      <c r="J147" s="1657"/>
      <c r="K147" s="1657"/>
      <c r="L147" s="1657"/>
      <c r="M147" s="1657"/>
      <c r="N147" s="1657"/>
      <c r="O147" s="1657"/>
    </row>
    <row r="148" spans="1:15" ht="39.75" customHeight="1" x14ac:dyDescent="0.5">
      <c r="A148" s="1703">
        <v>46244</v>
      </c>
      <c r="B148" s="1703">
        <v>46246</v>
      </c>
      <c r="C148" s="1569"/>
      <c r="D148" s="1569" t="s">
        <v>3688</v>
      </c>
      <c r="E148" s="1569" t="s">
        <v>3944</v>
      </c>
      <c r="F148" s="1569"/>
      <c r="G148" s="1323"/>
      <c r="H148" s="1569"/>
      <c r="I148" s="1657"/>
      <c r="J148" s="1657"/>
      <c r="K148" s="1657"/>
      <c r="L148" s="1657"/>
      <c r="M148" s="1657"/>
      <c r="N148" s="1657"/>
      <c r="O148" s="1657"/>
    </row>
    <row r="149" spans="1:15" ht="39.75" customHeight="1" x14ac:dyDescent="0.5">
      <c r="A149" s="1703">
        <v>46251</v>
      </c>
      <c r="B149" s="1703">
        <v>46252</v>
      </c>
      <c r="C149" s="1569"/>
      <c r="D149" s="1569"/>
      <c r="E149" s="1569"/>
      <c r="F149" s="1569"/>
      <c r="G149" s="1323"/>
      <c r="H149" s="1569"/>
      <c r="I149" s="1657"/>
      <c r="J149" s="1657"/>
      <c r="K149" s="1657"/>
      <c r="L149" s="1657"/>
      <c r="M149" s="1657"/>
      <c r="N149" s="1657"/>
      <c r="O149" s="1657"/>
    </row>
    <row r="150" spans="1:15" ht="39.75" customHeight="1" x14ac:dyDescent="0.5">
      <c r="A150" s="1703">
        <v>46258</v>
      </c>
      <c r="B150" s="1703">
        <v>46259</v>
      </c>
      <c r="C150" s="1569"/>
      <c r="D150" s="1569"/>
      <c r="E150" s="1569"/>
      <c r="F150" s="1569"/>
      <c r="G150" s="1323"/>
      <c r="H150" s="1569"/>
      <c r="I150" s="1657"/>
      <c r="J150" s="1657"/>
      <c r="K150" s="1657"/>
      <c r="L150" s="1657"/>
      <c r="M150" s="1657"/>
      <c r="N150" s="1657"/>
      <c r="O150" s="1657"/>
    </row>
    <row r="151" spans="1:15" ht="39.75" customHeight="1" x14ac:dyDescent="0.5">
      <c r="A151" s="1703">
        <v>46265</v>
      </c>
      <c r="B151" s="1703"/>
      <c r="C151" s="1978" t="s">
        <v>1983</v>
      </c>
      <c r="D151" s="1978"/>
      <c r="E151" s="1978"/>
      <c r="F151" s="1978"/>
      <c r="G151" s="1323"/>
      <c r="H151" s="1569"/>
      <c r="I151" s="1657"/>
      <c r="J151" s="1657"/>
      <c r="K151" s="1657"/>
      <c r="L151" s="1657"/>
      <c r="M151" s="1657"/>
      <c r="N151" s="1657"/>
      <c r="O151" s="1657"/>
    </row>
    <row r="152" spans="1:15" ht="39.75" customHeight="1" x14ac:dyDescent="0.5">
      <c r="A152" s="1703" t="s">
        <v>3945</v>
      </c>
      <c r="B152" s="1703"/>
      <c r="C152" s="1976" t="s">
        <v>3946</v>
      </c>
      <c r="D152" s="1976"/>
      <c r="E152" s="1976"/>
      <c r="F152" s="1976"/>
      <c r="G152" s="1323"/>
      <c r="H152" s="1569"/>
      <c r="I152" s="1657"/>
      <c r="J152" s="1657"/>
      <c r="K152" s="1657"/>
      <c r="L152" s="1657"/>
      <c r="M152" s="1657"/>
      <c r="N152" s="1657"/>
      <c r="O152" s="1657"/>
    </row>
  </sheetData>
  <mergeCells count="65">
    <mergeCell ref="C140:F140"/>
    <mergeCell ref="C147:F147"/>
    <mergeCell ref="C146:F146"/>
    <mergeCell ref="C152:F152"/>
    <mergeCell ref="C113:F113"/>
    <mergeCell ref="C120:F120"/>
    <mergeCell ref="C139:F139"/>
    <mergeCell ref="C116:F116"/>
    <mergeCell ref="C141:F141"/>
    <mergeCell ref="C124:F124"/>
    <mergeCell ref="C128:F128"/>
    <mergeCell ref="C121:F121"/>
    <mergeCell ref="C125:F125"/>
    <mergeCell ref="C151:F151"/>
    <mergeCell ref="C110:F110"/>
    <mergeCell ref="C91:F91"/>
    <mergeCell ref="C77:F77"/>
    <mergeCell ref="C81:F81"/>
    <mergeCell ref="C86:F86"/>
    <mergeCell ref="C24:F24"/>
    <mergeCell ref="C25:F25"/>
    <mergeCell ref="C26:F26"/>
    <mergeCell ref="C29:F29"/>
    <mergeCell ref="C39:F39"/>
    <mergeCell ref="C60:F60"/>
    <mergeCell ref="A62:M62"/>
    <mergeCell ref="C46:F46"/>
    <mergeCell ref="C52:F52"/>
    <mergeCell ref="C57:F57"/>
    <mergeCell ref="C58:F58"/>
    <mergeCell ref="C59:F59"/>
    <mergeCell ref="C71:F71"/>
    <mergeCell ref="C89:F89"/>
    <mergeCell ref="C76:F76"/>
    <mergeCell ref="C72:F72"/>
    <mergeCell ref="C78:F78"/>
    <mergeCell ref="C79:F79"/>
    <mergeCell ref="C22:F22"/>
    <mergeCell ref="C3:F3"/>
    <mergeCell ref="C7:F7"/>
    <mergeCell ref="C8:F8"/>
    <mergeCell ref="C9:F9"/>
    <mergeCell ref="C10:F10"/>
    <mergeCell ref="C11:F11"/>
    <mergeCell ref="C14:F14"/>
    <mergeCell ref="C16:F16"/>
    <mergeCell ref="C17:F17"/>
    <mergeCell ref="C18:F18"/>
    <mergeCell ref="C20:F20"/>
    <mergeCell ref="C63:F63"/>
    <mergeCell ref="C130:F130"/>
    <mergeCell ref="C137:F137"/>
    <mergeCell ref="C93:F93"/>
    <mergeCell ref="C105:F105"/>
    <mergeCell ref="C111:F111"/>
    <mergeCell ref="C117:F117"/>
    <mergeCell ref="C122:F122"/>
    <mergeCell ref="C132:F132"/>
    <mergeCell ref="C103:F103"/>
    <mergeCell ref="C102:F102"/>
    <mergeCell ref="C98:F98"/>
    <mergeCell ref="C97:F97"/>
    <mergeCell ref="C64:F64"/>
    <mergeCell ref="C65:F65"/>
    <mergeCell ref="C70:F70"/>
  </mergeCells>
  <phoneticPr fontId="93" type="noConversion"/>
  <conditionalFormatting sqref="G66:H69 G70:G72 G73:H75 G76:G152">
    <cfRule type="containsText" dxfId="19" priority="6" operator="containsText" text="Hold">
      <formula>NOT(ISERROR(SEARCH("Hold",G66)))</formula>
    </cfRule>
    <cfRule type="containsText" dxfId="18" priority="7" operator="containsText" text="Ready to Send">
      <formula>NOT(ISERROR(SEARCH("Ready to Send",G66)))</formula>
    </cfRule>
    <cfRule type="containsText" dxfId="17" priority="8" operator="containsText" text="Changes Needed">
      <formula>NOT(ISERROR(SEARCH("Changes Needed",G66)))</formula>
    </cfRule>
    <cfRule type="containsText" dxfId="16" priority="9" operator="containsText" text="Internal Review">
      <formula>NOT(ISERROR(SEARCH("Internal Review",G66)))</formula>
    </cfRule>
    <cfRule type="containsText" dxfId="15" priority="10" operator="containsText" text="In Progress">
      <formula>NOT(ISERROR(SEARCH("In Progress",G66)))</formula>
    </cfRule>
  </conditionalFormatting>
  <dataValidations count="1">
    <dataValidation type="list" allowBlank="1" showInputMessage="1" showErrorMessage="1" sqref="H66:H69 H73:H75 G66:G152" xr:uid="{2628EAD6-63B9-4C8F-8BE0-F022DFB119B9}">
      <formula1>"In Progress, Internal Review, Changes Needed, Ready to Send, Hold"</formula1>
    </dataValidation>
  </dataValidations>
  <hyperlinks>
    <hyperlink ref="H66" r:id="rId1" xr:uid="{7C608E81-10B0-4B3F-AF72-85EEAB8BB6E1}"/>
    <hyperlink ref="H67" r:id="rId2" xr:uid="{1565F789-CBC4-48AB-921D-8DA706DC6FB1}"/>
    <hyperlink ref="H68" r:id="rId3" xr:uid="{D42BDD6B-2F09-4770-9B93-0F977DF63854}"/>
    <hyperlink ref="H69" r:id="rId4" xr:uid="{AA9B453F-3152-4603-A075-4F8B81FAD95D}"/>
    <hyperlink ref="H73" r:id="rId5" xr:uid="{7F9C508A-2A41-454A-AAF7-DFDC81CC8FAA}"/>
    <hyperlink ref="H74" r:id="rId6" xr:uid="{62CBA30D-1744-446A-B6DE-E48B21B108BD}"/>
    <hyperlink ref="H75" r:id="rId7" xr:uid="{7332D082-A6A3-4BB9-AAD9-9765F84F6521}"/>
    <hyperlink ref="H83" r:id="rId8" xr:uid="{04900BEF-405A-43DE-8837-FCD949373D2A}"/>
    <hyperlink ref="H82" r:id="rId9" xr:uid="{8829CDC2-7552-49BB-AC7C-13FF02C3B673}"/>
    <hyperlink ref="H86" r:id="rId10" xr:uid="{0677B6AC-B6A0-4EB7-8374-626010251BBC}"/>
    <hyperlink ref="H84" r:id="rId11" xr:uid="{E26AAC35-49A9-4EE9-9828-83DE025190D4}"/>
    <hyperlink ref="H87" r:id="rId12" xr:uid="{EA198E6D-62CE-4EBF-8420-0DB421A7F1E1}"/>
    <hyperlink ref="H88" r:id="rId13" xr:uid="{FE32B019-46A2-4CD7-92DB-D38E2975DD2A}"/>
    <hyperlink ref="H90" r:id="rId14" xr:uid="{C2A45AC8-2B53-4C33-B945-DFA0E33A85ED}"/>
    <hyperlink ref="E96" r:id="rId15" xr:uid="{DD218471-63CC-40EA-AEF6-E8A480F65612}"/>
    <hyperlink ref="H91" r:id="rId16" xr:uid="{2F041451-F20F-4489-8818-B5D467E58434}"/>
    <hyperlink ref="H92" r:id="rId17" xr:uid="{0062CC51-C5F0-4637-8D46-A24B68EB42A2}"/>
    <hyperlink ref="H94" r:id="rId18" xr:uid="{93637A08-0BD6-46A3-BD99-008222BD50D7}"/>
    <hyperlink ref="H95" r:id="rId19" xr:uid="{4DFC107C-3B49-4AEF-AD68-643F10FD7EC4}"/>
    <hyperlink ref="H96" r:id="rId20" xr:uid="{157818B0-F7AC-48CF-97E5-D77FF36376A0}"/>
    <hyperlink ref="H98" r:id="rId21" xr:uid="{F818DDFC-CB27-4B55-B902-61DD13590A40}"/>
    <hyperlink ref="H99" r:id="rId22" xr:uid="{A9F0A16C-8705-4CA8-9C22-1CAC854DDDD2}"/>
    <hyperlink ref="H101" r:id="rId23" xr:uid="{8D556EC9-52C3-4097-A63B-96FD75F03F86}"/>
    <hyperlink ref="H100" r:id="rId24" xr:uid="{691CBFFF-4D47-4D70-9C15-D4203CD25B30}"/>
    <hyperlink ref="E109" r:id="rId25" location=":~:text=Limited%20availability-,ANCILLARY%20MEETING%20%26%20EVENT%20SPACE,-Starting%20at%20%241%2C500" xr:uid="{C198932A-E9CB-4BDB-A10B-20B39C100CC1}"/>
    <hyperlink ref="H104" r:id="rId26" xr:uid="{79FD17CA-C52B-4056-910C-F446402630D4}"/>
    <hyperlink ref="H105" r:id="rId27" xr:uid="{2960217C-17F5-40C1-9142-73C1EAD98A44}"/>
    <hyperlink ref="H106" r:id="rId28" xr:uid="{24B782D7-C2FB-49E7-A2AD-53EA751DB1C1}"/>
    <hyperlink ref="H107" r:id="rId29" xr:uid="{B666FB11-A930-4B1C-B28E-933C6BB3C5C1}"/>
    <hyperlink ref="H108" r:id="rId30" xr:uid="{802DA591-13CE-4102-A712-2917C3ED86DB}"/>
    <hyperlink ref="H109" r:id="rId31" xr:uid="{050D129B-5B24-4C5A-83FF-73584F74EDDF}"/>
    <hyperlink ref="H112" r:id="rId32" xr:uid="{97B1C8B5-C1C1-4F3C-A325-52F86F64C011}"/>
    <hyperlink ref="H114" r:id="rId33" xr:uid="{36F169DF-3598-49AB-91CC-C2EF075229A7}"/>
    <hyperlink ref="H115" r:id="rId34" xr:uid="{B1E09338-EACF-4695-936A-13B8AF94B019}"/>
    <hyperlink ref="H117" r:id="rId35" xr:uid="{F7015EF2-044E-42BC-B6E1-2E6AC75232D7}"/>
    <hyperlink ref="H118" r:id="rId36" xr:uid="{15B31A6F-A2D6-460A-BE1C-2CC69D4DFAE6}"/>
    <hyperlink ref="H119" r:id="rId37" xr:uid="{47B985B3-4D09-4027-82EF-111936E0A02E}"/>
    <hyperlink ref="H123" r:id="rId38" xr:uid="{690329C7-7F75-42D8-BB7B-231BA7A75F9B}"/>
    <hyperlink ref="H126" r:id="rId39" xr:uid="{21680F0E-7866-4BE8-A469-FBE35DB59BFE}"/>
    <hyperlink ref="H127" r:id="rId40" xr:uid="{C26390B1-6B45-41AF-9577-3E6EFF1CB22F}"/>
    <hyperlink ref="H129" r:id="rId41" xr:uid="{C999D663-7862-4ED2-9317-74C440D05322}"/>
    <hyperlink ref="H132" r:id="rId42" xr:uid="{878487F1-B6C7-4658-85BB-3A829A5E95E6}"/>
    <hyperlink ref="H134" r:id="rId43" xr:uid="{6F797545-1F85-4BE6-AE8A-9BFD0BBFC9EC}"/>
    <hyperlink ref="H136" r:id="rId44" xr:uid="{6DD3A292-F144-4117-8F52-09A6EB729183}"/>
    <hyperlink ref="H135" r:id="rId45" xr:uid="{203FA38C-9E93-4C72-AAF9-2D2658A1111E}"/>
    <hyperlink ref="H138" r:id="rId46" xr:uid="{1006BA09-3951-4ADA-8FB3-637AEE7E8662}"/>
  </hyperlinks>
  <pageMargins left="0.7" right="0.7" top="0.75" bottom="0.75" header="0.3" footer="0.3"/>
  <pageSetup orientation="portrait" r:id="rId4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20169-E91F-4017-8A37-865FA5763F84}">
  <sheetPr>
    <tabColor rgb="FFB9D9EB"/>
  </sheetPr>
  <dimension ref="A2:N27"/>
  <sheetViews>
    <sheetView zoomScale="80" zoomScaleNormal="80" workbookViewId="0">
      <selection activeCell="H26" sqref="H26"/>
    </sheetView>
  </sheetViews>
  <sheetFormatPr defaultColWidth="30.7265625" defaultRowHeight="30" customHeight="1" x14ac:dyDescent="0.35"/>
  <cols>
    <col min="1" max="1" width="30.7265625" style="1756"/>
    <col min="2" max="2" width="20.81640625" style="1756" customWidth="1"/>
    <col min="3" max="6" width="30.7265625" style="1756"/>
    <col min="7" max="7" width="21.81640625" style="1756" customWidth="1"/>
    <col min="8" max="8" width="30.7265625" style="1756"/>
    <col min="9" max="10" width="16.26953125" style="1756" customWidth="1"/>
    <col min="11" max="13" width="10.7265625" style="1756" customWidth="1"/>
    <col min="14" max="14" width="17.26953125" style="1756" customWidth="1"/>
    <col min="15" max="16384" width="30.7265625" style="1756"/>
  </cols>
  <sheetData>
    <row r="2" spans="1:14" ht="30" customHeight="1" x14ac:dyDescent="0.35">
      <c r="A2" s="1756" t="e" vm="1">
        <v>#VALUE!</v>
      </c>
      <c r="D2" s="1757" t="s">
        <v>3947</v>
      </c>
      <c r="E2" s="1758">
        <f>AVERAGE(K5:K20)</f>
        <v>0.22274999999999998</v>
      </c>
      <c r="F2" s="1757" t="s">
        <v>3948</v>
      </c>
      <c r="G2" s="1759">
        <f>AVERAGE(L5:L20)</f>
        <v>1.6674999999999999E-2</v>
      </c>
    </row>
    <row r="4" spans="1:14" ht="30" customHeight="1" x14ac:dyDescent="0.35">
      <c r="A4" s="1760" t="s">
        <v>1</v>
      </c>
      <c r="B4" s="1760" t="s">
        <v>3949</v>
      </c>
      <c r="C4" s="1760" t="s">
        <v>3950</v>
      </c>
      <c r="D4" s="1760" t="s">
        <v>3951</v>
      </c>
      <c r="E4" s="1760" t="s">
        <v>3952</v>
      </c>
      <c r="F4" s="1760" t="s">
        <v>3953</v>
      </c>
      <c r="G4" s="1760" t="s">
        <v>726</v>
      </c>
      <c r="H4" s="1760" t="s">
        <v>3954</v>
      </c>
      <c r="I4" s="1760" t="s">
        <v>9</v>
      </c>
      <c r="J4" s="1760" t="s">
        <v>1573</v>
      </c>
      <c r="K4" s="1760" t="s">
        <v>10</v>
      </c>
      <c r="L4" s="1760" t="s">
        <v>434</v>
      </c>
      <c r="M4" s="1760" t="s">
        <v>655</v>
      </c>
      <c r="N4" s="1760" t="s">
        <v>3955</v>
      </c>
    </row>
    <row r="5" spans="1:14" ht="30" customHeight="1" x14ac:dyDescent="0.35">
      <c r="A5" s="1761">
        <v>45824</v>
      </c>
      <c r="B5" s="1761">
        <v>45826</v>
      </c>
      <c r="C5" s="1754" t="s">
        <v>783</v>
      </c>
      <c r="D5" s="1190" t="s">
        <v>1239</v>
      </c>
      <c r="E5" s="1190" t="s">
        <v>3956</v>
      </c>
      <c r="F5" s="1190" t="s">
        <v>3957</v>
      </c>
      <c r="G5" s="1188"/>
      <c r="H5" s="1754" t="s">
        <v>3958</v>
      </c>
      <c r="I5" s="1190" t="s">
        <v>3959</v>
      </c>
      <c r="J5" s="1190">
        <v>17</v>
      </c>
      <c r="K5" s="1762">
        <v>0.35289999999999999</v>
      </c>
      <c r="L5" s="1763">
        <v>0</v>
      </c>
      <c r="M5" s="1190">
        <v>0</v>
      </c>
      <c r="N5" s="1190">
        <v>1</v>
      </c>
    </row>
    <row r="6" spans="1:14" ht="30" hidden="1" customHeight="1" x14ac:dyDescent="0.35">
      <c r="A6" s="1764">
        <v>45831</v>
      </c>
      <c r="B6" s="1761">
        <v>45832</v>
      </c>
      <c r="C6" s="1754" t="s">
        <v>783</v>
      </c>
      <c r="D6" s="1190" t="s">
        <v>1239</v>
      </c>
      <c r="E6" s="1190" t="s">
        <v>3960</v>
      </c>
      <c r="F6" s="1190" t="s">
        <v>3961</v>
      </c>
      <c r="G6" s="1190"/>
      <c r="H6" s="1190"/>
      <c r="I6" s="1190"/>
      <c r="J6" s="1190"/>
      <c r="K6" s="1190"/>
      <c r="L6" s="1190"/>
      <c r="M6" s="1190"/>
      <c r="N6" s="1190"/>
    </row>
    <row r="7" spans="1:14" ht="30" hidden="1" customHeight="1" x14ac:dyDescent="0.35">
      <c r="A7" s="1761">
        <v>45838</v>
      </c>
      <c r="B7" s="1761">
        <v>45839</v>
      </c>
      <c r="C7" s="1754" t="s">
        <v>783</v>
      </c>
      <c r="D7" s="1190" t="s">
        <v>3962</v>
      </c>
      <c r="E7" s="1190" t="s">
        <v>1921</v>
      </c>
      <c r="F7" s="1190" t="s">
        <v>3963</v>
      </c>
      <c r="G7" s="1190"/>
      <c r="H7" s="1190"/>
      <c r="I7" s="1190"/>
      <c r="J7" s="1190"/>
      <c r="K7" s="1190"/>
      <c r="L7" s="1190"/>
      <c r="M7" s="1190"/>
      <c r="N7" s="1190"/>
    </row>
    <row r="8" spans="1:14" ht="30" hidden="1" customHeight="1" x14ac:dyDescent="0.35">
      <c r="A8" s="1764">
        <v>45845</v>
      </c>
      <c r="B8" s="1761">
        <v>45846</v>
      </c>
      <c r="C8" s="1754" t="s">
        <v>783</v>
      </c>
      <c r="D8" s="1190" t="s">
        <v>3678</v>
      </c>
      <c r="E8" s="1190" t="s">
        <v>3964</v>
      </c>
      <c r="F8" s="1190" t="s">
        <v>3965</v>
      </c>
      <c r="G8" s="1190"/>
      <c r="H8" s="1190"/>
      <c r="I8" s="1190"/>
      <c r="J8" s="1190"/>
      <c r="K8" s="1190"/>
      <c r="L8" s="1190"/>
      <c r="M8" s="1190"/>
      <c r="N8" s="1190"/>
    </row>
    <row r="9" spans="1:14" ht="30" hidden="1" customHeight="1" x14ac:dyDescent="0.35">
      <c r="A9" s="1761">
        <v>45852</v>
      </c>
      <c r="B9" s="1761">
        <v>45853</v>
      </c>
      <c r="C9" s="1754" t="s">
        <v>783</v>
      </c>
      <c r="D9" s="1190"/>
      <c r="E9" s="1190"/>
      <c r="F9" s="1190"/>
      <c r="G9" s="1190"/>
      <c r="H9" s="1190"/>
      <c r="I9" s="1190"/>
      <c r="J9" s="1190"/>
      <c r="K9" s="1190"/>
      <c r="L9" s="1190"/>
      <c r="M9" s="1190"/>
      <c r="N9" s="1190"/>
    </row>
    <row r="10" spans="1:14" ht="30" hidden="1" customHeight="1" x14ac:dyDescent="0.35">
      <c r="A10" s="1761">
        <v>45859</v>
      </c>
      <c r="B10" s="1761">
        <v>45860</v>
      </c>
      <c r="C10" s="1754" t="s">
        <v>783</v>
      </c>
      <c r="D10" s="1190"/>
      <c r="E10" s="1190"/>
      <c r="F10" s="1190"/>
      <c r="G10" s="1190"/>
      <c r="H10" s="1190"/>
      <c r="I10" s="1190"/>
      <c r="J10" s="1190"/>
      <c r="K10" s="1190"/>
      <c r="L10" s="1190"/>
      <c r="M10" s="1190"/>
      <c r="N10" s="1190"/>
    </row>
    <row r="11" spans="1:14" ht="30" hidden="1" customHeight="1" x14ac:dyDescent="0.35">
      <c r="A11" s="1761">
        <v>45866</v>
      </c>
      <c r="B11" s="1761">
        <v>45868</v>
      </c>
      <c r="C11" s="1754" t="s">
        <v>783</v>
      </c>
      <c r="D11" s="1190"/>
      <c r="E11" s="1190"/>
      <c r="F11" s="1190"/>
      <c r="G11" s="1190"/>
      <c r="H11" s="1190"/>
      <c r="I11" s="1190"/>
      <c r="J11" s="1190"/>
      <c r="K11" s="1190"/>
      <c r="L11" s="1190"/>
      <c r="M11" s="1190"/>
      <c r="N11" s="1190"/>
    </row>
    <row r="12" spans="1:14" ht="30" hidden="1" customHeight="1" x14ac:dyDescent="0.35">
      <c r="A12" s="1761">
        <v>45873</v>
      </c>
      <c r="B12" s="1761">
        <v>45875</v>
      </c>
      <c r="C12" s="1754" t="s">
        <v>783</v>
      </c>
      <c r="D12" s="1190"/>
      <c r="E12" s="1190"/>
      <c r="F12" s="1190"/>
      <c r="G12" s="1190"/>
      <c r="H12" s="1190"/>
      <c r="I12" s="1190"/>
      <c r="J12" s="1190"/>
      <c r="K12" s="1190"/>
      <c r="L12" s="1190"/>
      <c r="M12" s="1190"/>
      <c r="N12" s="1190"/>
    </row>
    <row r="13" spans="1:14" ht="30" hidden="1" customHeight="1" x14ac:dyDescent="0.35">
      <c r="A13" s="1761">
        <v>45880</v>
      </c>
      <c r="B13" s="1761">
        <v>45881</v>
      </c>
      <c r="C13" s="1754" t="s">
        <v>783</v>
      </c>
      <c r="D13" s="1190"/>
      <c r="E13" s="1190"/>
      <c r="F13" s="1190"/>
      <c r="G13" s="1190"/>
      <c r="H13" s="1190"/>
      <c r="I13" s="1190"/>
      <c r="J13" s="1190"/>
      <c r="K13" s="1190"/>
      <c r="L13" s="1190"/>
      <c r="M13" s="1190"/>
      <c r="N13" s="1190"/>
    </row>
    <row r="14" spans="1:14" ht="30" hidden="1" customHeight="1" x14ac:dyDescent="0.35">
      <c r="A14" s="1761">
        <v>45887</v>
      </c>
      <c r="B14" s="1761">
        <v>45888</v>
      </c>
      <c r="C14" s="1754" t="s">
        <v>783</v>
      </c>
      <c r="D14" s="1190"/>
      <c r="E14" s="1190"/>
      <c r="F14" s="1190"/>
      <c r="G14" s="1190"/>
      <c r="H14" s="1190"/>
      <c r="I14" s="1190"/>
      <c r="J14" s="1190"/>
      <c r="K14" s="1190"/>
      <c r="L14" s="1190"/>
      <c r="M14" s="1190"/>
      <c r="N14" s="1190"/>
    </row>
    <row r="15" spans="1:14" ht="30" hidden="1" customHeight="1" x14ac:dyDescent="0.35">
      <c r="A15" s="1765">
        <v>45894</v>
      </c>
      <c r="B15" s="1765">
        <v>45895</v>
      </c>
      <c r="C15" s="1766" t="s">
        <v>783</v>
      </c>
      <c r="D15" s="1767"/>
      <c r="E15" s="1767"/>
      <c r="F15" s="1767"/>
      <c r="G15" s="1767"/>
      <c r="H15" s="1767"/>
      <c r="I15" s="1767"/>
      <c r="J15" s="1767"/>
      <c r="K15" s="1767"/>
      <c r="L15" s="1767"/>
      <c r="M15" s="1767"/>
      <c r="N15" s="1767"/>
    </row>
    <row r="16" spans="1:14" ht="30" customHeight="1" x14ac:dyDescent="0.35">
      <c r="A16" s="2153">
        <v>2026</v>
      </c>
      <c r="B16" s="2154"/>
      <c r="C16" s="2154"/>
      <c r="D16" s="2154"/>
      <c r="E16" s="2154"/>
      <c r="F16" s="2154"/>
      <c r="G16" s="2154"/>
      <c r="H16" s="2154"/>
      <c r="I16" s="2154"/>
      <c r="J16" s="2154"/>
      <c r="K16" s="2154"/>
      <c r="L16" s="2154"/>
      <c r="M16" s="2154"/>
      <c r="N16" s="2155"/>
    </row>
    <row r="17" spans="1:14" ht="30" customHeight="1" x14ac:dyDescent="0.35">
      <c r="A17" s="1761">
        <v>46055</v>
      </c>
      <c r="B17" s="1761">
        <v>46057</v>
      </c>
      <c r="C17" s="1766" t="s">
        <v>783</v>
      </c>
      <c r="D17" s="1190" t="s">
        <v>41</v>
      </c>
      <c r="E17" s="1190" t="s">
        <v>3966</v>
      </c>
      <c r="F17" s="1190" t="s">
        <v>3967</v>
      </c>
      <c r="G17" s="1188"/>
      <c r="H17" s="1755" t="s">
        <v>3968</v>
      </c>
      <c r="I17" s="1190" t="s">
        <v>3465</v>
      </c>
      <c r="J17" s="1190">
        <v>15</v>
      </c>
      <c r="K17" s="1762">
        <v>0.26669999999999999</v>
      </c>
      <c r="L17" s="1762">
        <v>6.6699999999999995E-2</v>
      </c>
      <c r="M17" s="1190">
        <v>0</v>
      </c>
      <c r="N17" s="1190">
        <v>0</v>
      </c>
    </row>
    <row r="18" spans="1:14" ht="30" customHeight="1" x14ac:dyDescent="0.35">
      <c r="A18" s="1761">
        <v>46076</v>
      </c>
      <c r="B18" s="1761">
        <v>46077</v>
      </c>
      <c r="C18" s="1766" t="s">
        <v>783</v>
      </c>
      <c r="D18" s="1190" t="s">
        <v>1239</v>
      </c>
      <c r="E18" s="1190" t="s">
        <v>3969</v>
      </c>
      <c r="F18" s="1190" t="s">
        <v>3961</v>
      </c>
      <c r="G18" s="1188"/>
      <c r="H18" s="1191" t="s">
        <v>3970</v>
      </c>
      <c r="I18" s="1190" t="s">
        <v>2948</v>
      </c>
      <c r="J18" s="1190">
        <v>15</v>
      </c>
      <c r="K18" s="1763">
        <v>0.2</v>
      </c>
      <c r="L18" s="1763">
        <v>0</v>
      </c>
      <c r="M18" s="1190">
        <v>0</v>
      </c>
      <c r="N18" s="1190">
        <v>1</v>
      </c>
    </row>
    <row r="19" spans="1:14" ht="30" customHeight="1" x14ac:dyDescent="0.35">
      <c r="A19" s="1761">
        <v>46097</v>
      </c>
      <c r="B19" s="1761">
        <v>46099</v>
      </c>
      <c r="C19" s="1766" t="s">
        <v>783</v>
      </c>
      <c r="D19" s="1190" t="s">
        <v>3971</v>
      </c>
      <c r="E19" s="1190" t="s">
        <v>3964</v>
      </c>
      <c r="F19" s="1190" t="s">
        <v>3972</v>
      </c>
      <c r="G19" s="1822"/>
      <c r="H19" s="661" t="s">
        <v>3973</v>
      </c>
      <c r="I19" s="1767" t="s">
        <v>3974</v>
      </c>
      <c r="J19" s="1767">
        <v>98</v>
      </c>
      <c r="K19" s="1891">
        <v>7.1400000000000005E-2</v>
      </c>
      <c r="L19" s="1763">
        <v>0</v>
      </c>
      <c r="M19" s="1190">
        <v>3</v>
      </c>
      <c r="N19" s="1190">
        <v>2</v>
      </c>
    </row>
    <row r="20" spans="1:14" ht="30" customHeight="1" x14ac:dyDescent="0.35">
      <c r="A20" s="1764">
        <v>46125</v>
      </c>
      <c r="B20" s="1761">
        <v>46128</v>
      </c>
      <c r="C20" s="1766" t="s">
        <v>783</v>
      </c>
      <c r="D20" s="1190" t="s">
        <v>41</v>
      </c>
      <c r="E20" s="1190" t="s">
        <v>3975</v>
      </c>
      <c r="F20" s="1190"/>
      <c r="G20" s="1889" t="s">
        <v>1355</v>
      </c>
      <c r="H20" s="1893"/>
      <c r="I20" s="1893"/>
      <c r="J20" s="1893"/>
      <c r="K20" s="1893"/>
      <c r="L20" s="1890"/>
      <c r="M20" s="1190"/>
      <c r="N20" s="1190"/>
    </row>
    <row r="21" spans="1:14" ht="30" customHeight="1" x14ac:dyDescent="0.35">
      <c r="A21" s="2153" t="s">
        <v>3976</v>
      </c>
      <c r="B21" s="2154"/>
      <c r="C21" s="2154"/>
      <c r="D21" s="2154"/>
      <c r="E21" s="2154"/>
      <c r="F21" s="2154"/>
      <c r="G21" s="2154"/>
      <c r="H21" s="2154"/>
      <c r="I21" s="2154"/>
      <c r="J21" s="2154"/>
      <c r="K21" s="2154"/>
      <c r="L21" s="2154"/>
      <c r="M21" s="2154"/>
      <c r="N21" s="2155"/>
    </row>
    <row r="22" spans="1:14" ht="30" customHeight="1" x14ac:dyDescent="0.35">
      <c r="A22" s="1764">
        <v>46160</v>
      </c>
      <c r="B22" s="1761">
        <v>46162</v>
      </c>
      <c r="C22" s="1766" t="s">
        <v>783</v>
      </c>
      <c r="D22" s="1190" t="s">
        <v>41</v>
      </c>
      <c r="E22" s="1190" t="s">
        <v>3977</v>
      </c>
      <c r="F22" s="1190" t="s">
        <v>3978</v>
      </c>
      <c r="G22" s="1188"/>
      <c r="H22" s="1783" t="s">
        <v>3979</v>
      </c>
      <c r="I22" s="1892" t="s">
        <v>3980</v>
      </c>
      <c r="J22" s="1892">
        <v>95</v>
      </c>
      <c r="K22" s="1900">
        <v>9.5699999999999993E-2</v>
      </c>
      <c r="L22" s="1763">
        <v>0</v>
      </c>
      <c r="M22" s="1190">
        <v>1</v>
      </c>
      <c r="N22" s="1190">
        <v>0</v>
      </c>
    </row>
    <row r="23" spans="1:14" ht="30" customHeight="1" x14ac:dyDescent="0.35">
      <c r="A23" s="1922" t="s">
        <v>2265</v>
      </c>
      <c r="B23" s="2157" t="s">
        <v>3981</v>
      </c>
      <c r="C23" s="2158"/>
      <c r="D23" s="2158"/>
      <c r="E23" s="2158"/>
      <c r="F23" s="2158"/>
      <c r="G23" s="1188"/>
      <c r="H23" s="1191"/>
      <c r="I23" s="1190"/>
      <c r="J23" s="1190"/>
      <c r="K23" s="1762"/>
      <c r="L23" s="1763"/>
      <c r="M23" s="1190"/>
      <c r="N23" s="1190"/>
    </row>
    <row r="24" spans="1:14" ht="30" customHeight="1" x14ac:dyDescent="0.35">
      <c r="A24" s="2156" t="s">
        <v>3982</v>
      </c>
      <c r="B24" s="2156"/>
      <c r="C24" s="2156"/>
      <c r="D24" s="2156"/>
      <c r="E24" s="2156"/>
      <c r="F24" s="2156"/>
      <c r="G24" s="2156"/>
      <c r="H24" s="2156"/>
      <c r="I24" s="2156"/>
      <c r="J24" s="2156"/>
      <c r="K24" s="2156"/>
      <c r="L24" s="2156"/>
      <c r="M24" s="2156"/>
      <c r="N24" s="2156"/>
    </row>
    <row r="25" spans="1:14" ht="30" customHeight="1" x14ac:dyDescent="0.35">
      <c r="A25" s="1761">
        <v>46244</v>
      </c>
      <c r="B25" s="1761">
        <v>46246</v>
      </c>
      <c r="C25" s="1923"/>
      <c r="D25" s="1923"/>
      <c r="E25" s="1923"/>
      <c r="F25" s="1923"/>
      <c r="G25" s="1923"/>
      <c r="H25" s="1923"/>
      <c r="I25" s="1923"/>
      <c r="J25" s="1923"/>
      <c r="K25" s="1923"/>
      <c r="L25" s="1923"/>
      <c r="M25" s="1923"/>
      <c r="N25" s="1923"/>
    </row>
    <row r="26" spans="1:14" ht="30" customHeight="1" x14ac:dyDescent="0.35">
      <c r="A26" s="1761">
        <v>46279</v>
      </c>
      <c r="B26" s="1761">
        <v>46281</v>
      </c>
      <c r="C26" s="1923"/>
      <c r="D26" s="1923"/>
      <c r="E26" s="1923"/>
      <c r="F26" s="1923"/>
      <c r="G26" s="1923"/>
      <c r="H26" s="1923"/>
      <c r="I26" s="1923"/>
      <c r="J26" s="1923"/>
      <c r="K26" s="1923"/>
      <c r="L26" s="1923"/>
      <c r="M26" s="1923"/>
      <c r="N26" s="1923"/>
    </row>
    <row r="27" spans="1:14" ht="30" customHeight="1" x14ac:dyDescent="0.35">
      <c r="A27" s="2153" t="s">
        <v>3983</v>
      </c>
      <c r="B27" s="2154"/>
      <c r="C27" s="2154"/>
      <c r="D27" s="2154"/>
      <c r="E27" s="2154"/>
      <c r="F27" s="2154"/>
      <c r="G27" s="2154"/>
      <c r="H27" s="2154"/>
      <c r="I27" s="2154"/>
      <c r="J27" s="2154"/>
      <c r="K27" s="2154"/>
      <c r="L27" s="2154"/>
      <c r="M27" s="2154"/>
      <c r="N27" s="2155"/>
    </row>
  </sheetData>
  <mergeCells count="5">
    <mergeCell ref="A16:N16"/>
    <mergeCell ref="A21:N21"/>
    <mergeCell ref="A24:N24"/>
    <mergeCell ref="A27:N27"/>
    <mergeCell ref="B23:F23"/>
  </mergeCells>
  <conditionalFormatting sqref="G5">
    <cfRule type="containsText" dxfId="14" priority="26" operator="containsText" text="Hold">
      <formula>NOT(ISERROR(SEARCH("Hold",G5)))</formula>
    </cfRule>
    <cfRule type="containsText" dxfId="13" priority="27" operator="containsText" text="Ready to Send">
      <formula>NOT(ISERROR(SEARCH("Ready to Send",G5)))</formula>
    </cfRule>
    <cfRule type="containsText" dxfId="12" priority="28" operator="containsText" text="Changes Needed">
      <formula>NOT(ISERROR(SEARCH("Changes Needed",G5)))</formula>
    </cfRule>
    <cfRule type="containsText" dxfId="11" priority="29" operator="containsText" text="Internal Review">
      <formula>NOT(ISERROR(SEARCH("Internal Review",G5)))</formula>
    </cfRule>
    <cfRule type="containsText" dxfId="10" priority="30" operator="containsText" text="In Progress">
      <formula>NOT(ISERROR(SEARCH("In Progress",G5)))</formula>
    </cfRule>
  </conditionalFormatting>
  <conditionalFormatting sqref="G17:G23">
    <cfRule type="containsText" dxfId="9" priority="1" operator="containsText" text="Hold">
      <formula>NOT(ISERROR(SEARCH("Hold",G17)))</formula>
    </cfRule>
    <cfRule type="containsText" dxfId="8" priority="2" operator="containsText" text="Ready to Send">
      <formula>NOT(ISERROR(SEARCH("Ready to Send",G17)))</formula>
    </cfRule>
    <cfRule type="containsText" dxfId="7" priority="3" operator="containsText" text="Changes Needed">
      <formula>NOT(ISERROR(SEARCH("Changes Needed",G17)))</formula>
    </cfRule>
    <cfRule type="containsText" dxfId="6" priority="4" operator="containsText" text="Internal Review">
      <formula>NOT(ISERROR(SEARCH("Internal Review",G17)))</formula>
    </cfRule>
    <cfRule type="containsText" dxfId="5" priority="5" operator="containsText" text="In Progress">
      <formula>NOT(ISERROR(SEARCH("In Progress",G17)))</formula>
    </cfRule>
  </conditionalFormatting>
  <dataValidations count="1">
    <dataValidation type="list" allowBlank="1" showInputMessage="1" showErrorMessage="1" sqref="G5 G17:G23" xr:uid="{656402D2-1DC1-41D6-A315-7FCAA05639D9}">
      <formula1>"In Progress, Internal Review, Changes Needed, Ready to Send, Hold"</formula1>
    </dataValidation>
  </dataValidations>
  <hyperlinks>
    <hyperlink ref="C5" r:id="rId1" xr:uid="{137F5A03-6452-482B-9031-6D0B51C3D374}"/>
    <hyperlink ref="C6:C13" r:id="rId2" display="mailto:krking@smithbucklin.com" xr:uid="{5C2DCAA3-9859-44A9-833A-67D63298417D}"/>
    <hyperlink ref="C14:C15" r:id="rId3" display="mailto:krking@smithbucklin.com" xr:uid="{4BD4CA76-972A-430F-8948-05D286DDB749}"/>
    <hyperlink ref="H5" r:id="rId4" xr:uid="{E33BAAF4-8F8A-4990-83D3-E0A0088B5BF9}"/>
    <hyperlink ref="C17" r:id="rId5" display="mailto:krking@smithbucklin.com" xr:uid="{A9CB1989-AE7F-4075-86A9-05360F9DB7F8}"/>
    <hyperlink ref="C18" r:id="rId6" display="mailto:krking@smithbucklin.com" xr:uid="{F7F87264-7B8F-4264-95FC-00F607E313D3}"/>
    <hyperlink ref="C19" r:id="rId7" display="mailto:krking@smithbucklin.com" xr:uid="{A1BFB9D9-3E2D-4809-A405-7C7E7292F3FF}"/>
    <hyperlink ref="H17" r:id="rId8" xr:uid="{A43D32E4-B776-41EC-A9C2-0FB08F9A3CA4}"/>
    <hyperlink ref="H18" r:id="rId9" xr:uid="{121EC2BE-2191-4BFA-A924-6012EFE60EB8}"/>
    <hyperlink ref="C20" r:id="rId10" display="mailto:krking@smithbucklin.com" xr:uid="{D886FDD5-D4FD-4828-9B22-0E3E8DCED06D}"/>
    <hyperlink ref="H19" r:id="rId11" xr:uid="{0632D30D-09B6-4BF8-90F3-953939C1E8E9}"/>
    <hyperlink ref="C22" r:id="rId12" display="mailto:krking@smithbucklin.com" xr:uid="{722D2248-C2DF-4CEE-95A6-E4DDB06E76D1}"/>
    <hyperlink ref="H22" r:id="rId13" xr:uid="{2B3CF5E0-E248-48D8-AABA-95851F482C3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M66"/>
  <sheetViews>
    <sheetView zoomScaleNormal="100" workbookViewId="0">
      <pane ySplit="2" topLeftCell="A55" activePane="bottomLeft" state="frozen"/>
      <selection activeCell="C71" sqref="C71:G71"/>
      <selection pane="bottomLeft" activeCell="C71" sqref="C71:G71"/>
    </sheetView>
  </sheetViews>
  <sheetFormatPr defaultRowHeight="14.5" x14ac:dyDescent="0.35"/>
  <cols>
    <col min="1" max="2" width="23.453125" customWidth="1"/>
    <col min="3" max="3" width="37" customWidth="1"/>
    <col min="4" max="4" width="63.7265625" customWidth="1"/>
    <col min="5" max="6" width="44.54296875" customWidth="1"/>
    <col min="7" max="7" width="44.54296875" style="330" customWidth="1"/>
    <col min="8" max="8" width="27.7265625" customWidth="1"/>
    <col min="9" max="9" width="15" style="255" customWidth="1"/>
    <col min="10" max="12" width="9.1796875" style="255"/>
  </cols>
  <sheetData>
    <row r="1" spans="1:12" s="22" customFormat="1" ht="72" customHeight="1" x14ac:dyDescent="0.35">
      <c r="A1" s="2162" t="s">
        <v>3984</v>
      </c>
      <c r="B1" s="2162"/>
      <c r="C1" s="2162"/>
      <c r="D1"/>
      <c r="G1" s="324"/>
      <c r="I1" s="245"/>
      <c r="J1" s="245"/>
      <c r="K1" s="245"/>
      <c r="L1" s="245"/>
    </row>
    <row r="2" spans="1:12" s="9" customFormat="1" ht="28.15" customHeight="1" x14ac:dyDescent="0.35">
      <c r="A2" s="25" t="s">
        <v>1</v>
      </c>
      <c r="B2" s="25" t="s">
        <v>3985</v>
      </c>
      <c r="C2" s="26" t="s">
        <v>3</v>
      </c>
      <c r="D2" s="26" t="s">
        <v>5</v>
      </c>
      <c r="E2" s="26" t="s">
        <v>6</v>
      </c>
      <c r="F2" s="331" t="s">
        <v>3570</v>
      </c>
      <c r="G2" s="325" t="s">
        <v>3986</v>
      </c>
      <c r="H2" s="334" t="s">
        <v>9</v>
      </c>
      <c r="I2" s="230" t="s">
        <v>3987</v>
      </c>
      <c r="J2" s="181" t="s">
        <v>10</v>
      </c>
      <c r="K2" s="603" t="s">
        <v>433</v>
      </c>
      <c r="L2" s="185" t="s">
        <v>434</v>
      </c>
    </row>
    <row r="3" spans="1:12" s="9" customFormat="1" ht="43.9" customHeight="1" x14ac:dyDescent="0.35">
      <c r="A3" s="41" t="s">
        <v>19</v>
      </c>
      <c r="B3" s="41"/>
      <c r="C3" s="11" t="s">
        <v>86</v>
      </c>
      <c r="D3" s="10" t="s">
        <v>3988</v>
      </c>
      <c r="E3" s="28" t="s">
        <v>3989</v>
      </c>
      <c r="F3" s="77"/>
      <c r="G3" s="273"/>
      <c r="H3" s="335" t="s">
        <v>3990</v>
      </c>
      <c r="I3" s="79">
        <v>1873</v>
      </c>
      <c r="J3" s="246">
        <v>555</v>
      </c>
      <c r="K3" s="604"/>
      <c r="L3" s="247">
        <v>253</v>
      </c>
    </row>
    <row r="4" spans="1:12" s="9" customFormat="1" ht="43.9" customHeight="1" x14ac:dyDescent="0.35">
      <c r="A4" s="41" t="s">
        <v>24</v>
      </c>
      <c r="B4" s="41"/>
      <c r="C4" s="50" t="s">
        <v>86</v>
      </c>
      <c r="D4" s="51" t="s">
        <v>3991</v>
      </c>
      <c r="E4" s="54" t="s">
        <v>3992</v>
      </c>
      <c r="F4" s="225"/>
      <c r="G4" s="326"/>
      <c r="H4" s="336" t="s">
        <v>3993</v>
      </c>
      <c r="I4" s="79"/>
      <c r="J4" s="246"/>
      <c r="K4" s="246"/>
      <c r="L4" s="79"/>
    </row>
    <row r="5" spans="1:12" s="9" customFormat="1" ht="43.9" customHeight="1" x14ac:dyDescent="0.35">
      <c r="A5" s="41" t="s">
        <v>38</v>
      </c>
      <c r="B5" s="41"/>
      <c r="C5" s="11" t="s">
        <v>86</v>
      </c>
      <c r="D5" s="10" t="s">
        <v>3991</v>
      </c>
      <c r="E5" s="28" t="s">
        <v>3992</v>
      </c>
      <c r="F5" s="77"/>
      <c r="G5" s="273"/>
      <c r="H5" s="337" t="s">
        <v>463</v>
      </c>
      <c r="I5" s="79">
        <v>1841</v>
      </c>
      <c r="J5" s="246">
        <v>678</v>
      </c>
      <c r="K5" s="246"/>
      <c r="L5" s="79">
        <v>409</v>
      </c>
    </row>
    <row r="6" spans="1:12" s="9" customFormat="1" ht="43.9" customHeight="1" x14ac:dyDescent="0.35">
      <c r="A6" s="41" t="s">
        <v>51</v>
      </c>
      <c r="B6" s="41"/>
      <c r="C6" s="11" t="s">
        <v>3994</v>
      </c>
      <c r="D6" s="10" t="s">
        <v>3995</v>
      </c>
      <c r="E6" s="28" t="s">
        <v>3996</v>
      </c>
      <c r="F6" s="77"/>
      <c r="G6" s="273"/>
      <c r="H6" s="337" t="s">
        <v>55</v>
      </c>
      <c r="I6" s="79">
        <v>778</v>
      </c>
      <c r="J6" s="246">
        <v>355</v>
      </c>
      <c r="K6" s="246"/>
      <c r="L6" s="79">
        <v>214</v>
      </c>
    </row>
    <row r="7" spans="1:12" s="9" customFormat="1" ht="43.9" customHeight="1" x14ac:dyDescent="0.35">
      <c r="A7" s="66" t="s">
        <v>57</v>
      </c>
      <c r="B7" s="66"/>
      <c r="C7" s="11" t="s">
        <v>86</v>
      </c>
      <c r="D7" s="10" t="s">
        <v>3997</v>
      </c>
      <c r="E7" s="28" t="s">
        <v>3998</v>
      </c>
      <c r="F7" s="77"/>
      <c r="G7" s="273"/>
      <c r="H7" s="335" t="s">
        <v>473</v>
      </c>
      <c r="I7" s="79">
        <v>1803</v>
      </c>
      <c r="J7" s="246">
        <v>555</v>
      </c>
      <c r="K7" s="246"/>
      <c r="L7" s="79">
        <v>257</v>
      </c>
    </row>
    <row r="8" spans="1:12" s="9" customFormat="1" ht="43.9" customHeight="1" x14ac:dyDescent="0.35">
      <c r="A8" s="2171" t="s">
        <v>3999</v>
      </c>
      <c r="B8" s="2172"/>
      <c r="C8" s="2172"/>
      <c r="D8" s="2172"/>
      <c r="E8" s="2172"/>
      <c r="F8" s="2172"/>
      <c r="G8" s="2172"/>
      <c r="H8" s="2172"/>
      <c r="I8" s="79"/>
      <c r="J8" s="246"/>
      <c r="K8" s="246"/>
      <c r="L8" s="79"/>
    </row>
    <row r="9" spans="1:12" s="9" customFormat="1" ht="43.9" customHeight="1" x14ac:dyDescent="0.35">
      <c r="A9" s="41" t="s">
        <v>72</v>
      </c>
      <c r="B9" s="41"/>
      <c r="C9" s="11" t="s">
        <v>86</v>
      </c>
      <c r="D9" s="10" t="s">
        <v>4000</v>
      </c>
      <c r="E9" s="28" t="s">
        <v>4001</v>
      </c>
      <c r="F9" s="77"/>
      <c r="G9" s="273"/>
      <c r="H9" s="335" t="s">
        <v>76</v>
      </c>
      <c r="I9" s="79">
        <v>1769</v>
      </c>
      <c r="J9" s="246">
        <v>603</v>
      </c>
      <c r="K9" s="246"/>
      <c r="L9" s="79">
        <v>253</v>
      </c>
    </row>
    <row r="10" spans="1:12" s="9" customFormat="1" ht="43.9" customHeight="1" x14ac:dyDescent="0.35">
      <c r="A10" s="11" t="s">
        <v>81</v>
      </c>
      <c r="B10" s="11"/>
      <c r="C10" s="11" t="s">
        <v>86</v>
      </c>
      <c r="D10" s="10" t="s">
        <v>3997</v>
      </c>
      <c r="E10" s="28" t="s">
        <v>3998</v>
      </c>
      <c r="F10" s="77"/>
      <c r="G10" s="273"/>
      <c r="H10" s="335" t="s">
        <v>485</v>
      </c>
      <c r="I10" s="79">
        <v>1731</v>
      </c>
      <c r="J10" s="246">
        <v>497</v>
      </c>
      <c r="K10" s="246"/>
      <c r="L10" s="79">
        <v>171</v>
      </c>
    </row>
    <row r="11" spans="1:12" s="9" customFormat="1" ht="43.9" customHeight="1" x14ac:dyDescent="0.35">
      <c r="A11" s="41" t="s">
        <v>83</v>
      </c>
      <c r="B11" s="41"/>
      <c r="C11" s="11" t="s">
        <v>32</v>
      </c>
      <c r="D11" s="10" t="s">
        <v>4002</v>
      </c>
      <c r="E11" s="28" t="s">
        <v>3996</v>
      </c>
      <c r="F11" s="77"/>
      <c r="G11" s="273"/>
      <c r="H11" s="335" t="s">
        <v>4003</v>
      </c>
      <c r="I11" s="79">
        <v>1581</v>
      </c>
      <c r="J11" s="246">
        <v>429</v>
      </c>
      <c r="K11" s="246"/>
      <c r="L11" s="79">
        <v>137</v>
      </c>
    </row>
    <row r="12" spans="1:12" s="9" customFormat="1" ht="43.9" customHeight="1" x14ac:dyDescent="0.35">
      <c r="A12" s="83" t="s">
        <v>92</v>
      </c>
      <c r="B12" s="83"/>
      <c r="C12" s="11" t="s">
        <v>86</v>
      </c>
      <c r="D12" s="10" t="s">
        <v>4004</v>
      </c>
      <c r="E12" s="28" t="s">
        <v>4005</v>
      </c>
      <c r="F12" s="77"/>
      <c r="G12" s="273"/>
      <c r="H12" s="337" t="s">
        <v>4006</v>
      </c>
      <c r="I12" s="79">
        <v>1722</v>
      </c>
      <c r="J12" s="246">
        <v>431</v>
      </c>
      <c r="K12" s="246"/>
      <c r="L12" s="79">
        <v>134</v>
      </c>
    </row>
    <row r="13" spans="1:12" s="9" customFormat="1" ht="43.9" customHeight="1" x14ac:dyDescent="0.35">
      <c r="A13" s="27">
        <v>44993</v>
      </c>
      <c r="B13" s="466"/>
      <c r="C13" s="35"/>
      <c r="D13" s="2165" t="s">
        <v>4007</v>
      </c>
      <c r="E13" s="2166"/>
      <c r="F13" s="221"/>
      <c r="G13" s="327"/>
      <c r="H13" s="221"/>
      <c r="I13" s="79"/>
      <c r="J13" s="246"/>
      <c r="K13" s="246"/>
      <c r="L13" s="79"/>
    </row>
    <row r="14" spans="1:12" s="9" customFormat="1" ht="43.9" customHeight="1" x14ac:dyDescent="0.35">
      <c r="A14" s="372" t="s">
        <v>105</v>
      </c>
      <c r="B14" s="372"/>
      <c r="C14" s="372" t="s">
        <v>86</v>
      </c>
      <c r="D14" s="402" t="s">
        <v>4008</v>
      </c>
      <c r="E14" s="374" t="s">
        <v>3998</v>
      </c>
      <c r="F14" s="375"/>
      <c r="G14" s="376"/>
      <c r="H14" s="403" t="s">
        <v>4009</v>
      </c>
      <c r="I14" s="393">
        <v>1680</v>
      </c>
      <c r="J14" s="394">
        <v>384</v>
      </c>
      <c r="K14" s="394"/>
      <c r="L14" s="393">
        <v>102</v>
      </c>
    </row>
    <row r="15" spans="1:12" s="9" customFormat="1" ht="43.9" customHeight="1" x14ac:dyDescent="0.35">
      <c r="A15" s="372" t="s">
        <v>107</v>
      </c>
      <c r="B15" s="372"/>
      <c r="C15" s="372" t="s">
        <v>86</v>
      </c>
      <c r="D15" s="402" t="s">
        <v>4010</v>
      </c>
      <c r="E15" s="374" t="s">
        <v>3998</v>
      </c>
      <c r="F15" s="375"/>
      <c r="G15" s="376"/>
      <c r="H15" s="398" t="s">
        <v>4011</v>
      </c>
      <c r="I15" s="393">
        <v>1667</v>
      </c>
      <c r="J15" s="394">
        <v>420</v>
      </c>
      <c r="K15" s="394"/>
      <c r="L15" s="393">
        <v>154</v>
      </c>
    </row>
    <row r="16" spans="1:12" s="9" customFormat="1" ht="43.9" customHeight="1" x14ac:dyDescent="0.35">
      <c r="A16" s="372" t="s">
        <v>111</v>
      </c>
      <c r="B16" s="372"/>
      <c r="C16" s="372" t="s">
        <v>86</v>
      </c>
      <c r="D16" s="402" t="s">
        <v>4012</v>
      </c>
      <c r="E16" s="374" t="s">
        <v>4013</v>
      </c>
      <c r="F16" s="375"/>
      <c r="G16" s="376"/>
      <c r="H16" s="398" t="s">
        <v>117</v>
      </c>
      <c r="I16" s="393">
        <v>1705</v>
      </c>
      <c r="J16" s="394">
        <v>454</v>
      </c>
      <c r="K16" s="394"/>
      <c r="L16" s="393">
        <v>158</v>
      </c>
    </row>
    <row r="17" spans="1:12" s="9" customFormat="1" ht="43.9" customHeight="1" x14ac:dyDescent="0.35">
      <c r="A17" s="372" t="s">
        <v>124</v>
      </c>
      <c r="B17" s="372"/>
      <c r="C17" s="372" t="s">
        <v>35</v>
      </c>
      <c r="D17" s="404" t="s">
        <v>4014</v>
      </c>
      <c r="E17" s="374" t="s">
        <v>4015</v>
      </c>
      <c r="F17" s="375"/>
      <c r="G17" s="376"/>
      <c r="H17" s="398" t="s">
        <v>4016</v>
      </c>
      <c r="I17" s="393">
        <v>1393</v>
      </c>
      <c r="J17" s="394">
        <v>380</v>
      </c>
      <c r="K17" s="394"/>
      <c r="L17" s="393">
        <v>145</v>
      </c>
    </row>
    <row r="18" spans="1:12" s="9" customFormat="1" ht="43.9" customHeight="1" x14ac:dyDescent="0.35">
      <c r="A18" s="372" t="s">
        <v>124</v>
      </c>
      <c r="B18" s="372"/>
      <c r="C18" s="372" t="s">
        <v>4017</v>
      </c>
      <c r="D18" s="404" t="s">
        <v>4018</v>
      </c>
      <c r="E18" s="374" t="s">
        <v>4019</v>
      </c>
      <c r="F18" s="375"/>
      <c r="G18" s="376"/>
      <c r="H18" s="398" t="s">
        <v>4020</v>
      </c>
      <c r="I18" s="393">
        <v>73</v>
      </c>
      <c r="J18" s="394">
        <v>29</v>
      </c>
      <c r="K18" s="394"/>
      <c r="L18" s="393">
        <v>6</v>
      </c>
    </row>
    <row r="19" spans="1:12" s="9" customFormat="1" ht="43.9" customHeight="1" x14ac:dyDescent="0.35">
      <c r="A19" s="372" t="s">
        <v>124</v>
      </c>
      <c r="B19" s="372"/>
      <c r="C19" s="372" t="s">
        <v>4021</v>
      </c>
      <c r="D19" s="404" t="s">
        <v>4022</v>
      </c>
      <c r="E19" s="374" t="s">
        <v>4019</v>
      </c>
      <c r="F19" s="375"/>
      <c r="G19" s="376"/>
      <c r="H19" s="398" t="s">
        <v>507</v>
      </c>
      <c r="I19" s="393"/>
      <c r="J19" s="394"/>
      <c r="K19" s="394"/>
      <c r="L19" s="393"/>
    </row>
    <row r="20" spans="1:12" s="9" customFormat="1" ht="43.9" customHeight="1" x14ac:dyDescent="0.35">
      <c r="A20" s="372" t="s">
        <v>134</v>
      </c>
      <c r="B20" s="405"/>
      <c r="C20" s="405" t="s">
        <v>86</v>
      </c>
      <c r="D20" s="373" t="s">
        <v>4023</v>
      </c>
      <c r="E20" s="374" t="s">
        <v>4024</v>
      </c>
      <c r="F20" s="375"/>
      <c r="G20" s="376"/>
      <c r="H20" s="398" t="s">
        <v>143</v>
      </c>
      <c r="I20" s="393">
        <v>1368</v>
      </c>
      <c r="J20" s="394">
        <v>346</v>
      </c>
      <c r="K20" s="394"/>
      <c r="L20" s="393">
        <v>144</v>
      </c>
    </row>
    <row r="21" spans="1:12" s="9" customFormat="1" ht="43.9" customHeight="1" x14ac:dyDescent="0.35">
      <c r="A21" s="406" t="s">
        <v>144</v>
      </c>
      <c r="B21" s="467"/>
      <c r="C21" s="407" t="s">
        <v>4025</v>
      </c>
      <c r="D21" s="408" t="s">
        <v>4026</v>
      </c>
      <c r="E21" s="409" t="s">
        <v>4027</v>
      </c>
      <c r="F21" s="410"/>
      <c r="G21" s="411"/>
      <c r="H21" s="398"/>
      <c r="I21" s="393"/>
      <c r="J21" s="394"/>
      <c r="K21" s="394"/>
      <c r="L21" s="393"/>
    </row>
    <row r="22" spans="1:12" s="9" customFormat="1" ht="43.9" customHeight="1" x14ac:dyDescent="0.35">
      <c r="A22" s="406" t="s">
        <v>144</v>
      </c>
      <c r="B22" s="467"/>
      <c r="C22" s="407" t="s">
        <v>4028</v>
      </c>
      <c r="D22" s="408" t="s">
        <v>4029</v>
      </c>
      <c r="E22" s="412" t="s">
        <v>4030</v>
      </c>
      <c r="F22" s="413"/>
      <c r="G22" s="414"/>
      <c r="H22" s="415" t="s">
        <v>150</v>
      </c>
      <c r="I22" s="393">
        <v>89</v>
      </c>
      <c r="J22" s="394">
        <v>22</v>
      </c>
      <c r="K22" s="394"/>
      <c r="L22" s="393">
        <v>3</v>
      </c>
    </row>
    <row r="23" spans="1:12" s="9" customFormat="1" ht="43.9" customHeight="1" x14ac:dyDescent="0.35">
      <c r="A23" s="372" t="s">
        <v>151</v>
      </c>
      <c r="B23" s="416"/>
      <c r="C23" s="416" t="s">
        <v>86</v>
      </c>
      <c r="D23" s="373" t="s">
        <v>4031</v>
      </c>
      <c r="E23" s="374" t="s">
        <v>186</v>
      </c>
      <c r="F23" s="375"/>
      <c r="G23" s="376"/>
      <c r="H23" s="398" t="s">
        <v>154</v>
      </c>
      <c r="I23" s="393">
        <v>1636</v>
      </c>
      <c r="J23" s="394">
        <v>362</v>
      </c>
      <c r="K23" s="394"/>
      <c r="L23" s="393">
        <v>95</v>
      </c>
    </row>
    <row r="24" spans="1:12" s="9" customFormat="1" ht="43.9" customHeight="1" x14ac:dyDescent="0.35">
      <c r="A24" s="29" t="s">
        <v>4032</v>
      </c>
      <c r="B24" s="29"/>
      <c r="C24" s="29"/>
      <c r="D24" s="2169" t="s">
        <v>4033</v>
      </c>
      <c r="E24" s="2170"/>
      <c r="F24" s="226"/>
      <c r="G24" s="184"/>
      <c r="H24" s="226"/>
      <c r="I24" s="79"/>
      <c r="J24" s="246"/>
      <c r="K24" s="246"/>
      <c r="L24" s="79"/>
    </row>
    <row r="25" spans="1:12" s="9" customFormat="1" ht="43.9" customHeight="1" x14ac:dyDescent="0.35">
      <c r="A25" s="372" t="s">
        <v>160</v>
      </c>
      <c r="B25" s="372"/>
      <c r="C25" s="372" t="s">
        <v>32</v>
      </c>
      <c r="D25" s="373" t="s">
        <v>4034</v>
      </c>
      <c r="E25" s="374" t="s">
        <v>4035</v>
      </c>
      <c r="F25" s="375"/>
      <c r="G25" s="376"/>
      <c r="H25" s="398" t="s">
        <v>167</v>
      </c>
      <c r="I25" s="393">
        <v>1421</v>
      </c>
      <c r="J25" s="394">
        <v>329</v>
      </c>
      <c r="K25" s="394"/>
      <c r="L25" s="393">
        <v>121</v>
      </c>
    </row>
    <row r="26" spans="1:12" s="9" customFormat="1" ht="43.9" customHeight="1" x14ac:dyDescent="0.35">
      <c r="A26" s="372" t="s">
        <v>169</v>
      </c>
      <c r="B26" s="372"/>
      <c r="C26" s="372" t="s">
        <v>86</v>
      </c>
      <c r="D26" s="373" t="s">
        <v>3139</v>
      </c>
      <c r="E26" s="374"/>
      <c r="F26" s="375"/>
      <c r="G26" s="376"/>
      <c r="H26" s="398" t="s">
        <v>4036</v>
      </c>
      <c r="I26" s="393">
        <v>1000</v>
      </c>
      <c r="J26" s="394">
        <v>293</v>
      </c>
      <c r="K26" s="394"/>
      <c r="L26" s="393">
        <v>19</v>
      </c>
    </row>
    <row r="27" spans="1:12" s="9" customFormat="1" ht="43.9" customHeight="1" x14ac:dyDescent="0.35">
      <c r="A27" s="401" t="s">
        <v>180</v>
      </c>
      <c r="B27" s="401"/>
      <c r="C27" s="372" t="s">
        <v>4037</v>
      </c>
      <c r="D27" s="373" t="s">
        <v>4038</v>
      </c>
      <c r="E27" s="374"/>
      <c r="F27" s="375"/>
      <c r="G27" s="376"/>
      <c r="H27" s="398" t="s">
        <v>4039</v>
      </c>
      <c r="I27" s="393">
        <v>119</v>
      </c>
      <c r="J27" s="394">
        <v>29</v>
      </c>
      <c r="K27" s="394"/>
      <c r="L27" s="393">
        <v>4</v>
      </c>
    </row>
    <row r="28" spans="1:12" s="9" customFormat="1" ht="43.9" customHeight="1" x14ac:dyDescent="0.35">
      <c r="A28" s="372" t="s">
        <v>189</v>
      </c>
      <c r="B28" s="372"/>
      <c r="C28" s="372" t="s">
        <v>86</v>
      </c>
      <c r="D28" s="373" t="s">
        <v>4040</v>
      </c>
      <c r="E28" s="374" t="s">
        <v>4041</v>
      </c>
      <c r="F28" s="375"/>
      <c r="G28" s="376"/>
      <c r="H28" s="398" t="s">
        <v>4042</v>
      </c>
      <c r="I28" s="393">
        <v>1663</v>
      </c>
      <c r="J28" s="394">
        <v>444</v>
      </c>
      <c r="K28" s="394"/>
      <c r="L28" s="393">
        <v>175</v>
      </c>
    </row>
    <row r="29" spans="1:12" s="9" customFormat="1" ht="43.9" customHeight="1" x14ac:dyDescent="0.35">
      <c r="A29" s="372" t="s">
        <v>538</v>
      </c>
      <c r="B29" s="372"/>
      <c r="C29" s="372" t="s">
        <v>86</v>
      </c>
      <c r="D29" s="373" t="s">
        <v>4043</v>
      </c>
      <c r="E29" s="374" t="s">
        <v>4044</v>
      </c>
      <c r="F29" s="375"/>
      <c r="G29" s="376"/>
      <c r="H29" s="398" t="s">
        <v>4045</v>
      </c>
      <c r="I29" s="393">
        <v>1668</v>
      </c>
      <c r="J29" s="394">
        <v>305</v>
      </c>
      <c r="K29" s="394"/>
      <c r="L29" s="393">
        <v>24</v>
      </c>
    </row>
    <row r="30" spans="1:12" s="9" customFormat="1" ht="43.9" customHeight="1" x14ac:dyDescent="0.35">
      <c r="A30" s="33">
        <v>45078</v>
      </c>
      <c r="B30" s="468"/>
      <c r="C30" s="34"/>
      <c r="D30" s="2167" t="s">
        <v>4046</v>
      </c>
      <c r="E30" s="2168"/>
      <c r="F30" s="222"/>
      <c r="G30" s="328"/>
      <c r="H30" s="222"/>
      <c r="I30" s="248"/>
      <c r="J30" s="249"/>
      <c r="K30" s="249"/>
      <c r="L30" s="79"/>
    </row>
    <row r="31" spans="1:12" s="9" customFormat="1" ht="43.9" customHeight="1" x14ac:dyDescent="0.35">
      <c r="A31" s="372" t="s">
        <v>201</v>
      </c>
      <c r="B31" s="372"/>
      <c r="C31" s="372" t="s">
        <v>32</v>
      </c>
      <c r="D31" s="373" t="s">
        <v>4047</v>
      </c>
      <c r="E31" s="374" t="s">
        <v>4048</v>
      </c>
      <c r="F31" s="375"/>
      <c r="G31" s="376"/>
      <c r="H31" s="398" t="s">
        <v>4049</v>
      </c>
      <c r="I31" s="393">
        <v>1390</v>
      </c>
      <c r="J31" s="394">
        <v>318</v>
      </c>
      <c r="K31" s="394"/>
      <c r="L31" s="393">
        <v>114</v>
      </c>
    </row>
    <row r="32" spans="1:12" s="9" customFormat="1" ht="43.9" customHeight="1" x14ac:dyDescent="0.35">
      <c r="A32" s="372" t="s">
        <v>201</v>
      </c>
      <c r="B32" s="372"/>
      <c r="C32" s="372" t="s">
        <v>86</v>
      </c>
      <c r="D32" s="373" t="s">
        <v>4050</v>
      </c>
      <c r="E32" s="374" t="s">
        <v>4044</v>
      </c>
      <c r="F32" s="375"/>
      <c r="G32" s="376"/>
      <c r="H32" s="398" t="s">
        <v>4051</v>
      </c>
      <c r="I32" s="399">
        <v>1661</v>
      </c>
      <c r="J32" s="400">
        <v>298</v>
      </c>
      <c r="K32" s="400"/>
      <c r="L32" s="393">
        <v>18</v>
      </c>
    </row>
    <row r="33" spans="1:13" s="9" customFormat="1" ht="50" x14ac:dyDescent="0.35">
      <c r="A33" s="372" t="s">
        <v>213</v>
      </c>
      <c r="B33" s="372"/>
      <c r="C33" s="372" t="s">
        <v>86</v>
      </c>
      <c r="D33" s="373" t="s">
        <v>4038</v>
      </c>
      <c r="E33" s="374" t="s">
        <v>4052</v>
      </c>
      <c r="F33" s="375"/>
      <c r="G33" s="376"/>
      <c r="H33" s="398" t="s">
        <v>562</v>
      </c>
      <c r="I33" s="393">
        <v>1528</v>
      </c>
      <c r="J33" s="394">
        <v>267</v>
      </c>
      <c r="K33" s="394"/>
      <c r="L33" s="393">
        <v>20</v>
      </c>
    </row>
    <row r="34" spans="1:13" s="9" customFormat="1" ht="43.9" customHeight="1" x14ac:dyDescent="0.35">
      <c r="A34" s="39" t="s">
        <v>4053</v>
      </c>
      <c r="B34" s="102"/>
      <c r="C34" s="102"/>
      <c r="D34" s="2163" t="s">
        <v>4054</v>
      </c>
      <c r="E34" s="2164"/>
      <c r="F34" s="220"/>
      <c r="G34" s="329"/>
      <c r="H34" s="220"/>
      <c r="I34" s="79"/>
      <c r="J34" s="246"/>
      <c r="K34" s="246"/>
      <c r="L34" s="79"/>
    </row>
    <row r="35" spans="1:13" s="80" customFormat="1" ht="51" customHeight="1" x14ac:dyDescent="0.35">
      <c r="A35" s="370" t="s">
        <v>221</v>
      </c>
      <c r="B35" s="469"/>
      <c r="C35" s="361" t="s">
        <v>86</v>
      </c>
      <c r="D35" s="371" t="s">
        <v>4043</v>
      </c>
      <c r="E35" s="361" t="s">
        <v>4055</v>
      </c>
      <c r="F35" s="363"/>
      <c r="G35" s="361"/>
      <c r="H35" s="392" t="s">
        <v>4056</v>
      </c>
      <c r="I35" s="393">
        <v>1648</v>
      </c>
      <c r="J35" s="394">
        <v>271</v>
      </c>
      <c r="K35" s="394"/>
      <c r="L35" s="393">
        <v>13</v>
      </c>
    </row>
    <row r="36" spans="1:13" s="9" customFormat="1" ht="43.9" customHeight="1" x14ac:dyDescent="0.35">
      <c r="A36" s="40" t="s">
        <v>229</v>
      </c>
      <c r="B36" s="470"/>
      <c r="C36" s="103"/>
      <c r="D36" s="2160" t="s">
        <v>702</v>
      </c>
      <c r="E36" s="2161"/>
      <c r="F36" s="227"/>
      <c r="G36" s="184"/>
      <c r="H36" s="227"/>
      <c r="I36" s="79"/>
      <c r="J36" s="246"/>
      <c r="K36" s="246"/>
      <c r="L36" s="79"/>
    </row>
    <row r="37" spans="1:13" s="80" customFormat="1" ht="91.5" customHeight="1" x14ac:dyDescent="0.35">
      <c r="A37" s="370" t="s">
        <v>230</v>
      </c>
      <c r="B37" s="469"/>
      <c r="C37" s="361" t="s">
        <v>32</v>
      </c>
      <c r="D37" s="361" t="s">
        <v>4034</v>
      </c>
      <c r="E37" s="361" t="s">
        <v>4057</v>
      </c>
      <c r="F37" s="363"/>
      <c r="G37" s="361"/>
      <c r="H37" s="392" t="s">
        <v>4058</v>
      </c>
      <c r="I37" s="393">
        <v>1134</v>
      </c>
      <c r="J37" s="394">
        <v>281</v>
      </c>
      <c r="K37" s="394"/>
      <c r="L37" s="393">
        <v>82</v>
      </c>
    </row>
    <row r="38" spans="1:13" s="80" customFormat="1" ht="43.9" customHeight="1" x14ac:dyDescent="0.35">
      <c r="A38" s="370" t="s">
        <v>236</v>
      </c>
      <c r="B38" s="469"/>
      <c r="C38" s="361" t="s">
        <v>35</v>
      </c>
      <c r="D38" s="361" t="s">
        <v>4059</v>
      </c>
      <c r="E38" s="361" t="s">
        <v>4060</v>
      </c>
      <c r="F38" s="363"/>
      <c r="G38" s="361"/>
      <c r="H38" s="392" t="s">
        <v>4061</v>
      </c>
      <c r="I38" s="393">
        <v>111</v>
      </c>
      <c r="J38" s="394">
        <v>26</v>
      </c>
      <c r="K38" s="394"/>
      <c r="L38" s="393">
        <v>6</v>
      </c>
    </row>
    <row r="39" spans="1:13" s="80" customFormat="1" ht="43.9" customHeight="1" x14ac:dyDescent="0.35">
      <c r="A39" s="370" t="s">
        <v>242</v>
      </c>
      <c r="B39" s="469"/>
      <c r="C39" s="361" t="s">
        <v>86</v>
      </c>
      <c r="D39" s="361" t="s">
        <v>4062</v>
      </c>
      <c r="E39" s="361" t="s">
        <v>4063</v>
      </c>
      <c r="F39" s="363"/>
      <c r="G39" s="361"/>
      <c r="H39" s="392" t="s">
        <v>4064</v>
      </c>
      <c r="I39" s="393">
        <v>1165</v>
      </c>
      <c r="J39" s="394">
        <v>442</v>
      </c>
      <c r="K39" s="394"/>
      <c r="L39" s="393">
        <v>191</v>
      </c>
    </row>
    <row r="40" spans="1:13" s="9" customFormat="1" ht="43.9" customHeight="1" x14ac:dyDescent="0.35">
      <c r="A40" s="182" t="s">
        <v>4065</v>
      </c>
      <c r="B40" s="182"/>
      <c r="C40" s="183"/>
      <c r="D40" s="2175" t="s">
        <v>4066</v>
      </c>
      <c r="E40" s="2176"/>
      <c r="F40" s="332"/>
      <c r="G40" s="184"/>
      <c r="H40" s="338"/>
      <c r="I40" s="79"/>
      <c r="J40" s="79"/>
      <c r="K40" s="247"/>
      <c r="L40" s="247"/>
    </row>
    <row r="41" spans="1:13" s="80" customFormat="1" ht="50" x14ac:dyDescent="0.35">
      <c r="A41" s="347" t="s">
        <v>587</v>
      </c>
      <c r="B41" s="347"/>
      <c r="C41" s="361" t="s">
        <v>32</v>
      </c>
      <c r="D41" s="361" t="s">
        <v>4034</v>
      </c>
      <c r="E41" s="361" t="s">
        <v>4057</v>
      </c>
      <c r="F41" s="363"/>
      <c r="G41" s="361"/>
      <c r="H41" s="392" t="s">
        <v>4067</v>
      </c>
      <c r="I41" s="393">
        <v>1340</v>
      </c>
      <c r="J41" s="394">
        <v>437</v>
      </c>
      <c r="K41" s="394"/>
      <c r="L41" s="393">
        <v>248</v>
      </c>
    </row>
    <row r="42" spans="1:13" s="2" customFormat="1" ht="45.75" customHeight="1" x14ac:dyDescent="0.35">
      <c r="A42" s="347" t="s">
        <v>587</v>
      </c>
      <c r="B42" s="347"/>
      <c r="C42" s="361" t="s">
        <v>35</v>
      </c>
      <c r="D42" s="361" t="s">
        <v>3225</v>
      </c>
      <c r="E42" s="361" t="s">
        <v>4068</v>
      </c>
      <c r="F42" s="368"/>
      <c r="G42" s="361"/>
      <c r="H42" s="365" t="s">
        <v>4067</v>
      </c>
      <c r="I42" s="385">
        <v>101</v>
      </c>
      <c r="J42" s="386">
        <v>22</v>
      </c>
      <c r="K42" s="386"/>
      <c r="L42" s="384">
        <v>7</v>
      </c>
    </row>
    <row r="43" spans="1:13" s="2" customFormat="1" ht="45.75" customHeight="1" x14ac:dyDescent="0.35">
      <c r="A43" s="347" t="s">
        <v>595</v>
      </c>
      <c r="B43" s="347"/>
      <c r="C43" s="361" t="s">
        <v>86</v>
      </c>
      <c r="D43" s="361" t="s">
        <v>549</v>
      </c>
      <c r="E43" s="363" t="s">
        <v>4069</v>
      </c>
      <c r="F43" s="363"/>
      <c r="G43" s="361"/>
      <c r="H43" s="395" t="s">
        <v>4070</v>
      </c>
      <c r="I43" s="383">
        <v>1520</v>
      </c>
      <c r="J43" s="390">
        <v>649</v>
      </c>
      <c r="K43" s="390"/>
      <c r="L43" s="384">
        <v>461</v>
      </c>
    </row>
    <row r="44" spans="1:13" s="2" customFormat="1" ht="45.75" customHeight="1" x14ac:dyDescent="0.35">
      <c r="A44" s="369" t="s">
        <v>598</v>
      </c>
      <c r="B44" s="369"/>
      <c r="C44" s="361" t="s">
        <v>32</v>
      </c>
      <c r="D44" s="361" t="s">
        <v>4034</v>
      </c>
      <c r="E44" s="362" t="s">
        <v>4071</v>
      </c>
      <c r="F44" s="363"/>
      <c r="G44" s="361"/>
      <c r="H44" s="365" t="s">
        <v>4072</v>
      </c>
      <c r="I44" s="396">
        <v>1321</v>
      </c>
      <c r="J44" s="397">
        <v>440</v>
      </c>
      <c r="K44" s="397"/>
      <c r="L44" s="384">
        <v>264</v>
      </c>
    </row>
    <row r="45" spans="1:13" s="2" customFormat="1" ht="45.75" customHeight="1" x14ac:dyDescent="0.35">
      <c r="A45" s="206" t="s">
        <v>289</v>
      </c>
      <c r="B45" s="459"/>
      <c r="C45" s="2177" t="s">
        <v>290</v>
      </c>
      <c r="D45" s="2178"/>
      <c r="E45" s="2178"/>
      <c r="F45" s="333"/>
      <c r="G45" s="229"/>
      <c r="H45" s="218"/>
      <c r="I45" s="231"/>
      <c r="J45" s="252"/>
      <c r="K45" s="252"/>
      <c r="L45" s="253"/>
      <c r="M45" s="122"/>
    </row>
    <row r="46" spans="1:13" s="2" customFormat="1" ht="45.75" customHeight="1" x14ac:dyDescent="0.35">
      <c r="A46" s="347" t="s">
        <v>289</v>
      </c>
      <c r="B46" s="369"/>
      <c r="C46" s="366" t="s">
        <v>35</v>
      </c>
      <c r="D46" s="366" t="s">
        <v>4073</v>
      </c>
      <c r="E46" s="362" t="s">
        <v>4074</v>
      </c>
      <c r="F46" s="367"/>
      <c r="G46" s="361"/>
      <c r="H46" s="365" t="s">
        <v>3582</v>
      </c>
      <c r="I46" s="377">
        <v>106</v>
      </c>
      <c r="J46" s="378">
        <v>34</v>
      </c>
      <c r="K46" s="378"/>
      <c r="L46" s="379">
        <v>5</v>
      </c>
    </row>
    <row r="47" spans="1:13" s="2" customFormat="1" ht="45.75" customHeight="1" x14ac:dyDescent="0.35">
      <c r="A47" s="347" t="s">
        <v>289</v>
      </c>
      <c r="B47" s="347"/>
      <c r="C47" s="361" t="s">
        <v>32</v>
      </c>
      <c r="D47" s="361" t="s">
        <v>4034</v>
      </c>
      <c r="E47" s="362" t="s">
        <v>4075</v>
      </c>
      <c r="F47" s="363"/>
      <c r="G47" s="361"/>
      <c r="H47" s="365" t="s">
        <v>3582</v>
      </c>
      <c r="I47" s="380">
        <v>1316</v>
      </c>
      <c r="J47" s="381">
        <v>535</v>
      </c>
      <c r="K47" s="381"/>
      <c r="L47" s="379">
        <v>391</v>
      </c>
    </row>
    <row r="48" spans="1:13" s="2" customFormat="1" ht="45.75" customHeight="1" x14ac:dyDescent="0.35">
      <c r="A48" s="347" t="s">
        <v>4076</v>
      </c>
      <c r="B48" s="347"/>
      <c r="C48" s="361" t="s">
        <v>4077</v>
      </c>
      <c r="D48" s="361" t="s">
        <v>4078</v>
      </c>
      <c r="E48" s="353"/>
      <c r="F48" s="353"/>
      <c r="G48" s="351"/>
      <c r="H48" s="364" t="s">
        <v>4079</v>
      </c>
      <c r="I48" s="382">
        <v>255</v>
      </c>
      <c r="J48" s="381">
        <v>90</v>
      </c>
      <c r="K48" s="381"/>
      <c r="L48" s="379">
        <v>21</v>
      </c>
    </row>
    <row r="49" spans="1:12" s="2" customFormat="1" ht="45.75" customHeight="1" x14ac:dyDescent="0.35">
      <c r="A49" s="347" t="s">
        <v>4076</v>
      </c>
      <c r="B49" s="347"/>
      <c r="C49" s="361" t="s">
        <v>32</v>
      </c>
      <c r="D49" s="361" t="s">
        <v>4080</v>
      </c>
      <c r="E49" s="362" t="s">
        <v>4075</v>
      </c>
      <c r="F49" s="363"/>
      <c r="G49" s="361"/>
      <c r="H49" s="364" t="s">
        <v>4079</v>
      </c>
      <c r="I49" s="382">
        <v>1305</v>
      </c>
      <c r="J49" s="381">
        <v>194</v>
      </c>
      <c r="K49" s="381"/>
      <c r="L49" s="379">
        <v>10</v>
      </c>
    </row>
    <row r="50" spans="1:12" s="2" customFormat="1" ht="45.75" customHeight="1" x14ac:dyDescent="0.35">
      <c r="A50" s="347" t="s">
        <v>608</v>
      </c>
      <c r="B50" s="347"/>
      <c r="C50" s="361" t="s">
        <v>4077</v>
      </c>
      <c r="D50" s="361" t="s">
        <v>4081</v>
      </c>
      <c r="E50" s="353"/>
      <c r="F50" s="353"/>
      <c r="G50" s="351"/>
      <c r="H50" s="365" t="s">
        <v>4082</v>
      </c>
      <c r="I50" s="382">
        <v>168</v>
      </c>
      <c r="J50" s="381">
        <v>54</v>
      </c>
      <c r="K50" s="381"/>
      <c r="L50" s="379">
        <v>9</v>
      </c>
    </row>
    <row r="51" spans="1:12" s="2" customFormat="1" ht="45.75" customHeight="1" x14ac:dyDescent="0.35">
      <c r="A51" s="347" t="s">
        <v>610</v>
      </c>
      <c r="B51" s="347"/>
      <c r="C51" s="361" t="s">
        <v>4077</v>
      </c>
      <c r="D51" s="361" t="s">
        <v>4083</v>
      </c>
      <c r="E51" s="353"/>
      <c r="F51" s="353"/>
      <c r="G51" s="351"/>
      <c r="H51" s="364" t="s">
        <v>4084</v>
      </c>
      <c r="I51" s="382">
        <v>159</v>
      </c>
      <c r="J51" s="381">
        <v>47</v>
      </c>
      <c r="K51" s="381"/>
      <c r="L51" s="379">
        <v>7</v>
      </c>
    </row>
    <row r="52" spans="1:12" s="2" customFormat="1" ht="45.75" customHeight="1" x14ac:dyDescent="0.35">
      <c r="A52" s="347" t="s">
        <v>610</v>
      </c>
      <c r="B52" s="347"/>
      <c r="C52" s="361" t="s">
        <v>2110</v>
      </c>
      <c r="D52" s="361" t="s">
        <v>4085</v>
      </c>
      <c r="E52" s="353"/>
      <c r="F52" s="353"/>
      <c r="G52" s="351"/>
      <c r="H52" s="519" t="s">
        <v>4086</v>
      </c>
      <c r="I52" s="382">
        <v>59</v>
      </c>
      <c r="J52" s="520">
        <v>44</v>
      </c>
      <c r="K52" s="520"/>
      <c r="L52" s="521">
        <v>27</v>
      </c>
    </row>
    <row r="53" spans="1:12" s="2" customFormat="1" ht="45.75" customHeight="1" x14ac:dyDescent="0.35">
      <c r="A53" s="391" t="s">
        <v>4087</v>
      </c>
      <c r="B53" s="391"/>
      <c r="C53" s="205"/>
      <c r="D53" s="2173" t="s">
        <v>4088</v>
      </c>
      <c r="E53" s="2174"/>
      <c r="F53" s="332"/>
      <c r="G53" s="332"/>
      <c r="H53" s="184"/>
      <c r="I53" s="522"/>
      <c r="J53" s="523"/>
      <c r="K53" s="523"/>
      <c r="L53" s="524"/>
    </row>
    <row r="54" spans="1:12" s="2" customFormat="1" ht="45.75" customHeight="1" x14ac:dyDescent="0.35">
      <c r="A54" s="347" t="s">
        <v>329</v>
      </c>
      <c r="B54" s="471"/>
      <c r="C54" s="348" t="s">
        <v>4077</v>
      </c>
      <c r="D54" s="349" t="s">
        <v>4089</v>
      </c>
      <c r="E54" s="349" t="s">
        <v>4090</v>
      </c>
      <c r="F54" s="350"/>
      <c r="G54" s="351"/>
      <c r="H54" s="348" t="s">
        <v>4091</v>
      </c>
      <c r="I54" s="525">
        <v>63</v>
      </c>
      <c r="J54" s="526">
        <v>31</v>
      </c>
      <c r="K54" s="526"/>
      <c r="L54" s="527">
        <v>12</v>
      </c>
    </row>
    <row r="55" spans="1:12" s="2" customFormat="1" ht="45.75" customHeight="1" x14ac:dyDescent="0.35">
      <c r="A55" s="347" t="s">
        <v>4092</v>
      </c>
      <c r="B55" s="478"/>
      <c r="C55" s="348" t="s">
        <v>4077</v>
      </c>
      <c r="D55" s="349" t="s">
        <v>4093</v>
      </c>
      <c r="E55" s="352" t="s">
        <v>4094</v>
      </c>
      <c r="F55" s="353" t="s">
        <v>4095</v>
      </c>
      <c r="G55" s="354"/>
      <c r="H55" s="355"/>
      <c r="I55" s="387"/>
      <c r="J55" s="388"/>
      <c r="K55" s="388"/>
      <c r="L55" s="384"/>
    </row>
    <row r="56" spans="1:12" s="2" customFormat="1" ht="126" x14ac:dyDescent="0.35">
      <c r="A56" s="356" t="s">
        <v>349</v>
      </c>
      <c r="B56" s="347"/>
      <c r="C56" s="476" t="s">
        <v>86</v>
      </c>
      <c r="D56" s="358" t="s">
        <v>4096</v>
      </c>
      <c r="E56" s="358" t="s">
        <v>4097</v>
      </c>
      <c r="F56" s="359" t="s">
        <v>4098</v>
      </c>
      <c r="G56" s="360" t="s">
        <v>4099</v>
      </c>
      <c r="H56" s="351" t="s">
        <v>4100</v>
      </c>
      <c r="I56" s="389">
        <v>1685</v>
      </c>
      <c r="J56" s="390">
        <v>295</v>
      </c>
      <c r="K56" s="390"/>
      <c r="L56" s="384">
        <v>31</v>
      </c>
    </row>
    <row r="57" spans="1:12" s="2" customFormat="1" ht="45.75" customHeight="1" x14ac:dyDescent="0.35">
      <c r="A57" s="528" t="s">
        <v>360</v>
      </c>
      <c r="B57" s="529" t="s">
        <v>4101</v>
      </c>
      <c r="C57" s="476" t="s">
        <v>86</v>
      </c>
      <c r="D57" s="530" t="s">
        <v>4096</v>
      </c>
      <c r="E57" s="531" t="s">
        <v>4102</v>
      </c>
      <c r="F57" s="532"/>
      <c r="G57" s="533" t="s">
        <v>4103</v>
      </c>
      <c r="H57" s="540" t="s">
        <v>4104</v>
      </c>
      <c r="I57" s="534">
        <v>1169</v>
      </c>
      <c r="J57" s="535">
        <v>309</v>
      </c>
      <c r="K57" s="535"/>
      <c r="L57" s="536">
        <v>16</v>
      </c>
    </row>
    <row r="58" spans="1:12" s="2" customFormat="1" ht="45.75" customHeight="1" x14ac:dyDescent="0.35">
      <c r="A58" s="474" t="s">
        <v>376</v>
      </c>
      <c r="B58" s="347"/>
      <c r="C58" s="476" t="s">
        <v>86</v>
      </c>
      <c r="D58" s="357" t="s">
        <v>4105</v>
      </c>
      <c r="E58" s="433" t="s">
        <v>4106</v>
      </c>
      <c r="F58" s="357"/>
      <c r="G58" s="434" t="s">
        <v>4107</v>
      </c>
      <c r="H58" s="435" t="s">
        <v>4108</v>
      </c>
      <c r="I58" s="537">
        <v>1667</v>
      </c>
      <c r="J58" s="390">
        <v>588</v>
      </c>
      <c r="K58" s="390"/>
      <c r="L58" s="384">
        <v>16</v>
      </c>
    </row>
    <row r="59" spans="1:12" s="2" customFormat="1" ht="45.75" customHeight="1" x14ac:dyDescent="0.35">
      <c r="A59" s="474" t="s">
        <v>376</v>
      </c>
      <c r="B59" s="347">
        <v>45246</v>
      </c>
      <c r="C59" s="476" t="s">
        <v>86</v>
      </c>
      <c r="D59" s="357" t="s">
        <v>4109</v>
      </c>
      <c r="E59" s="433" t="s">
        <v>628</v>
      </c>
      <c r="F59" s="357" t="s">
        <v>4110</v>
      </c>
      <c r="G59" s="434" t="s">
        <v>4111</v>
      </c>
      <c r="H59" s="538" t="s">
        <v>4112</v>
      </c>
      <c r="I59" s="537">
        <v>1659</v>
      </c>
      <c r="J59" s="390">
        <v>337</v>
      </c>
      <c r="K59" s="390"/>
      <c r="L59" s="384">
        <v>0</v>
      </c>
    </row>
    <row r="60" spans="1:12" s="2" customFormat="1" ht="45.75" customHeight="1" x14ac:dyDescent="0.35">
      <c r="A60" s="472" t="s">
        <v>389</v>
      </c>
      <c r="B60" s="473"/>
      <c r="C60" s="1981" t="s">
        <v>390</v>
      </c>
      <c r="D60" s="1981"/>
      <c r="E60" s="2159"/>
      <c r="F60" s="343"/>
      <c r="G60" s="287"/>
      <c r="H60" s="216"/>
      <c r="I60" s="233"/>
      <c r="J60" s="251"/>
      <c r="K60" s="251"/>
      <c r="L60" s="250"/>
    </row>
    <row r="61" spans="1:12" s="2" customFormat="1" ht="45.75" customHeight="1" x14ac:dyDescent="0.35">
      <c r="A61" s="356" t="s">
        <v>391</v>
      </c>
      <c r="B61" s="347"/>
      <c r="C61" s="476" t="s">
        <v>86</v>
      </c>
      <c r="D61" s="433" t="s">
        <v>4105</v>
      </c>
      <c r="E61" s="433" t="s">
        <v>4113</v>
      </c>
      <c r="F61" s="557" t="s">
        <v>4114</v>
      </c>
      <c r="G61" s="558" t="s">
        <v>4115</v>
      </c>
      <c r="H61" s="559" t="s">
        <v>4116</v>
      </c>
      <c r="I61" s="560">
        <v>1651</v>
      </c>
      <c r="J61" s="381">
        <v>717</v>
      </c>
      <c r="K61" s="381"/>
      <c r="L61" s="379">
        <v>34</v>
      </c>
    </row>
    <row r="62" spans="1:12" s="2" customFormat="1" ht="45.75" customHeight="1" x14ac:dyDescent="0.35">
      <c r="A62" s="570" t="s">
        <v>395</v>
      </c>
      <c r="B62" s="347"/>
      <c r="C62" s="571" t="s">
        <v>32</v>
      </c>
      <c r="D62" s="572" t="s">
        <v>4117</v>
      </c>
      <c r="E62" s="573" t="s">
        <v>4118</v>
      </c>
      <c r="F62" s="351"/>
      <c r="G62" s="558" t="s">
        <v>4119</v>
      </c>
      <c r="H62" s="574" t="s">
        <v>4120</v>
      </c>
      <c r="I62" s="382">
        <v>56</v>
      </c>
      <c r="J62" s="381">
        <v>19</v>
      </c>
      <c r="K62" s="381"/>
      <c r="L62" s="379">
        <v>2</v>
      </c>
    </row>
    <row r="63" spans="1:12" s="2" customFormat="1" ht="45.75" customHeight="1" x14ac:dyDescent="0.35">
      <c r="A63" s="474" t="s">
        <v>407</v>
      </c>
      <c r="B63" s="347"/>
      <c r="C63" s="476" t="s">
        <v>86</v>
      </c>
      <c r="D63" s="351" t="s">
        <v>4121</v>
      </c>
      <c r="E63" s="353" t="s">
        <v>4122</v>
      </c>
      <c r="F63" s="351" t="s">
        <v>4123</v>
      </c>
      <c r="G63" s="558"/>
      <c r="H63" s="605" t="s">
        <v>4124</v>
      </c>
      <c r="I63" s="606">
        <v>1660</v>
      </c>
      <c r="J63" s="381">
        <v>295</v>
      </c>
      <c r="K63" s="607">
        <f>J63/I63</f>
        <v>0.17771084337349397</v>
      </c>
      <c r="L63" s="379">
        <v>38</v>
      </c>
    </row>
    <row r="64" spans="1:12" s="2" customFormat="1" ht="45.75" customHeight="1" x14ac:dyDescent="0.35">
      <c r="A64" s="475" t="s">
        <v>419</v>
      </c>
      <c r="B64" s="200"/>
      <c r="C64" s="477" t="s">
        <v>86</v>
      </c>
      <c r="D64" s="341" t="s">
        <v>4125</v>
      </c>
      <c r="E64" s="342"/>
      <c r="F64" s="64" t="s">
        <v>4123</v>
      </c>
      <c r="G64" s="111"/>
      <c r="H64" s="107"/>
      <c r="I64" s="234"/>
      <c r="J64" s="251"/>
      <c r="K64" s="251"/>
      <c r="L64" s="250"/>
    </row>
    <row r="65" spans="1:12" s="2" customFormat="1" ht="45.75" customHeight="1" x14ac:dyDescent="0.35">
      <c r="A65" s="201" t="s">
        <v>424</v>
      </c>
      <c r="B65" s="472"/>
      <c r="C65" s="1980" t="s">
        <v>425</v>
      </c>
      <c r="D65" s="1981"/>
      <c r="E65" s="1982"/>
      <c r="F65" s="306"/>
      <c r="G65" s="287"/>
      <c r="H65" s="88"/>
      <c r="I65" s="233"/>
      <c r="J65" s="251"/>
      <c r="K65" s="251"/>
      <c r="L65" s="250"/>
    </row>
    <row r="66" spans="1:12" s="2" customFormat="1" ht="45.75" customHeight="1" x14ac:dyDescent="0.35">
      <c r="A66" s="475" t="s">
        <v>426</v>
      </c>
      <c r="B66" s="200"/>
      <c r="C66" s="539" t="s">
        <v>86</v>
      </c>
      <c r="D66" s="196" t="s">
        <v>4096</v>
      </c>
      <c r="E66" s="199" t="s">
        <v>4126</v>
      </c>
      <c r="F66" s="64" t="s">
        <v>4127</v>
      </c>
      <c r="G66" s="436" t="s">
        <v>4128</v>
      </c>
      <c r="H66" s="111"/>
      <c r="I66" s="232"/>
      <c r="J66" s="251"/>
      <c r="K66" s="251"/>
      <c r="L66" s="250"/>
    </row>
  </sheetData>
  <mergeCells count="12">
    <mergeCell ref="C60:E60"/>
    <mergeCell ref="C65:E65"/>
    <mergeCell ref="D36:E36"/>
    <mergeCell ref="A1:C1"/>
    <mergeCell ref="D34:E34"/>
    <mergeCell ref="D13:E13"/>
    <mergeCell ref="D30:E30"/>
    <mergeCell ref="D24:E24"/>
    <mergeCell ref="A8:H8"/>
    <mergeCell ref="D53:E53"/>
    <mergeCell ref="D40:E40"/>
    <mergeCell ref="C45:E45"/>
  </mergeCells>
  <hyperlinks>
    <hyperlink ref="F56" r:id="rId1" xr:uid="{BBAF9B90-FE3F-4D71-933C-B809CF30C158}"/>
    <hyperlink ref="G58" r:id="rId2" xr:uid="{CABAC61F-FC6E-4CFB-96FF-2EE6A0124663}"/>
    <hyperlink ref="G56" r:id="rId3" xr:uid="{3E35DA79-77F8-40F3-A295-B99979027032}"/>
    <hyperlink ref="G57" r:id="rId4" xr:uid="{8B892ED5-0278-44E6-9CA4-E612E1209384}"/>
    <hyperlink ref="G59" r:id="rId5" xr:uid="{67BF51B6-06A6-403E-96CC-7A7B9A5F5DCF}"/>
    <hyperlink ref="G62" r:id="rId6" xr:uid="{724BA896-3068-4CAF-9D52-0AFE20B392AE}"/>
    <hyperlink ref="G61" r:id="rId7" xr:uid="{15CBB3F4-5279-4F61-9743-850A3B2AB42D}"/>
    <hyperlink ref="G66" r:id="rId8" xr:uid="{8DB759FD-927C-4E31-93E4-73365267E591}"/>
  </hyperlinks>
  <pageMargins left="0.7" right="0.7" top="0.75" bottom="0.75" header="0.3" footer="0.3"/>
  <pageSetup orientation="portrait" r:id="rId9"/>
  <drawing r:id="rId1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zoomScaleNormal="100" workbookViewId="0">
      <pane ySplit="2" topLeftCell="A48" activePane="bottomLeft" state="frozen"/>
      <selection activeCell="C71" sqref="C71:G71"/>
      <selection pane="bottomLeft" activeCell="C71" sqref="C71:G71"/>
    </sheetView>
  </sheetViews>
  <sheetFormatPr defaultColWidth="8.81640625" defaultRowHeight="13" x14ac:dyDescent="0.25"/>
  <cols>
    <col min="1" max="2" width="30.54296875" style="7" customWidth="1"/>
    <col min="3" max="3" width="22.81640625" style="7" customWidth="1"/>
    <col min="4" max="4" width="33.54296875" style="7" customWidth="1"/>
    <col min="5" max="5" width="57.26953125" style="7" customWidth="1"/>
    <col min="6" max="6" width="22.26953125" style="7" bestFit="1" customWidth="1"/>
    <col min="7" max="8" width="47" style="71" customWidth="1"/>
    <col min="9" max="9" width="11.1796875" style="133" customWidth="1"/>
    <col min="10" max="10" width="9.453125" style="134" customWidth="1"/>
    <col min="11" max="11" width="10" style="160" customWidth="1"/>
    <col min="12" max="12" width="9.453125" style="134" customWidth="1"/>
    <col min="13" max="16384" width="8.81640625" style="7"/>
  </cols>
  <sheetData>
    <row r="1" spans="1:12" ht="72" customHeight="1" x14ac:dyDescent="0.25">
      <c r="A1" s="2012" t="s">
        <v>4129</v>
      </c>
      <c r="B1" s="2012"/>
      <c r="C1" s="2012"/>
      <c r="D1" s="8"/>
    </row>
    <row r="2" spans="1:12" s="9" customFormat="1" ht="30" customHeight="1" x14ac:dyDescent="0.35">
      <c r="A2" s="36" t="s">
        <v>1</v>
      </c>
      <c r="B2" s="36" t="s">
        <v>3985</v>
      </c>
      <c r="C2" s="37" t="s">
        <v>3</v>
      </c>
      <c r="D2" s="37" t="s">
        <v>5</v>
      </c>
      <c r="E2" s="37" t="s">
        <v>6</v>
      </c>
      <c r="F2" s="47" t="s">
        <v>9</v>
      </c>
      <c r="G2" s="344" t="s">
        <v>3570</v>
      </c>
      <c r="H2" s="344" t="s">
        <v>4130</v>
      </c>
      <c r="I2" s="344" t="s">
        <v>9</v>
      </c>
      <c r="J2" s="345" t="s">
        <v>10</v>
      </c>
      <c r="K2" s="346" t="s">
        <v>11</v>
      </c>
      <c r="L2" s="344" t="s">
        <v>12</v>
      </c>
    </row>
    <row r="3" spans="1:12" s="9" customFormat="1" ht="44.5" customHeight="1" x14ac:dyDescent="0.35">
      <c r="A3" s="61" t="s">
        <v>19</v>
      </c>
      <c r="B3" s="61"/>
      <c r="C3" s="50" t="s">
        <v>86</v>
      </c>
      <c r="D3" s="51" t="s">
        <v>3453</v>
      </c>
      <c r="E3" s="51" t="s">
        <v>4131</v>
      </c>
      <c r="F3" s="72" t="s">
        <v>18</v>
      </c>
      <c r="G3" s="166"/>
      <c r="H3" s="166"/>
      <c r="I3" s="131"/>
      <c r="J3" s="79"/>
      <c r="K3" s="161"/>
      <c r="L3" s="79"/>
    </row>
    <row r="4" spans="1:12" s="9" customFormat="1" ht="44.5" customHeight="1" x14ac:dyDescent="0.35">
      <c r="A4" s="61" t="s">
        <v>24</v>
      </c>
      <c r="B4" s="61"/>
      <c r="C4" s="50" t="s">
        <v>86</v>
      </c>
      <c r="D4" s="51" t="s">
        <v>3453</v>
      </c>
      <c r="E4" s="51" t="s">
        <v>4131</v>
      </c>
      <c r="F4" s="73" t="s">
        <v>461</v>
      </c>
      <c r="G4" s="166"/>
      <c r="H4" s="166"/>
      <c r="I4" s="131"/>
      <c r="J4" s="79"/>
      <c r="K4" s="161"/>
      <c r="L4" s="79"/>
    </row>
    <row r="5" spans="1:12" s="9" customFormat="1" ht="44.5" customHeight="1" x14ac:dyDescent="0.35">
      <c r="A5" s="61" t="s">
        <v>38</v>
      </c>
      <c r="B5" s="61"/>
      <c r="C5" s="50" t="s">
        <v>86</v>
      </c>
      <c r="D5" s="51" t="s">
        <v>3453</v>
      </c>
      <c r="E5" s="51" t="s">
        <v>4131</v>
      </c>
      <c r="F5" s="73" t="s">
        <v>461</v>
      </c>
      <c r="G5" s="166"/>
      <c r="H5" s="166"/>
      <c r="I5" s="131"/>
      <c r="J5" s="79"/>
      <c r="K5" s="161"/>
      <c r="L5" s="79"/>
    </row>
    <row r="6" spans="1:12" s="9" customFormat="1" ht="43.9" customHeight="1" x14ac:dyDescent="0.35">
      <c r="A6" s="41" t="s">
        <v>38</v>
      </c>
      <c r="B6" s="41"/>
      <c r="C6" s="11" t="s">
        <v>32</v>
      </c>
      <c r="D6" s="10" t="s">
        <v>4132</v>
      </c>
      <c r="E6" s="10" t="s">
        <v>4005</v>
      </c>
      <c r="F6" s="74" t="s">
        <v>40</v>
      </c>
      <c r="G6" s="166"/>
      <c r="H6" s="166"/>
      <c r="I6" s="131"/>
      <c r="J6" s="79"/>
      <c r="K6" s="161"/>
      <c r="L6" s="79"/>
    </row>
    <row r="7" spans="1:12" s="9" customFormat="1" ht="43.9" customHeight="1" x14ac:dyDescent="0.35">
      <c r="A7" s="69" t="s">
        <v>51</v>
      </c>
      <c r="B7" s="69"/>
      <c r="C7" s="67" t="s">
        <v>35</v>
      </c>
      <c r="D7" s="68" t="s">
        <v>4133</v>
      </c>
      <c r="E7" s="68" t="s">
        <v>4134</v>
      </c>
      <c r="F7" s="75" t="s">
        <v>461</v>
      </c>
      <c r="G7" s="167"/>
      <c r="H7" s="167"/>
      <c r="I7" s="131"/>
      <c r="J7" s="79"/>
      <c r="K7" s="161"/>
      <c r="L7" s="79"/>
    </row>
    <row r="8" spans="1:12" s="9" customFormat="1" ht="51" customHeight="1" x14ac:dyDescent="0.35">
      <c r="A8" s="11" t="s">
        <v>57</v>
      </c>
      <c r="B8" s="11"/>
      <c r="C8" s="11" t="s">
        <v>86</v>
      </c>
      <c r="D8" s="10" t="s">
        <v>4135</v>
      </c>
      <c r="E8" s="10" t="s">
        <v>4136</v>
      </c>
      <c r="F8" s="76" t="s">
        <v>66</v>
      </c>
      <c r="G8" s="159" t="s">
        <v>4137</v>
      </c>
      <c r="H8" s="159"/>
      <c r="I8" s="136"/>
      <c r="J8" s="79">
        <v>177</v>
      </c>
      <c r="K8" s="162"/>
      <c r="L8" s="79">
        <v>68</v>
      </c>
    </row>
    <row r="9" spans="1:12" s="9" customFormat="1" ht="43.9" customHeight="1" x14ac:dyDescent="0.35">
      <c r="A9" s="41" t="s">
        <v>72</v>
      </c>
      <c r="B9" s="41"/>
      <c r="C9" s="11" t="s">
        <v>32</v>
      </c>
      <c r="D9" s="10" t="s">
        <v>4138</v>
      </c>
      <c r="E9" s="10" t="s">
        <v>4139</v>
      </c>
      <c r="F9" s="77" t="s">
        <v>476</v>
      </c>
      <c r="G9" s="168"/>
      <c r="H9" s="168"/>
      <c r="I9" s="131"/>
      <c r="J9" s="79">
        <v>34</v>
      </c>
      <c r="K9" s="162"/>
      <c r="L9" s="79">
        <v>5</v>
      </c>
    </row>
    <row r="10" spans="1:12" s="9" customFormat="1" ht="43.9" customHeight="1" x14ac:dyDescent="0.35">
      <c r="A10" s="11" t="s">
        <v>72</v>
      </c>
      <c r="B10" s="11"/>
      <c r="C10" s="11" t="s">
        <v>35</v>
      </c>
      <c r="D10" s="10" t="s">
        <v>4133</v>
      </c>
      <c r="E10" s="10" t="s">
        <v>4134</v>
      </c>
      <c r="F10" s="78" t="s">
        <v>4140</v>
      </c>
      <c r="G10" s="166"/>
      <c r="H10" s="166"/>
      <c r="I10" s="131"/>
      <c r="J10" s="79"/>
      <c r="K10" s="161"/>
      <c r="L10" s="79"/>
    </row>
    <row r="11" spans="1:12" s="9" customFormat="1" ht="43.9" customHeight="1" x14ac:dyDescent="0.35">
      <c r="A11" s="11" t="s">
        <v>81</v>
      </c>
      <c r="B11" s="11"/>
      <c r="C11" s="11" t="s">
        <v>35</v>
      </c>
      <c r="D11" s="10" t="s">
        <v>4141</v>
      </c>
      <c r="E11" s="10" t="s">
        <v>4142</v>
      </c>
      <c r="F11" s="74" t="s">
        <v>4143</v>
      </c>
      <c r="G11" s="169" t="s">
        <v>4144</v>
      </c>
      <c r="H11" s="169"/>
      <c r="I11" s="135"/>
      <c r="J11" s="79">
        <v>42</v>
      </c>
      <c r="K11" s="161"/>
      <c r="L11" s="79">
        <v>3</v>
      </c>
    </row>
    <row r="12" spans="1:12" s="9" customFormat="1" ht="43.9" customHeight="1" x14ac:dyDescent="0.35">
      <c r="A12" s="11" t="s">
        <v>83</v>
      </c>
      <c r="B12" s="11"/>
      <c r="C12" s="11" t="s">
        <v>4145</v>
      </c>
      <c r="D12" s="10" t="s">
        <v>4146</v>
      </c>
      <c r="E12" s="10" t="s">
        <v>4147</v>
      </c>
      <c r="F12" s="85" t="s">
        <v>491</v>
      </c>
      <c r="G12" s="169" t="s">
        <v>4148</v>
      </c>
      <c r="H12" s="169"/>
      <c r="I12" s="135"/>
      <c r="J12" s="79">
        <v>108</v>
      </c>
      <c r="K12" s="161"/>
      <c r="L12" s="79">
        <v>36</v>
      </c>
    </row>
    <row r="13" spans="1:12" s="12" customFormat="1" ht="43.9" customHeight="1" x14ac:dyDescent="0.35">
      <c r="A13" s="41" t="s">
        <v>92</v>
      </c>
      <c r="B13" s="41"/>
      <c r="C13" s="11" t="s">
        <v>35</v>
      </c>
      <c r="D13" s="10" t="s">
        <v>426</v>
      </c>
      <c r="E13" s="74" t="s">
        <v>4149</v>
      </c>
      <c r="F13" s="84" t="s">
        <v>494</v>
      </c>
      <c r="G13" s="81" t="s">
        <v>4150</v>
      </c>
      <c r="H13" s="81"/>
      <c r="I13" s="163"/>
      <c r="J13" s="79">
        <v>13</v>
      </c>
      <c r="K13" s="161"/>
      <c r="L13" s="79">
        <v>2</v>
      </c>
    </row>
    <row r="14" spans="1:12" s="12" customFormat="1" ht="43.9" customHeight="1" x14ac:dyDescent="0.25">
      <c r="A14" s="41" t="s">
        <v>105</v>
      </c>
      <c r="B14" s="479"/>
      <c r="C14" s="74" t="s">
        <v>4151</v>
      </c>
      <c r="D14" s="2183" t="s">
        <v>4152</v>
      </c>
      <c r="E14" s="2184"/>
      <c r="F14" s="2184"/>
      <c r="G14" s="2184"/>
      <c r="H14" s="304"/>
      <c r="I14" s="164"/>
      <c r="J14" s="79"/>
      <c r="K14" s="161"/>
      <c r="L14" s="79"/>
    </row>
    <row r="15" spans="1:12" s="12" customFormat="1" ht="43.9" customHeight="1" x14ac:dyDescent="0.35">
      <c r="A15" s="11" t="s">
        <v>107</v>
      </c>
      <c r="B15" s="11"/>
      <c r="C15" s="11" t="s">
        <v>86</v>
      </c>
      <c r="D15" s="10" t="s">
        <v>4153</v>
      </c>
      <c r="E15" s="10" t="s">
        <v>4154</v>
      </c>
      <c r="F15" s="74" t="s">
        <v>4011</v>
      </c>
      <c r="G15" s="81" t="s">
        <v>4155</v>
      </c>
      <c r="H15" s="81"/>
      <c r="I15" s="163">
        <v>164</v>
      </c>
      <c r="J15" s="79">
        <v>100</v>
      </c>
      <c r="K15" s="161">
        <f t="shared" ref="K15:K28" si="0">J15/I15</f>
        <v>0.6097560975609756</v>
      </c>
      <c r="L15" s="79">
        <v>29</v>
      </c>
    </row>
    <row r="16" spans="1:12" s="12" customFormat="1" ht="43.9" customHeight="1" x14ac:dyDescent="0.35">
      <c r="A16" s="11" t="s">
        <v>111</v>
      </c>
      <c r="B16" s="11"/>
      <c r="C16" s="11" t="s">
        <v>35</v>
      </c>
      <c r="D16" s="10" t="s">
        <v>4156</v>
      </c>
      <c r="E16" s="10" t="s">
        <v>4157</v>
      </c>
      <c r="F16" s="74" t="s">
        <v>4158</v>
      </c>
      <c r="G16" s="170" t="s">
        <v>4159</v>
      </c>
      <c r="H16" s="170"/>
      <c r="I16" s="136">
        <v>28</v>
      </c>
      <c r="J16" s="79">
        <v>10</v>
      </c>
      <c r="K16" s="161">
        <f t="shared" si="0"/>
        <v>0.35714285714285715</v>
      </c>
      <c r="L16" s="79">
        <v>0</v>
      </c>
    </row>
    <row r="17" spans="1:12" s="12" customFormat="1" ht="43.9" customHeight="1" x14ac:dyDescent="0.35">
      <c r="A17" s="11" t="s">
        <v>124</v>
      </c>
      <c r="B17" s="11"/>
      <c r="C17" s="11" t="s">
        <v>32</v>
      </c>
      <c r="D17" s="92" t="s">
        <v>4160</v>
      </c>
      <c r="E17" s="10" t="s">
        <v>4161</v>
      </c>
      <c r="F17" s="94" t="s">
        <v>4020</v>
      </c>
      <c r="G17" s="170" t="s">
        <v>4162</v>
      </c>
      <c r="H17" s="170"/>
      <c r="I17" s="136">
        <v>233</v>
      </c>
      <c r="J17" s="79">
        <v>64</v>
      </c>
      <c r="K17" s="161">
        <f t="shared" si="0"/>
        <v>0.27467811158798283</v>
      </c>
      <c r="L17" s="79">
        <v>12</v>
      </c>
    </row>
    <row r="18" spans="1:12" s="12" customFormat="1" ht="43.9" customHeight="1" x14ac:dyDescent="0.35">
      <c r="A18" s="41" t="s">
        <v>134</v>
      </c>
      <c r="B18" s="479"/>
      <c r="C18" s="91" t="s">
        <v>86</v>
      </c>
      <c r="D18" s="84" t="s">
        <v>4163</v>
      </c>
      <c r="E18" s="86" t="s">
        <v>4164</v>
      </c>
      <c r="F18" s="74" t="s">
        <v>4165</v>
      </c>
      <c r="G18" s="171" t="s">
        <v>4166</v>
      </c>
      <c r="H18" s="171"/>
      <c r="I18" s="79">
        <v>161</v>
      </c>
      <c r="J18" s="79">
        <v>100</v>
      </c>
      <c r="K18" s="161">
        <f t="shared" si="0"/>
        <v>0.6211180124223602</v>
      </c>
      <c r="L18" s="79">
        <v>37</v>
      </c>
    </row>
    <row r="19" spans="1:12" s="12" customFormat="1" ht="43.9" customHeight="1" x14ac:dyDescent="0.35">
      <c r="A19" s="95" t="s">
        <v>144</v>
      </c>
      <c r="B19" s="95"/>
      <c r="C19" s="95" t="s">
        <v>35</v>
      </c>
      <c r="D19" s="137" t="s">
        <v>4167</v>
      </c>
      <c r="E19" s="138" t="s">
        <v>4168</v>
      </c>
      <c r="F19" s="139" t="s">
        <v>4169</v>
      </c>
      <c r="G19" s="172" t="s">
        <v>4170</v>
      </c>
      <c r="H19" s="172"/>
      <c r="I19" s="131">
        <v>39</v>
      </c>
      <c r="J19" s="79">
        <v>21</v>
      </c>
      <c r="K19" s="162">
        <f t="shared" si="0"/>
        <v>0.53846153846153844</v>
      </c>
      <c r="L19" s="79">
        <v>2</v>
      </c>
    </row>
    <row r="20" spans="1:12" s="12" customFormat="1" ht="43.9" customHeight="1" x14ac:dyDescent="0.35">
      <c r="A20" s="97" t="s">
        <v>151</v>
      </c>
      <c r="B20" s="97"/>
      <c r="C20" s="97" t="s">
        <v>32</v>
      </c>
      <c r="D20" s="84" t="s">
        <v>4171</v>
      </c>
      <c r="E20" s="84"/>
      <c r="F20" s="84" t="s">
        <v>4172</v>
      </c>
      <c r="G20" s="173" t="s">
        <v>4173</v>
      </c>
      <c r="H20" s="173"/>
      <c r="I20" s="131">
        <v>217</v>
      </c>
      <c r="J20" s="79">
        <v>50</v>
      </c>
      <c r="K20" s="162">
        <f t="shared" si="0"/>
        <v>0.2304147465437788</v>
      </c>
      <c r="L20" s="79">
        <v>10</v>
      </c>
    </row>
    <row r="21" spans="1:12" s="12" customFormat="1" ht="43.9" customHeight="1" x14ac:dyDescent="0.35">
      <c r="A21" s="96" t="s">
        <v>160</v>
      </c>
      <c r="B21" s="96"/>
      <c r="C21" s="96" t="s">
        <v>378</v>
      </c>
      <c r="D21" s="93" t="s">
        <v>4174</v>
      </c>
      <c r="E21" s="93" t="s">
        <v>4175</v>
      </c>
      <c r="F21" s="140" t="s">
        <v>4176</v>
      </c>
      <c r="G21" s="174" t="s">
        <v>4177</v>
      </c>
      <c r="H21" s="174"/>
      <c r="I21" s="131">
        <v>158</v>
      </c>
      <c r="J21" s="79">
        <v>83</v>
      </c>
      <c r="K21" s="162">
        <f t="shared" si="0"/>
        <v>0.52531645569620256</v>
      </c>
      <c r="L21" s="79">
        <v>14</v>
      </c>
    </row>
    <row r="22" spans="1:12" s="12" customFormat="1" ht="43.9" customHeight="1" x14ac:dyDescent="0.35">
      <c r="A22" s="11" t="s">
        <v>4178</v>
      </c>
      <c r="B22" s="11"/>
      <c r="C22" s="11" t="s">
        <v>35</v>
      </c>
      <c r="D22" s="10"/>
      <c r="E22" s="10" t="s">
        <v>4179</v>
      </c>
      <c r="F22" s="74" t="s">
        <v>4036</v>
      </c>
      <c r="G22" s="170" t="s">
        <v>4180</v>
      </c>
      <c r="H22" s="170"/>
      <c r="I22" s="131">
        <v>34</v>
      </c>
      <c r="J22" s="79">
        <v>19</v>
      </c>
      <c r="K22" s="161">
        <f t="shared" si="0"/>
        <v>0.55882352941176472</v>
      </c>
      <c r="L22" s="79">
        <v>2</v>
      </c>
    </row>
    <row r="23" spans="1:12" s="12" customFormat="1" ht="43.9" customHeight="1" x14ac:dyDescent="0.35">
      <c r="A23" s="11" t="s">
        <v>4181</v>
      </c>
      <c r="B23" s="11"/>
      <c r="C23" s="11" t="s">
        <v>32</v>
      </c>
      <c r="D23" s="10" t="s">
        <v>4182</v>
      </c>
      <c r="E23" s="10" t="s">
        <v>4183</v>
      </c>
      <c r="F23" s="74" t="s">
        <v>533</v>
      </c>
      <c r="G23" s="170" t="s">
        <v>4184</v>
      </c>
      <c r="H23" s="170"/>
      <c r="I23" s="131">
        <v>272</v>
      </c>
      <c r="J23" s="79">
        <v>91</v>
      </c>
      <c r="K23" s="161">
        <f t="shared" si="0"/>
        <v>0.33455882352941174</v>
      </c>
      <c r="L23" s="79">
        <v>11</v>
      </c>
    </row>
    <row r="24" spans="1:12" s="12" customFormat="1" ht="54.75" customHeight="1" x14ac:dyDescent="0.35">
      <c r="A24" s="11" t="s">
        <v>189</v>
      </c>
      <c r="B24" s="11"/>
      <c r="C24" s="11" t="s">
        <v>4185</v>
      </c>
      <c r="D24" s="10"/>
      <c r="E24" s="10" t="s">
        <v>4186</v>
      </c>
      <c r="F24" s="74" t="s">
        <v>4042</v>
      </c>
      <c r="G24" s="170" t="s">
        <v>4187</v>
      </c>
      <c r="H24" s="170"/>
      <c r="I24" s="131">
        <v>377</v>
      </c>
      <c r="J24" s="79">
        <v>179</v>
      </c>
      <c r="K24" s="161">
        <f t="shared" si="0"/>
        <v>0.47480106100795755</v>
      </c>
      <c r="L24" s="79">
        <v>41</v>
      </c>
    </row>
    <row r="25" spans="1:12" s="12" customFormat="1" ht="66" customHeight="1" x14ac:dyDescent="0.35">
      <c r="A25" s="11" t="s">
        <v>4188</v>
      </c>
      <c r="B25" s="11"/>
      <c r="C25" s="11" t="s">
        <v>4189</v>
      </c>
      <c r="D25" s="10" t="s">
        <v>4190</v>
      </c>
      <c r="E25" s="10" t="s">
        <v>4191</v>
      </c>
      <c r="F25" s="74" t="s">
        <v>4192</v>
      </c>
      <c r="G25" s="170" t="s">
        <v>4193</v>
      </c>
      <c r="H25" s="170"/>
      <c r="I25" s="131">
        <v>247</v>
      </c>
      <c r="J25" s="79">
        <v>82</v>
      </c>
      <c r="K25" s="161">
        <f t="shared" si="0"/>
        <v>0.33198380566801622</v>
      </c>
      <c r="L25" s="79">
        <v>3</v>
      </c>
    </row>
    <row r="26" spans="1:12" s="12" customFormat="1" ht="43.9" customHeight="1" x14ac:dyDescent="0.35">
      <c r="A26" s="153" t="s">
        <v>201</v>
      </c>
      <c r="B26" s="153"/>
      <c r="C26" s="11" t="s">
        <v>35</v>
      </c>
      <c r="D26" s="10" t="s">
        <v>4194</v>
      </c>
      <c r="E26" s="10" t="s">
        <v>4195</v>
      </c>
      <c r="F26" s="74" t="s">
        <v>4196</v>
      </c>
      <c r="G26" s="170" t="s">
        <v>4197</v>
      </c>
      <c r="H26" s="170"/>
      <c r="I26" s="131">
        <v>45</v>
      </c>
      <c r="J26" s="79">
        <v>21</v>
      </c>
      <c r="K26" s="161">
        <f t="shared" si="0"/>
        <v>0.46666666666666667</v>
      </c>
      <c r="L26" s="79">
        <v>1</v>
      </c>
    </row>
    <row r="27" spans="1:12" s="12" customFormat="1" ht="43.9" customHeight="1" x14ac:dyDescent="0.35">
      <c r="A27" s="11" t="s">
        <v>205</v>
      </c>
      <c r="B27" s="11"/>
      <c r="C27" s="11" t="s">
        <v>378</v>
      </c>
      <c r="D27" s="10" t="s">
        <v>4174</v>
      </c>
      <c r="E27" s="10" t="s">
        <v>4198</v>
      </c>
      <c r="F27" s="74" t="s">
        <v>551</v>
      </c>
      <c r="G27" s="170" t="s">
        <v>4199</v>
      </c>
      <c r="H27" s="170"/>
      <c r="I27" s="131">
        <v>440</v>
      </c>
      <c r="J27" s="79">
        <v>125</v>
      </c>
      <c r="K27" s="161">
        <f t="shared" si="0"/>
        <v>0.28409090909090912</v>
      </c>
      <c r="L27" s="79">
        <v>34</v>
      </c>
    </row>
    <row r="28" spans="1:12" s="12" customFormat="1" ht="55.5" customHeight="1" x14ac:dyDescent="0.35">
      <c r="A28" s="11" t="s">
        <v>213</v>
      </c>
      <c r="B28" s="11"/>
      <c r="C28" s="11" t="s">
        <v>4200</v>
      </c>
      <c r="D28" s="56" t="s">
        <v>4201</v>
      </c>
      <c r="E28" s="10" t="s">
        <v>4202</v>
      </c>
      <c r="F28" s="74" t="s">
        <v>4203</v>
      </c>
      <c r="G28" s="170" t="s">
        <v>4204</v>
      </c>
      <c r="H28" s="170"/>
      <c r="I28" s="131">
        <v>269</v>
      </c>
      <c r="J28" s="79">
        <v>91</v>
      </c>
      <c r="K28" s="161">
        <f t="shared" si="0"/>
        <v>0.33828996282527879</v>
      </c>
      <c r="L28" s="79">
        <v>2</v>
      </c>
    </row>
    <row r="29" spans="1:12" s="12" customFormat="1" ht="43.9" customHeight="1" x14ac:dyDescent="0.35">
      <c r="A29" s="11" t="s">
        <v>4205</v>
      </c>
      <c r="B29" s="11"/>
      <c r="C29" s="11" t="s">
        <v>4206</v>
      </c>
      <c r="D29" s="10"/>
      <c r="E29" s="56" t="s">
        <v>4207</v>
      </c>
      <c r="F29" s="74" t="s">
        <v>227</v>
      </c>
      <c r="G29" s="170" t="s">
        <v>4208</v>
      </c>
      <c r="H29" s="170"/>
      <c r="I29" s="131">
        <v>467</v>
      </c>
      <c r="J29" s="79">
        <v>143</v>
      </c>
      <c r="K29" s="161">
        <v>0.32100000000000001</v>
      </c>
      <c r="L29" s="79">
        <v>51</v>
      </c>
    </row>
    <row r="30" spans="1:12" s="12" customFormat="1" ht="43.9" customHeight="1" x14ac:dyDescent="0.25">
      <c r="A30" s="149" t="s">
        <v>4209</v>
      </c>
      <c r="B30" s="448"/>
      <c r="C30" s="2185" t="s">
        <v>4210</v>
      </c>
      <c r="D30" s="2186"/>
      <c r="E30" s="2186"/>
      <c r="F30" s="2186"/>
      <c r="G30" s="2186"/>
      <c r="H30" s="305"/>
      <c r="I30" s="131"/>
      <c r="J30" s="79"/>
      <c r="K30" s="161"/>
      <c r="L30" s="79"/>
    </row>
    <row r="31" spans="1:12" s="12" customFormat="1" ht="43.9" customHeight="1" x14ac:dyDescent="0.35">
      <c r="A31" s="372" t="s">
        <v>4211</v>
      </c>
      <c r="B31" s="372"/>
      <c r="C31" s="372" t="s">
        <v>4212</v>
      </c>
      <c r="D31" s="402" t="s">
        <v>4213</v>
      </c>
      <c r="E31" s="372" t="s">
        <v>4214</v>
      </c>
      <c r="F31" s="417" t="s">
        <v>235</v>
      </c>
      <c r="G31" s="428" t="s">
        <v>4215</v>
      </c>
      <c r="H31" s="428"/>
      <c r="I31" s="419">
        <v>71</v>
      </c>
      <c r="J31" s="393">
        <v>43</v>
      </c>
      <c r="K31" s="429">
        <f>J31/I31</f>
        <v>0.60563380281690138</v>
      </c>
      <c r="L31" s="393">
        <v>13</v>
      </c>
    </row>
    <row r="32" spans="1:12" s="12" customFormat="1" ht="43.9" customHeight="1" x14ac:dyDescent="0.35">
      <c r="A32" s="372" t="s">
        <v>4216</v>
      </c>
      <c r="B32" s="372"/>
      <c r="C32" s="372" t="s">
        <v>4212</v>
      </c>
      <c r="D32" s="402" t="s">
        <v>4217</v>
      </c>
      <c r="E32" s="402" t="s">
        <v>4218</v>
      </c>
      <c r="F32" s="417" t="s">
        <v>4219</v>
      </c>
      <c r="G32" s="428" t="s">
        <v>4220</v>
      </c>
      <c r="H32" s="428"/>
      <c r="I32" s="419">
        <v>62</v>
      </c>
      <c r="J32" s="393">
        <v>34</v>
      </c>
      <c r="K32" s="429">
        <f>J32/I32</f>
        <v>0.54838709677419351</v>
      </c>
      <c r="L32" s="393">
        <v>8</v>
      </c>
    </row>
    <row r="33" spans="1:12" s="12" customFormat="1" ht="43.9" customHeight="1" x14ac:dyDescent="0.35">
      <c r="A33" s="372" t="s">
        <v>4221</v>
      </c>
      <c r="B33" s="372"/>
      <c r="C33" s="372" t="s">
        <v>86</v>
      </c>
      <c r="D33" s="372" t="s">
        <v>4212</v>
      </c>
      <c r="E33" s="402" t="s">
        <v>4222</v>
      </c>
      <c r="F33" s="417" t="s">
        <v>4223</v>
      </c>
      <c r="G33" s="428" t="s">
        <v>4224</v>
      </c>
      <c r="H33" s="428"/>
      <c r="I33" s="419">
        <v>55</v>
      </c>
      <c r="J33" s="393">
        <v>44</v>
      </c>
      <c r="K33" s="429">
        <v>0.8</v>
      </c>
      <c r="L33" s="393">
        <v>8</v>
      </c>
    </row>
    <row r="34" spans="1:12" s="12" customFormat="1" ht="43.9" customHeight="1" x14ac:dyDescent="0.35">
      <c r="A34" s="372" t="s">
        <v>4221</v>
      </c>
      <c r="B34" s="372"/>
      <c r="C34" s="372" t="s">
        <v>86</v>
      </c>
      <c r="D34" s="372" t="s">
        <v>4212</v>
      </c>
      <c r="E34" s="402" t="s">
        <v>4225</v>
      </c>
      <c r="F34" s="417" t="s">
        <v>4226</v>
      </c>
      <c r="G34" s="428" t="s">
        <v>4227</v>
      </c>
      <c r="H34" s="428"/>
      <c r="I34" s="419">
        <v>56</v>
      </c>
      <c r="J34" s="393">
        <v>40</v>
      </c>
      <c r="K34" s="429">
        <v>0.71399999999999997</v>
      </c>
      <c r="L34" s="393">
        <v>12</v>
      </c>
    </row>
    <row r="35" spans="1:12" s="12" customFormat="1" ht="43.9" customHeight="1" x14ac:dyDescent="0.35">
      <c r="A35" s="372" t="s">
        <v>4221</v>
      </c>
      <c r="B35" s="372"/>
      <c r="C35" s="372" t="s">
        <v>86</v>
      </c>
      <c r="D35" s="402" t="s">
        <v>2434</v>
      </c>
      <c r="E35" s="402" t="s">
        <v>4228</v>
      </c>
      <c r="F35" s="432" t="s">
        <v>4229</v>
      </c>
      <c r="G35" s="428" t="s">
        <v>4230</v>
      </c>
      <c r="H35" s="428"/>
      <c r="I35" s="419">
        <v>281</v>
      </c>
      <c r="J35" s="393">
        <v>75</v>
      </c>
      <c r="K35" s="429">
        <v>0.27300000000000002</v>
      </c>
      <c r="L35" s="393">
        <v>21</v>
      </c>
    </row>
    <row r="36" spans="1:12" s="100" customFormat="1" ht="43.9" customHeight="1" x14ac:dyDescent="0.35">
      <c r="A36" s="194" t="s">
        <v>4231</v>
      </c>
      <c r="B36" s="194"/>
      <c r="C36" s="2181" t="s">
        <v>4232</v>
      </c>
      <c r="D36" s="2182"/>
      <c r="E36" s="2182"/>
      <c r="F36" s="195"/>
      <c r="G36" s="175"/>
      <c r="H36" s="175"/>
      <c r="I36" s="132"/>
      <c r="J36" s="99"/>
      <c r="K36" s="165"/>
      <c r="L36" s="99"/>
    </row>
    <row r="37" spans="1:12" s="100" customFormat="1" ht="44.25" customHeight="1" x14ac:dyDescent="0.35">
      <c r="A37" s="191" t="s">
        <v>4233</v>
      </c>
      <c r="B37" s="191"/>
      <c r="C37" s="191" t="s">
        <v>35</v>
      </c>
      <c r="D37" s="192" t="s">
        <v>4234</v>
      </c>
      <c r="E37" s="192" t="s">
        <v>4235</v>
      </c>
      <c r="F37" s="193"/>
      <c r="G37" s="190"/>
      <c r="H37" s="190"/>
      <c r="I37" s="132"/>
      <c r="J37" s="99"/>
      <c r="K37" s="165"/>
      <c r="L37" s="99"/>
    </row>
    <row r="38" spans="1:12" s="12" customFormat="1" ht="43.9" customHeight="1" x14ac:dyDescent="0.35">
      <c r="A38" s="372" t="s">
        <v>4233</v>
      </c>
      <c r="B38" s="372"/>
      <c r="C38" s="372" t="s">
        <v>86</v>
      </c>
      <c r="D38" s="402" t="s">
        <v>2434</v>
      </c>
      <c r="E38" s="402" t="s">
        <v>4236</v>
      </c>
      <c r="F38" s="417" t="s">
        <v>4237</v>
      </c>
      <c r="G38" s="428" t="s">
        <v>4238</v>
      </c>
      <c r="H38" s="428"/>
      <c r="I38" s="419">
        <v>451</v>
      </c>
      <c r="J38" s="393">
        <v>155</v>
      </c>
      <c r="K38" s="429">
        <v>0.35499999999999998</v>
      </c>
      <c r="L38" s="393">
        <v>61</v>
      </c>
    </row>
    <row r="39" spans="1:12" s="12" customFormat="1" ht="43.9" customHeight="1" x14ac:dyDescent="0.25">
      <c r="A39" s="372" t="s">
        <v>4233</v>
      </c>
      <c r="B39" s="372"/>
      <c r="C39" s="372" t="s">
        <v>4077</v>
      </c>
      <c r="D39" s="374" t="s">
        <v>4239</v>
      </c>
      <c r="E39" s="374" t="s">
        <v>4240</v>
      </c>
      <c r="F39" s="417"/>
      <c r="G39" s="430"/>
      <c r="H39" s="430"/>
      <c r="I39" s="419"/>
      <c r="J39" s="393"/>
      <c r="K39" s="429"/>
      <c r="L39" s="393"/>
    </row>
    <row r="40" spans="1:12" s="12" customFormat="1" ht="43.9" customHeight="1" x14ac:dyDescent="0.35">
      <c r="A40" s="372" t="s">
        <v>587</v>
      </c>
      <c r="B40" s="372"/>
      <c r="C40" s="372" t="s">
        <v>4241</v>
      </c>
      <c r="D40" s="374" t="s">
        <v>4239</v>
      </c>
      <c r="E40" s="374" t="s">
        <v>4242</v>
      </c>
      <c r="F40" s="417" t="s">
        <v>4243</v>
      </c>
      <c r="G40" s="428" t="s">
        <v>4244</v>
      </c>
      <c r="H40" s="428"/>
      <c r="I40" s="419">
        <v>23</v>
      </c>
      <c r="J40" s="393">
        <v>7</v>
      </c>
      <c r="K40" s="429">
        <v>8.6999999999999994E-2</v>
      </c>
      <c r="L40" s="393">
        <v>2</v>
      </c>
    </row>
    <row r="41" spans="1:12" s="100" customFormat="1" ht="43.9" customHeight="1" x14ac:dyDescent="0.35">
      <c r="A41" s="372" t="s">
        <v>595</v>
      </c>
      <c r="B41" s="372"/>
      <c r="C41" s="372" t="s">
        <v>86</v>
      </c>
      <c r="D41" s="402" t="s">
        <v>2434</v>
      </c>
      <c r="E41" s="402" t="s">
        <v>4236</v>
      </c>
      <c r="F41" s="375" t="s">
        <v>4245</v>
      </c>
      <c r="G41" s="431" t="s">
        <v>4246</v>
      </c>
      <c r="H41" s="431"/>
      <c r="I41" s="425">
        <v>449</v>
      </c>
      <c r="J41" s="426">
        <v>204</v>
      </c>
      <c r="K41" s="427">
        <v>0.46800000000000003</v>
      </c>
      <c r="L41" s="426">
        <v>137</v>
      </c>
    </row>
    <row r="42" spans="1:12" s="100" customFormat="1" ht="43.9" customHeight="1" x14ac:dyDescent="0.35">
      <c r="A42" s="372" t="s">
        <v>598</v>
      </c>
      <c r="B42" s="372"/>
      <c r="C42" s="372" t="s">
        <v>140</v>
      </c>
      <c r="D42" s="374" t="s">
        <v>4247</v>
      </c>
      <c r="E42" s="374" t="s">
        <v>4248</v>
      </c>
      <c r="F42" s="375" t="s">
        <v>602</v>
      </c>
      <c r="G42" s="431" t="s">
        <v>4249</v>
      </c>
      <c r="H42" s="431"/>
      <c r="I42" s="425">
        <v>43</v>
      </c>
      <c r="J42" s="426">
        <v>18</v>
      </c>
      <c r="K42" s="427">
        <v>0.41899999999999998</v>
      </c>
      <c r="L42" s="426">
        <v>2</v>
      </c>
    </row>
    <row r="43" spans="1:12" s="100" customFormat="1" ht="44.25" customHeight="1" x14ac:dyDescent="0.35">
      <c r="A43" s="191" t="s">
        <v>289</v>
      </c>
      <c r="B43" s="191"/>
      <c r="C43" s="191"/>
      <c r="D43" s="192"/>
      <c r="E43" s="192" t="s">
        <v>4250</v>
      </c>
      <c r="F43" s="193"/>
      <c r="G43" s="190"/>
      <c r="H43" s="190"/>
      <c r="I43" s="132"/>
      <c r="J43" s="99"/>
      <c r="K43" s="165"/>
      <c r="L43" s="99"/>
    </row>
    <row r="44" spans="1:12" s="100" customFormat="1" ht="43.9" customHeight="1" x14ac:dyDescent="0.35">
      <c r="A44" s="194" t="s">
        <v>4251</v>
      </c>
      <c r="B44" s="194"/>
      <c r="C44" s="2181" t="s">
        <v>2434</v>
      </c>
      <c r="D44" s="2182"/>
      <c r="E44" s="2182"/>
      <c r="F44" s="195"/>
      <c r="G44" s="175"/>
      <c r="H44" s="175"/>
      <c r="I44" s="132"/>
      <c r="J44" s="99"/>
      <c r="K44" s="165"/>
      <c r="L44" s="99"/>
    </row>
    <row r="45" spans="1:12" s="100" customFormat="1" ht="43.9" customHeight="1" x14ac:dyDescent="0.35">
      <c r="A45" s="372" t="s">
        <v>4076</v>
      </c>
      <c r="B45" s="372"/>
      <c r="C45" s="372" t="s">
        <v>164</v>
      </c>
      <c r="D45" s="374" t="s">
        <v>4247</v>
      </c>
      <c r="E45" s="374" t="s">
        <v>4252</v>
      </c>
      <c r="F45" s="375" t="s">
        <v>4079</v>
      </c>
      <c r="G45" s="424"/>
      <c r="H45" s="424"/>
      <c r="I45" s="425">
        <v>407</v>
      </c>
      <c r="J45" s="426">
        <v>99</v>
      </c>
      <c r="K45" s="427">
        <f>J45/I45</f>
        <v>0.24324324324324326</v>
      </c>
      <c r="L45" s="426"/>
    </row>
    <row r="46" spans="1:12" s="100" customFormat="1" ht="43.9" customHeight="1" x14ac:dyDescent="0.35">
      <c r="A46" s="372" t="s">
        <v>610</v>
      </c>
      <c r="B46" s="372"/>
      <c r="C46" s="372"/>
      <c r="D46" s="402" t="s">
        <v>4174</v>
      </c>
      <c r="E46" s="402" t="s">
        <v>4253</v>
      </c>
      <c r="F46" s="417" t="s">
        <v>4254</v>
      </c>
      <c r="G46" s="428" t="s">
        <v>4255</v>
      </c>
      <c r="H46" s="428"/>
      <c r="I46" s="425">
        <v>475</v>
      </c>
      <c r="J46" s="426">
        <v>101</v>
      </c>
      <c r="K46" s="427">
        <f>J46/I46</f>
        <v>0.21263157894736842</v>
      </c>
      <c r="L46" s="426">
        <v>7</v>
      </c>
    </row>
    <row r="47" spans="1:12" s="238" customFormat="1" ht="43.9" customHeight="1" x14ac:dyDescent="0.25">
      <c r="A47" s="243" t="s">
        <v>318</v>
      </c>
      <c r="B47" s="243"/>
      <c r="C47" s="191"/>
      <c r="D47" s="192"/>
      <c r="E47" s="192" t="s">
        <v>4256</v>
      </c>
      <c r="F47" s="193"/>
      <c r="G47" s="190"/>
      <c r="H47" s="190"/>
      <c r="I47" s="235"/>
      <c r="J47" s="236"/>
      <c r="K47" s="237"/>
      <c r="L47" s="236"/>
    </row>
    <row r="48" spans="1:12" s="242" customFormat="1" ht="43.9" customHeight="1" x14ac:dyDescent="0.35">
      <c r="A48" s="243" t="s">
        <v>329</v>
      </c>
      <c r="B48" s="243"/>
      <c r="C48" s="191"/>
      <c r="D48" s="192"/>
      <c r="E48" s="192" t="s">
        <v>4256</v>
      </c>
      <c r="F48" s="193"/>
      <c r="G48" s="190"/>
      <c r="H48" s="190"/>
      <c r="I48" s="239"/>
      <c r="J48" s="240"/>
      <c r="K48" s="241"/>
      <c r="L48" s="240"/>
    </row>
    <row r="49" spans="1:12" s="12" customFormat="1" ht="43.9" customHeight="1" x14ac:dyDescent="0.35">
      <c r="A49" s="372" t="s">
        <v>338</v>
      </c>
      <c r="B49" s="372"/>
      <c r="C49" s="372"/>
      <c r="D49" s="402"/>
      <c r="E49" s="417" t="s">
        <v>4257</v>
      </c>
      <c r="F49" s="418"/>
      <c r="G49" s="419" t="s">
        <v>4258</v>
      </c>
      <c r="H49" s="420" t="s">
        <v>4259</v>
      </c>
      <c r="I49" s="421">
        <v>472</v>
      </c>
      <c r="J49" s="422">
        <v>107</v>
      </c>
      <c r="K49" s="423">
        <f>J49/I49</f>
        <v>0.22669491525423729</v>
      </c>
      <c r="L49" s="422">
        <v>3</v>
      </c>
    </row>
    <row r="50" spans="1:12" s="451" customFormat="1" ht="43.9" customHeight="1" x14ac:dyDescent="0.35">
      <c r="A50" s="372" t="s">
        <v>349</v>
      </c>
      <c r="B50" s="372"/>
      <c r="C50" s="372"/>
      <c r="D50" s="374"/>
      <c r="E50" s="374" t="s">
        <v>4260</v>
      </c>
      <c r="F50" s="449"/>
      <c r="G50" s="419" t="s">
        <v>4261</v>
      </c>
      <c r="H50" s="450" t="s">
        <v>4262</v>
      </c>
      <c r="I50" s="543">
        <v>466</v>
      </c>
      <c r="J50" s="544">
        <v>92</v>
      </c>
      <c r="K50" s="545">
        <f>J50/I50</f>
        <v>0.19742489270386265</v>
      </c>
      <c r="L50" s="544">
        <v>3</v>
      </c>
    </row>
    <row r="51" spans="1:12" s="100" customFormat="1" ht="43.9" customHeight="1" x14ac:dyDescent="0.35">
      <c r="A51" s="437" t="s">
        <v>376</v>
      </c>
      <c r="B51" s="461"/>
      <c r="C51" s="372"/>
      <c r="D51" s="374"/>
      <c r="E51" s="374" t="s">
        <v>4263</v>
      </c>
      <c r="F51" s="375"/>
      <c r="G51" s="419" t="s">
        <v>4264</v>
      </c>
      <c r="H51" s="542" t="s">
        <v>4265</v>
      </c>
      <c r="I51" s="543">
        <v>458</v>
      </c>
      <c r="J51" s="544">
        <v>97</v>
      </c>
      <c r="K51" s="545">
        <f>J51/I51</f>
        <v>0.21179039301310043</v>
      </c>
      <c r="L51" s="544">
        <v>2</v>
      </c>
    </row>
    <row r="52" spans="1:12" s="451" customFormat="1" ht="43.9" customHeight="1" x14ac:dyDescent="0.35">
      <c r="A52" s="444" t="s">
        <v>389</v>
      </c>
      <c r="B52" s="437"/>
      <c r="C52" s="480" t="s">
        <v>86</v>
      </c>
      <c r="D52" s="374" t="s">
        <v>4109</v>
      </c>
      <c r="E52" s="374" t="s">
        <v>4266</v>
      </c>
      <c r="F52" s="375"/>
      <c r="G52" s="452" t="s">
        <v>4267</v>
      </c>
      <c r="H52" s="431" t="s">
        <v>4268</v>
      </c>
      <c r="I52" s="543">
        <v>456</v>
      </c>
      <c r="J52" s="544">
        <v>127</v>
      </c>
      <c r="K52" s="545">
        <f>J52/I52</f>
        <v>0.27850877192982454</v>
      </c>
      <c r="L52" s="544">
        <v>11</v>
      </c>
    </row>
    <row r="53" spans="1:12" s="12" customFormat="1" ht="43.9" customHeight="1" x14ac:dyDescent="0.25">
      <c r="A53" s="446" t="s">
        <v>389</v>
      </c>
      <c r="B53" s="437"/>
      <c r="C53" s="2179" t="s">
        <v>4269</v>
      </c>
      <c r="D53" s="2179"/>
      <c r="E53" s="2179"/>
      <c r="F53" s="2179"/>
      <c r="G53" s="2179"/>
      <c r="H53" s="2179"/>
      <c r="I53" s="2179"/>
      <c r="J53" s="2179"/>
      <c r="K53" s="2179"/>
      <c r="L53" s="2180"/>
    </row>
    <row r="54" spans="1:12" s="100" customFormat="1" ht="43.9" customHeight="1" x14ac:dyDescent="0.35">
      <c r="A54" s="546" t="s">
        <v>391</v>
      </c>
      <c r="B54" s="546">
        <v>45258</v>
      </c>
      <c r="C54" s="372" t="s">
        <v>86</v>
      </c>
      <c r="D54" s="547"/>
      <c r="E54" s="374" t="s">
        <v>4270</v>
      </c>
      <c r="F54" s="548" t="s">
        <v>4271</v>
      </c>
      <c r="G54" s="549" t="s">
        <v>4272</v>
      </c>
      <c r="H54" s="550"/>
      <c r="I54" s="551">
        <v>453</v>
      </c>
      <c r="J54" s="552">
        <v>94</v>
      </c>
      <c r="K54" s="553">
        <f>J54/I54</f>
        <v>0.20750551876379691</v>
      </c>
      <c r="L54" s="552">
        <v>8</v>
      </c>
    </row>
    <row r="55" spans="1:12" ht="61.5" customHeight="1" x14ac:dyDescent="0.25">
      <c r="A55" s="437" t="s">
        <v>395</v>
      </c>
      <c r="B55" s="437">
        <v>45265</v>
      </c>
      <c r="C55" s="371" t="s">
        <v>86</v>
      </c>
      <c r="D55" s="371"/>
      <c r="E55" s="374" t="s">
        <v>4273</v>
      </c>
      <c r="F55" s="371"/>
      <c r="G55" s="376"/>
      <c r="H55" s="376"/>
      <c r="I55" s="419">
        <v>361</v>
      </c>
      <c r="J55" s="393">
        <v>83</v>
      </c>
      <c r="K55" s="429">
        <f>J55/I55</f>
        <v>0.22991689750692521</v>
      </c>
      <c r="L55" s="393">
        <v>10</v>
      </c>
    </row>
    <row r="56" spans="1:12" ht="61.5" customHeight="1" x14ac:dyDescent="0.25">
      <c r="A56" s="437" t="s">
        <v>407</v>
      </c>
      <c r="B56" s="461">
        <v>45272</v>
      </c>
      <c r="C56" s="372" t="s">
        <v>86</v>
      </c>
      <c r="D56" s="371"/>
      <c r="E56" s="374" t="s">
        <v>4274</v>
      </c>
      <c r="F56" s="371"/>
      <c r="G56" s="549" t="s">
        <v>4272</v>
      </c>
      <c r="H56" s="376"/>
      <c r="I56" s="419">
        <v>449</v>
      </c>
      <c r="J56" s="393">
        <v>105</v>
      </c>
      <c r="K56" s="429">
        <f>J56/I56</f>
        <v>0.23385300668151449</v>
      </c>
      <c r="L56" s="393">
        <v>4</v>
      </c>
    </row>
    <row r="57" spans="1:12" s="609" customFormat="1" ht="61.5" customHeight="1" x14ac:dyDescent="0.25">
      <c r="A57" s="437" t="s">
        <v>419</v>
      </c>
      <c r="B57" s="437">
        <v>45280</v>
      </c>
      <c r="C57" s="371" t="s">
        <v>86</v>
      </c>
      <c r="D57" s="371" t="s">
        <v>4275</v>
      </c>
      <c r="E57" s="371" t="s">
        <v>4276</v>
      </c>
      <c r="F57" s="371" t="s">
        <v>4277</v>
      </c>
      <c r="G57" s="376"/>
      <c r="H57" s="376"/>
      <c r="I57" s="419"/>
      <c r="J57" s="393"/>
      <c r="K57" s="429"/>
      <c r="L57" s="393"/>
    </row>
    <row r="58" spans="1:12" ht="61.5" customHeight="1" x14ac:dyDescent="0.25">
      <c r="A58" s="302" t="s">
        <v>424</v>
      </c>
      <c r="B58" s="302"/>
      <c r="C58" s="447"/>
      <c r="D58" s="447"/>
      <c r="E58" s="447"/>
      <c r="F58" s="447"/>
      <c r="G58" s="273"/>
      <c r="H58" s="273"/>
      <c r="I58" s="131"/>
      <c r="J58" s="79"/>
      <c r="K58" s="161"/>
      <c r="L58" s="79"/>
    </row>
    <row r="59" spans="1:12" ht="61.5" customHeight="1" x14ac:dyDescent="0.25">
      <c r="A59" s="339"/>
      <c r="B59" s="339"/>
      <c r="C59" s="339"/>
      <c r="D59" s="339"/>
      <c r="E59" s="339"/>
      <c r="F59" s="339"/>
      <c r="G59" s="340"/>
      <c r="H59" s="340"/>
      <c r="I59" s="131"/>
      <c r="J59" s="79"/>
      <c r="K59" s="161"/>
      <c r="L59" s="79"/>
    </row>
    <row r="60" spans="1:12" ht="61.5" customHeight="1" x14ac:dyDescent="0.25">
      <c r="A60" s="339"/>
      <c r="B60" s="339"/>
      <c r="C60" s="339"/>
      <c r="D60" s="339"/>
      <c r="E60" s="339"/>
      <c r="F60" s="339"/>
      <c r="G60" s="340"/>
      <c r="H60" s="340"/>
      <c r="I60" s="131"/>
      <c r="J60" s="79"/>
      <c r="K60" s="161"/>
      <c r="L60" s="79"/>
    </row>
  </sheetData>
  <mergeCells count="6">
    <mergeCell ref="C53:L53"/>
    <mergeCell ref="C36:E36"/>
    <mergeCell ref="A1:C1"/>
    <mergeCell ref="D14:G14"/>
    <mergeCell ref="C30:G30"/>
    <mergeCell ref="C44:E44"/>
  </mergeCells>
  <hyperlinks>
    <hyperlink ref="G11" r:id="rId1" xr:uid="{BE3BE876-198E-49DD-A9BD-5C42BEB3EF2B}"/>
    <hyperlink ref="G8" r:id="rId2" xr:uid="{2EEEE2CF-EBC1-492F-A51B-A0CA40E82989}"/>
    <hyperlink ref="G12" r:id="rId3" xr:uid="{E78CC771-E0B3-4957-B80A-C74A54E4A2DE}"/>
    <hyperlink ref="G13" r:id="rId4" xr:uid="{66DDDD82-2F0D-45A4-B421-A4E83A714B74}"/>
    <hyperlink ref="G15" r:id="rId5" xr:uid="{3A5D2F86-9DDD-41E0-B7B2-F64E669E1893}"/>
    <hyperlink ref="G16" r:id="rId6" xr:uid="{908766B3-14CC-469D-B065-005ECBA52526}"/>
    <hyperlink ref="G17" r:id="rId7" xr:uid="{24F3294E-BFB1-4063-9769-4DD6ADA34807}"/>
    <hyperlink ref="G18" r:id="rId8" xr:uid="{D2F82F96-B3B5-4B14-A7FF-432527AECD6C}"/>
    <hyperlink ref="G19" r:id="rId9" xr:uid="{F238398B-9142-4E13-ADE2-6A053F85CF74}"/>
    <hyperlink ref="G20" r:id="rId10" xr:uid="{6725140E-E180-4981-81E5-A25911D1D7F8}"/>
    <hyperlink ref="G21" r:id="rId11" xr:uid="{76673C24-BF80-40B8-AA93-26E3E820BADA}"/>
    <hyperlink ref="G22" r:id="rId12" xr:uid="{24EC7684-AFBE-4D8C-B899-486FC4A9911F}"/>
    <hyperlink ref="G23" r:id="rId13" xr:uid="{EB92198F-53CC-4F51-AFB1-9050E3421353}"/>
    <hyperlink ref="G24" r:id="rId14" xr:uid="{0B0AE003-F88B-4968-8EEB-FF510C2721A0}"/>
    <hyperlink ref="G25" r:id="rId15" xr:uid="{77BDF1BA-F2CD-4DC0-850F-EEA718386745}"/>
    <hyperlink ref="G27" r:id="rId16" xr:uid="{9B3A805D-3053-4C15-A7F2-5793DB26B870}"/>
    <hyperlink ref="G26" r:id="rId17" xr:uid="{CB1235FF-7342-468A-AB79-1A6ED0C243A7}"/>
    <hyperlink ref="G29" r:id="rId18" xr:uid="{B350ED43-E581-4626-ACD4-272AB6877AFB}"/>
    <hyperlink ref="G28" r:id="rId19" xr:uid="{31096DAF-F1F1-4272-9C86-16641B45F066}"/>
    <hyperlink ref="G31" r:id="rId20" xr:uid="{AE51DBC7-6ED2-4E7B-ABA4-5E335098543E}"/>
    <hyperlink ref="G32" r:id="rId21" xr:uid="{3306E447-E3E6-40D7-BB7A-3E57EB876CA5}"/>
    <hyperlink ref="G34" r:id="rId22" xr:uid="{8AB6D0E8-AD56-4734-9100-6F9F49BD0927}"/>
    <hyperlink ref="G33" r:id="rId23" xr:uid="{00378DE7-5EE0-4185-A800-41324DF506F7}"/>
    <hyperlink ref="G38" r:id="rId24" xr:uid="{A9EDADF6-2952-4165-945A-5E0C48882DCE}"/>
    <hyperlink ref="G41" r:id="rId25" xr:uid="{03B368FE-27C4-47E2-9B96-AA5D37A02C98}"/>
    <hyperlink ref="G46" r:id="rId26" xr:uid="{1CB5AA4D-3CFF-4893-9CB6-EC4E37B3737C}"/>
    <hyperlink ref="G35" r:id="rId27" xr:uid="{9ACA5366-C2D0-43E5-8B21-47690F4971EB}"/>
    <hyperlink ref="G40" r:id="rId28" xr:uid="{67B8AEA7-F5E6-41A4-88B4-B09085AD47A9}"/>
    <hyperlink ref="G42" r:id="rId29" xr:uid="{DB6B420D-FCE7-441C-93D2-574CD66C8D61}"/>
    <hyperlink ref="H49" r:id="rId30" xr:uid="{D7A92246-D5E9-4F20-A764-9FE15C2CA7E5}"/>
    <hyperlink ref="H50" r:id="rId31" xr:uid="{6A02CB68-AD72-41A4-A2EC-1ADC85293A6D}"/>
    <hyperlink ref="H51" r:id="rId32" xr:uid="{2E716E85-5BE9-4D95-83B8-97AB94F9723D}"/>
    <hyperlink ref="H52" r:id="rId33" xr:uid="{55C08A52-15D8-4E4C-9305-7B17D037B911}"/>
  </hyperlinks>
  <pageMargins left="0.7" right="0.7" top="0.75" bottom="0.75" header="0.3" footer="0.3"/>
  <pageSetup orientation="portrait" r:id="rId34"/>
  <drawing r:id="rId3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D7B1-9644-4691-BC33-6FDAA41AC726}">
  <sheetPr>
    <tabColor rgb="FF92D050"/>
  </sheetPr>
  <dimension ref="A1:V123"/>
  <sheetViews>
    <sheetView topLeftCell="D1" zoomScale="70" zoomScaleNormal="70" workbookViewId="0">
      <pane ySplit="1" topLeftCell="A2" activePane="bottomLeft" state="frozen"/>
      <selection pane="bottomLeft" activeCell="M1" sqref="M1"/>
    </sheetView>
  </sheetViews>
  <sheetFormatPr defaultColWidth="9.1796875" defaultRowHeight="14.5" x14ac:dyDescent="0.35"/>
  <cols>
    <col min="1" max="1" width="28.54296875" style="255" customWidth="1"/>
    <col min="2" max="2" width="23.453125" style="255" customWidth="1"/>
    <col min="3" max="3" width="26.7265625" style="255" customWidth="1"/>
    <col min="4" max="4" width="34.54296875" style="255" customWidth="1"/>
    <col min="5" max="5" width="51.81640625" style="255" customWidth="1"/>
    <col min="6" max="7" width="44.54296875" style="255" customWidth="1"/>
    <col min="8" max="8" width="17" style="255" customWidth="1"/>
    <col min="9" max="9" width="27.7265625" style="255" customWidth="1"/>
    <col min="10" max="11" width="27.7265625" style="255" hidden="1" customWidth="1"/>
    <col min="12" max="12" width="22.26953125" style="621" customWidth="1"/>
    <col min="13" max="13" width="19" style="876" customWidth="1"/>
    <col min="14" max="14" width="21.81640625" style="624" customWidth="1"/>
    <col min="15" max="15" width="13.54296875" style="624" customWidth="1"/>
    <col min="16" max="16" width="14.1796875" style="622" hidden="1" customWidth="1"/>
    <col min="17" max="17" width="0" style="624" hidden="1" customWidth="1"/>
    <col min="18" max="18" width="14.1796875" style="622" customWidth="1"/>
    <col min="19" max="19" width="13.7265625" style="624" customWidth="1"/>
    <col min="20" max="20" width="0" style="622" hidden="1" customWidth="1"/>
    <col min="21" max="21" width="12.1796875" style="624" customWidth="1"/>
    <col min="22" max="22" width="0" style="937" hidden="1" customWidth="1"/>
    <col min="23" max="16384" width="9.1796875" style="255"/>
  </cols>
  <sheetData>
    <row r="1" spans="1:22" s="916" customFormat="1" ht="39.75" customHeight="1" x14ac:dyDescent="0.35">
      <c r="A1" s="877" t="s">
        <v>1</v>
      </c>
      <c r="B1" s="878" t="s">
        <v>431</v>
      </c>
      <c r="C1" s="879" t="s">
        <v>3</v>
      </c>
      <c r="D1" s="879" t="s">
        <v>4</v>
      </c>
      <c r="E1" s="879" t="s">
        <v>5</v>
      </c>
      <c r="F1" s="879" t="s">
        <v>6</v>
      </c>
      <c r="G1" s="879" t="s">
        <v>7</v>
      </c>
      <c r="H1" s="915" t="s">
        <v>726</v>
      </c>
      <c r="I1" s="880" t="s">
        <v>727</v>
      </c>
      <c r="J1" s="881" t="s">
        <v>3065</v>
      </c>
      <c r="K1" s="881" t="s">
        <v>3066</v>
      </c>
      <c r="L1" s="881" t="s">
        <v>2009</v>
      </c>
      <c r="M1" s="874" t="s">
        <v>728</v>
      </c>
      <c r="N1" s="874" t="s">
        <v>1573</v>
      </c>
      <c r="O1" s="874" t="s">
        <v>433</v>
      </c>
      <c r="P1" s="882" t="s">
        <v>11</v>
      </c>
      <c r="Q1" s="874" t="s">
        <v>12</v>
      </c>
      <c r="R1" s="882" t="s">
        <v>729</v>
      </c>
      <c r="S1" s="874" t="s">
        <v>653</v>
      </c>
      <c r="T1" s="882" t="s">
        <v>3067</v>
      </c>
      <c r="U1" s="874" t="s">
        <v>655</v>
      </c>
      <c r="V1" s="883" t="s">
        <v>2010</v>
      </c>
    </row>
    <row r="2" spans="1:22" s="875" customFormat="1" ht="43.9" hidden="1" customHeight="1" x14ac:dyDescent="0.35">
      <c r="A2" s="680" t="s">
        <v>739</v>
      </c>
      <c r="B2" s="718">
        <v>45300</v>
      </c>
      <c r="C2" s="681" t="s">
        <v>3068</v>
      </c>
      <c r="D2" s="679" t="s">
        <v>413</v>
      </c>
      <c r="E2" s="682" t="s">
        <v>3069</v>
      </c>
      <c r="F2" s="682"/>
      <c r="G2" s="682"/>
      <c r="H2" s="779"/>
      <c r="I2" s="825" t="s">
        <v>3070</v>
      </c>
      <c r="J2" s="683"/>
      <c r="K2" s="683"/>
      <c r="L2" s="684" t="s">
        <v>3071</v>
      </c>
      <c r="M2" s="748">
        <v>75</v>
      </c>
      <c r="N2" s="686">
        <v>50</v>
      </c>
      <c r="O2" s="686">
        <v>10</v>
      </c>
      <c r="P2" s="685">
        <f>O2/N2</f>
        <v>0.2</v>
      </c>
      <c r="Q2" s="686">
        <v>1</v>
      </c>
      <c r="R2" s="685">
        <f>Q2/N2</f>
        <v>0.02</v>
      </c>
      <c r="S2" s="686">
        <v>10</v>
      </c>
      <c r="T2" s="685">
        <f>U2/N2</f>
        <v>0.02</v>
      </c>
      <c r="U2" s="686">
        <v>1</v>
      </c>
      <c r="V2" s="722"/>
    </row>
    <row r="3" spans="1:22" s="875" customFormat="1" ht="43.9" hidden="1" customHeight="1" x14ac:dyDescent="0.35">
      <c r="A3" s="680" t="s">
        <v>739</v>
      </c>
      <c r="B3" s="718">
        <v>45300</v>
      </c>
      <c r="C3" s="681" t="s">
        <v>3072</v>
      </c>
      <c r="D3" s="679" t="s">
        <v>413</v>
      </c>
      <c r="E3" s="682" t="s">
        <v>3073</v>
      </c>
      <c r="F3" s="682"/>
      <c r="G3" s="682"/>
      <c r="H3" s="779"/>
      <c r="I3" s="825" t="s">
        <v>3074</v>
      </c>
      <c r="J3" s="683"/>
      <c r="K3" s="683"/>
      <c r="L3" s="684" t="s">
        <v>3071</v>
      </c>
      <c r="M3" s="748">
        <v>75</v>
      </c>
      <c r="N3" s="686">
        <v>1377</v>
      </c>
      <c r="O3" s="686">
        <v>231</v>
      </c>
      <c r="P3" s="685">
        <f>O3/N3</f>
        <v>0.16775599128540306</v>
      </c>
      <c r="Q3" s="686">
        <v>14</v>
      </c>
      <c r="R3" s="685">
        <f>Q3/N3</f>
        <v>1.0167029774872912E-2</v>
      </c>
      <c r="S3" s="686">
        <v>231</v>
      </c>
      <c r="T3" s="685">
        <f>U3/N3</f>
        <v>1.0167029774872912E-2</v>
      </c>
      <c r="U3" s="686">
        <v>14</v>
      </c>
      <c r="V3" s="722"/>
    </row>
    <row r="4" spans="1:22" s="875" customFormat="1" ht="43.9" hidden="1" customHeight="1" x14ac:dyDescent="0.35">
      <c r="A4" s="680" t="s">
        <v>747</v>
      </c>
      <c r="B4" s="718">
        <v>45307</v>
      </c>
      <c r="C4" s="681" t="s">
        <v>86</v>
      </c>
      <c r="D4" s="679" t="s">
        <v>2033</v>
      </c>
      <c r="E4" s="682" t="s">
        <v>3075</v>
      </c>
      <c r="F4" s="682"/>
      <c r="G4" s="682" t="s">
        <v>3076</v>
      </c>
      <c r="H4" s="779"/>
      <c r="I4" s="825" t="s">
        <v>3077</v>
      </c>
      <c r="J4" s="683"/>
      <c r="K4" s="683"/>
      <c r="L4" s="684" t="s">
        <v>3078</v>
      </c>
      <c r="M4" s="748">
        <v>25</v>
      </c>
      <c r="N4" s="686">
        <v>1628</v>
      </c>
      <c r="O4" s="686">
        <v>269</v>
      </c>
      <c r="P4" s="685">
        <f>O4/N4</f>
        <v>0.16523341523341523</v>
      </c>
      <c r="Q4" s="686">
        <v>27</v>
      </c>
      <c r="R4" s="685">
        <f>Q4/N4</f>
        <v>1.6584766584766583E-2</v>
      </c>
      <c r="S4" s="686">
        <v>269</v>
      </c>
      <c r="T4" s="685">
        <f>U4/N4</f>
        <v>1.6584766584766583E-2</v>
      </c>
      <c r="U4" s="686">
        <v>27</v>
      </c>
      <c r="V4" s="722"/>
    </row>
    <row r="5" spans="1:22" s="875" customFormat="1" ht="43.9" hidden="1" customHeight="1" x14ac:dyDescent="0.35">
      <c r="A5" s="687" t="s">
        <v>761</v>
      </c>
      <c r="B5" s="793"/>
      <c r="C5" s="793"/>
      <c r="D5" s="793"/>
      <c r="E5" s="688"/>
      <c r="F5" s="688"/>
      <c r="G5" s="688"/>
      <c r="H5" s="826"/>
      <c r="I5" s="826"/>
      <c r="J5" s="688"/>
      <c r="K5" s="688"/>
      <c r="L5" s="689"/>
      <c r="M5" s="733"/>
      <c r="N5" s="691"/>
      <c r="O5" s="691"/>
      <c r="P5" s="690"/>
      <c r="Q5" s="691"/>
      <c r="R5" s="690"/>
      <c r="S5" s="691"/>
      <c r="T5" s="690"/>
      <c r="U5" s="691"/>
      <c r="V5" s="749"/>
    </row>
    <row r="6" spans="1:22" s="917" customFormat="1" ht="43.9" hidden="1" customHeight="1" x14ac:dyDescent="0.35">
      <c r="A6" s="680" t="s">
        <v>766</v>
      </c>
      <c r="B6" s="718">
        <v>45322</v>
      </c>
      <c r="C6" s="681" t="s">
        <v>3079</v>
      </c>
      <c r="D6" s="679" t="s">
        <v>2033</v>
      </c>
      <c r="E6" s="682" t="s">
        <v>3080</v>
      </c>
      <c r="F6" s="682"/>
      <c r="G6" s="682" t="s">
        <v>3076</v>
      </c>
      <c r="H6" s="779"/>
      <c r="I6" s="825" t="s">
        <v>3077</v>
      </c>
      <c r="J6" s="683"/>
      <c r="K6" s="683"/>
      <c r="L6" s="684" t="s">
        <v>3081</v>
      </c>
      <c r="M6" s="748">
        <v>46</v>
      </c>
      <c r="N6" s="686">
        <v>1351</v>
      </c>
      <c r="O6" s="686">
        <v>89</v>
      </c>
      <c r="P6" s="685">
        <f>O6/N6</f>
        <v>6.5877128053293862E-2</v>
      </c>
      <c r="Q6" s="686">
        <v>13</v>
      </c>
      <c r="R6" s="685">
        <f>Q6/N6</f>
        <v>9.6225018504811251E-3</v>
      </c>
      <c r="S6" s="686">
        <v>89</v>
      </c>
      <c r="T6" s="685"/>
      <c r="U6" s="686">
        <v>13</v>
      </c>
      <c r="V6" s="722"/>
    </row>
    <row r="7" spans="1:22" s="875" customFormat="1" ht="55.5" hidden="1" customHeight="1" x14ac:dyDescent="0.35">
      <c r="A7" s="687" t="s">
        <v>788</v>
      </c>
      <c r="B7" s="793"/>
      <c r="C7" s="793"/>
      <c r="D7" s="793"/>
      <c r="E7" s="688"/>
      <c r="F7" s="688"/>
      <c r="G7" s="688"/>
      <c r="H7" s="826"/>
      <c r="I7" s="826"/>
      <c r="J7" s="688"/>
      <c r="K7" s="688"/>
      <c r="L7" s="689"/>
      <c r="M7" s="733"/>
      <c r="N7" s="691"/>
      <c r="O7" s="691"/>
      <c r="P7" s="690"/>
      <c r="Q7" s="691"/>
      <c r="R7" s="690"/>
      <c r="S7" s="691"/>
      <c r="T7" s="690"/>
      <c r="U7" s="691"/>
      <c r="V7" s="749"/>
    </row>
    <row r="8" spans="1:22" s="875" customFormat="1" ht="55.5" hidden="1" customHeight="1" x14ac:dyDescent="0.35">
      <c r="A8" s="680" t="s">
        <v>798</v>
      </c>
      <c r="B8" s="718">
        <v>45335</v>
      </c>
      <c r="C8" s="681" t="s">
        <v>86</v>
      </c>
      <c r="D8" s="679" t="s">
        <v>413</v>
      </c>
      <c r="E8" s="682" t="s">
        <v>3082</v>
      </c>
      <c r="F8" s="682" t="s">
        <v>3083</v>
      </c>
      <c r="G8" s="682"/>
      <c r="H8" s="779"/>
      <c r="I8" s="825" t="s">
        <v>3084</v>
      </c>
      <c r="J8" s="683"/>
      <c r="K8" s="683"/>
      <c r="L8" s="684" t="s">
        <v>801</v>
      </c>
      <c r="M8" s="748">
        <v>32</v>
      </c>
      <c r="N8" s="686">
        <v>1680</v>
      </c>
      <c r="O8" s="686">
        <v>720</v>
      </c>
      <c r="P8" s="685">
        <f>O8/N8</f>
        <v>0.42857142857142855</v>
      </c>
      <c r="Q8" s="686">
        <v>21</v>
      </c>
      <c r="R8" s="685">
        <f>Q8/N8</f>
        <v>1.2500000000000001E-2</v>
      </c>
      <c r="S8" s="686">
        <v>5</v>
      </c>
      <c r="T8" s="685">
        <f>S8/N8</f>
        <v>2.976190476190476E-3</v>
      </c>
      <c r="U8" s="686">
        <v>96</v>
      </c>
      <c r="V8" s="722">
        <f>U8/N8</f>
        <v>5.7142857142857141E-2</v>
      </c>
    </row>
    <row r="9" spans="1:22" s="917" customFormat="1" ht="43.9" hidden="1" customHeight="1" x14ac:dyDescent="0.35">
      <c r="A9" s="680" t="s">
        <v>806</v>
      </c>
      <c r="B9" s="718">
        <v>45341</v>
      </c>
      <c r="C9" s="681" t="s">
        <v>3085</v>
      </c>
      <c r="D9" s="679" t="s">
        <v>413</v>
      </c>
      <c r="E9" s="682" t="s">
        <v>3086</v>
      </c>
      <c r="F9" s="682"/>
      <c r="G9" s="682" t="s">
        <v>3087</v>
      </c>
      <c r="H9" s="779"/>
      <c r="I9" s="779"/>
      <c r="J9" s="682"/>
      <c r="K9" s="682"/>
      <c r="L9" s="684" t="s">
        <v>3088</v>
      </c>
      <c r="M9" s="748">
        <v>39</v>
      </c>
      <c r="N9" s="686">
        <v>40</v>
      </c>
      <c r="O9" s="686">
        <v>7</v>
      </c>
      <c r="P9" s="685">
        <f>O9/N9</f>
        <v>0.17499999999999999</v>
      </c>
      <c r="Q9" s="686">
        <v>1</v>
      </c>
      <c r="R9" s="685">
        <f>Q9/N9</f>
        <v>2.5000000000000001E-2</v>
      </c>
      <c r="S9" s="686">
        <v>0</v>
      </c>
      <c r="T9" s="685">
        <v>0</v>
      </c>
      <c r="U9" s="686">
        <v>3</v>
      </c>
      <c r="V9" s="722">
        <f>U9/N9</f>
        <v>7.4999999999999997E-2</v>
      </c>
    </row>
    <row r="10" spans="1:22" s="917" customFormat="1" ht="43.9" hidden="1" customHeight="1" x14ac:dyDescent="0.35">
      <c r="A10" s="680" t="s">
        <v>806</v>
      </c>
      <c r="B10" s="718">
        <v>45341</v>
      </c>
      <c r="C10" s="681" t="s">
        <v>3089</v>
      </c>
      <c r="D10" s="679" t="s">
        <v>413</v>
      </c>
      <c r="E10" s="682" t="s">
        <v>3090</v>
      </c>
      <c r="F10" s="682"/>
      <c r="G10" s="682" t="s">
        <v>3087</v>
      </c>
      <c r="H10" s="779"/>
      <c r="I10" s="779"/>
      <c r="J10" s="682"/>
      <c r="K10" s="682"/>
      <c r="L10" s="684" t="s">
        <v>3088</v>
      </c>
      <c r="M10" s="748">
        <v>39</v>
      </c>
      <c r="N10" s="686">
        <v>1117</v>
      </c>
      <c r="O10" s="686">
        <v>101</v>
      </c>
      <c r="P10" s="685">
        <f>O10/N10</f>
        <v>9.0420769919427033E-2</v>
      </c>
      <c r="Q10" s="686">
        <v>8</v>
      </c>
      <c r="R10" s="685">
        <f>Q10/N10</f>
        <v>7.162041181736795E-3</v>
      </c>
      <c r="S10" s="686">
        <v>2</v>
      </c>
      <c r="T10" s="685">
        <f>S10/N10</f>
        <v>1.7905102954341987E-3</v>
      </c>
      <c r="U10" s="686">
        <v>58</v>
      </c>
      <c r="V10" s="722">
        <f>U10/N10</f>
        <v>5.1924798567591766E-2</v>
      </c>
    </row>
    <row r="11" spans="1:22" s="875" customFormat="1" ht="43.9" hidden="1" customHeight="1" x14ac:dyDescent="0.35">
      <c r="A11" s="680" t="s">
        <v>816</v>
      </c>
      <c r="B11" s="718">
        <v>45349</v>
      </c>
      <c r="C11" s="681" t="s">
        <v>3091</v>
      </c>
      <c r="D11" s="679" t="s">
        <v>2033</v>
      </c>
      <c r="E11" s="682" t="s">
        <v>3092</v>
      </c>
      <c r="F11" s="682" t="s">
        <v>3093</v>
      </c>
      <c r="G11" s="682"/>
      <c r="H11" s="779"/>
      <c r="I11" s="779"/>
      <c r="J11" s="682"/>
      <c r="K11" s="682"/>
      <c r="L11" s="684" t="s">
        <v>3094</v>
      </c>
      <c r="M11" s="748">
        <v>31</v>
      </c>
      <c r="N11" s="686">
        <v>1576</v>
      </c>
      <c r="O11" s="686">
        <v>241</v>
      </c>
      <c r="P11" s="685">
        <f>O11/N11</f>
        <v>0.15291878172588833</v>
      </c>
      <c r="Q11" s="686">
        <v>31</v>
      </c>
      <c r="R11" s="685">
        <f>Q11/N11</f>
        <v>1.967005076142132E-2</v>
      </c>
      <c r="S11" s="686">
        <v>3</v>
      </c>
      <c r="T11" s="685">
        <f>S11/N11</f>
        <v>1.9035532994923859E-3</v>
      </c>
      <c r="U11" s="686">
        <v>27</v>
      </c>
      <c r="V11" s="722">
        <f>U11/N11</f>
        <v>1.7131979695431471E-2</v>
      </c>
    </row>
    <row r="12" spans="1:22" s="875" customFormat="1" ht="49.5" hidden="1" customHeight="1" x14ac:dyDescent="0.35">
      <c r="A12" s="696" t="s">
        <v>829</v>
      </c>
      <c r="B12" s="718">
        <v>45363</v>
      </c>
      <c r="C12" s="718" t="s">
        <v>3095</v>
      </c>
      <c r="D12" s="679" t="s">
        <v>2033</v>
      </c>
      <c r="E12" s="718" t="s">
        <v>3096</v>
      </c>
      <c r="F12" s="718" t="s">
        <v>3093</v>
      </c>
      <c r="G12" s="718"/>
      <c r="H12" s="719"/>
      <c r="I12" s="719"/>
      <c r="J12" s="718"/>
      <c r="K12" s="718"/>
      <c r="L12" s="725" t="s">
        <v>3097</v>
      </c>
      <c r="M12" s="748">
        <v>23</v>
      </c>
      <c r="N12" s="748">
        <v>1294</v>
      </c>
      <c r="O12" s="748">
        <v>129</v>
      </c>
      <c r="P12" s="750">
        <f>O12/N12</f>
        <v>9.969088098918083E-2</v>
      </c>
      <c r="Q12" s="748">
        <v>8</v>
      </c>
      <c r="R12" s="750">
        <f>Q12/N12</f>
        <v>6.1823802163833074E-3</v>
      </c>
      <c r="S12" s="748">
        <v>2</v>
      </c>
      <c r="T12" s="750">
        <f>S12/N12</f>
        <v>1.5455950540958269E-3</v>
      </c>
      <c r="U12" s="748">
        <v>22</v>
      </c>
      <c r="V12" s="751">
        <f>U12/N12</f>
        <v>1.7001545595054096E-2</v>
      </c>
    </row>
    <row r="13" spans="1:22" s="875" customFormat="1" ht="43.9" hidden="1" customHeight="1" x14ac:dyDescent="0.35">
      <c r="A13" s="729" t="s">
        <v>3098</v>
      </c>
      <c r="B13" s="865" t="s">
        <v>3099</v>
      </c>
      <c r="C13" s="754"/>
      <c r="D13" s="754"/>
      <c r="E13" s="754"/>
      <c r="F13" s="754"/>
      <c r="G13" s="754"/>
      <c r="H13" s="823"/>
      <c r="I13" s="827"/>
      <c r="J13" s="730"/>
      <c r="K13" s="730"/>
      <c r="L13" s="698"/>
      <c r="M13" s="752"/>
      <c r="N13" s="700"/>
      <c r="O13" s="700"/>
      <c r="P13" s="699"/>
      <c r="Q13" s="700"/>
      <c r="R13" s="699"/>
      <c r="S13" s="700"/>
      <c r="T13" s="699"/>
      <c r="U13" s="700"/>
      <c r="V13" s="753"/>
    </row>
    <row r="14" spans="1:22" s="875" customFormat="1" ht="49.5" hidden="1" customHeight="1" x14ac:dyDescent="0.35">
      <c r="A14" s="729" t="s">
        <v>829</v>
      </c>
      <c r="B14" s="755" t="s">
        <v>3100</v>
      </c>
      <c r="C14" s="755"/>
      <c r="D14" s="755"/>
      <c r="E14" s="755"/>
      <c r="F14" s="755"/>
      <c r="G14" s="755"/>
      <c r="H14" s="918"/>
      <c r="I14" s="823"/>
      <c r="J14" s="754"/>
      <c r="K14" s="754"/>
      <c r="L14" s="755"/>
      <c r="M14" s="752"/>
      <c r="N14" s="752"/>
      <c r="O14" s="752"/>
      <c r="P14" s="756"/>
      <c r="Q14" s="752"/>
      <c r="R14" s="756"/>
      <c r="S14" s="752"/>
      <c r="T14" s="756"/>
      <c r="U14" s="752"/>
      <c r="V14" s="757"/>
    </row>
    <row r="15" spans="1:22" s="875" customFormat="1" ht="49.5" hidden="1" customHeight="1" x14ac:dyDescent="0.35">
      <c r="A15" s="758" t="s">
        <v>841</v>
      </c>
      <c r="B15" s="721"/>
      <c r="C15" s="721"/>
      <c r="D15" s="759"/>
      <c r="E15" s="721"/>
      <c r="F15" s="721"/>
      <c r="G15" s="721"/>
      <c r="H15" s="828"/>
      <c r="I15" s="828"/>
      <c r="J15" s="721"/>
      <c r="K15" s="721"/>
      <c r="L15" s="760"/>
      <c r="M15" s="761"/>
      <c r="N15" s="761"/>
      <c r="O15" s="761"/>
      <c r="P15" s="762"/>
      <c r="Q15" s="761"/>
      <c r="R15" s="762"/>
      <c r="S15" s="761"/>
      <c r="T15" s="762"/>
      <c r="U15" s="761"/>
      <c r="V15" s="763"/>
    </row>
    <row r="16" spans="1:22" s="919" customFormat="1" ht="49.5" hidden="1" customHeight="1" x14ac:dyDescent="0.35">
      <c r="A16" s="764" t="s">
        <v>848</v>
      </c>
      <c r="B16" s="765">
        <v>45379</v>
      </c>
      <c r="C16" s="765" t="s">
        <v>3101</v>
      </c>
      <c r="D16" s="766" t="s">
        <v>3102</v>
      </c>
      <c r="E16" s="765" t="s">
        <v>3103</v>
      </c>
      <c r="F16" s="765" t="s">
        <v>3104</v>
      </c>
      <c r="G16" s="765" t="s">
        <v>3105</v>
      </c>
      <c r="H16" s="829"/>
      <c r="I16" s="829"/>
      <c r="J16" s="765"/>
      <c r="K16" s="765"/>
      <c r="L16" s="767"/>
      <c r="M16" s="768"/>
      <c r="N16" s="769"/>
      <c r="O16" s="769"/>
      <c r="P16" s="770"/>
      <c r="Q16" s="769"/>
      <c r="R16" s="770"/>
      <c r="S16" s="769"/>
      <c r="T16" s="770"/>
      <c r="U16" s="769"/>
      <c r="V16" s="771"/>
    </row>
    <row r="17" spans="1:22" s="920" customFormat="1" ht="43.9" hidden="1" customHeight="1" x14ac:dyDescent="0.35">
      <c r="A17" s="680" t="s">
        <v>857</v>
      </c>
      <c r="B17" s="718">
        <v>45384</v>
      </c>
      <c r="C17" s="681" t="s">
        <v>3106</v>
      </c>
      <c r="D17" s="724"/>
      <c r="E17" s="682" t="s">
        <v>3107</v>
      </c>
      <c r="F17" s="718" t="s">
        <v>3108</v>
      </c>
      <c r="G17" s="790"/>
      <c r="H17" s="830"/>
      <c r="I17" s="830"/>
      <c r="J17" s="772"/>
      <c r="K17" s="772"/>
      <c r="L17" s="693" t="s">
        <v>3109</v>
      </c>
      <c r="M17" s="748">
        <v>31</v>
      </c>
      <c r="N17" s="695">
        <v>121</v>
      </c>
      <c r="O17" s="695">
        <v>17</v>
      </c>
      <c r="P17" s="694">
        <f t="shared" ref="P17:P22" si="0">O17/N17</f>
        <v>0.14049586776859505</v>
      </c>
      <c r="Q17" s="695">
        <v>4</v>
      </c>
      <c r="R17" s="694">
        <f t="shared" ref="R17:R22" si="1">Q17/N17</f>
        <v>3.3057851239669422E-2</v>
      </c>
      <c r="S17" s="695">
        <v>0</v>
      </c>
      <c r="T17" s="694">
        <f t="shared" ref="T17:T22" si="2">S17/N17</f>
        <v>0</v>
      </c>
      <c r="U17" s="695">
        <v>14</v>
      </c>
      <c r="V17" s="773">
        <f>U17/N17</f>
        <v>0.11570247933884298</v>
      </c>
    </row>
    <row r="18" spans="1:22" s="875" customFormat="1" ht="43.9" hidden="1" customHeight="1" x14ac:dyDescent="0.35">
      <c r="A18" s="680" t="s">
        <v>857</v>
      </c>
      <c r="B18" s="718">
        <v>45384</v>
      </c>
      <c r="C18" s="681" t="s">
        <v>3110</v>
      </c>
      <c r="D18" s="724"/>
      <c r="E18" s="682" t="s">
        <v>3111</v>
      </c>
      <c r="F18" s="718" t="s">
        <v>3112</v>
      </c>
      <c r="G18" s="682"/>
      <c r="H18" s="720"/>
      <c r="I18" s="720"/>
      <c r="J18" s="692"/>
      <c r="K18" s="692"/>
      <c r="L18" s="693" t="s">
        <v>3109</v>
      </c>
      <c r="M18" s="748">
        <v>31</v>
      </c>
      <c r="N18" s="695">
        <v>58</v>
      </c>
      <c r="O18" s="695">
        <v>6</v>
      </c>
      <c r="P18" s="694">
        <f t="shared" si="0"/>
        <v>0.10344827586206896</v>
      </c>
      <c r="Q18" s="695">
        <v>1</v>
      </c>
      <c r="R18" s="694">
        <f t="shared" si="1"/>
        <v>1.7241379310344827E-2</v>
      </c>
      <c r="S18" s="695">
        <v>0</v>
      </c>
      <c r="T18" s="694">
        <f t="shared" si="2"/>
        <v>0</v>
      </c>
      <c r="U18" s="695">
        <v>4</v>
      </c>
      <c r="V18" s="773">
        <f>U18/N18</f>
        <v>6.8965517241379309E-2</v>
      </c>
    </row>
    <row r="19" spans="1:22" s="920" customFormat="1" ht="43.9" hidden="1" customHeight="1" x14ac:dyDescent="0.35">
      <c r="A19" s="680" t="s">
        <v>857</v>
      </c>
      <c r="B19" s="718">
        <v>45384</v>
      </c>
      <c r="C19" s="681" t="s">
        <v>3113</v>
      </c>
      <c r="D19" s="724"/>
      <c r="E19" s="682" t="s">
        <v>3114</v>
      </c>
      <c r="F19" s="718" t="s">
        <v>3112</v>
      </c>
      <c r="G19" s="790"/>
      <c r="H19" s="830"/>
      <c r="I19" s="830"/>
      <c r="J19" s="772"/>
      <c r="K19" s="772"/>
      <c r="L19" s="693" t="s">
        <v>3109</v>
      </c>
      <c r="M19" s="748">
        <v>31</v>
      </c>
      <c r="N19" s="695">
        <v>305</v>
      </c>
      <c r="O19" s="695">
        <v>41</v>
      </c>
      <c r="P19" s="694">
        <f t="shared" si="0"/>
        <v>0.13442622950819672</v>
      </c>
      <c r="Q19" s="695">
        <v>8</v>
      </c>
      <c r="R19" s="694">
        <f t="shared" si="1"/>
        <v>2.6229508196721311E-2</v>
      </c>
      <c r="S19" s="695">
        <v>3</v>
      </c>
      <c r="T19" s="694">
        <f t="shared" si="2"/>
        <v>9.8360655737704927E-3</v>
      </c>
      <c r="U19" s="695">
        <v>53</v>
      </c>
      <c r="V19" s="773">
        <f>U19/N19</f>
        <v>0.17377049180327869</v>
      </c>
    </row>
    <row r="20" spans="1:22" s="920" customFormat="1" ht="43.9" hidden="1" customHeight="1" x14ac:dyDescent="0.35">
      <c r="A20" s="680" t="s">
        <v>859</v>
      </c>
      <c r="B20" s="718">
        <v>45391</v>
      </c>
      <c r="C20" s="681" t="s">
        <v>3115</v>
      </c>
      <c r="D20" s="724"/>
      <c r="E20" s="682" t="s">
        <v>3116</v>
      </c>
      <c r="F20" s="718"/>
      <c r="G20" s="682"/>
      <c r="H20" s="720"/>
      <c r="I20" s="720"/>
      <c r="J20" s="692"/>
      <c r="K20" s="692"/>
      <c r="L20" s="693" t="s">
        <v>3117</v>
      </c>
      <c r="M20" s="748">
        <v>52</v>
      </c>
      <c r="N20" s="695">
        <v>90</v>
      </c>
      <c r="O20" s="695">
        <v>7</v>
      </c>
      <c r="P20" s="694">
        <f t="shared" si="0"/>
        <v>7.7777777777777779E-2</v>
      </c>
      <c r="Q20" s="695">
        <v>6</v>
      </c>
      <c r="R20" s="694">
        <f t="shared" si="1"/>
        <v>6.6666666666666666E-2</v>
      </c>
      <c r="S20" s="695">
        <v>0</v>
      </c>
      <c r="T20" s="694">
        <f t="shared" si="2"/>
        <v>0</v>
      </c>
      <c r="U20" s="695">
        <v>1</v>
      </c>
      <c r="V20" s="773">
        <f>U20/N20</f>
        <v>1.1111111111111112E-2</v>
      </c>
    </row>
    <row r="21" spans="1:22" s="920" customFormat="1" ht="43.9" hidden="1" customHeight="1" x14ac:dyDescent="0.35">
      <c r="A21" s="680" t="s">
        <v>859</v>
      </c>
      <c r="B21" s="718">
        <v>45391</v>
      </c>
      <c r="C21" s="681" t="s">
        <v>3115</v>
      </c>
      <c r="D21" s="724"/>
      <c r="E21" s="682" t="s">
        <v>3118</v>
      </c>
      <c r="F21" s="718"/>
      <c r="G21" s="790"/>
      <c r="H21" s="830"/>
      <c r="I21" s="830"/>
      <c r="J21" s="772"/>
      <c r="K21" s="772"/>
      <c r="L21" s="693" t="s">
        <v>3117</v>
      </c>
      <c r="M21" s="748">
        <v>52</v>
      </c>
      <c r="N21" s="774">
        <v>48</v>
      </c>
      <c r="O21" s="774">
        <v>1</v>
      </c>
      <c r="P21" s="775">
        <f t="shared" si="0"/>
        <v>2.0833333333333332E-2</v>
      </c>
      <c r="Q21" s="774">
        <v>1</v>
      </c>
      <c r="R21" s="775">
        <f t="shared" si="1"/>
        <v>2.0833333333333332E-2</v>
      </c>
      <c r="S21" s="695">
        <v>0</v>
      </c>
      <c r="T21" s="694">
        <f t="shared" si="2"/>
        <v>0</v>
      </c>
      <c r="U21" s="695">
        <v>0</v>
      </c>
      <c r="V21" s="694">
        <f>U21/P21</f>
        <v>0</v>
      </c>
    </row>
    <row r="22" spans="1:22" s="875" customFormat="1" ht="57" hidden="1" customHeight="1" x14ac:dyDescent="0.35">
      <c r="A22" s="680" t="s">
        <v>859</v>
      </c>
      <c r="B22" s="718">
        <v>45391</v>
      </c>
      <c r="C22" s="681" t="s">
        <v>3115</v>
      </c>
      <c r="D22" s="724"/>
      <c r="E22" s="682" t="s">
        <v>3119</v>
      </c>
      <c r="F22" s="718"/>
      <c r="G22" s="682"/>
      <c r="H22" s="779"/>
      <c r="I22" s="779"/>
      <c r="J22" s="692"/>
      <c r="K22" s="692"/>
      <c r="L22" s="693" t="s">
        <v>3120</v>
      </c>
      <c r="M22" s="748">
        <v>52</v>
      </c>
      <c r="N22" s="686">
        <v>211</v>
      </c>
      <c r="O22" s="686">
        <v>12</v>
      </c>
      <c r="P22" s="685">
        <f t="shared" si="0"/>
        <v>5.6872037914691941E-2</v>
      </c>
      <c r="Q22" s="686">
        <v>1</v>
      </c>
      <c r="R22" s="685">
        <f t="shared" si="1"/>
        <v>4.7393364928909956E-3</v>
      </c>
      <c r="S22" s="695">
        <v>0</v>
      </c>
      <c r="T22" s="694">
        <f t="shared" si="2"/>
        <v>0</v>
      </c>
      <c r="U22" s="695">
        <v>0</v>
      </c>
      <c r="V22" s="694">
        <f>U22/P22</f>
        <v>0</v>
      </c>
    </row>
    <row r="23" spans="1:22" s="921" customFormat="1" ht="61.5" hidden="1" customHeight="1" x14ac:dyDescent="0.35">
      <c r="A23" s="697" t="s">
        <v>865</v>
      </c>
      <c r="B23" s="755" t="s">
        <v>3121</v>
      </c>
      <c r="C23" s="754"/>
      <c r="D23" s="754"/>
      <c r="E23" s="754"/>
      <c r="F23" s="754"/>
      <c r="G23" s="754"/>
      <c r="H23" s="823"/>
      <c r="I23" s="827"/>
      <c r="J23" s="730"/>
      <c r="K23" s="730"/>
      <c r="L23" s="698"/>
      <c r="M23" s="710"/>
      <c r="N23" s="700"/>
      <c r="O23" s="700"/>
      <c r="P23" s="699"/>
      <c r="Q23" s="700"/>
      <c r="R23" s="699"/>
      <c r="S23" s="700"/>
      <c r="T23" s="699"/>
      <c r="U23" s="700"/>
      <c r="V23" s="753"/>
    </row>
    <row r="24" spans="1:22" s="875" customFormat="1" ht="62" hidden="1" x14ac:dyDescent="0.35">
      <c r="A24" s="680" t="s">
        <v>865</v>
      </c>
      <c r="B24" s="718">
        <v>45398</v>
      </c>
      <c r="C24" s="681" t="s">
        <v>2106</v>
      </c>
      <c r="D24" s="679" t="s">
        <v>413</v>
      </c>
      <c r="E24" s="682" t="s">
        <v>3122</v>
      </c>
      <c r="F24" s="682" t="s">
        <v>3123</v>
      </c>
      <c r="G24" s="824" t="s">
        <v>3124</v>
      </c>
      <c r="H24" s="922"/>
      <c r="I24" s="779"/>
      <c r="J24" s="682"/>
      <c r="K24" s="682"/>
      <c r="L24" s="684" t="s">
        <v>3125</v>
      </c>
      <c r="M24" s="686">
        <v>35</v>
      </c>
      <c r="N24" s="686">
        <v>1975</v>
      </c>
      <c r="O24" s="686">
        <v>201</v>
      </c>
      <c r="P24" s="685">
        <f>O24/N24</f>
        <v>0.10177215189873418</v>
      </c>
      <c r="Q24" s="686">
        <v>31</v>
      </c>
      <c r="R24" s="685">
        <f>Q24/N24</f>
        <v>1.5696202531645571E-2</v>
      </c>
      <c r="S24" s="686">
        <v>6</v>
      </c>
      <c r="T24" s="685">
        <f>S24/N24</f>
        <v>3.0379746835443038E-3</v>
      </c>
      <c r="U24" s="686">
        <v>55</v>
      </c>
      <c r="V24" s="722">
        <f>U24/N24</f>
        <v>2.7848101265822784E-2</v>
      </c>
    </row>
    <row r="25" spans="1:22" s="920" customFormat="1" ht="43.9" hidden="1" customHeight="1" x14ac:dyDescent="0.35">
      <c r="A25" s="702" t="s">
        <v>868</v>
      </c>
      <c r="B25" s="884"/>
      <c r="C25" s="884"/>
      <c r="D25" s="884"/>
      <c r="E25" s="701" t="s">
        <v>2065</v>
      </c>
      <c r="F25" s="703"/>
      <c r="G25" s="703"/>
      <c r="H25" s="831"/>
      <c r="I25" s="831"/>
      <c r="J25" s="703"/>
      <c r="K25" s="703"/>
      <c r="L25" s="701"/>
      <c r="M25" s="776"/>
      <c r="N25" s="704"/>
      <c r="O25" s="704"/>
      <c r="P25" s="705"/>
      <c r="Q25" s="704"/>
      <c r="R25" s="705"/>
      <c r="S25" s="704"/>
      <c r="T25" s="705"/>
      <c r="U25" s="704"/>
      <c r="V25" s="777"/>
    </row>
    <row r="26" spans="1:22" s="875" customFormat="1" ht="77.5" hidden="1" x14ac:dyDescent="0.35">
      <c r="A26" s="680" t="s">
        <v>880</v>
      </c>
      <c r="B26" s="718">
        <v>45412</v>
      </c>
      <c r="C26" s="681" t="s">
        <v>905</v>
      </c>
      <c r="D26" s="679" t="s">
        <v>413</v>
      </c>
      <c r="E26" s="682" t="s">
        <v>3126</v>
      </c>
      <c r="F26" s="682" t="s">
        <v>3127</v>
      </c>
      <c r="G26" s="682"/>
      <c r="H26" s="779"/>
      <c r="I26" s="825" t="s">
        <v>3128</v>
      </c>
      <c r="J26" s="683"/>
      <c r="K26" s="683"/>
      <c r="L26" s="684" t="s">
        <v>3129</v>
      </c>
      <c r="M26" s="748">
        <v>67</v>
      </c>
      <c r="N26" s="686">
        <v>98</v>
      </c>
      <c r="O26" s="686">
        <v>12</v>
      </c>
      <c r="P26" s="685">
        <f>O26/N26</f>
        <v>0.12244897959183673</v>
      </c>
      <c r="Q26" s="686">
        <v>0</v>
      </c>
      <c r="R26" s="685">
        <f>Q26/N26</f>
        <v>0</v>
      </c>
      <c r="S26" s="686">
        <v>0</v>
      </c>
      <c r="T26" s="685">
        <v>0</v>
      </c>
      <c r="U26" s="686">
        <v>0</v>
      </c>
      <c r="V26" s="722">
        <v>0</v>
      </c>
    </row>
    <row r="27" spans="1:22" s="875" customFormat="1" ht="77.5" hidden="1" x14ac:dyDescent="0.35">
      <c r="A27" s="680" t="s">
        <v>880</v>
      </c>
      <c r="B27" s="718">
        <v>45412</v>
      </c>
      <c r="C27" s="681" t="s">
        <v>3130</v>
      </c>
      <c r="D27" s="679" t="s">
        <v>413</v>
      </c>
      <c r="E27" s="682" t="s">
        <v>3131</v>
      </c>
      <c r="F27" s="682"/>
      <c r="G27" s="682"/>
      <c r="H27" s="779"/>
      <c r="I27" s="825" t="s">
        <v>3132</v>
      </c>
      <c r="J27" s="683"/>
      <c r="K27" s="683"/>
      <c r="L27" s="684" t="s">
        <v>3133</v>
      </c>
      <c r="M27" s="748">
        <v>67</v>
      </c>
      <c r="N27" s="686">
        <v>71</v>
      </c>
      <c r="O27" s="686">
        <v>14</v>
      </c>
      <c r="P27" s="685">
        <f>O27/N27</f>
        <v>0.19718309859154928</v>
      </c>
      <c r="Q27" s="686">
        <v>0</v>
      </c>
      <c r="R27" s="685">
        <v>0</v>
      </c>
      <c r="S27" s="686">
        <v>0</v>
      </c>
      <c r="T27" s="685">
        <v>0</v>
      </c>
      <c r="U27" s="686">
        <v>2</v>
      </c>
      <c r="V27" s="722">
        <f>U27/N27</f>
        <v>2.8169014084507043E-2</v>
      </c>
    </row>
    <row r="28" spans="1:22" s="875" customFormat="1" ht="62" hidden="1" x14ac:dyDescent="0.35">
      <c r="A28" s="680" t="s">
        <v>880</v>
      </c>
      <c r="B28" s="718">
        <v>45412</v>
      </c>
      <c r="C28" s="681" t="s">
        <v>3072</v>
      </c>
      <c r="D28" s="679" t="s">
        <v>413</v>
      </c>
      <c r="E28" s="682" t="s">
        <v>3134</v>
      </c>
      <c r="F28" s="682"/>
      <c r="G28" s="682"/>
      <c r="H28" s="779"/>
      <c r="I28" s="825" t="s">
        <v>3135</v>
      </c>
      <c r="J28" s="683"/>
      <c r="K28" s="683"/>
      <c r="L28" s="684" t="s">
        <v>3133</v>
      </c>
      <c r="M28" s="748">
        <v>56</v>
      </c>
      <c r="N28" s="686">
        <v>236</v>
      </c>
      <c r="O28" s="686">
        <v>36</v>
      </c>
      <c r="P28" s="685">
        <f>O28/N28</f>
        <v>0.15254237288135594</v>
      </c>
      <c r="Q28" s="686">
        <v>3</v>
      </c>
      <c r="R28" s="685">
        <f>Q28/N28</f>
        <v>1.2711864406779662E-2</v>
      </c>
      <c r="S28" s="686">
        <v>5</v>
      </c>
      <c r="T28" s="685">
        <f>S28/N28</f>
        <v>2.1186440677966101E-2</v>
      </c>
      <c r="U28" s="686">
        <v>0</v>
      </c>
      <c r="V28" s="722">
        <v>0</v>
      </c>
    </row>
    <row r="29" spans="1:22" s="923" customFormat="1" ht="43.9" hidden="1" customHeight="1" x14ac:dyDescent="0.35">
      <c r="A29" s="702" t="s">
        <v>885</v>
      </c>
      <c r="B29" s="884"/>
      <c r="C29" s="884"/>
      <c r="D29" s="884"/>
      <c r="E29" s="701" t="s">
        <v>2073</v>
      </c>
      <c r="F29" s="703"/>
      <c r="G29" s="703"/>
      <c r="H29" s="831"/>
      <c r="I29" s="831"/>
      <c r="J29" s="703"/>
      <c r="K29" s="703"/>
      <c r="L29" s="701"/>
      <c r="M29" s="776"/>
      <c r="N29" s="704"/>
      <c r="O29" s="704"/>
      <c r="P29" s="705"/>
      <c r="Q29" s="704"/>
      <c r="R29" s="705"/>
      <c r="S29" s="704"/>
      <c r="T29" s="705"/>
      <c r="U29" s="704"/>
      <c r="V29" s="777"/>
    </row>
    <row r="30" spans="1:22" s="875" customFormat="1" ht="57.75" hidden="1" customHeight="1" x14ac:dyDescent="0.35">
      <c r="A30" s="680" t="s">
        <v>885</v>
      </c>
      <c r="B30" s="718">
        <v>45419</v>
      </c>
      <c r="C30" s="681" t="s">
        <v>905</v>
      </c>
      <c r="D30" s="679" t="s">
        <v>413</v>
      </c>
      <c r="E30" s="682" t="s">
        <v>3136</v>
      </c>
      <c r="F30" s="682" t="s">
        <v>3127</v>
      </c>
      <c r="G30" s="682"/>
      <c r="H30" s="779"/>
      <c r="I30" s="779"/>
      <c r="J30" s="682"/>
      <c r="K30" s="682"/>
      <c r="L30" s="684" t="s">
        <v>3133</v>
      </c>
      <c r="M30" s="748">
        <v>56</v>
      </c>
      <c r="N30" s="686">
        <v>86</v>
      </c>
      <c r="O30" s="686">
        <v>4</v>
      </c>
      <c r="P30" s="685">
        <f t="shared" ref="P30:P36" si="3">O30/N30</f>
        <v>4.6511627906976744E-2</v>
      </c>
      <c r="Q30" s="686">
        <v>1</v>
      </c>
      <c r="R30" s="685">
        <f>Q30/N30</f>
        <v>1.1627906976744186E-2</v>
      </c>
      <c r="S30" s="686">
        <v>0</v>
      </c>
      <c r="T30" s="685">
        <v>0</v>
      </c>
      <c r="U30" s="686">
        <v>0</v>
      </c>
      <c r="V30" s="722">
        <v>0</v>
      </c>
    </row>
    <row r="31" spans="1:22" s="875" customFormat="1" ht="43.9" hidden="1" customHeight="1" x14ac:dyDescent="0.35">
      <c r="A31" s="680" t="s">
        <v>885</v>
      </c>
      <c r="B31" s="718">
        <v>45419</v>
      </c>
      <c r="C31" s="681" t="s">
        <v>3130</v>
      </c>
      <c r="D31" s="679" t="s">
        <v>413</v>
      </c>
      <c r="E31" s="682" t="s">
        <v>3137</v>
      </c>
      <c r="F31" s="682"/>
      <c r="G31" s="682"/>
      <c r="H31" s="779"/>
      <c r="I31" s="779"/>
      <c r="J31" s="682"/>
      <c r="K31" s="682"/>
      <c r="L31" s="684" t="s">
        <v>3133</v>
      </c>
      <c r="M31" s="748">
        <v>56</v>
      </c>
      <c r="N31" s="686">
        <v>55</v>
      </c>
      <c r="O31" s="686">
        <v>3</v>
      </c>
      <c r="P31" s="685">
        <f t="shared" si="3"/>
        <v>5.4545454545454543E-2</v>
      </c>
      <c r="Q31" s="686">
        <v>0</v>
      </c>
      <c r="R31" s="685">
        <v>0</v>
      </c>
      <c r="S31" s="686">
        <v>0</v>
      </c>
      <c r="T31" s="685">
        <v>0</v>
      </c>
      <c r="U31" s="686">
        <v>1</v>
      </c>
      <c r="V31" s="722">
        <f>U31/N31</f>
        <v>1.8181818181818181E-2</v>
      </c>
    </row>
    <row r="32" spans="1:22" s="875" customFormat="1" ht="43.9" hidden="1" customHeight="1" x14ac:dyDescent="0.35">
      <c r="A32" s="680" t="s">
        <v>885</v>
      </c>
      <c r="B32" s="718">
        <v>45419</v>
      </c>
      <c r="C32" s="681" t="s">
        <v>3072</v>
      </c>
      <c r="D32" s="679" t="s">
        <v>413</v>
      </c>
      <c r="E32" s="682" t="s">
        <v>3138</v>
      </c>
      <c r="F32" s="682"/>
      <c r="G32" s="682"/>
      <c r="H32" s="779"/>
      <c r="I32" s="779"/>
      <c r="J32" s="682"/>
      <c r="K32" s="682"/>
      <c r="L32" s="684" t="s">
        <v>3133</v>
      </c>
      <c r="M32" s="748">
        <v>56</v>
      </c>
      <c r="N32" s="686">
        <v>200</v>
      </c>
      <c r="O32" s="686">
        <v>13</v>
      </c>
      <c r="P32" s="685">
        <f t="shared" si="3"/>
        <v>6.5000000000000002E-2</v>
      </c>
      <c r="Q32" s="686">
        <v>2</v>
      </c>
      <c r="R32" s="685">
        <f>Q32/N32</f>
        <v>0.01</v>
      </c>
      <c r="S32" s="686">
        <v>1</v>
      </c>
      <c r="T32" s="685">
        <f>S32/N32</f>
        <v>5.0000000000000001E-3</v>
      </c>
      <c r="U32" s="686">
        <v>0</v>
      </c>
      <c r="V32" s="722">
        <v>0</v>
      </c>
    </row>
    <row r="33" spans="1:22" s="875" customFormat="1" ht="43.9" hidden="1" customHeight="1" x14ac:dyDescent="0.35">
      <c r="A33" s="680" t="s">
        <v>895</v>
      </c>
      <c r="B33" s="718">
        <v>45426</v>
      </c>
      <c r="C33" s="681" t="s">
        <v>86</v>
      </c>
      <c r="D33" s="679" t="s">
        <v>413</v>
      </c>
      <c r="E33" s="682" t="s">
        <v>3139</v>
      </c>
      <c r="F33" s="682" t="s">
        <v>3140</v>
      </c>
      <c r="G33" s="682"/>
      <c r="H33" s="779"/>
      <c r="I33" s="779"/>
      <c r="J33" s="682"/>
      <c r="K33" s="682"/>
      <c r="L33" s="684" t="s">
        <v>3141</v>
      </c>
      <c r="M33" s="748">
        <v>46</v>
      </c>
      <c r="N33" s="686">
        <v>1807</v>
      </c>
      <c r="O33" s="686">
        <v>191</v>
      </c>
      <c r="P33" s="685">
        <f t="shared" si="3"/>
        <v>0.10570005534034312</v>
      </c>
      <c r="Q33" s="686">
        <v>5</v>
      </c>
      <c r="R33" s="685">
        <f>Q33/N33</f>
        <v>2.7670171555063639E-3</v>
      </c>
      <c r="S33" s="686">
        <v>12</v>
      </c>
      <c r="T33" s="685">
        <f>S33/N33</f>
        <v>6.6408411732152743E-3</v>
      </c>
      <c r="U33" s="686">
        <v>24</v>
      </c>
      <c r="V33" s="722">
        <f>U33/N33</f>
        <v>1.3281682346430549E-2</v>
      </c>
    </row>
    <row r="34" spans="1:22" s="875" customFormat="1" ht="56.25" hidden="1" customHeight="1" x14ac:dyDescent="0.35">
      <c r="A34" s="680" t="s">
        <v>903</v>
      </c>
      <c r="B34" s="718">
        <v>45433</v>
      </c>
      <c r="C34" s="681" t="s">
        <v>905</v>
      </c>
      <c r="D34" s="679" t="s">
        <v>413</v>
      </c>
      <c r="E34" s="682" t="s">
        <v>3142</v>
      </c>
      <c r="F34" s="682"/>
      <c r="G34" s="682"/>
      <c r="H34" s="779"/>
      <c r="I34" s="779"/>
      <c r="J34" s="682"/>
      <c r="K34" s="682"/>
      <c r="L34" s="684" t="s">
        <v>3143</v>
      </c>
      <c r="M34" s="748">
        <v>94</v>
      </c>
      <c r="N34" s="686">
        <v>843</v>
      </c>
      <c r="O34" s="686">
        <v>84</v>
      </c>
      <c r="P34" s="685">
        <f t="shared" si="3"/>
        <v>9.9644128113879002E-2</v>
      </c>
      <c r="Q34" s="686">
        <v>1</v>
      </c>
      <c r="R34" s="685">
        <f>Q34/N34</f>
        <v>1.1862396204033216E-3</v>
      </c>
      <c r="S34" s="686">
        <v>1</v>
      </c>
      <c r="T34" s="685">
        <f>S34/N34</f>
        <v>1.1862396204033216E-3</v>
      </c>
      <c r="U34" s="686">
        <v>0</v>
      </c>
      <c r="V34" s="722">
        <f>U34/N34</f>
        <v>0</v>
      </c>
    </row>
    <row r="35" spans="1:22" s="875" customFormat="1" ht="43.9" hidden="1" customHeight="1" x14ac:dyDescent="0.35">
      <c r="A35" s="680" t="s">
        <v>903</v>
      </c>
      <c r="B35" s="718">
        <v>45433</v>
      </c>
      <c r="C35" s="681" t="s">
        <v>3130</v>
      </c>
      <c r="D35" s="679" t="s">
        <v>413</v>
      </c>
      <c r="E35" s="682" t="s">
        <v>3131</v>
      </c>
      <c r="F35" s="682"/>
      <c r="G35" s="682"/>
      <c r="H35" s="779"/>
      <c r="I35" s="779"/>
      <c r="J35" s="682"/>
      <c r="K35" s="682"/>
      <c r="L35" s="684" t="s">
        <v>3143</v>
      </c>
      <c r="M35" s="748">
        <v>94</v>
      </c>
      <c r="N35" s="686">
        <v>44</v>
      </c>
      <c r="O35" s="686">
        <v>11</v>
      </c>
      <c r="P35" s="685">
        <f t="shared" si="3"/>
        <v>0.25</v>
      </c>
      <c r="Q35" s="686">
        <v>0</v>
      </c>
      <c r="R35" s="685">
        <v>0</v>
      </c>
      <c r="S35" s="686">
        <v>1</v>
      </c>
      <c r="T35" s="685">
        <f>S35/N35</f>
        <v>2.2727272727272728E-2</v>
      </c>
      <c r="U35" s="686">
        <v>0</v>
      </c>
      <c r="V35" s="722">
        <v>0</v>
      </c>
    </row>
    <row r="36" spans="1:22" s="875" customFormat="1" ht="43.9" hidden="1" customHeight="1" x14ac:dyDescent="0.35">
      <c r="A36" s="680" t="s">
        <v>903</v>
      </c>
      <c r="B36" s="718">
        <v>45433</v>
      </c>
      <c r="C36" s="681" t="s">
        <v>3072</v>
      </c>
      <c r="D36" s="679" t="s">
        <v>413</v>
      </c>
      <c r="E36" s="682" t="s">
        <v>3134</v>
      </c>
      <c r="F36" s="682"/>
      <c r="G36" s="682"/>
      <c r="H36" s="779"/>
      <c r="I36" s="779"/>
      <c r="J36" s="682"/>
      <c r="K36" s="682"/>
      <c r="L36" s="684" t="s">
        <v>3143</v>
      </c>
      <c r="M36" s="748">
        <v>94</v>
      </c>
      <c r="N36" s="686">
        <v>239</v>
      </c>
      <c r="O36" s="686">
        <v>39</v>
      </c>
      <c r="P36" s="685">
        <f t="shared" si="3"/>
        <v>0.16317991631799164</v>
      </c>
      <c r="Q36" s="686">
        <v>0</v>
      </c>
      <c r="R36" s="685">
        <v>0</v>
      </c>
      <c r="S36" s="686">
        <v>1</v>
      </c>
      <c r="T36" s="685">
        <f>S36/N36</f>
        <v>4.1841004184100415E-3</v>
      </c>
      <c r="U36" s="686">
        <v>0</v>
      </c>
      <c r="V36" s="722">
        <f>U36/N36</f>
        <v>0</v>
      </c>
    </row>
    <row r="37" spans="1:22" s="875" customFormat="1" ht="43.9" hidden="1" customHeight="1" x14ac:dyDescent="0.35">
      <c r="A37" s="706" t="s">
        <v>911</v>
      </c>
      <c r="B37" s="866" t="s">
        <v>912</v>
      </c>
      <c r="C37" s="866"/>
      <c r="D37" s="866"/>
      <c r="E37" s="866"/>
      <c r="F37" s="866"/>
      <c r="G37" s="866"/>
      <c r="H37" s="924"/>
      <c r="I37" s="832"/>
      <c r="J37" s="708"/>
      <c r="K37" s="708"/>
      <c r="L37" s="708"/>
      <c r="M37" s="742"/>
      <c r="N37" s="710"/>
      <c r="O37" s="710"/>
      <c r="P37" s="709"/>
      <c r="Q37" s="710"/>
      <c r="R37" s="709"/>
      <c r="S37" s="710"/>
      <c r="T37" s="709"/>
      <c r="U37" s="710"/>
      <c r="V37" s="778"/>
    </row>
    <row r="38" spans="1:22" s="875" customFormat="1" ht="43.9" hidden="1" customHeight="1" x14ac:dyDescent="0.35">
      <c r="A38" s="680" t="s">
        <v>911</v>
      </c>
      <c r="B38" s="718">
        <v>45442</v>
      </c>
      <c r="C38" s="681" t="s">
        <v>2110</v>
      </c>
      <c r="D38" s="679" t="s">
        <v>3102</v>
      </c>
      <c r="E38" s="682" t="s">
        <v>3144</v>
      </c>
      <c r="F38" s="682"/>
      <c r="G38" s="682"/>
      <c r="H38" s="779"/>
      <c r="I38" s="779"/>
      <c r="J38" s="682"/>
      <c r="K38" s="682"/>
      <c r="L38" s="684" t="s">
        <v>3145</v>
      </c>
      <c r="M38" s="748">
        <v>91</v>
      </c>
      <c r="N38" s="726">
        <v>45</v>
      </c>
      <c r="O38" s="726">
        <v>18</v>
      </c>
      <c r="P38" s="685">
        <f>O38/N38</f>
        <v>0.4</v>
      </c>
      <c r="Q38" s="686">
        <v>6</v>
      </c>
      <c r="R38" s="711">
        <f>Q38/N38</f>
        <v>0.13333333333333333</v>
      </c>
      <c r="S38" s="726">
        <v>0</v>
      </c>
      <c r="T38" s="685">
        <v>0</v>
      </c>
      <c r="U38" s="686">
        <v>0</v>
      </c>
      <c r="V38" s="780">
        <v>0</v>
      </c>
    </row>
    <row r="39" spans="1:22" s="873" customFormat="1" ht="45.75" hidden="1" customHeight="1" x14ac:dyDescent="0.35">
      <c r="A39" s="680" t="s">
        <v>917</v>
      </c>
      <c r="B39" s="718">
        <v>45448</v>
      </c>
      <c r="C39" s="681" t="s">
        <v>86</v>
      </c>
      <c r="D39" s="679" t="s">
        <v>413</v>
      </c>
      <c r="E39" s="682" t="s">
        <v>3146</v>
      </c>
      <c r="F39" s="682"/>
      <c r="G39" s="682"/>
      <c r="H39" s="779"/>
      <c r="I39" s="833"/>
      <c r="J39" s="712"/>
      <c r="K39" s="712"/>
      <c r="L39" s="684" t="s">
        <v>2586</v>
      </c>
      <c r="M39" s="748">
        <v>73</v>
      </c>
      <c r="N39" s="686">
        <v>278</v>
      </c>
      <c r="O39" s="686">
        <v>47</v>
      </c>
      <c r="P39" s="685">
        <f>O39/N39</f>
        <v>0.16906474820143885</v>
      </c>
      <c r="Q39" s="686">
        <v>2</v>
      </c>
      <c r="R39" s="685">
        <f>Q39/N39</f>
        <v>7.1942446043165471E-3</v>
      </c>
      <c r="S39" s="686">
        <v>1</v>
      </c>
      <c r="T39" s="685">
        <f>S39/N39</f>
        <v>3.5971223021582736E-3</v>
      </c>
      <c r="U39" s="686">
        <v>22</v>
      </c>
      <c r="V39" s="722">
        <f>U39/N39</f>
        <v>7.9136690647482008E-2</v>
      </c>
    </row>
    <row r="40" spans="1:22" s="873" customFormat="1" ht="45.75" hidden="1" customHeight="1" x14ac:dyDescent="0.35">
      <c r="A40" s="680" t="s">
        <v>917</v>
      </c>
      <c r="B40" s="718">
        <v>45448</v>
      </c>
      <c r="C40" s="681" t="s">
        <v>3147</v>
      </c>
      <c r="D40" s="679" t="s">
        <v>413</v>
      </c>
      <c r="E40" s="682" t="s">
        <v>3148</v>
      </c>
      <c r="F40" s="682"/>
      <c r="G40" s="682"/>
      <c r="H40" s="779"/>
      <c r="I40" s="833"/>
      <c r="J40" s="712"/>
      <c r="K40" s="712"/>
      <c r="L40" s="684" t="s">
        <v>2586</v>
      </c>
      <c r="M40" s="748">
        <v>73</v>
      </c>
      <c r="N40" s="686">
        <v>126</v>
      </c>
      <c r="O40" s="686">
        <v>20</v>
      </c>
      <c r="P40" s="685">
        <f>O40/N40</f>
        <v>0.15873015873015872</v>
      </c>
      <c r="Q40" s="686">
        <v>2</v>
      </c>
      <c r="R40" s="685">
        <f>Q40/N40</f>
        <v>1.5873015873015872E-2</v>
      </c>
      <c r="S40" s="686">
        <v>0</v>
      </c>
      <c r="T40" s="685">
        <v>0</v>
      </c>
      <c r="U40" s="686">
        <v>2</v>
      </c>
      <c r="V40" s="722">
        <f>U40/N40</f>
        <v>1.5873015873015872E-2</v>
      </c>
    </row>
    <row r="41" spans="1:22" s="925" customFormat="1" ht="45.75" hidden="1" customHeight="1" x14ac:dyDescent="0.35">
      <c r="A41" s="680" t="s">
        <v>921</v>
      </c>
      <c r="B41" s="718">
        <v>45455</v>
      </c>
      <c r="C41" s="681" t="s">
        <v>3149</v>
      </c>
      <c r="D41" s="679" t="s">
        <v>413</v>
      </c>
      <c r="E41" s="682" t="s">
        <v>3150</v>
      </c>
      <c r="F41" s="682"/>
      <c r="G41" s="682"/>
      <c r="H41" s="779"/>
      <c r="I41" s="833"/>
      <c r="J41" s="712"/>
      <c r="K41" s="712"/>
      <c r="L41" s="684" t="s">
        <v>3151</v>
      </c>
      <c r="M41" s="748">
        <v>101</v>
      </c>
      <c r="N41" s="686">
        <v>209</v>
      </c>
      <c r="O41" s="686">
        <v>10</v>
      </c>
      <c r="P41" s="685">
        <f>O41/N41</f>
        <v>4.784688995215311E-2</v>
      </c>
      <c r="Q41" s="686">
        <v>0</v>
      </c>
      <c r="R41" s="685">
        <v>0</v>
      </c>
      <c r="S41" s="686">
        <v>1</v>
      </c>
      <c r="T41" s="685">
        <f>S41/N41</f>
        <v>4.7846889952153108E-3</v>
      </c>
      <c r="U41" s="686">
        <v>0</v>
      </c>
      <c r="V41" s="722">
        <v>0</v>
      </c>
    </row>
    <row r="42" spans="1:22" s="925" customFormat="1" ht="45.75" hidden="1" customHeight="1" x14ac:dyDescent="0.35">
      <c r="A42" s="680" t="s">
        <v>921</v>
      </c>
      <c r="B42" s="718">
        <v>45455</v>
      </c>
      <c r="C42" s="681" t="s">
        <v>3149</v>
      </c>
      <c r="D42" s="679" t="s">
        <v>413</v>
      </c>
      <c r="E42" s="682" t="s">
        <v>3152</v>
      </c>
      <c r="F42" s="682"/>
      <c r="G42" s="682"/>
      <c r="H42" s="779"/>
      <c r="I42" s="833"/>
      <c r="J42" s="712"/>
      <c r="K42" s="712"/>
      <c r="L42" s="684" t="s">
        <v>3151</v>
      </c>
      <c r="M42" s="748">
        <v>101</v>
      </c>
      <c r="N42" s="686">
        <v>102</v>
      </c>
      <c r="O42" s="686">
        <v>5</v>
      </c>
      <c r="P42" s="685">
        <f>O42/N42</f>
        <v>4.9019607843137254E-2</v>
      </c>
      <c r="Q42" s="686">
        <v>1</v>
      </c>
      <c r="R42" s="685">
        <f>Q42/N42</f>
        <v>9.8039215686274508E-3</v>
      </c>
      <c r="S42" s="686">
        <v>0</v>
      </c>
      <c r="T42" s="685">
        <v>0</v>
      </c>
      <c r="U42" s="686">
        <v>0</v>
      </c>
      <c r="V42" s="722">
        <v>0</v>
      </c>
    </row>
    <row r="43" spans="1:22" s="873" customFormat="1" ht="45.75" hidden="1" customHeight="1" x14ac:dyDescent="0.35">
      <c r="A43" s="697" t="s">
        <v>934</v>
      </c>
      <c r="B43" s="865" t="s">
        <v>3153</v>
      </c>
      <c r="C43" s="755"/>
      <c r="D43" s="755"/>
      <c r="E43" s="755"/>
      <c r="F43" s="755"/>
      <c r="G43" s="755"/>
      <c r="H43" s="918"/>
      <c r="I43" s="834"/>
      <c r="J43" s="781"/>
      <c r="K43" s="781"/>
      <c r="L43" s="698"/>
      <c r="M43" s="752"/>
      <c r="N43" s="700"/>
      <c r="O43" s="700"/>
      <c r="P43" s="699"/>
      <c r="Q43" s="700"/>
      <c r="R43" s="699"/>
      <c r="S43" s="700"/>
      <c r="T43" s="699"/>
      <c r="U43" s="700"/>
      <c r="V43" s="753"/>
    </row>
    <row r="44" spans="1:22" s="873" customFormat="1" ht="45.75" hidden="1" customHeight="1" x14ac:dyDescent="0.35">
      <c r="A44" s="697" t="s">
        <v>934</v>
      </c>
      <c r="B44" s="865" t="s">
        <v>3154</v>
      </c>
      <c r="C44" s="755"/>
      <c r="D44" s="755"/>
      <c r="E44" s="755"/>
      <c r="F44" s="755"/>
      <c r="G44" s="755"/>
      <c r="H44" s="918"/>
      <c r="I44" s="834"/>
      <c r="J44" s="781"/>
      <c r="K44" s="781"/>
      <c r="L44" s="698"/>
      <c r="M44" s="782"/>
      <c r="N44" s="700"/>
      <c r="O44" s="700"/>
      <c r="P44" s="699"/>
      <c r="Q44" s="700"/>
      <c r="R44" s="699"/>
      <c r="S44" s="700"/>
      <c r="T44" s="699"/>
      <c r="U44" s="700"/>
      <c r="V44" s="753"/>
    </row>
    <row r="45" spans="1:22" s="873" customFormat="1" ht="45.75" hidden="1" customHeight="1" x14ac:dyDescent="0.35">
      <c r="A45" s="680" t="s">
        <v>940</v>
      </c>
      <c r="B45" s="718">
        <v>45468</v>
      </c>
      <c r="C45" s="681" t="s">
        <v>86</v>
      </c>
      <c r="D45" s="679" t="s">
        <v>2033</v>
      </c>
      <c r="E45" s="682" t="s">
        <v>3155</v>
      </c>
      <c r="F45" s="682" t="s">
        <v>3156</v>
      </c>
      <c r="G45" s="682"/>
      <c r="H45" s="779"/>
      <c r="I45" s="779"/>
      <c r="J45" s="682"/>
      <c r="K45" s="682"/>
      <c r="L45" s="684" t="s">
        <v>942</v>
      </c>
      <c r="M45" s="726">
        <v>34</v>
      </c>
      <c r="N45" s="686">
        <v>307</v>
      </c>
      <c r="O45" s="686">
        <v>28</v>
      </c>
      <c r="P45" s="685">
        <f>O45/N45</f>
        <v>9.1205211726384364E-2</v>
      </c>
      <c r="Q45" s="686">
        <v>2</v>
      </c>
      <c r="R45" s="685">
        <f>Q45/N45</f>
        <v>6.5146579804560263E-3</v>
      </c>
      <c r="S45" s="686">
        <v>1</v>
      </c>
      <c r="T45" s="685">
        <f>S45/N45</f>
        <v>3.2573289902280132E-3</v>
      </c>
      <c r="U45" s="686">
        <v>0</v>
      </c>
      <c r="V45" s="722">
        <v>0</v>
      </c>
    </row>
    <row r="46" spans="1:22" s="873" customFormat="1" ht="45.75" hidden="1" customHeight="1" x14ac:dyDescent="0.35">
      <c r="A46" s="713" t="s">
        <v>946</v>
      </c>
      <c r="B46" s="747" t="s">
        <v>702</v>
      </c>
      <c r="C46" s="747"/>
      <c r="D46" s="747"/>
      <c r="E46" s="747"/>
      <c r="F46" s="747"/>
      <c r="G46" s="747"/>
      <c r="H46" s="926"/>
      <c r="I46" s="835"/>
      <c r="J46" s="714"/>
      <c r="K46" s="714"/>
      <c r="L46" s="715"/>
      <c r="M46" s="761"/>
      <c r="N46" s="717"/>
      <c r="O46" s="717"/>
      <c r="P46" s="716"/>
      <c r="Q46" s="717"/>
      <c r="R46" s="716"/>
      <c r="S46" s="717"/>
      <c r="T46" s="716"/>
      <c r="U46" s="717"/>
      <c r="V46" s="783"/>
    </row>
    <row r="47" spans="1:22" s="927" customFormat="1" ht="45.75" hidden="1" customHeight="1" x14ac:dyDescent="0.35">
      <c r="A47" s="811" t="s">
        <v>947</v>
      </c>
      <c r="B47" s="784">
        <v>45483</v>
      </c>
      <c r="C47" s="784" t="s">
        <v>86</v>
      </c>
      <c r="D47" s="785" t="s">
        <v>2033</v>
      </c>
      <c r="E47" s="786" t="s">
        <v>3157</v>
      </c>
      <c r="F47" s="786" t="s">
        <v>3158</v>
      </c>
      <c r="G47" s="786"/>
      <c r="H47" s="836"/>
      <c r="I47" s="836"/>
      <c r="J47" s="786"/>
      <c r="K47" s="786"/>
      <c r="L47" s="689"/>
      <c r="M47" s="733"/>
      <c r="N47" s="787"/>
      <c r="O47" s="787"/>
      <c r="P47" s="788"/>
      <c r="Q47" s="787"/>
      <c r="R47" s="788"/>
      <c r="S47" s="787"/>
      <c r="T47" s="788"/>
      <c r="U47" s="787"/>
      <c r="V47" s="789"/>
    </row>
    <row r="48" spans="1:22" s="927" customFormat="1" ht="45.75" hidden="1" customHeight="1" x14ac:dyDescent="0.35">
      <c r="A48" s="696" t="s">
        <v>704</v>
      </c>
      <c r="B48" s="718">
        <v>45489</v>
      </c>
      <c r="C48" s="718" t="s">
        <v>86</v>
      </c>
      <c r="D48" s="724" t="s">
        <v>413</v>
      </c>
      <c r="E48" s="682" t="s">
        <v>3159</v>
      </c>
      <c r="F48" s="790"/>
      <c r="G48" s="790"/>
      <c r="H48" s="837"/>
      <c r="I48" s="837"/>
      <c r="J48" s="790"/>
      <c r="K48" s="790"/>
      <c r="L48" s="684" t="s">
        <v>2604</v>
      </c>
      <c r="M48" s="748">
        <v>57</v>
      </c>
      <c r="N48" s="686">
        <v>1697</v>
      </c>
      <c r="O48" s="686">
        <v>178</v>
      </c>
      <c r="P48" s="685">
        <f>O48/N48</f>
        <v>0.10489098408956983</v>
      </c>
      <c r="Q48" s="686">
        <v>4</v>
      </c>
      <c r="R48" s="685">
        <f>Q48/N48</f>
        <v>2.3571007660577489E-3</v>
      </c>
      <c r="S48" s="686">
        <v>15</v>
      </c>
      <c r="T48" s="685">
        <f>S48/N48</f>
        <v>8.8391278727165592E-3</v>
      </c>
      <c r="U48" s="686">
        <v>26</v>
      </c>
      <c r="V48" s="722">
        <f>U48/N48</f>
        <v>1.5321154979375369E-2</v>
      </c>
    </row>
    <row r="49" spans="1:22" s="927" customFormat="1" ht="45.75" hidden="1" customHeight="1" x14ac:dyDescent="0.35">
      <c r="A49" s="696" t="s">
        <v>704</v>
      </c>
      <c r="B49" s="718">
        <v>45492</v>
      </c>
      <c r="C49" s="718" t="s">
        <v>2110</v>
      </c>
      <c r="D49" s="724" t="s">
        <v>3102</v>
      </c>
      <c r="E49" s="682" t="s">
        <v>3160</v>
      </c>
      <c r="F49" s="790"/>
      <c r="G49" s="790"/>
      <c r="H49" s="837"/>
      <c r="I49" s="837"/>
      <c r="J49" s="790"/>
      <c r="K49" s="790"/>
      <c r="L49" s="684" t="s">
        <v>970</v>
      </c>
      <c r="M49" s="748">
        <v>30</v>
      </c>
      <c r="N49" s="686">
        <v>51</v>
      </c>
      <c r="O49" s="686">
        <v>22</v>
      </c>
      <c r="P49" s="685">
        <f>O49/N49</f>
        <v>0.43137254901960786</v>
      </c>
      <c r="Q49" s="686">
        <v>4</v>
      </c>
      <c r="R49" s="685">
        <f>Q49/N49</f>
        <v>7.8431372549019607E-2</v>
      </c>
      <c r="S49" s="686">
        <v>0</v>
      </c>
      <c r="T49" s="685">
        <v>0</v>
      </c>
      <c r="U49" s="686">
        <v>0</v>
      </c>
      <c r="V49" s="722">
        <v>0</v>
      </c>
    </row>
    <row r="50" spans="1:22" s="927" customFormat="1" ht="45.75" hidden="1" customHeight="1" x14ac:dyDescent="0.35">
      <c r="A50" s="811" t="s">
        <v>971</v>
      </c>
      <c r="B50" s="784"/>
      <c r="C50" s="784"/>
      <c r="D50" s="791"/>
      <c r="E50" s="786"/>
      <c r="F50" s="786"/>
      <c r="G50" s="786"/>
      <c r="H50" s="836"/>
      <c r="I50" s="836"/>
      <c r="J50" s="786"/>
      <c r="K50" s="786"/>
      <c r="L50" s="689"/>
      <c r="M50" s="733"/>
      <c r="N50" s="787"/>
      <c r="O50" s="787"/>
      <c r="P50" s="788"/>
      <c r="Q50" s="787"/>
      <c r="R50" s="788"/>
      <c r="S50" s="787"/>
      <c r="T50" s="788"/>
      <c r="U50" s="787"/>
      <c r="V50" s="789"/>
    </row>
    <row r="51" spans="1:22" s="921" customFormat="1" ht="61.5" hidden="1" customHeight="1" x14ac:dyDescent="0.35">
      <c r="A51" s="696" t="s">
        <v>977</v>
      </c>
      <c r="B51" s="718">
        <v>45503</v>
      </c>
      <c r="C51" s="681" t="s">
        <v>3161</v>
      </c>
      <c r="D51" s="724" t="s">
        <v>413</v>
      </c>
      <c r="E51" s="682" t="s">
        <v>3162</v>
      </c>
      <c r="F51" s="682"/>
      <c r="G51" s="682"/>
      <c r="H51" s="779"/>
      <c r="I51" s="779"/>
      <c r="J51" s="682"/>
      <c r="K51" s="682"/>
      <c r="L51" s="684" t="s">
        <v>2613</v>
      </c>
      <c r="M51" s="748">
        <v>62</v>
      </c>
      <c r="N51" s="686">
        <v>225</v>
      </c>
      <c r="O51" s="686">
        <v>30</v>
      </c>
      <c r="P51" s="685">
        <f>O51/N51</f>
        <v>0.13333333333333333</v>
      </c>
      <c r="Q51" s="686">
        <v>4</v>
      </c>
      <c r="R51" s="685">
        <f>Q51/N51</f>
        <v>1.7777777777777778E-2</v>
      </c>
      <c r="S51" s="686">
        <v>0</v>
      </c>
      <c r="T51" s="685">
        <v>0</v>
      </c>
      <c r="U51" s="686">
        <v>2</v>
      </c>
      <c r="V51" s="722">
        <f>U51/N51</f>
        <v>8.8888888888888889E-3</v>
      </c>
    </row>
    <row r="52" spans="1:22" s="921" customFormat="1" ht="61.5" hidden="1" customHeight="1" x14ac:dyDescent="0.35">
      <c r="A52" s="696" t="s">
        <v>977</v>
      </c>
      <c r="B52" s="718">
        <v>45503</v>
      </c>
      <c r="C52" s="681" t="s">
        <v>2110</v>
      </c>
      <c r="D52" s="724" t="s">
        <v>413</v>
      </c>
      <c r="E52" s="682" t="s">
        <v>3163</v>
      </c>
      <c r="F52" s="682" t="s">
        <v>3164</v>
      </c>
      <c r="G52" s="682"/>
      <c r="H52" s="779"/>
      <c r="I52" s="779"/>
      <c r="J52" s="682"/>
      <c r="K52" s="682"/>
      <c r="L52" s="684" t="s">
        <v>2613</v>
      </c>
      <c r="M52" s="748">
        <v>62</v>
      </c>
      <c r="N52" s="686">
        <v>117</v>
      </c>
      <c r="O52" s="686">
        <v>23</v>
      </c>
      <c r="P52" s="685">
        <f>O52/N52</f>
        <v>0.19658119658119658</v>
      </c>
      <c r="Q52" s="686">
        <v>5</v>
      </c>
      <c r="R52" s="685">
        <f>Q52/N52</f>
        <v>4.2735042735042736E-2</v>
      </c>
      <c r="S52" s="686">
        <v>0</v>
      </c>
      <c r="T52" s="685">
        <v>0</v>
      </c>
      <c r="U52" s="686">
        <v>2</v>
      </c>
      <c r="V52" s="722">
        <f>U52/N52</f>
        <v>1.7094017094017096E-2</v>
      </c>
    </row>
    <row r="53" spans="1:22" s="921" customFormat="1" ht="61.5" hidden="1" customHeight="1" x14ac:dyDescent="0.35">
      <c r="A53" s="696" t="s">
        <v>987</v>
      </c>
      <c r="B53" s="718">
        <v>45510</v>
      </c>
      <c r="C53" s="681" t="s">
        <v>2127</v>
      </c>
      <c r="D53" s="724" t="s">
        <v>413</v>
      </c>
      <c r="E53" s="682" t="s">
        <v>3165</v>
      </c>
      <c r="F53" s="682"/>
      <c r="G53" s="682"/>
      <c r="H53" s="779"/>
      <c r="I53" s="779"/>
      <c r="J53" s="682"/>
      <c r="K53" s="682"/>
      <c r="L53" s="684" t="s">
        <v>3166</v>
      </c>
      <c r="M53" s="726">
        <v>64</v>
      </c>
      <c r="N53" s="686">
        <v>140</v>
      </c>
      <c r="O53" s="686">
        <v>20</v>
      </c>
      <c r="P53" s="685">
        <f>O53/N53</f>
        <v>0.14285714285714285</v>
      </c>
      <c r="Q53" s="686">
        <v>2</v>
      </c>
      <c r="R53" s="685">
        <f>Q53/N53</f>
        <v>1.4285714285714285E-2</v>
      </c>
      <c r="S53" s="686">
        <v>1</v>
      </c>
      <c r="T53" s="685">
        <f>S53/N53</f>
        <v>7.1428571428571426E-3</v>
      </c>
      <c r="U53" s="686">
        <v>1</v>
      </c>
      <c r="V53" s="722">
        <f>U53/N53</f>
        <v>7.1428571428571426E-3</v>
      </c>
    </row>
    <row r="54" spans="1:22" s="921" customFormat="1" ht="61.5" hidden="1" customHeight="1" x14ac:dyDescent="0.35">
      <c r="A54" s="696" t="s">
        <v>987</v>
      </c>
      <c r="B54" s="718">
        <v>45510</v>
      </c>
      <c r="C54" s="681" t="s">
        <v>2127</v>
      </c>
      <c r="D54" s="724" t="s">
        <v>413</v>
      </c>
      <c r="E54" s="682" t="s">
        <v>3167</v>
      </c>
      <c r="F54" s="682" t="s">
        <v>3164</v>
      </c>
      <c r="G54" s="682"/>
      <c r="H54" s="779"/>
      <c r="I54" s="779"/>
      <c r="J54" s="682"/>
      <c r="K54" s="682"/>
      <c r="L54" s="684" t="s">
        <v>3166</v>
      </c>
      <c r="M54" s="726">
        <v>64</v>
      </c>
      <c r="N54" s="686">
        <v>83</v>
      </c>
      <c r="O54" s="686">
        <v>8</v>
      </c>
      <c r="P54" s="685">
        <f>O54/N54</f>
        <v>9.6385542168674704E-2</v>
      </c>
      <c r="Q54" s="686">
        <v>0</v>
      </c>
      <c r="R54" s="685">
        <f>Q54/N54</f>
        <v>0</v>
      </c>
      <c r="S54" s="686">
        <v>0</v>
      </c>
      <c r="T54" s="685">
        <v>0</v>
      </c>
      <c r="U54" s="686">
        <v>0</v>
      </c>
      <c r="V54" s="722">
        <v>0</v>
      </c>
    </row>
    <row r="55" spans="1:22" s="921" customFormat="1" ht="61.5" hidden="1" customHeight="1" x14ac:dyDescent="0.35">
      <c r="A55" s="729" t="s">
        <v>987</v>
      </c>
      <c r="B55" s="755" t="s">
        <v>3168</v>
      </c>
      <c r="C55" s="755"/>
      <c r="D55" s="755"/>
      <c r="E55" s="755"/>
      <c r="F55" s="755"/>
      <c r="G55" s="755"/>
      <c r="H55" s="918"/>
      <c r="I55" s="838"/>
      <c r="J55" s="698"/>
      <c r="K55" s="698"/>
      <c r="L55" s="698"/>
      <c r="M55" s="700"/>
      <c r="N55" s="700"/>
      <c r="O55" s="700"/>
      <c r="P55" s="699"/>
      <c r="Q55" s="700"/>
      <c r="R55" s="699"/>
      <c r="S55" s="700"/>
      <c r="T55" s="699"/>
      <c r="U55" s="700"/>
      <c r="V55" s="753"/>
    </row>
    <row r="56" spans="1:22" s="921" customFormat="1" ht="61.5" hidden="1" customHeight="1" x14ac:dyDescent="0.35">
      <c r="A56" s="792" t="s">
        <v>989</v>
      </c>
      <c r="B56" s="793"/>
      <c r="C56" s="793"/>
      <c r="D56" s="793"/>
      <c r="E56" s="688"/>
      <c r="F56" s="688"/>
      <c r="G56" s="688"/>
      <c r="H56" s="826"/>
      <c r="I56" s="826"/>
      <c r="J56" s="688"/>
      <c r="K56" s="688"/>
      <c r="L56" s="689"/>
      <c r="M56" s="733"/>
      <c r="N56" s="691"/>
      <c r="O56" s="691"/>
      <c r="P56" s="690"/>
      <c r="Q56" s="691"/>
      <c r="R56" s="690"/>
      <c r="S56" s="691"/>
      <c r="T56" s="690"/>
      <c r="U56" s="691"/>
      <c r="V56" s="749"/>
    </row>
    <row r="57" spans="1:22" s="921" customFormat="1" ht="61.5" hidden="1" customHeight="1" x14ac:dyDescent="0.35">
      <c r="A57" s="696" t="s">
        <v>991</v>
      </c>
      <c r="B57" s="718">
        <v>45524</v>
      </c>
      <c r="C57" s="718" t="s">
        <v>2124</v>
      </c>
      <c r="D57" s="724" t="s">
        <v>413</v>
      </c>
      <c r="E57" s="682" t="s">
        <v>3169</v>
      </c>
      <c r="F57" s="682"/>
      <c r="G57" s="682"/>
      <c r="H57" s="779"/>
      <c r="I57" s="779"/>
      <c r="J57" s="682"/>
      <c r="K57" s="682"/>
      <c r="L57" s="684" t="s">
        <v>3170</v>
      </c>
      <c r="M57" s="748">
        <v>103</v>
      </c>
      <c r="N57" s="686">
        <v>1124</v>
      </c>
      <c r="O57" s="686">
        <v>119</v>
      </c>
      <c r="P57" s="685">
        <f>O57/N57</f>
        <v>0.10587188612099645</v>
      </c>
      <c r="Q57" s="686">
        <v>5</v>
      </c>
      <c r="R57" s="685">
        <f>Q57/N57</f>
        <v>4.4483985765124559E-3</v>
      </c>
      <c r="S57" s="686">
        <v>4</v>
      </c>
      <c r="T57" s="685">
        <f>S57/N57</f>
        <v>3.5587188612099642E-3</v>
      </c>
      <c r="U57" s="686">
        <v>5</v>
      </c>
      <c r="V57" s="722">
        <f>U57/N57</f>
        <v>4.4483985765124559E-3</v>
      </c>
    </row>
    <row r="58" spans="1:22" s="921" customFormat="1" ht="61.5" hidden="1" customHeight="1" x14ac:dyDescent="0.35">
      <c r="A58" s="696" t="s">
        <v>991</v>
      </c>
      <c r="B58" s="718">
        <v>45524</v>
      </c>
      <c r="C58" s="718" t="s">
        <v>3171</v>
      </c>
      <c r="D58" s="724" t="s">
        <v>413</v>
      </c>
      <c r="E58" s="682" t="s">
        <v>3172</v>
      </c>
      <c r="F58" s="682"/>
      <c r="G58" s="682"/>
      <c r="H58" s="779"/>
      <c r="I58" s="779"/>
      <c r="J58" s="682"/>
      <c r="K58" s="682"/>
      <c r="L58" s="684" t="s">
        <v>3170</v>
      </c>
      <c r="M58" s="748">
        <v>103</v>
      </c>
      <c r="N58" s="686">
        <v>108</v>
      </c>
      <c r="O58" s="686">
        <v>25</v>
      </c>
      <c r="P58" s="685">
        <f>O58/N58</f>
        <v>0.23148148148148148</v>
      </c>
      <c r="Q58" s="686">
        <v>0</v>
      </c>
      <c r="R58" s="685">
        <f>Q58/N58</f>
        <v>0</v>
      </c>
      <c r="S58" s="686">
        <v>0</v>
      </c>
      <c r="T58" s="685">
        <v>0</v>
      </c>
      <c r="U58" s="686">
        <v>0</v>
      </c>
      <c r="V58" s="722">
        <v>0</v>
      </c>
    </row>
    <row r="59" spans="1:22" s="921" customFormat="1" ht="61.5" hidden="1" customHeight="1" x14ac:dyDescent="0.35">
      <c r="A59" s="696" t="s">
        <v>1004</v>
      </c>
      <c r="B59" s="718">
        <v>45531</v>
      </c>
      <c r="C59" s="718" t="s">
        <v>3173</v>
      </c>
      <c r="D59" s="724" t="s">
        <v>413</v>
      </c>
      <c r="E59" s="682" t="s">
        <v>3174</v>
      </c>
      <c r="F59" s="682"/>
      <c r="G59" s="682"/>
      <c r="H59" s="779"/>
      <c r="I59" s="779"/>
      <c r="J59" s="682"/>
      <c r="K59" s="682"/>
      <c r="L59" s="684" t="s">
        <v>3175</v>
      </c>
      <c r="M59" s="748">
        <v>72</v>
      </c>
      <c r="N59" s="686">
        <v>1097</v>
      </c>
      <c r="O59" s="686">
        <v>31</v>
      </c>
      <c r="P59" s="722">
        <f>O59/N59</f>
        <v>2.8258887876025523E-2</v>
      </c>
      <c r="Q59" s="686">
        <v>2</v>
      </c>
      <c r="R59" s="685">
        <f>Q59/N59</f>
        <v>1.8231540565177757E-3</v>
      </c>
      <c r="S59" s="686">
        <v>4</v>
      </c>
      <c r="T59" s="685">
        <f>S59/N59</f>
        <v>3.6463081130355514E-3</v>
      </c>
      <c r="U59" s="686">
        <v>1</v>
      </c>
      <c r="V59" s="685">
        <f>U59/N59</f>
        <v>9.1157702825888785E-4</v>
      </c>
    </row>
    <row r="60" spans="1:22" s="921" customFormat="1" ht="61.5" hidden="1" customHeight="1" x14ac:dyDescent="0.35">
      <c r="A60" s="696" t="s">
        <v>1004</v>
      </c>
      <c r="B60" s="718">
        <v>45531</v>
      </c>
      <c r="C60" s="718" t="s">
        <v>3173</v>
      </c>
      <c r="D60" s="724" t="s">
        <v>413</v>
      </c>
      <c r="E60" s="682" t="s">
        <v>3176</v>
      </c>
      <c r="F60" s="682"/>
      <c r="G60" s="682"/>
      <c r="H60" s="779"/>
      <c r="I60" s="779"/>
      <c r="J60" s="682"/>
      <c r="K60" s="682"/>
      <c r="L60" s="684" t="s">
        <v>3175</v>
      </c>
      <c r="M60" s="748">
        <v>72</v>
      </c>
      <c r="N60" s="686">
        <v>83</v>
      </c>
      <c r="O60" s="686">
        <v>4</v>
      </c>
      <c r="P60" s="685">
        <f>O60/N60</f>
        <v>4.8192771084337352E-2</v>
      </c>
      <c r="Q60" s="686">
        <v>1</v>
      </c>
      <c r="R60" s="685">
        <f>Q60/N60</f>
        <v>1.2048192771084338E-2</v>
      </c>
      <c r="S60" s="686">
        <v>0</v>
      </c>
      <c r="T60" s="685">
        <v>0</v>
      </c>
      <c r="U60" s="686">
        <v>0</v>
      </c>
      <c r="V60" s="722">
        <v>0</v>
      </c>
    </row>
    <row r="61" spans="1:22" s="921" customFormat="1" ht="61.5" hidden="1" customHeight="1" x14ac:dyDescent="0.35">
      <c r="A61" s="696" t="s">
        <v>1004</v>
      </c>
      <c r="B61" s="718">
        <v>45533</v>
      </c>
      <c r="C61" s="718" t="s">
        <v>2110</v>
      </c>
      <c r="D61" s="724" t="s">
        <v>3102</v>
      </c>
      <c r="E61" s="682" t="s">
        <v>1434</v>
      </c>
      <c r="F61" s="682"/>
      <c r="G61" s="682"/>
      <c r="H61" s="779"/>
      <c r="I61" s="779"/>
      <c r="J61" s="682"/>
      <c r="K61" s="682"/>
      <c r="L61" s="684" t="s">
        <v>3177</v>
      </c>
      <c r="M61" s="748">
        <v>55</v>
      </c>
      <c r="N61" s="686">
        <v>50</v>
      </c>
      <c r="O61" s="686">
        <v>18</v>
      </c>
      <c r="P61" s="685">
        <f>O61/N61</f>
        <v>0.36</v>
      </c>
      <c r="Q61" s="686">
        <v>6</v>
      </c>
      <c r="R61" s="685">
        <f>Q61/N61</f>
        <v>0.12</v>
      </c>
      <c r="S61" s="686">
        <v>0</v>
      </c>
      <c r="T61" s="685">
        <v>0</v>
      </c>
      <c r="U61" s="686">
        <v>0</v>
      </c>
      <c r="V61" s="722">
        <v>0</v>
      </c>
    </row>
    <row r="62" spans="1:22" s="921" customFormat="1" ht="46.5" customHeight="1" x14ac:dyDescent="0.35">
      <c r="A62" s="723" t="s">
        <v>705</v>
      </c>
      <c r="B62" s="760" t="s">
        <v>290</v>
      </c>
      <c r="C62" s="760"/>
      <c r="D62" s="760"/>
      <c r="E62" s="760"/>
      <c r="F62" s="760"/>
      <c r="G62" s="760"/>
      <c r="H62" s="928"/>
      <c r="I62" s="839"/>
      <c r="J62" s="678"/>
      <c r="K62" s="678"/>
      <c r="L62" s="707"/>
      <c r="M62" s="742"/>
      <c r="N62" s="710"/>
      <c r="O62" s="710"/>
      <c r="P62" s="709">
        <f>AVERAGE(P1:P61)</f>
        <v>0.14495214172549914</v>
      </c>
      <c r="Q62" s="710"/>
      <c r="R62" s="709">
        <f>AVERAGE(R1:R61)</f>
        <v>1.89830698413452E-2</v>
      </c>
      <c r="S62" s="710"/>
      <c r="T62" s="709">
        <f>AVERAGE(T1:T61)</f>
        <v>3.8950650627822734E-3</v>
      </c>
      <c r="U62" s="710"/>
      <c r="V62" s="778">
        <f>AVERAGE(V1:V61)</f>
        <v>2.1129435810372636E-2</v>
      </c>
    </row>
    <row r="63" spans="1:22" s="921" customFormat="1" ht="46.5" customHeight="1" x14ac:dyDescent="0.35">
      <c r="A63" s="696" t="s">
        <v>1013</v>
      </c>
      <c r="B63" s="885">
        <v>45545</v>
      </c>
      <c r="C63" s="718" t="s">
        <v>2124</v>
      </c>
      <c r="D63" s="724" t="s">
        <v>413</v>
      </c>
      <c r="E63" s="682" t="s">
        <v>3178</v>
      </c>
      <c r="F63" s="728"/>
      <c r="G63" s="728"/>
      <c r="H63" s="794"/>
      <c r="I63" s="794"/>
      <c r="J63" s="728"/>
      <c r="K63" s="728"/>
      <c r="L63" s="728" t="s">
        <v>3179</v>
      </c>
      <c r="M63" s="726">
        <v>90</v>
      </c>
      <c r="N63" s="726">
        <v>1178</v>
      </c>
      <c r="O63" s="726">
        <v>97</v>
      </c>
      <c r="P63" s="711">
        <f t="shared" ref="P63:P68" si="4">O63/N63</f>
        <v>8.234295415959253E-2</v>
      </c>
      <c r="Q63" s="726">
        <v>1</v>
      </c>
      <c r="R63" s="711">
        <f>Q63/N63</f>
        <v>8.4889643463497452E-4</v>
      </c>
      <c r="S63" s="726">
        <v>4</v>
      </c>
      <c r="T63" s="711">
        <f>S63/N63</f>
        <v>3.3955857385398981E-3</v>
      </c>
      <c r="U63" s="726">
        <v>3</v>
      </c>
      <c r="V63" s="780">
        <f>U63/N63</f>
        <v>2.5466893039049238E-3</v>
      </c>
    </row>
    <row r="64" spans="1:22" s="921" customFormat="1" ht="61.5" customHeight="1" x14ac:dyDescent="0.35">
      <c r="A64" s="696" t="s">
        <v>1013</v>
      </c>
      <c r="B64" s="885">
        <v>45545</v>
      </c>
      <c r="C64" s="718" t="s">
        <v>3180</v>
      </c>
      <c r="D64" s="724" t="s">
        <v>413</v>
      </c>
      <c r="E64" s="682" t="s">
        <v>3181</v>
      </c>
      <c r="F64" s="728" t="s">
        <v>3182</v>
      </c>
      <c r="G64" s="728" t="s">
        <v>3183</v>
      </c>
      <c r="H64" s="794"/>
      <c r="I64" s="794"/>
      <c r="J64" s="728"/>
      <c r="K64" s="728"/>
      <c r="L64" s="728" t="s">
        <v>3179</v>
      </c>
      <c r="M64" s="726">
        <v>90</v>
      </c>
      <c r="N64" s="726">
        <v>115</v>
      </c>
      <c r="O64" s="726">
        <v>26</v>
      </c>
      <c r="P64" s="711">
        <f t="shared" si="4"/>
        <v>0.22608695652173913</v>
      </c>
      <c r="Q64" s="726">
        <v>1</v>
      </c>
      <c r="R64" s="711">
        <f>Q64/N64</f>
        <v>8.6956521739130436E-3</v>
      </c>
      <c r="S64" s="726">
        <v>0</v>
      </c>
      <c r="T64" s="711">
        <v>0</v>
      </c>
      <c r="U64" s="726">
        <v>0</v>
      </c>
      <c r="V64" s="780">
        <v>0</v>
      </c>
    </row>
    <row r="65" spans="1:22" s="921" customFormat="1" ht="61.5" customHeight="1" x14ac:dyDescent="0.35">
      <c r="A65" s="696" t="s">
        <v>1016</v>
      </c>
      <c r="B65" s="718">
        <v>45552</v>
      </c>
      <c r="C65" s="718" t="s">
        <v>2124</v>
      </c>
      <c r="D65" s="724" t="s">
        <v>413</v>
      </c>
      <c r="E65" s="682" t="s">
        <v>3184</v>
      </c>
      <c r="F65" s="682"/>
      <c r="G65" s="682" t="s">
        <v>3185</v>
      </c>
      <c r="H65" s="779"/>
      <c r="I65" s="779"/>
      <c r="J65" s="682" t="s">
        <v>3186</v>
      </c>
      <c r="K65" s="682" t="s">
        <v>3187</v>
      </c>
      <c r="L65" s="684" t="s">
        <v>3188</v>
      </c>
      <c r="M65" s="726">
        <v>105</v>
      </c>
      <c r="N65" s="686">
        <v>1070</v>
      </c>
      <c r="O65" s="686">
        <v>49</v>
      </c>
      <c r="P65" s="685">
        <f t="shared" si="4"/>
        <v>4.5794392523364487E-2</v>
      </c>
      <c r="Q65" s="686">
        <v>2</v>
      </c>
      <c r="R65" s="685">
        <f>Q65/N65</f>
        <v>1.869158878504673E-3</v>
      </c>
      <c r="S65" s="686">
        <v>4</v>
      </c>
      <c r="T65" s="685">
        <f>S65/N65</f>
        <v>3.7383177570093459E-3</v>
      </c>
      <c r="U65" s="686">
        <v>0</v>
      </c>
      <c r="V65" s="722">
        <v>0</v>
      </c>
    </row>
    <row r="66" spans="1:22" s="921" customFormat="1" ht="61.5" customHeight="1" x14ac:dyDescent="0.35">
      <c r="A66" s="696" t="s">
        <v>1016</v>
      </c>
      <c r="B66" s="718">
        <v>45552</v>
      </c>
      <c r="C66" s="718" t="s">
        <v>3180</v>
      </c>
      <c r="D66" s="724" t="s">
        <v>413</v>
      </c>
      <c r="E66" s="682" t="s">
        <v>3189</v>
      </c>
      <c r="F66" s="682"/>
      <c r="G66" s="682"/>
      <c r="H66" s="779"/>
      <c r="I66" s="779"/>
      <c r="J66" s="682" t="s">
        <v>3190</v>
      </c>
      <c r="K66" s="682" t="s">
        <v>3191</v>
      </c>
      <c r="L66" s="684" t="s">
        <v>3188</v>
      </c>
      <c r="M66" s="726">
        <v>105</v>
      </c>
      <c r="N66" s="686">
        <v>43</v>
      </c>
      <c r="O66" s="686">
        <v>2</v>
      </c>
      <c r="P66" s="685">
        <f t="shared" si="4"/>
        <v>4.6511627906976744E-2</v>
      </c>
      <c r="Q66" s="686">
        <v>2</v>
      </c>
      <c r="R66" s="685">
        <f>Q66/N66</f>
        <v>4.6511627906976744E-2</v>
      </c>
      <c r="S66" s="686">
        <v>0</v>
      </c>
      <c r="T66" s="685">
        <v>0</v>
      </c>
      <c r="U66" s="686">
        <v>0</v>
      </c>
      <c r="V66" s="722">
        <v>0</v>
      </c>
    </row>
    <row r="67" spans="1:22" s="921" customFormat="1" ht="61.5" customHeight="1" x14ac:dyDescent="0.35">
      <c r="A67" s="696" t="s">
        <v>1026</v>
      </c>
      <c r="B67" s="718">
        <v>45561</v>
      </c>
      <c r="C67" s="886" t="s">
        <v>965</v>
      </c>
      <c r="D67" s="727" t="s">
        <v>3102</v>
      </c>
      <c r="E67" s="886" t="s">
        <v>3192</v>
      </c>
      <c r="F67" s="887" t="s">
        <v>3193</v>
      </c>
      <c r="G67" s="682" t="s">
        <v>3194</v>
      </c>
      <c r="H67" s="779"/>
      <c r="I67" s="779"/>
      <c r="J67" s="682"/>
      <c r="K67" s="682"/>
      <c r="L67" s="684" t="s">
        <v>3195</v>
      </c>
      <c r="M67" s="726">
        <v>91</v>
      </c>
      <c r="N67" s="748">
        <v>61</v>
      </c>
      <c r="O67" s="748">
        <v>28</v>
      </c>
      <c r="P67" s="750">
        <f t="shared" si="4"/>
        <v>0.45901639344262296</v>
      </c>
      <c r="Q67" s="748">
        <v>8</v>
      </c>
      <c r="R67" s="750">
        <f>Q67/N67</f>
        <v>0.13114754098360656</v>
      </c>
      <c r="S67" s="748">
        <v>0</v>
      </c>
      <c r="T67" s="750">
        <v>0</v>
      </c>
      <c r="U67" s="748">
        <v>0</v>
      </c>
      <c r="V67" s="751">
        <v>0</v>
      </c>
    </row>
    <row r="68" spans="1:22" s="921" customFormat="1" ht="61.5" customHeight="1" x14ac:dyDescent="0.35">
      <c r="A68" s="696" t="s">
        <v>1026</v>
      </c>
      <c r="B68" s="718">
        <v>45562</v>
      </c>
      <c r="C68" s="886" t="s">
        <v>965</v>
      </c>
      <c r="D68" s="727" t="s">
        <v>3102</v>
      </c>
      <c r="E68" s="886" t="s">
        <v>3196</v>
      </c>
      <c r="F68" s="887"/>
      <c r="G68" s="682"/>
      <c r="H68" s="779"/>
      <c r="I68" s="779"/>
      <c r="J68" s="682"/>
      <c r="K68" s="682"/>
      <c r="L68" s="684" t="s">
        <v>3197</v>
      </c>
      <c r="M68" s="726">
        <v>67</v>
      </c>
      <c r="N68" s="748">
        <v>61</v>
      </c>
      <c r="O68" s="748">
        <v>20</v>
      </c>
      <c r="P68" s="750">
        <f t="shared" si="4"/>
        <v>0.32786885245901637</v>
      </c>
      <c r="Q68" s="748">
        <v>0</v>
      </c>
      <c r="R68" s="750">
        <v>0</v>
      </c>
      <c r="S68" s="748">
        <v>0</v>
      </c>
      <c r="T68" s="750">
        <v>0</v>
      </c>
      <c r="U68" s="748">
        <v>0</v>
      </c>
      <c r="V68" s="751">
        <v>0</v>
      </c>
    </row>
    <row r="69" spans="1:22" s="921" customFormat="1" ht="61.5" customHeight="1" x14ac:dyDescent="0.35">
      <c r="A69" s="729" t="s">
        <v>1035</v>
      </c>
      <c r="B69" s="755" t="s">
        <v>3198</v>
      </c>
      <c r="C69" s="755"/>
      <c r="D69" s="755"/>
      <c r="E69" s="755"/>
      <c r="F69" s="755"/>
      <c r="G69" s="755"/>
      <c r="H69" s="918"/>
      <c r="I69" s="827"/>
      <c r="J69" s="730"/>
      <c r="K69" s="730"/>
      <c r="L69" s="698"/>
      <c r="M69" s="700"/>
      <c r="N69" s="700"/>
      <c r="O69" s="700"/>
      <c r="P69" s="699"/>
      <c r="Q69" s="700"/>
      <c r="R69" s="699"/>
      <c r="S69" s="700"/>
      <c r="T69" s="699"/>
      <c r="U69" s="700"/>
      <c r="V69" s="753"/>
    </row>
    <row r="70" spans="1:22" s="921" customFormat="1" ht="61.5" customHeight="1" x14ac:dyDescent="0.35">
      <c r="A70" s="795" t="s">
        <v>1035</v>
      </c>
      <c r="B70" s="796">
        <v>45566</v>
      </c>
      <c r="C70" s="888" t="s">
        <v>965</v>
      </c>
      <c r="D70" s="797" t="s">
        <v>3102</v>
      </c>
      <c r="E70" s="888" t="s">
        <v>3199</v>
      </c>
      <c r="F70" s="888" t="s">
        <v>2108</v>
      </c>
      <c r="G70" s="798" t="s">
        <v>3200</v>
      </c>
      <c r="H70" s="840"/>
      <c r="I70" s="840"/>
      <c r="J70" s="798"/>
      <c r="K70" s="798"/>
      <c r="L70" s="799" t="s">
        <v>1038</v>
      </c>
      <c r="M70" s="800"/>
      <c r="N70" s="801">
        <v>57</v>
      </c>
      <c r="O70" s="801">
        <v>21</v>
      </c>
      <c r="P70" s="802">
        <f>O70/N70</f>
        <v>0.36842105263157893</v>
      </c>
      <c r="Q70" s="801">
        <v>2</v>
      </c>
      <c r="R70" s="802">
        <f>Q70/N70</f>
        <v>3.5087719298245612E-2</v>
      </c>
      <c r="S70" s="801">
        <v>0</v>
      </c>
      <c r="T70" s="802">
        <v>0</v>
      </c>
      <c r="U70" s="801">
        <v>0</v>
      </c>
      <c r="V70" s="803">
        <v>0</v>
      </c>
    </row>
    <row r="71" spans="1:22" s="921" customFormat="1" ht="61.5" customHeight="1" x14ac:dyDescent="0.35">
      <c r="A71" s="795" t="s">
        <v>1035</v>
      </c>
      <c r="B71" s="796">
        <v>45568</v>
      </c>
      <c r="C71" s="888" t="s">
        <v>3201</v>
      </c>
      <c r="D71" s="797" t="s">
        <v>3102</v>
      </c>
      <c r="E71" s="888" t="s">
        <v>3202</v>
      </c>
      <c r="F71" s="888" t="s">
        <v>2108</v>
      </c>
      <c r="G71" s="804"/>
      <c r="H71" s="929"/>
      <c r="I71" s="840"/>
      <c r="J71" s="798"/>
      <c r="K71" s="798"/>
      <c r="L71" s="799" t="s">
        <v>3203</v>
      </c>
      <c r="M71" s="800"/>
      <c r="N71" s="801">
        <v>37</v>
      </c>
      <c r="O71" s="801">
        <v>7</v>
      </c>
      <c r="P71" s="802">
        <f>O71/N71</f>
        <v>0.1891891891891892</v>
      </c>
      <c r="Q71" s="801">
        <v>2</v>
      </c>
      <c r="R71" s="802">
        <f>Q71/N71</f>
        <v>5.4054054054054057E-2</v>
      </c>
      <c r="S71" s="801">
        <v>0</v>
      </c>
      <c r="T71" s="802">
        <v>0</v>
      </c>
      <c r="U71" s="801">
        <v>0</v>
      </c>
      <c r="V71" s="803">
        <v>0</v>
      </c>
    </row>
    <row r="72" spans="1:22" s="921" customFormat="1" ht="61.5" customHeight="1" x14ac:dyDescent="0.35">
      <c r="A72" s="729" t="s">
        <v>706</v>
      </c>
      <c r="B72" s="755" t="s">
        <v>3204</v>
      </c>
      <c r="C72" s="755"/>
      <c r="D72" s="755"/>
      <c r="E72" s="755"/>
      <c r="F72" s="755"/>
      <c r="G72" s="755"/>
      <c r="H72" s="918"/>
      <c r="I72" s="827"/>
      <c r="J72" s="730"/>
      <c r="K72" s="730"/>
      <c r="L72" s="698"/>
      <c r="M72" s="700"/>
      <c r="N72" s="700"/>
      <c r="O72" s="700"/>
      <c r="P72" s="699"/>
      <c r="Q72" s="700"/>
      <c r="R72" s="699"/>
      <c r="S72" s="700"/>
      <c r="T72" s="699"/>
      <c r="U72" s="700"/>
      <c r="V72" s="753"/>
    </row>
    <row r="73" spans="1:22" s="921" customFormat="1" ht="61.5" customHeight="1" x14ac:dyDescent="0.35">
      <c r="A73" s="696" t="s">
        <v>706</v>
      </c>
      <c r="B73" s="718" t="s">
        <v>3205</v>
      </c>
      <c r="C73" s="886" t="s">
        <v>965</v>
      </c>
      <c r="D73" s="727" t="s">
        <v>3102</v>
      </c>
      <c r="E73" s="886" t="s">
        <v>3206</v>
      </c>
      <c r="F73" s="886" t="s">
        <v>2108</v>
      </c>
      <c r="G73" s="805" t="s">
        <v>3207</v>
      </c>
      <c r="H73" s="930"/>
      <c r="I73" s="779"/>
      <c r="J73" s="682"/>
      <c r="K73" s="682"/>
      <c r="L73" s="684" t="s">
        <v>3208</v>
      </c>
      <c r="M73" s="726"/>
      <c r="N73" s="748">
        <v>57</v>
      </c>
      <c r="O73" s="748">
        <v>22</v>
      </c>
      <c r="P73" s="750">
        <f>O73/N73</f>
        <v>0.38596491228070173</v>
      </c>
      <c r="Q73" s="748">
        <v>6</v>
      </c>
      <c r="R73" s="750">
        <f>Q73/N73</f>
        <v>0.10526315789473684</v>
      </c>
      <c r="S73" s="748">
        <v>0</v>
      </c>
      <c r="T73" s="750">
        <v>0</v>
      </c>
      <c r="U73" s="748">
        <v>0</v>
      </c>
      <c r="V73" s="751">
        <v>0</v>
      </c>
    </row>
    <row r="74" spans="1:22" s="921" customFormat="1" ht="61.5" customHeight="1" x14ac:dyDescent="0.35">
      <c r="A74" s="696" t="s">
        <v>706</v>
      </c>
      <c r="B74" s="885">
        <v>45574</v>
      </c>
      <c r="C74" s="806" t="s">
        <v>2110</v>
      </c>
      <c r="D74" s="727" t="s">
        <v>3102</v>
      </c>
      <c r="E74" s="806" t="s">
        <v>2121</v>
      </c>
      <c r="F74" s="806" t="s">
        <v>2122</v>
      </c>
      <c r="G74" s="806"/>
      <c r="H74" s="812"/>
      <c r="I74" s="841"/>
      <c r="J74" s="807"/>
      <c r="K74" s="807"/>
      <c r="L74" s="684" t="s">
        <v>3209</v>
      </c>
      <c r="M74" s="931"/>
      <c r="N74" s="748">
        <v>57</v>
      </c>
      <c r="O74" s="748">
        <v>35</v>
      </c>
      <c r="P74" s="750">
        <f>O74/N74</f>
        <v>0.61403508771929827</v>
      </c>
      <c r="Q74" s="748">
        <v>18</v>
      </c>
      <c r="R74" s="750">
        <f>Q74/N74</f>
        <v>0.31578947368421051</v>
      </c>
      <c r="S74" s="748">
        <v>0</v>
      </c>
      <c r="T74" s="750">
        <v>0</v>
      </c>
      <c r="U74" s="748">
        <v>0</v>
      </c>
      <c r="V74" s="751">
        <v>0</v>
      </c>
    </row>
    <row r="75" spans="1:22" s="921" customFormat="1" ht="61.5" customHeight="1" x14ac:dyDescent="0.35">
      <c r="A75" s="903" t="s">
        <v>1048</v>
      </c>
      <c r="B75" s="890">
        <v>45581</v>
      </c>
      <c r="C75" s="731" t="s">
        <v>2124</v>
      </c>
      <c r="D75" s="734" t="s">
        <v>3102</v>
      </c>
      <c r="E75" s="731" t="s">
        <v>3210</v>
      </c>
      <c r="F75" s="731" t="s">
        <v>3211</v>
      </c>
      <c r="G75" s="731"/>
      <c r="H75" s="819"/>
      <c r="I75" s="891"/>
      <c r="J75" s="892"/>
      <c r="K75" s="892"/>
      <c r="L75" s="731" t="s">
        <v>3212</v>
      </c>
      <c r="M75" s="736"/>
      <c r="N75" s="736">
        <v>274</v>
      </c>
      <c r="O75" s="735">
        <v>0.2482</v>
      </c>
      <c r="P75" s="735"/>
      <c r="Q75" s="736"/>
      <c r="R75" s="735">
        <v>2.92E-2</v>
      </c>
      <c r="S75" s="736">
        <v>1</v>
      </c>
      <c r="T75" s="735"/>
      <c r="U75" s="736">
        <v>1</v>
      </c>
      <c r="V75" s="808"/>
    </row>
    <row r="76" spans="1:22" s="921" customFormat="1" ht="61.5" customHeight="1" x14ac:dyDescent="0.35">
      <c r="A76" s="903" t="s">
        <v>708</v>
      </c>
      <c r="B76" s="864" t="s">
        <v>106</v>
      </c>
      <c r="C76" s="913"/>
      <c r="D76" s="913"/>
      <c r="E76" s="913"/>
      <c r="F76" s="913"/>
      <c r="G76" s="913"/>
      <c r="H76" s="932"/>
      <c r="I76" s="891"/>
      <c r="J76" s="892"/>
      <c r="K76" s="892"/>
      <c r="L76" s="732"/>
      <c r="M76" s="732"/>
      <c r="N76" s="738"/>
      <c r="O76" s="738"/>
      <c r="P76" s="737"/>
      <c r="Q76" s="738"/>
      <c r="R76" s="737"/>
      <c r="S76" s="738"/>
      <c r="T76" s="737"/>
      <c r="U76" s="738"/>
      <c r="V76" s="809"/>
    </row>
    <row r="77" spans="1:22" s="921" customFormat="1" ht="61.5" customHeight="1" x14ac:dyDescent="0.35">
      <c r="A77" s="903" t="s">
        <v>1073</v>
      </c>
      <c r="B77" s="890">
        <v>45594</v>
      </c>
      <c r="C77" s="731" t="s">
        <v>86</v>
      </c>
      <c r="D77" s="734" t="s">
        <v>413</v>
      </c>
      <c r="E77" s="731" t="s">
        <v>3213</v>
      </c>
      <c r="F77" s="731" t="s">
        <v>3214</v>
      </c>
      <c r="G77" s="731"/>
      <c r="H77" s="819"/>
      <c r="I77" s="843" t="s">
        <v>3215</v>
      </c>
      <c r="J77" s="892"/>
      <c r="K77" s="892"/>
      <c r="L77" s="731" t="s">
        <v>1077</v>
      </c>
      <c r="M77" s="736">
        <v>35</v>
      </c>
      <c r="N77" s="814">
        <v>1410</v>
      </c>
      <c r="O77" s="735">
        <v>9.5699999999999993E-2</v>
      </c>
      <c r="P77" s="735"/>
      <c r="Q77" s="735"/>
      <c r="R77" s="735">
        <v>3.5000000000000001E-3</v>
      </c>
      <c r="S77" s="814">
        <v>10</v>
      </c>
      <c r="T77" s="813"/>
      <c r="U77" s="814">
        <v>11</v>
      </c>
      <c r="V77" s="809"/>
    </row>
    <row r="78" spans="1:22" s="921" customFormat="1" ht="61.5" customHeight="1" x14ac:dyDescent="0.35">
      <c r="A78" s="739" t="s">
        <v>1078</v>
      </c>
      <c r="B78" s="867" t="s">
        <v>1612</v>
      </c>
      <c r="C78" s="914"/>
      <c r="D78" s="914"/>
      <c r="E78" s="914"/>
      <c r="F78" s="914"/>
      <c r="G78" s="914"/>
      <c r="H78" s="933"/>
      <c r="I78" s="842"/>
      <c r="J78" s="740"/>
      <c r="K78" s="740"/>
      <c r="L78" s="715"/>
      <c r="M78" s="742"/>
      <c r="N78" s="742"/>
      <c r="O78" s="742"/>
      <c r="P78" s="741"/>
      <c r="Q78" s="742"/>
      <c r="R78" s="741"/>
      <c r="S78" s="742"/>
      <c r="T78" s="741"/>
      <c r="U78" s="742"/>
      <c r="V78" s="810"/>
    </row>
    <row r="79" spans="1:22" s="921" customFormat="1" ht="61.5" customHeight="1" x14ac:dyDescent="0.35">
      <c r="A79" s="903" t="s">
        <v>1078</v>
      </c>
      <c r="B79" s="731">
        <v>45603</v>
      </c>
      <c r="C79" s="731" t="s">
        <v>1613</v>
      </c>
      <c r="D79" s="734" t="s">
        <v>413</v>
      </c>
      <c r="E79" s="731" t="s">
        <v>3216</v>
      </c>
      <c r="F79" s="731" t="s">
        <v>3214</v>
      </c>
      <c r="G79" s="731"/>
      <c r="H79" s="819"/>
      <c r="I79" s="843" t="s">
        <v>3217</v>
      </c>
      <c r="J79" s="892"/>
      <c r="K79" s="892"/>
      <c r="L79" s="731" t="s">
        <v>1084</v>
      </c>
      <c r="M79" s="736">
        <v>46</v>
      </c>
      <c r="N79" s="814">
        <v>129</v>
      </c>
      <c r="O79" s="735">
        <v>0.68220000000000003</v>
      </c>
      <c r="P79" s="735"/>
      <c r="Q79" s="735"/>
      <c r="R79" s="735">
        <v>7.7999999999999996E-3</v>
      </c>
      <c r="S79" s="735">
        <v>0.02</v>
      </c>
      <c r="T79" s="820"/>
      <c r="U79" s="814">
        <v>0</v>
      </c>
      <c r="V79" s="809"/>
    </row>
    <row r="80" spans="1:22" s="921" customFormat="1" ht="61.5" customHeight="1" x14ac:dyDescent="0.35">
      <c r="A80" s="739" t="s">
        <v>711</v>
      </c>
      <c r="B80" s="715" t="s">
        <v>712</v>
      </c>
      <c r="C80" s="715"/>
      <c r="D80" s="715"/>
      <c r="E80" s="715"/>
      <c r="F80" s="715"/>
      <c r="G80" s="715"/>
      <c r="H80" s="934"/>
      <c r="I80" s="842"/>
      <c r="J80" s="740"/>
      <c r="K80" s="740"/>
      <c r="L80" s="715"/>
      <c r="M80" s="715"/>
      <c r="N80" s="742"/>
      <c r="O80" s="742"/>
      <c r="P80" s="741"/>
      <c r="Q80" s="742"/>
      <c r="R80" s="741"/>
      <c r="S80" s="742"/>
      <c r="T80" s="741"/>
      <c r="U80" s="742"/>
      <c r="V80" s="810"/>
    </row>
    <row r="81" spans="1:22" s="921" customFormat="1" ht="61.5" customHeight="1" x14ac:dyDescent="0.35">
      <c r="A81" s="903" t="s">
        <v>711</v>
      </c>
      <c r="B81" s="864" t="s">
        <v>3218</v>
      </c>
      <c r="C81" s="913"/>
      <c r="D81" s="913"/>
      <c r="E81" s="913"/>
      <c r="F81" s="913"/>
      <c r="G81" s="913"/>
      <c r="H81" s="932"/>
      <c r="I81" s="891"/>
      <c r="J81" s="892"/>
      <c r="K81" s="892"/>
      <c r="L81" s="732"/>
      <c r="M81" s="732"/>
      <c r="N81" s="738"/>
      <c r="O81" s="738"/>
      <c r="P81" s="737"/>
      <c r="Q81" s="738"/>
      <c r="R81" s="737"/>
      <c r="S81" s="738"/>
      <c r="T81" s="737"/>
      <c r="U81" s="738"/>
      <c r="V81" s="809"/>
    </row>
    <row r="82" spans="1:22" s="921" customFormat="1" ht="61.5" customHeight="1" x14ac:dyDescent="0.35">
      <c r="A82" s="903" t="s">
        <v>713</v>
      </c>
      <c r="B82" s="890"/>
      <c r="C82" s="731" t="s">
        <v>3219</v>
      </c>
      <c r="D82" s="734" t="s">
        <v>413</v>
      </c>
      <c r="E82" s="731" t="s">
        <v>3220</v>
      </c>
      <c r="F82" s="731"/>
      <c r="G82" s="731"/>
      <c r="H82" s="819"/>
      <c r="I82" s="843" t="s">
        <v>3221</v>
      </c>
      <c r="J82" s="731"/>
      <c r="K82" s="731"/>
      <c r="L82" s="731" t="s">
        <v>3222</v>
      </c>
      <c r="M82" s="736">
        <v>64</v>
      </c>
      <c r="N82" s="814">
        <v>1257</v>
      </c>
      <c r="O82" s="735">
        <v>9.0700000000000003E-2</v>
      </c>
      <c r="P82" s="735"/>
      <c r="Q82" s="735"/>
      <c r="R82" s="735">
        <v>5.5999999999999999E-3</v>
      </c>
      <c r="S82" s="814">
        <v>4</v>
      </c>
      <c r="T82" s="813"/>
      <c r="U82" s="814">
        <v>14</v>
      </c>
      <c r="V82" s="809"/>
    </row>
    <row r="83" spans="1:22" s="921" customFormat="1" ht="61.5" customHeight="1" x14ac:dyDescent="0.35">
      <c r="A83" s="903" t="s">
        <v>2667</v>
      </c>
      <c r="B83" s="864" t="s">
        <v>2668</v>
      </c>
      <c r="C83" s="913"/>
      <c r="D83" s="913"/>
      <c r="E83" s="913"/>
      <c r="F83" s="913"/>
      <c r="G83" s="913"/>
      <c r="H83" s="932"/>
      <c r="I83" s="819"/>
      <c r="J83" s="731"/>
      <c r="K83" s="731"/>
      <c r="L83" s="732"/>
      <c r="M83" s="732"/>
      <c r="N83" s="738"/>
      <c r="O83" s="738"/>
      <c r="P83" s="737"/>
      <c r="Q83" s="738"/>
      <c r="R83" s="737"/>
      <c r="S83" s="738"/>
      <c r="T83" s="737"/>
      <c r="U83" s="738"/>
      <c r="V83" s="809"/>
    </row>
    <row r="84" spans="1:22" s="921" customFormat="1" ht="61.5" customHeight="1" x14ac:dyDescent="0.35">
      <c r="A84" s="903" t="s">
        <v>717</v>
      </c>
      <c r="B84" s="864" t="s">
        <v>106</v>
      </c>
      <c r="C84" s="913"/>
      <c r="D84" s="913"/>
      <c r="E84" s="913"/>
      <c r="F84" s="913"/>
      <c r="G84" s="913"/>
      <c r="H84" s="932"/>
      <c r="I84" s="819"/>
      <c r="J84" s="731"/>
      <c r="K84" s="731"/>
      <c r="L84" s="732"/>
      <c r="M84" s="732"/>
      <c r="N84" s="738"/>
      <c r="O84" s="738"/>
      <c r="P84" s="737"/>
      <c r="Q84" s="738"/>
      <c r="R84" s="737"/>
      <c r="S84" s="738"/>
      <c r="T84" s="737"/>
      <c r="U84" s="738"/>
      <c r="V84" s="809"/>
    </row>
    <row r="85" spans="1:22" s="921" customFormat="1" ht="61.5" customHeight="1" x14ac:dyDescent="0.35">
      <c r="A85" s="739" t="s">
        <v>717</v>
      </c>
      <c r="B85" s="867" t="s">
        <v>390</v>
      </c>
      <c r="C85" s="912"/>
      <c r="D85" s="912"/>
      <c r="E85" s="912"/>
      <c r="F85" s="912"/>
      <c r="G85" s="912"/>
      <c r="H85" s="935"/>
      <c r="I85" s="835"/>
      <c r="J85" s="714"/>
      <c r="K85" s="714"/>
      <c r="L85" s="715"/>
      <c r="M85" s="742"/>
      <c r="N85" s="742"/>
      <c r="O85" s="742"/>
      <c r="P85" s="741"/>
      <c r="Q85" s="742"/>
      <c r="R85" s="741"/>
      <c r="S85" s="742"/>
      <c r="T85" s="741"/>
      <c r="U85" s="742"/>
      <c r="V85" s="810"/>
    </row>
    <row r="86" spans="1:22" s="921" customFormat="1" ht="61.5" customHeight="1" x14ac:dyDescent="0.35">
      <c r="A86" s="822" t="s">
        <v>719</v>
      </c>
      <c r="B86" s="731"/>
      <c r="C86" s="731" t="s">
        <v>86</v>
      </c>
      <c r="D86" s="734" t="s">
        <v>413</v>
      </c>
      <c r="E86" s="731" t="s">
        <v>2669</v>
      </c>
      <c r="F86" s="731"/>
      <c r="G86" s="731"/>
      <c r="H86" s="819"/>
      <c r="I86" s="843" t="s">
        <v>3223</v>
      </c>
      <c r="J86" s="892"/>
      <c r="K86" s="892"/>
      <c r="L86" s="731" t="s">
        <v>2672</v>
      </c>
      <c r="M86" s="736">
        <v>45</v>
      </c>
      <c r="N86" s="814">
        <v>1126</v>
      </c>
      <c r="O86" s="735">
        <v>0.13519999999999999</v>
      </c>
      <c r="P86" s="735"/>
      <c r="Q86" s="735"/>
      <c r="R86" s="735">
        <v>4.4000000000000003E-3</v>
      </c>
      <c r="S86" s="814">
        <v>5</v>
      </c>
      <c r="T86" s="813"/>
      <c r="U86" s="814">
        <v>5</v>
      </c>
      <c r="V86" s="809"/>
    </row>
    <row r="87" spans="1:22" s="921" customFormat="1" ht="61.5" customHeight="1" x14ac:dyDescent="0.35">
      <c r="A87" s="903" t="s">
        <v>720</v>
      </c>
      <c r="B87" s="890"/>
      <c r="C87" s="731" t="s">
        <v>3224</v>
      </c>
      <c r="D87" s="734" t="s">
        <v>413</v>
      </c>
      <c r="E87" s="731" t="s">
        <v>3225</v>
      </c>
      <c r="F87" s="731" t="s">
        <v>3226</v>
      </c>
      <c r="G87" s="731"/>
      <c r="H87" s="819"/>
      <c r="I87" s="843" t="s">
        <v>3227</v>
      </c>
      <c r="J87" s="731"/>
      <c r="K87" s="731"/>
      <c r="L87" s="731" t="s">
        <v>3228</v>
      </c>
      <c r="M87" s="736">
        <v>30</v>
      </c>
      <c r="N87" s="814">
        <v>89</v>
      </c>
      <c r="O87" s="735">
        <v>0.22470000000000001</v>
      </c>
      <c r="P87" s="735"/>
      <c r="Q87" s="735"/>
      <c r="R87" s="735" t="s">
        <v>3229</v>
      </c>
      <c r="S87" s="814">
        <v>0</v>
      </c>
      <c r="T87" s="854"/>
      <c r="U87" s="862">
        <v>2</v>
      </c>
      <c r="V87" s="809"/>
    </row>
    <row r="88" spans="1:22" s="921" customFormat="1" ht="61.5" customHeight="1" x14ac:dyDescent="0.35">
      <c r="A88" s="903" t="s">
        <v>721</v>
      </c>
      <c r="B88" s="890"/>
      <c r="C88" s="731" t="s">
        <v>86</v>
      </c>
      <c r="D88" s="734" t="s">
        <v>3102</v>
      </c>
      <c r="E88" s="731" t="s">
        <v>3230</v>
      </c>
      <c r="F88" s="731"/>
      <c r="G88" s="731"/>
      <c r="H88" s="819"/>
      <c r="I88" s="843" t="s">
        <v>3231</v>
      </c>
      <c r="J88" s="731"/>
      <c r="K88" s="731"/>
      <c r="L88" s="731" t="s">
        <v>3232</v>
      </c>
      <c r="M88" s="736">
        <v>38</v>
      </c>
      <c r="N88" s="736">
        <v>845</v>
      </c>
      <c r="O88" s="735">
        <v>0.18229999999999999</v>
      </c>
      <c r="P88" s="735"/>
      <c r="Q88" s="735"/>
      <c r="R88" s="735">
        <v>3.5000000000000001E-3</v>
      </c>
      <c r="S88" s="814">
        <v>3</v>
      </c>
      <c r="T88" s="813"/>
      <c r="U88" s="814">
        <v>9</v>
      </c>
      <c r="V88" s="852"/>
    </row>
    <row r="89" spans="1:22" s="921" customFormat="1" ht="61.5" customHeight="1" x14ac:dyDescent="0.35">
      <c r="A89" s="745" t="s">
        <v>722</v>
      </c>
      <c r="B89" s="864" t="s">
        <v>1841</v>
      </c>
      <c r="C89" s="913"/>
      <c r="D89" s="913"/>
      <c r="E89" s="913"/>
      <c r="F89" s="913"/>
      <c r="G89" s="913"/>
      <c r="H89" s="936"/>
      <c r="I89" s="845"/>
      <c r="J89" s="817"/>
      <c r="K89" s="817"/>
      <c r="L89" s="818"/>
      <c r="M89" s="818"/>
      <c r="N89" s="744"/>
      <c r="O89" s="744"/>
      <c r="P89" s="743"/>
      <c r="Q89" s="744"/>
      <c r="R89" s="849"/>
      <c r="S89" s="742"/>
      <c r="T89" s="741"/>
      <c r="U89" s="742"/>
      <c r="V89" s="853"/>
    </row>
    <row r="90" spans="1:22" s="921" customFormat="1" ht="61.5" customHeight="1" x14ac:dyDescent="0.35">
      <c r="A90" s="745" t="s">
        <v>657</v>
      </c>
      <c r="B90" s="864" t="s">
        <v>1842</v>
      </c>
      <c r="C90" s="913"/>
      <c r="D90" s="913"/>
      <c r="E90" s="913"/>
      <c r="F90" s="913"/>
      <c r="G90" s="913"/>
      <c r="H90" s="913"/>
      <c r="I90" s="746"/>
      <c r="J90" s="746"/>
      <c r="K90" s="746"/>
      <c r="L90" s="747"/>
      <c r="M90" s="747"/>
      <c r="N90" s="742"/>
      <c r="O90" s="742"/>
      <c r="P90" s="741"/>
      <c r="Q90" s="742"/>
      <c r="R90" s="741"/>
      <c r="S90" s="855"/>
      <c r="T90" s="741"/>
      <c r="U90" s="742"/>
      <c r="V90" s="853"/>
    </row>
    <row r="91" spans="1:22" s="921" customFormat="1" ht="61.5" customHeight="1" x14ac:dyDescent="0.35">
      <c r="A91" s="846" t="s">
        <v>426</v>
      </c>
      <c r="B91" s="746" t="s">
        <v>3233</v>
      </c>
      <c r="C91" s="746"/>
      <c r="D91" s="746"/>
      <c r="E91" s="746"/>
      <c r="F91" s="746"/>
      <c r="G91" s="851"/>
      <c r="H91" s="851"/>
      <c r="I91" s="746"/>
      <c r="J91" s="746"/>
      <c r="K91" s="746"/>
      <c r="L91" s="747"/>
      <c r="M91" s="747"/>
      <c r="N91" s="742"/>
      <c r="O91" s="742"/>
      <c r="P91" s="741"/>
      <c r="Q91" s="742"/>
      <c r="R91" s="741"/>
      <c r="S91" s="855"/>
      <c r="T91" s="741"/>
      <c r="U91" s="742"/>
      <c r="V91" s="816"/>
    </row>
    <row r="92" spans="1:22" s="921" customFormat="1" ht="61.5" customHeight="1" x14ac:dyDescent="0.35">
      <c r="A92" s="846" t="s">
        <v>426</v>
      </c>
      <c r="B92" s="746" t="s">
        <v>3139</v>
      </c>
      <c r="C92" s="746"/>
      <c r="D92" s="746"/>
      <c r="E92" s="746"/>
      <c r="F92" s="746"/>
      <c r="G92" s="746"/>
      <c r="H92" s="856"/>
      <c r="I92" s="856"/>
      <c r="J92" s="857"/>
      <c r="K92" s="857"/>
      <c r="L92" s="858"/>
      <c r="M92" s="858"/>
      <c r="N92" s="859"/>
      <c r="O92" s="859"/>
      <c r="P92" s="860"/>
      <c r="Q92" s="859"/>
      <c r="R92" s="861"/>
      <c r="S92" s="742"/>
      <c r="T92" s="741"/>
      <c r="U92" s="742"/>
      <c r="V92" s="816"/>
    </row>
    <row r="93" spans="1:22" ht="61.5" customHeight="1" x14ac:dyDescent="0.35">
      <c r="A93" s="903" t="s">
        <v>659</v>
      </c>
      <c r="B93" s="889">
        <v>45665</v>
      </c>
      <c r="C93" s="903" t="s">
        <v>86</v>
      </c>
      <c r="D93" s="734" t="s">
        <v>413</v>
      </c>
      <c r="E93" s="903" t="s">
        <v>3234</v>
      </c>
      <c r="F93" s="903" t="s">
        <v>3235</v>
      </c>
      <c r="G93" s="889"/>
      <c r="H93" s="889"/>
      <c r="I93" s="904" t="s">
        <v>3236</v>
      </c>
      <c r="J93" s="889"/>
      <c r="K93" s="889"/>
      <c r="L93" s="903" t="s">
        <v>3237</v>
      </c>
      <c r="M93" s="736">
        <v>93</v>
      </c>
      <c r="N93" s="736">
        <v>1473</v>
      </c>
      <c r="O93" s="735">
        <v>0.13239999999999999</v>
      </c>
      <c r="P93" s="735"/>
      <c r="Q93" s="735"/>
      <c r="R93" s="735">
        <v>4.7999999999999996E-3</v>
      </c>
      <c r="S93" s="893">
        <v>5</v>
      </c>
      <c r="T93" s="893"/>
      <c r="U93" s="893">
        <v>7</v>
      </c>
    </row>
    <row r="94" spans="1:22" ht="61.5" customHeight="1" x14ac:dyDescent="0.35">
      <c r="A94" s="903" t="s">
        <v>660</v>
      </c>
      <c r="B94" s="889">
        <v>45671</v>
      </c>
      <c r="C94" s="903" t="s">
        <v>86</v>
      </c>
      <c r="D94" s="734" t="s">
        <v>413</v>
      </c>
      <c r="E94" s="903" t="s">
        <v>3238</v>
      </c>
      <c r="F94" s="904" t="s">
        <v>3239</v>
      </c>
      <c r="G94" s="903" t="s">
        <v>3240</v>
      </c>
      <c r="H94" s="903"/>
      <c r="I94" s="904" t="s">
        <v>3241</v>
      </c>
      <c r="J94" s="889"/>
      <c r="K94" s="889"/>
      <c r="L94" s="903" t="s">
        <v>2686</v>
      </c>
      <c r="M94" s="736">
        <v>84</v>
      </c>
      <c r="N94" s="894">
        <v>688</v>
      </c>
      <c r="O94" s="895">
        <v>0.26279999999999998</v>
      </c>
      <c r="P94" s="894"/>
      <c r="Q94" s="894"/>
      <c r="R94" s="895">
        <v>2.92E-2</v>
      </c>
      <c r="S94" s="893">
        <v>4</v>
      </c>
      <c r="T94" s="893"/>
      <c r="U94" s="893">
        <v>0</v>
      </c>
    </row>
    <row r="95" spans="1:22" ht="61.5" customHeight="1" x14ac:dyDescent="0.35">
      <c r="A95" s="903" t="s">
        <v>661</v>
      </c>
      <c r="B95" s="889">
        <v>45678</v>
      </c>
      <c r="C95" s="903" t="s">
        <v>86</v>
      </c>
      <c r="D95" s="734" t="s">
        <v>413</v>
      </c>
      <c r="E95" s="903" t="s">
        <v>3242</v>
      </c>
      <c r="F95" s="903" t="s">
        <v>3243</v>
      </c>
      <c r="G95" s="904" t="s">
        <v>3244</v>
      </c>
      <c r="H95" s="905"/>
      <c r="I95" s="905" t="s">
        <v>3245</v>
      </c>
      <c r="J95" s="889"/>
      <c r="K95" s="889"/>
      <c r="L95" s="903" t="s">
        <v>3246</v>
      </c>
      <c r="M95" s="896"/>
      <c r="N95" s="897"/>
      <c r="O95" s="897"/>
      <c r="P95" s="897"/>
      <c r="Q95" s="897"/>
      <c r="R95" s="897"/>
      <c r="S95" s="898"/>
      <c r="T95" s="898"/>
      <c r="U95" s="898"/>
    </row>
    <row r="96" spans="1:22" ht="61.5" customHeight="1" x14ac:dyDescent="0.35">
      <c r="A96" s="821" t="s">
        <v>662</v>
      </c>
      <c r="B96" s="889">
        <v>45685</v>
      </c>
      <c r="C96" s="903" t="s">
        <v>3247</v>
      </c>
      <c r="D96" s="517" t="s">
        <v>3248</v>
      </c>
      <c r="E96" s="903" t="s">
        <v>3249</v>
      </c>
      <c r="F96" s="903" t="s">
        <v>3250</v>
      </c>
      <c r="G96" s="904" t="s">
        <v>3251</v>
      </c>
      <c r="H96" s="905" t="s">
        <v>1952</v>
      </c>
      <c r="I96" s="899"/>
      <c r="J96" s="900"/>
      <c r="K96" s="889"/>
      <c r="L96" s="889"/>
      <c r="M96" s="889"/>
      <c r="N96" s="889"/>
      <c r="O96" s="889"/>
      <c r="P96" s="889"/>
      <c r="Q96" s="889"/>
      <c r="R96" s="889"/>
      <c r="S96" s="890"/>
      <c r="T96" s="890"/>
      <c r="U96" s="890"/>
    </row>
    <row r="97" spans="1:22" ht="61.5" customHeight="1" x14ac:dyDescent="0.35">
      <c r="A97" s="821" t="s">
        <v>662</v>
      </c>
      <c r="B97" s="889">
        <v>45685</v>
      </c>
      <c r="C97" s="903" t="s">
        <v>86</v>
      </c>
      <c r="D97" s="734" t="s">
        <v>413</v>
      </c>
      <c r="E97" s="903" t="s">
        <v>3253</v>
      </c>
      <c r="F97" s="903" t="s">
        <v>3254</v>
      </c>
      <c r="G97" s="904" t="s">
        <v>3255</v>
      </c>
      <c r="H97" s="904" t="s">
        <v>1553</v>
      </c>
      <c r="I97" s="938"/>
      <c r="J97" s="900"/>
      <c r="K97" s="889"/>
      <c r="L97" s="889"/>
      <c r="M97" s="889"/>
      <c r="N97" s="889"/>
      <c r="O97" s="889"/>
      <c r="P97" s="889"/>
      <c r="Q97" s="889"/>
      <c r="R97" s="889"/>
      <c r="S97" s="890"/>
      <c r="T97" s="890"/>
      <c r="U97" s="890"/>
    </row>
    <row r="98" spans="1:22" ht="61.5" customHeight="1" x14ac:dyDescent="0.35">
      <c r="A98" s="821" t="s">
        <v>663</v>
      </c>
      <c r="B98" s="889">
        <v>45692</v>
      </c>
      <c r="C98" s="903" t="s">
        <v>86</v>
      </c>
      <c r="D98" s="734" t="s">
        <v>413</v>
      </c>
      <c r="E98" s="903" t="s">
        <v>3257</v>
      </c>
      <c r="F98" s="903" t="s">
        <v>3258</v>
      </c>
      <c r="G98" s="889"/>
      <c r="H98" s="903" t="s">
        <v>1949</v>
      </c>
      <c r="I98" s="863" t="s">
        <v>4278</v>
      </c>
      <c r="J98" s="889"/>
      <c r="K98" s="889"/>
      <c r="L98" s="889"/>
      <c r="M98" s="889"/>
      <c r="N98" s="889"/>
      <c r="O98" s="889"/>
      <c r="P98" s="889"/>
      <c r="Q98" s="889"/>
      <c r="R98" s="889"/>
      <c r="S98" s="890"/>
      <c r="T98" s="890"/>
      <c r="U98" s="890"/>
    </row>
    <row r="99" spans="1:22" ht="61.5" customHeight="1" x14ac:dyDescent="0.35">
      <c r="A99" s="903" t="s">
        <v>667</v>
      </c>
      <c r="B99" s="889">
        <v>45699</v>
      </c>
      <c r="C99" s="903" t="s">
        <v>4279</v>
      </c>
      <c r="D99" s="734" t="s">
        <v>413</v>
      </c>
      <c r="E99" s="903" t="s">
        <v>4280</v>
      </c>
      <c r="F99" s="889"/>
      <c r="G99" s="904" t="s">
        <v>3226</v>
      </c>
      <c r="H99" s="904" t="s">
        <v>2351</v>
      </c>
      <c r="I99" s="863" t="s">
        <v>4281</v>
      </c>
      <c r="J99" s="889"/>
      <c r="K99" s="889"/>
      <c r="L99" s="889"/>
      <c r="M99" s="889"/>
      <c r="N99" s="889"/>
      <c r="O99" s="889"/>
      <c r="P99" s="889"/>
      <c r="Q99" s="889"/>
      <c r="R99" s="889"/>
      <c r="S99" s="890"/>
      <c r="T99" s="890"/>
      <c r="U99" s="890"/>
    </row>
    <row r="100" spans="1:22" ht="61.5" customHeight="1" x14ac:dyDescent="0.35">
      <c r="A100" s="903" t="s">
        <v>667</v>
      </c>
      <c r="B100" s="889">
        <v>45699</v>
      </c>
      <c r="C100" s="903" t="s">
        <v>4279</v>
      </c>
      <c r="D100" s="734" t="s">
        <v>413</v>
      </c>
      <c r="E100" s="903" t="s">
        <v>3220</v>
      </c>
      <c r="F100" s="889"/>
      <c r="G100" s="904" t="s">
        <v>3267</v>
      </c>
      <c r="H100" s="904" t="s">
        <v>1355</v>
      </c>
      <c r="I100" s="863" t="s">
        <v>4281</v>
      </c>
      <c r="J100" s="889"/>
      <c r="K100" s="889"/>
      <c r="L100" s="889"/>
      <c r="M100" s="889"/>
      <c r="N100" s="889"/>
      <c r="O100" s="889"/>
      <c r="P100" s="889"/>
      <c r="Q100" s="889"/>
      <c r="R100" s="889"/>
      <c r="S100" s="890"/>
      <c r="T100" s="890"/>
      <c r="U100" s="890"/>
    </row>
    <row r="101" spans="1:22" ht="61.5" customHeight="1" x14ac:dyDescent="0.35">
      <c r="A101" s="903" t="s">
        <v>670</v>
      </c>
      <c r="B101" s="889">
        <v>45706</v>
      </c>
      <c r="C101" s="903" t="s">
        <v>86</v>
      </c>
      <c r="D101" s="734" t="s">
        <v>413</v>
      </c>
      <c r="E101" s="903" t="s">
        <v>3270</v>
      </c>
      <c r="F101" s="903" t="s">
        <v>3271</v>
      </c>
      <c r="G101" s="904" t="s">
        <v>3272</v>
      </c>
      <c r="H101" s="904"/>
      <c r="I101" s="889"/>
      <c r="J101" s="889"/>
      <c r="K101" s="889"/>
      <c r="L101" s="889"/>
      <c r="M101" s="889"/>
      <c r="N101" s="889"/>
      <c r="O101" s="889"/>
      <c r="P101" s="889"/>
      <c r="Q101" s="889"/>
      <c r="R101" s="889"/>
      <c r="S101" s="890"/>
      <c r="T101" s="890"/>
      <c r="U101" s="890"/>
    </row>
    <row r="102" spans="1:22" ht="61.5" customHeight="1" x14ac:dyDescent="0.35">
      <c r="A102" s="903" t="s">
        <v>672</v>
      </c>
      <c r="B102" s="889">
        <v>45713</v>
      </c>
      <c r="C102" s="903" t="s">
        <v>4282</v>
      </c>
      <c r="D102" s="734" t="s">
        <v>413</v>
      </c>
      <c r="E102" s="903" t="s">
        <v>3296</v>
      </c>
      <c r="F102" s="903" t="s">
        <v>3297</v>
      </c>
      <c r="G102" s="889"/>
      <c r="H102" s="889"/>
      <c r="I102" s="889"/>
      <c r="J102" s="889"/>
      <c r="K102" s="889"/>
      <c r="L102" s="889"/>
      <c r="M102" s="889"/>
      <c r="N102" s="889"/>
      <c r="O102" s="889"/>
      <c r="P102" s="889"/>
      <c r="Q102" s="889"/>
      <c r="R102" s="889"/>
      <c r="S102" s="890"/>
      <c r="T102" s="890"/>
      <c r="U102" s="890"/>
    </row>
    <row r="103" spans="1:22" ht="61.5" customHeight="1" x14ac:dyDescent="0.35">
      <c r="A103" s="903" t="s">
        <v>674</v>
      </c>
      <c r="B103" s="889">
        <v>45720</v>
      </c>
      <c r="C103" s="903" t="s">
        <v>3291</v>
      </c>
      <c r="D103" s="734" t="s">
        <v>413</v>
      </c>
      <c r="E103" s="903" t="s">
        <v>3277</v>
      </c>
      <c r="F103" s="903" t="s">
        <v>4283</v>
      </c>
      <c r="G103" s="889"/>
      <c r="H103" s="889"/>
      <c r="I103" s="889"/>
      <c r="J103" s="889"/>
      <c r="K103" s="889"/>
      <c r="L103" s="889"/>
      <c r="M103" s="889"/>
      <c r="N103" s="889"/>
      <c r="O103" s="889"/>
      <c r="P103" s="889"/>
      <c r="Q103" s="889"/>
      <c r="R103" s="889"/>
      <c r="S103" s="890"/>
      <c r="T103" s="890"/>
      <c r="U103" s="890"/>
    </row>
    <row r="104" spans="1:22" ht="61.5" customHeight="1" x14ac:dyDescent="0.35">
      <c r="A104" s="903" t="s">
        <v>1204</v>
      </c>
      <c r="B104" s="889">
        <v>45727</v>
      </c>
      <c r="C104" s="903" t="s">
        <v>86</v>
      </c>
      <c r="D104" s="734" t="s">
        <v>413</v>
      </c>
      <c r="E104" s="903" t="s">
        <v>3280</v>
      </c>
      <c r="F104" s="903" t="s">
        <v>4284</v>
      </c>
      <c r="G104" s="889"/>
      <c r="H104" s="889"/>
      <c r="I104" s="889"/>
      <c r="J104" s="889"/>
      <c r="K104" s="889"/>
      <c r="L104" s="889"/>
      <c r="M104" s="889"/>
      <c r="N104" s="889"/>
      <c r="O104" s="889"/>
      <c r="P104" s="889"/>
      <c r="Q104" s="889"/>
      <c r="R104" s="889"/>
      <c r="S104" s="890"/>
      <c r="T104" s="890"/>
      <c r="U104" s="890"/>
    </row>
    <row r="105" spans="1:22" ht="61.5" customHeight="1" x14ac:dyDescent="0.35">
      <c r="A105" s="903" t="s">
        <v>681</v>
      </c>
      <c r="B105" s="889">
        <v>45734</v>
      </c>
      <c r="C105" s="889"/>
      <c r="D105" s="734" t="s">
        <v>413</v>
      </c>
      <c r="E105" s="889"/>
      <c r="F105" s="889"/>
      <c r="G105" s="889"/>
      <c r="H105" s="889"/>
      <c r="I105" s="889"/>
      <c r="J105" s="889"/>
      <c r="K105" s="889"/>
      <c r="L105" s="889"/>
      <c r="M105" s="889"/>
      <c r="N105" s="889"/>
      <c r="O105" s="889"/>
      <c r="P105" s="889"/>
      <c r="Q105" s="889"/>
      <c r="R105" s="889"/>
      <c r="S105" s="890"/>
      <c r="T105" s="890"/>
      <c r="U105" s="890"/>
    </row>
    <row r="106" spans="1:22" ht="61.5" customHeight="1" x14ac:dyDescent="0.35">
      <c r="A106" s="815" t="s">
        <v>3287</v>
      </c>
      <c r="B106" s="746" t="s">
        <v>3288</v>
      </c>
      <c r="C106" s="746"/>
      <c r="D106" s="746"/>
      <c r="E106" s="746"/>
      <c r="F106" s="746"/>
      <c r="G106" s="746"/>
      <c r="H106" s="844"/>
      <c r="I106" s="844"/>
      <c r="J106" s="746"/>
      <c r="K106" s="746"/>
      <c r="L106" s="747"/>
      <c r="M106" s="747"/>
      <c r="N106" s="742"/>
      <c r="O106" s="742"/>
      <c r="P106" s="741"/>
      <c r="Q106" s="742"/>
      <c r="R106" s="848"/>
      <c r="S106" s="742"/>
      <c r="T106" s="741"/>
      <c r="U106" s="742"/>
      <c r="V106" s="816"/>
    </row>
    <row r="107" spans="1:22" ht="61.5" customHeight="1" x14ac:dyDescent="0.35">
      <c r="A107" s="847" t="s">
        <v>3289</v>
      </c>
      <c r="B107" s="746" t="s">
        <v>4285</v>
      </c>
      <c r="C107" s="746"/>
      <c r="D107" s="746"/>
      <c r="E107" s="746"/>
      <c r="F107" s="746"/>
      <c r="G107" s="746"/>
      <c r="H107" s="845"/>
      <c r="I107" s="845"/>
      <c r="J107" s="817"/>
      <c r="K107" s="817"/>
      <c r="L107" s="817"/>
      <c r="M107" s="817"/>
      <c r="N107" s="817"/>
      <c r="O107" s="817"/>
      <c r="P107" s="817"/>
      <c r="Q107" s="817"/>
      <c r="R107" s="850"/>
      <c r="S107" s="746"/>
      <c r="T107" s="746"/>
      <c r="U107" s="746"/>
    </row>
    <row r="108" spans="1:22" ht="61.5" customHeight="1" x14ac:dyDescent="0.35">
      <c r="A108" s="903" t="s">
        <v>684</v>
      </c>
      <c r="B108" s="889">
        <v>45741</v>
      </c>
      <c r="C108" s="903" t="s">
        <v>3291</v>
      </c>
      <c r="D108" s="889"/>
      <c r="E108" s="903" t="s">
        <v>3292</v>
      </c>
      <c r="F108" s="903" t="s">
        <v>4286</v>
      </c>
      <c r="G108" s="904" t="s">
        <v>3267</v>
      </c>
      <c r="H108" s="904"/>
      <c r="I108" s="889"/>
      <c r="J108" s="889"/>
      <c r="K108" s="889"/>
      <c r="L108" s="889"/>
      <c r="M108" s="889"/>
      <c r="N108" s="889"/>
      <c r="O108" s="889"/>
      <c r="P108" s="889"/>
      <c r="Q108" s="889"/>
      <c r="R108" s="889"/>
      <c r="S108" s="890"/>
      <c r="T108" s="890"/>
      <c r="U108" s="890"/>
    </row>
    <row r="109" spans="1:22" ht="61.5" customHeight="1" x14ac:dyDescent="0.35">
      <c r="A109" s="903" t="s">
        <v>685</v>
      </c>
      <c r="B109" s="889">
        <v>45748</v>
      </c>
      <c r="C109" s="889"/>
      <c r="D109" s="889"/>
      <c r="E109" s="889"/>
      <c r="F109" s="889"/>
      <c r="G109" s="889"/>
      <c r="H109" s="889"/>
      <c r="I109" s="889"/>
      <c r="J109" s="889"/>
      <c r="K109" s="889"/>
      <c r="L109" s="889"/>
      <c r="M109" s="889"/>
      <c r="N109" s="889"/>
      <c r="O109" s="889"/>
      <c r="P109" s="889"/>
      <c r="Q109" s="889"/>
      <c r="R109" s="889"/>
      <c r="S109" s="890"/>
      <c r="T109" s="890"/>
      <c r="U109" s="890"/>
    </row>
    <row r="110" spans="1:22" ht="61.5" customHeight="1" x14ac:dyDescent="0.35">
      <c r="A110" s="903" t="s">
        <v>686</v>
      </c>
      <c r="B110" s="889">
        <v>45755</v>
      </c>
      <c r="C110" s="903" t="s">
        <v>4287</v>
      </c>
      <c r="D110" s="889"/>
      <c r="E110" s="903" t="s">
        <v>3300</v>
      </c>
      <c r="F110" s="903" t="s">
        <v>3301</v>
      </c>
      <c r="G110" s="904" t="s">
        <v>3267</v>
      </c>
      <c r="H110" s="904"/>
      <c r="I110" s="889"/>
      <c r="J110" s="889"/>
      <c r="K110" s="889"/>
      <c r="L110" s="889"/>
      <c r="M110" s="889"/>
      <c r="N110" s="889"/>
      <c r="O110" s="889"/>
      <c r="P110" s="889"/>
      <c r="Q110" s="889"/>
      <c r="R110" s="889"/>
      <c r="S110" s="890"/>
      <c r="T110" s="890"/>
      <c r="U110" s="890"/>
    </row>
    <row r="111" spans="1:22" ht="61.5" customHeight="1" x14ac:dyDescent="0.35">
      <c r="A111" s="903" t="s">
        <v>687</v>
      </c>
      <c r="B111" s="899">
        <v>45762</v>
      </c>
      <c r="C111" s="906" t="s">
        <v>3291</v>
      </c>
      <c r="D111" s="899"/>
      <c r="E111" s="906" t="s">
        <v>3303</v>
      </c>
      <c r="F111" s="906" t="s">
        <v>3304</v>
      </c>
      <c r="G111" s="899"/>
      <c r="H111" s="899"/>
      <c r="I111" s="889"/>
      <c r="J111" s="889"/>
      <c r="K111" s="889"/>
      <c r="L111" s="889"/>
      <c r="M111" s="889"/>
      <c r="N111" s="889"/>
      <c r="O111" s="889"/>
      <c r="P111" s="889"/>
      <c r="Q111" s="889"/>
      <c r="R111" s="889"/>
      <c r="S111" s="890"/>
      <c r="T111" s="890"/>
      <c r="U111" s="890"/>
    </row>
    <row r="112" spans="1:22" ht="61.5" customHeight="1" x14ac:dyDescent="0.35">
      <c r="A112" s="903" t="s">
        <v>3317</v>
      </c>
      <c r="B112" s="871" t="s">
        <v>1378</v>
      </c>
      <c r="C112" s="911"/>
      <c r="D112" s="911"/>
      <c r="E112" s="911"/>
      <c r="F112" s="911"/>
      <c r="G112" s="911"/>
      <c r="H112" s="868"/>
      <c r="I112" s="900"/>
      <c r="J112" s="889"/>
      <c r="K112" s="889"/>
      <c r="L112" s="889"/>
      <c r="M112" s="889"/>
      <c r="N112" s="889"/>
      <c r="O112" s="889"/>
      <c r="P112" s="889"/>
      <c r="Q112" s="889"/>
      <c r="R112" s="889"/>
      <c r="S112" s="890"/>
      <c r="T112" s="890"/>
      <c r="U112" s="890"/>
    </row>
    <row r="113" spans="1:21" ht="61.5" customHeight="1" x14ac:dyDescent="0.35">
      <c r="A113" s="903" t="s">
        <v>4288</v>
      </c>
      <c r="B113" s="871" t="s">
        <v>1404</v>
      </c>
      <c r="C113" s="908"/>
      <c r="D113" s="908"/>
      <c r="E113" s="908"/>
      <c r="F113" s="908"/>
      <c r="G113" s="908"/>
      <c r="H113" s="939"/>
      <c r="I113" s="900"/>
      <c r="J113" s="889"/>
      <c r="K113" s="889"/>
      <c r="L113" s="889"/>
      <c r="M113" s="889"/>
      <c r="N113" s="889"/>
      <c r="O113" s="889"/>
      <c r="P113" s="889"/>
      <c r="Q113" s="889"/>
      <c r="R113" s="889"/>
      <c r="S113" s="890"/>
      <c r="T113" s="890"/>
      <c r="U113" s="890"/>
    </row>
    <row r="114" spans="1:21" ht="61.5" customHeight="1" x14ac:dyDescent="0.35">
      <c r="A114" s="903" t="s">
        <v>4289</v>
      </c>
      <c r="B114" s="871" t="s">
        <v>1434</v>
      </c>
      <c r="C114" s="908"/>
      <c r="D114" s="908"/>
      <c r="E114" s="908"/>
      <c r="F114" s="908"/>
      <c r="G114" s="908"/>
      <c r="H114" s="939"/>
      <c r="I114" s="900"/>
      <c r="J114" s="889"/>
      <c r="K114" s="889"/>
      <c r="L114" s="889"/>
      <c r="M114" s="889"/>
      <c r="N114" s="889"/>
      <c r="O114" s="889"/>
      <c r="P114" s="889"/>
      <c r="Q114" s="889"/>
      <c r="R114" s="889"/>
      <c r="S114" s="890"/>
      <c r="T114" s="890"/>
      <c r="U114" s="890"/>
    </row>
    <row r="115" spans="1:21" ht="61.5" customHeight="1" x14ac:dyDescent="0.35">
      <c r="A115" s="903" t="s">
        <v>4290</v>
      </c>
      <c r="B115" s="871" t="s">
        <v>4291</v>
      </c>
      <c r="C115" s="908"/>
      <c r="D115" s="908"/>
      <c r="E115" s="908"/>
      <c r="F115" s="908"/>
      <c r="G115" s="908"/>
      <c r="H115" s="939"/>
      <c r="I115" s="900"/>
      <c r="J115" s="889"/>
      <c r="K115" s="889"/>
      <c r="L115" s="889"/>
      <c r="M115" s="889"/>
      <c r="N115" s="889"/>
      <c r="O115" s="889"/>
      <c r="P115" s="889"/>
      <c r="Q115" s="889"/>
      <c r="R115" s="889"/>
      <c r="S115" s="890"/>
      <c r="T115" s="890"/>
      <c r="U115" s="890"/>
    </row>
    <row r="116" spans="1:21" ht="61.5" customHeight="1" x14ac:dyDescent="0.35">
      <c r="A116" s="903" t="s">
        <v>3402</v>
      </c>
      <c r="B116" s="871" t="s">
        <v>2260</v>
      </c>
      <c r="C116" s="908"/>
      <c r="D116" s="908"/>
      <c r="E116" s="908"/>
      <c r="F116" s="908"/>
      <c r="G116" s="908"/>
      <c r="H116" s="939"/>
      <c r="I116" s="900"/>
      <c r="J116" s="889"/>
      <c r="K116" s="889"/>
      <c r="L116" s="889"/>
      <c r="M116" s="889"/>
      <c r="N116" s="889"/>
      <c r="O116" s="889"/>
      <c r="P116" s="889"/>
      <c r="Q116" s="889"/>
      <c r="R116" s="889"/>
      <c r="S116" s="890"/>
      <c r="T116" s="890"/>
      <c r="U116" s="890"/>
    </row>
    <row r="117" spans="1:21" ht="61.5" customHeight="1" x14ac:dyDescent="0.35">
      <c r="A117" s="903" t="s">
        <v>3404</v>
      </c>
      <c r="B117" s="871" t="s">
        <v>2264</v>
      </c>
      <c r="C117" s="908"/>
      <c r="D117" s="908"/>
      <c r="E117" s="908"/>
      <c r="F117" s="908"/>
      <c r="G117" s="908"/>
      <c r="H117" s="939"/>
      <c r="I117" s="900"/>
      <c r="J117" s="889"/>
      <c r="K117" s="889"/>
      <c r="L117" s="889"/>
      <c r="M117" s="889"/>
      <c r="N117" s="889"/>
      <c r="O117" s="889"/>
      <c r="P117" s="889"/>
      <c r="Q117" s="889"/>
      <c r="R117" s="889"/>
      <c r="S117" s="890"/>
      <c r="T117" s="890"/>
      <c r="U117" s="890"/>
    </row>
    <row r="118" spans="1:21" ht="61.5" customHeight="1" x14ac:dyDescent="0.35">
      <c r="A118" s="903" t="s">
        <v>4292</v>
      </c>
      <c r="B118" s="871" t="s">
        <v>4293</v>
      </c>
      <c r="C118" s="908"/>
      <c r="D118" s="908"/>
      <c r="E118" s="908"/>
      <c r="F118" s="908"/>
      <c r="G118" s="908"/>
      <c r="H118" s="939"/>
      <c r="I118" s="900"/>
      <c r="J118" s="889"/>
      <c r="K118" s="889"/>
      <c r="L118" s="889"/>
      <c r="M118" s="889"/>
      <c r="N118" s="889"/>
      <c r="O118" s="889"/>
      <c r="P118" s="889"/>
      <c r="Q118" s="889"/>
      <c r="R118" s="889"/>
      <c r="S118" s="890"/>
      <c r="T118" s="890"/>
      <c r="U118" s="890"/>
    </row>
    <row r="119" spans="1:21" ht="61.5" customHeight="1" x14ac:dyDescent="0.35">
      <c r="A119" s="903" t="s">
        <v>3412</v>
      </c>
      <c r="B119" s="871" t="s">
        <v>2275</v>
      </c>
      <c r="C119" s="908"/>
      <c r="D119" s="908"/>
      <c r="E119" s="908"/>
      <c r="F119" s="908"/>
      <c r="G119" s="908"/>
      <c r="H119" s="939"/>
      <c r="I119" s="900"/>
      <c r="J119" s="889"/>
      <c r="K119" s="889"/>
      <c r="L119" s="889"/>
      <c r="M119" s="889"/>
      <c r="N119" s="889"/>
      <c r="O119" s="889"/>
      <c r="P119" s="889"/>
      <c r="Q119" s="889"/>
      <c r="R119" s="889"/>
      <c r="S119" s="890"/>
      <c r="T119" s="890"/>
      <c r="U119" s="890"/>
    </row>
    <row r="120" spans="1:21" ht="61.5" customHeight="1" x14ac:dyDescent="0.35">
      <c r="A120" s="846" t="s">
        <v>3414</v>
      </c>
      <c r="B120" s="857" t="s">
        <v>3415</v>
      </c>
      <c r="C120" s="857"/>
      <c r="D120" s="857"/>
      <c r="E120" s="857"/>
      <c r="F120" s="857"/>
      <c r="G120" s="857"/>
      <c r="H120" s="856"/>
      <c r="I120" s="844"/>
      <c r="J120" s="746"/>
      <c r="K120" s="746"/>
      <c r="L120" s="746"/>
      <c r="M120" s="746"/>
      <c r="N120" s="746"/>
      <c r="O120" s="746"/>
      <c r="P120" s="746"/>
      <c r="Q120" s="746"/>
      <c r="R120" s="851"/>
      <c r="S120" s="746"/>
      <c r="T120" s="746"/>
      <c r="U120" s="746"/>
    </row>
    <row r="121" spans="1:21" ht="61.5" customHeight="1" x14ac:dyDescent="0.35">
      <c r="A121" s="903" t="s">
        <v>4294</v>
      </c>
      <c r="B121" s="871" t="s">
        <v>4295</v>
      </c>
      <c r="C121" s="908"/>
      <c r="D121" s="908"/>
      <c r="E121" s="908"/>
      <c r="F121" s="908"/>
      <c r="G121" s="908"/>
      <c r="H121" s="940"/>
      <c r="I121" s="901"/>
      <c r="J121" s="899"/>
      <c r="K121" s="899"/>
      <c r="L121" s="899"/>
      <c r="M121" s="899"/>
      <c r="N121" s="899"/>
      <c r="O121" s="899"/>
      <c r="P121" s="899"/>
      <c r="Q121" s="899"/>
      <c r="R121" s="899"/>
      <c r="S121" s="870"/>
      <c r="T121" s="870"/>
      <c r="U121" s="870"/>
    </row>
    <row r="122" spans="1:21" ht="61.5" customHeight="1" x14ac:dyDescent="0.35">
      <c r="A122" s="907" t="s">
        <v>3422</v>
      </c>
      <c r="B122" s="872" t="s">
        <v>1566</v>
      </c>
      <c r="C122" s="909"/>
      <c r="D122" s="909"/>
      <c r="E122" s="909"/>
      <c r="F122" s="909"/>
      <c r="G122" s="910"/>
      <c r="H122" s="910"/>
      <c r="I122" s="890"/>
      <c r="J122" s="890"/>
      <c r="K122" s="890"/>
      <c r="L122" s="890"/>
      <c r="M122" s="890"/>
      <c r="N122" s="890"/>
      <c r="O122" s="890"/>
      <c r="P122" s="890"/>
      <c r="Q122" s="890"/>
      <c r="R122" s="890"/>
      <c r="S122" s="890"/>
      <c r="T122" s="890"/>
      <c r="U122" s="890"/>
    </row>
    <row r="123" spans="1:21" ht="61.5" customHeight="1" x14ac:dyDescent="0.35">
      <c r="A123" s="869" t="s">
        <v>3426</v>
      </c>
      <c r="B123" s="871" t="s">
        <v>4296</v>
      </c>
      <c r="C123" s="908"/>
      <c r="D123" s="908"/>
      <c r="E123" s="908"/>
      <c r="F123" s="908"/>
      <c r="G123" s="908"/>
      <c r="H123" s="941"/>
      <c r="I123" s="902"/>
      <c r="J123" s="890"/>
      <c r="K123" s="890"/>
      <c r="L123" s="890"/>
      <c r="M123" s="890"/>
      <c r="N123" s="890"/>
      <c r="O123" s="890"/>
      <c r="P123" s="890"/>
      <c r="Q123" s="890"/>
      <c r="R123" s="890"/>
      <c r="S123" s="890"/>
      <c r="T123" s="890"/>
      <c r="U123" s="890"/>
    </row>
  </sheetData>
  <conditionalFormatting sqref="H1:H1048576">
    <cfRule type="containsText" dxfId="4" priority="1" operator="containsText" text="Hold">
      <formula>NOT(ISERROR(SEARCH("Hold",H1)))</formula>
    </cfRule>
    <cfRule type="containsText" dxfId="3" priority="2" operator="containsText" text="Ready to Send">
      <formula>NOT(ISERROR(SEARCH("Ready to Send",H1)))</formula>
    </cfRule>
    <cfRule type="containsText" dxfId="2" priority="3" operator="containsText" text="Changes Needed">
      <formula>NOT(ISERROR(SEARCH("Changes Needed",H1)))</formula>
    </cfRule>
    <cfRule type="containsText" dxfId="1" priority="4" operator="containsText" text="Internal Review">
      <formula>NOT(ISERROR(SEARCH("Internal Review",H1)))</formula>
    </cfRule>
    <cfRule type="containsText" dxfId="0" priority="5" operator="containsText" text="In Progress">
      <formula>NOT(ISERROR(SEARCH("In Progress",H1)))</formula>
    </cfRule>
  </conditionalFormatting>
  <dataValidations count="2">
    <dataValidation type="list" allowBlank="1" showInputMessage="1" showErrorMessage="1" sqref="H1:H95 H97:H1048576" xr:uid="{82873719-78BA-44CC-9232-996119376DB0}">
      <formula1>"In Progress, Internal Review, Changes Needed, Ready to Send, Hold"</formula1>
    </dataValidation>
    <dataValidation type="list" allowBlank="1" showInputMessage="1" showErrorMessage="1" sqref="H96" xr:uid="{00F230CD-948F-4E09-935D-86B3009D67BB}">
      <formula1>"In Progress, Internal Review, Changes Needed, Ready to Send, Hold, Complete"</formula1>
    </dataValidation>
  </dataValidations>
  <hyperlinks>
    <hyperlink ref="D70:D71" r:id="rId1" display="ASHRM@smithbucklin.com" xr:uid="{D6B6B267-3103-46BF-BFED-8FC670022454}"/>
    <hyperlink ref="D67" r:id="rId2" display="mailto:ASHRM@smithbucklin.com" xr:uid="{458089E9-1C68-490D-8A31-F23D7EC9B187}"/>
    <hyperlink ref="D2" r:id="rId3" display="mailto:nschuette@smithbucklin.com" xr:uid="{9988468B-BD07-4EF2-B0B4-01D471DFAA91}"/>
    <hyperlink ref="I2" r:id="rId4" xr:uid="{436F3F2F-A4C5-4E72-8196-841C2227CE4E}"/>
    <hyperlink ref="I3" r:id="rId5" xr:uid="{E069A5B9-E042-438A-B10A-F5FE901D823B}"/>
    <hyperlink ref="D11" r:id="rId6" display="mailto:jowens@smithbucklin.com" xr:uid="{61F3B2D9-0B1C-4D43-B5AC-C022C7A8A009}"/>
    <hyperlink ref="D6" r:id="rId7" display="mailto:jowens@smithbucklin.com" xr:uid="{207B0804-FC00-4E9A-97B6-D08E29E8733C}"/>
    <hyperlink ref="D4" r:id="rId8" display="mailto:jowens@smithbucklin.com" xr:uid="{F65F64EF-79C5-461E-B442-B71F7859A77E}"/>
    <hyperlink ref="I4" r:id="rId9" xr:uid="{665122B1-24B2-4B71-AB11-45D6652CA4A9}"/>
    <hyperlink ref="I6" r:id="rId10" xr:uid="{A4516AD0-8C13-41D1-B35E-4BCE666A05A1}"/>
    <hyperlink ref="I8" r:id="rId11" xr:uid="{09A3C3C8-5C78-41E5-B565-709775D4A40D}"/>
    <hyperlink ref="D16" r:id="rId12" display="mailto:ASHRM@smithbucklin.com" xr:uid="{D5692572-EE1B-437B-802F-DFA3BA4D4BD7}"/>
    <hyperlink ref="D12" r:id="rId13" display="mailto:jowens@smithbucklin.com" xr:uid="{F7613B3E-2D3F-40FF-8987-34388B76319F}"/>
    <hyperlink ref="D24" r:id="rId14" display="mailto:nschuette@smithbucklin.com" xr:uid="{C5FE9AA7-8013-43BD-BE41-857D2971E1F7}"/>
    <hyperlink ref="D26" r:id="rId15" display="mailto:nschuette@smithbucklin.com" xr:uid="{AB887291-D583-49C7-9AFC-A65B1A778288}"/>
    <hyperlink ref="D27" r:id="rId16" display="mailto:nschuette@smithbucklin.com" xr:uid="{1846EA28-7668-42CD-B996-6A2CD28616FF}"/>
    <hyperlink ref="D28" r:id="rId17" display="mailto:nschuette@smithbucklin.com" xr:uid="{AAD1B183-FC1E-4DFA-8530-8A5D83D989BB}"/>
    <hyperlink ref="D30" r:id="rId18" display="mailto:nschuette@smithbucklin.com" xr:uid="{60C3249E-135C-415C-99DC-35F94FAB6880}"/>
    <hyperlink ref="D31" r:id="rId19" display="mailto:nschuette@smithbucklin.com" xr:uid="{04EB9DDA-9009-484C-A1F0-0D3FB7AF3643}"/>
    <hyperlink ref="D32" r:id="rId20" display="mailto:nschuette@smithbucklin.com" xr:uid="{0E0C3826-A23D-468D-9A7A-5AF7E4FFCBA1}"/>
    <hyperlink ref="D33" r:id="rId21" display="mailto:nschuette@smithbucklin.com" xr:uid="{79D75904-8CF8-4398-AC8A-CA546BD3A28A}"/>
    <hyperlink ref="D34" r:id="rId22" display="mailto:nschuette@smithbucklin.com" xr:uid="{20989D49-B666-4D4E-B912-05E24EE27E01}"/>
    <hyperlink ref="D35" r:id="rId23" display="mailto:nschuette@smithbucklin.com" xr:uid="{04C241FF-1A40-48A6-A931-6E76C13687D0}"/>
    <hyperlink ref="D36" r:id="rId24" display="mailto:nschuette@smithbucklin.com" xr:uid="{9A2C476D-60D7-4798-858A-D1138A726938}"/>
    <hyperlink ref="I26" r:id="rId25" xr:uid="{5515CEA6-22AB-4312-80A8-E9122EC5BE34}"/>
    <hyperlink ref="I27" r:id="rId26" xr:uid="{07D79A70-CCD2-4285-B630-7BEA92171CE2}"/>
    <hyperlink ref="I28" r:id="rId27" xr:uid="{4F1BB4BC-B3F6-4509-A1B2-97BC19C8AF85}"/>
    <hyperlink ref="D39" r:id="rId28" display="mailto:nschuette@smithbucklin.com" xr:uid="{740AC8ED-D059-4CE5-90E5-5F6D08FA0A90}"/>
    <hyperlink ref="D40" r:id="rId29" display="mailto:nschuette@smithbucklin.com" xr:uid="{86581482-09FB-446A-9B99-096741A7D7A1}"/>
    <hyperlink ref="D45" r:id="rId30" display="mailto:jowens@smithbucklin.com" xr:uid="{DEEC7A59-D6C2-439A-9F72-12C34CFC2E31}"/>
    <hyperlink ref="D47" r:id="rId31" display="mailto:jowens@smithbucklin.com" xr:uid="{9D703EC1-0763-4E2E-B8B8-4EBCF5271CA0}"/>
    <hyperlink ref="D38" r:id="rId32" display="mailto:ASHRM@smithbucklin.com" xr:uid="{01C7DC55-6A96-4ABB-85ED-AAB2E30C44D0}"/>
    <hyperlink ref="D41" r:id="rId33" display="mailto:nschuette@smithbucklin.com" xr:uid="{B1DC5C02-F17E-40E8-8B52-317A63451245}"/>
    <hyperlink ref="D42" r:id="rId34" display="mailto:nschuette@smithbucklin.com" xr:uid="{1444E9D3-CB4D-4E5F-9309-5896CC9B8AF4}"/>
    <hyperlink ref="D51" r:id="rId35" display="mailto:nschuette@smithbucklin.com" xr:uid="{8CE72E13-BF2D-42D4-AC01-9B4378C82A3A}"/>
    <hyperlink ref="D52" r:id="rId36" display="mailto:nschuette@smithbucklin.com" xr:uid="{113E189B-4CB3-44FA-AC80-A808F9850CFD}"/>
    <hyperlink ref="D53" r:id="rId37" display="mailto:nschuette@smithbucklin.com" xr:uid="{8644E064-39D0-40BD-AFCF-9652A8B7C84C}"/>
    <hyperlink ref="D54" r:id="rId38" display="mailto:nschuette@smithbucklin.com" xr:uid="{1EBC16FC-AA01-400B-A5ED-71C98B27E439}"/>
    <hyperlink ref="D48" r:id="rId39" display="mailto:nschuette@smithbucklin.com" xr:uid="{224A15C0-CF77-44C6-9072-06831CB2F452}"/>
    <hyperlink ref="D49" r:id="rId40" display="mailto:ASHRM@smithbucklin.com" xr:uid="{965C87B6-7E1D-4421-9AAD-BFFDC7B89E9B}"/>
    <hyperlink ref="D73" r:id="rId41" display="mailto:ASHRM@smithbucklin.com" xr:uid="{B5DFAEA7-EBBD-4F50-B860-AF9842F9F35F}"/>
    <hyperlink ref="D57" r:id="rId42" display="mailto:nschuette@smithbucklin.com" xr:uid="{C823A729-5601-4582-BC73-D92F7E0CB53F}"/>
    <hyperlink ref="D58" r:id="rId43" display="mailto:nschuette@smithbucklin.com" xr:uid="{7532A52A-2599-4190-8DC3-B29C9FD4FCE2}"/>
    <hyperlink ref="D59" r:id="rId44" display="mailto:nschuette@smithbucklin.com" xr:uid="{68C67A02-099E-4E0A-B6C7-3CD919E1DE04}"/>
    <hyperlink ref="D60" r:id="rId45" display="mailto:nschuette@smithbucklin.com" xr:uid="{EF5BA9F5-97ED-44A6-AACB-EB7E825F93FA}"/>
    <hyperlink ref="D63" r:id="rId46" display="mailto:nschuette@smithbucklin.com" xr:uid="{FFEAFCDB-108D-42F1-A455-9EDD6F1F6AE3}"/>
    <hyperlink ref="D64" r:id="rId47" display="mailto:nschuette@smithbucklin.com" xr:uid="{1C189CC8-3007-462F-A801-A198433FE3ED}"/>
    <hyperlink ref="D65" r:id="rId48" display="mailto:nschuette@smithbucklin.com" xr:uid="{63BACCBD-53EC-4C80-A70C-94C7C39D92CD}"/>
    <hyperlink ref="D66" r:id="rId49" display="mailto:nschuette@smithbucklin.com" xr:uid="{81D448F2-00D9-4C02-9157-69DCE7774B91}"/>
    <hyperlink ref="D74" r:id="rId50" display="mailto:ASHRM@smithbucklin.com" xr:uid="{AD04F567-6B19-4158-8291-3A29D1055B28}"/>
    <hyperlink ref="D75" r:id="rId51" display="mailto:ASHRM@smithbucklin.com" xr:uid="{3414DADC-A9BA-4E29-BC65-34719D92BF7E}"/>
    <hyperlink ref="D61" r:id="rId52" display="mailto:ASHRM@smithbucklin.com" xr:uid="{375A3078-39A9-4A35-B8BF-0140CFB5E49A}"/>
    <hyperlink ref="D77" r:id="rId53" display="mailto:nschuette@smithbucklin.com" xr:uid="{C3FE5D71-2150-4164-BF54-7DA0E2928403}"/>
    <hyperlink ref="D79" r:id="rId54" display="mailto:nschuette@smithbucklin.com" xr:uid="{6B5C61EA-45B1-4FE8-8348-FD9EB0F91275}"/>
    <hyperlink ref="D68" r:id="rId55" display="mailto:ASHRM@smithbucklin.com" xr:uid="{B871CD9F-D98A-4F9F-978B-2DC69AAA4AD1}"/>
    <hyperlink ref="I77" r:id="rId56" xr:uid="{E9DC189F-2DE5-4D9F-8A83-39B9041DA27C}"/>
    <hyperlink ref="D82" r:id="rId57" display="mailto:nschuette@smithbucklin.com" xr:uid="{22CA6EFD-2FF2-4D09-97AD-F0732B6E1458}"/>
    <hyperlink ref="I79" r:id="rId58" xr:uid="{6FECCABF-13B3-408F-98E9-74F25976C85C}"/>
    <hyperlink ref="I82" r:id="rId59" xr:uid="{E4870848-7983-45C6-AA77-DBAAB7A90A45}"/>
    <hyperlink ref="D87" r:id="rId60" display="mailto:nschuette@smithbucklin.com" xr:uid="{679E9DB0-7127-4F03-83B9-6B469494F9C4}"/>
    <hyperlink ref="D86" r:id="rId61" display="mailto:nschuette@smithbucklin.com" xr:uid="{922A4DE2-B921-4492-8E6A-B166812FBE94}"/>
    <hyperlink ref="I86" r:id="rId62" xr:uid="{46651EBF-9554-43A7-AD90-3615F0B377F6}"/>
    <hyperlink ref="I87" r:id="rId63" xr:uid="{79036D74-1D4F-4670-A1F3-50988BD5178B}"/>
    <hyperlink ref="D88" r:id="rId64" display="mailto:ASHRM@smithbucklin.com" xr:uid="{97306C5B-3402-422C-893F-7CEAD5FBBF51}"/>
    <hyperlink ref="D93" r:id="rId65" display="mailto:nschuette@smithbucklin.com" xr:uid="{E32EB0D6-891F-432D-9F9F-3D1BE44B3B08}"/>
    <hyperlink ref="I88" r:id="rId66" xr:uid="{EF874C4E-1588-45E8-A23E-FB5A116499A5}"/>
    <hyperlink ref="I93" r:id="rId67" display="'http://45453675.hs-sites.com/what-to-expect-from-ashrm-2025" xr:uid="{074F43F6-20AF-4284-BAE8-926F4B54DAD0}"/>
    <hyperlink ref="D94" r:id="rId68" display="mailto:nschuette@smithbucklin.com" xr:uid="{ED1A539D-B07A-4782-A1EF-7ECAFF029C54}"/>
    <hyperlink ref="D95" r:id="rId69" display="mailto:nschuette@smithbucklin.com" xr:uid="{B97BAFCA-EECB-4E7B-9741-C9B590711B2C}"/>
    <hyperlink ref="D98" r:id="rId70" display="mailto:nschuette@smithbucklin.com" xr:uid="{24F7034F-FFB9-472D-A159-6E8AA0055B97}"/>
    <hyperlink ref="D103" r:id="rId71" display="mailto:nschuette@smithbucklin.com" xr:uid="{64CCEA78-396A-4F69-AB15-ABC43691E991}"/>
    <hyperlink ref="D102" r:id="rId72" display="mailto:nschuette@smithbucklin.com" xr:uid="{09B75A4E-1DEB-4AD0-93BC-78E7C3C74B96}"/>
    <hyperlink ref="D101" r:id="rId73" display="mailto:nschuette@smithbucklin.com" xr:uid="{5913BFC6-B4DE-410C-862A-6BC42FD6B68C}"/>
    <hyperlink ref="D104" r:id="rId74" display="mailto:nschuette@smithbucklin.com" xr:uid="{1BEE2559-9BAF-4029-A6F3-4F6008F2E7B5}"/>
    <hyperlink ref="D105" r:id="rId75" display="mailto:nschuette@smithbucklin.com" xr:uid="{E3B24705-A6A3-4A76-831B-E292B0A4169C}"/>
    <hyperlink ref="F94" r:id="rId76" xr:uid="{EC940F3D-AD98-4F44-B2A9-37C7610721CC}"/>
    <hyperlink ref="G95" r:id="rId77" xr:uid="{54B3EF7F-8155-45B5-896B-6C3437C8A7EC}"/>
    <hyperlink ref="G108" r:id="rId78" xr:uid="{EDCCF8F1-1B1C-4F63-BBBF-A38524B7D7A8}"/>
    <hyperlink ref="G110" r:id="rId79" xr:uid="{434C0C5B-AF77-4C6A-9A40-6FCAEA02553C}"/>
    <hyperlink ref="G101" r:id="rId80" xr:uid="{4FD5518C-C79B-4233-846C-73706F9DFBBA}"/>
    <hyperlink ref="D96" r:id="rId81" display="mailto:pbrayley@smithbucklin.com" xr:uid="{A49B6BCE-D029-4F9D-85E8-4AB77B247AFE}"/>
    <hyperlink ref="G96" r:id="rId82" xr:uid="{D6D7A68B-D0D4-4298-BD8E-35BDF5D8503B}"/>
    <hyperlink ref="D97" r:id="rId83" display="mailto:nschuette@smithbucklin.com" xr:uid="{7645B3AC-8CB0-4346-9F86-E4B5B4BBBA48}"/>
    <hyperlink ref="G97" r:id="rId84" xr:uid="{F706CD9D-F789-44A3-B3C8-DA141456113F}"/>
    <hyperlink ref="G100" r:id="rId85" xr:uid="{6C4C8B36-BA5A-49F3-A282-6B37C1348992}"/>
    <hyperlink ref="D100" r:id="rId86" display="mailto:nschuette@smithbucklin.com" xr:uid="{4E3675C3-2C3E-4E6F-8F96-51B64348949E}"/>
    <hyperlink ref="D99" r:id="rId87" display="mailto:nschuette@smithbucklin.com" xr:uid="{A5938743-DBD8-4885-A9BF-C2615E676152}"/>
    <hyperlink ref="G99" r:id="rId88" xr:uid="{65170BE2-A3F1-48FE-B477-804C188BC962}"/>
    <hyperlink ref="I94" r:id="rId89" xr:uid="{BFFAA845-BC26-40CF-891C-2A01F9EB84BE}"/>
    <hyperlink ref="I95" r:id="rId90" xr:uid="{8030BB70-CCDE-40DC-B280-F9DD401AB1C8}"/>
  </hyperlinks>
  <pageMargins left="0.7" right="0.7" top="0.75" bottom="0.75" header="0.3" footer="0.3"/>
  <pageSetup orientation="portrait" r:id="rId9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D406-8A0E-4A8E-8451-542276CDAF82}">
  <sheetPr>
    <tabColor rgb="FF7030A0"/>
  </sheetPr>
  <dimension ref="A1:N12"/>
  <sheetViews>
    <sheetView workbookViewId="0">
      <selection activeCell="C16" sqref="C16"/>
    </sheetView>
  </sheetViews>
  <sheetFormatPr defaultColWidth="8.81640625" defaultRowHeight="24.75" customHeight="1" x14ac:dyDescent="0.35"/>
  <cols>
    <col min="1" max="1" width="19.453125" style="1753" customWidth="1"/>
    <col min="2" max="2" width="23.453125" style="1753" customWidth="1"/>
    <col min="3" max="3" width="19.81640625" style="1753" customWidth="1"/>
    <col min="4" max="4" width="29.54296875" style="1753" customWidth="1"/>
    <col min="5" max="5" width="32.81640625" style="1753" customWidth="1"/>
    <col min="6" max="6" width="31.54296875" style="1753" customWidth="1"/>
    <col min="7" max="7" width="14.26953125" style="1753" customWidth="1"/>
    <col min="8" max="8" width="14.81640625" style="1753" customWidth="1"/>
    <col min="9" max="9" width="20.1796875" style="1753" customWidth="1"/>
    <col min="10" max="10" width="15" style="1753" customWidth="1"/>
    <col min="11" max="11" width="14.1796875" style="1753" customWidth="1"/>
    <col min="12" max="12" width="12.7265625" style="1753" customWidth="1"/>
    <col min="13" max="13" width="10.81640625" style="1753" customWidth="1"/>
    <col min="14" max="14" width="11.453125" style="1753" customWidth="1"/>
    <col min="15" max="16384" width="8.81640625" style="1753"/>
  </cols>
  <sheetData>
    <row r="1" spans="1:14" ht="24.75" customHeight="1" x14ac:dyDescent="0.35">
      <c r="B1" s="1753" t="s">
        <v>4297</v>
      </c>
    </row>
    <row r="2" spans="1:14" ht="24.75" customHeight="1" x14ac:dyDescent="0.35">
      <c r="A2" s="1189"/>
    </row>
    <row r="3" spans="1:14" s="1189" customFormat="1" ht="24.75" customHeight="1" x14ac:dyDescent="0.35">
      <c r="A3" s="1768" t="s">
        <v>3566</v>
      </c>
      <c r="B3" s="1768" t="s">
        <v>3567</v>
      </c>
      <c r="C3" s="1768" t="s">
        <v>431</v>
      </c>
      <c r="D3" s="1768" t="s">
        <v>4298</v>
      </c>
      <c r="E3" s="1768" t="s">
        <v>4299</v>
      </c>
      <c r="F3" s="1768" t="s">
        <v>3570</v>
      </c>
      <c r="G3" s="1768" t="s">
        <v>727</v>
      </c>
      <c r="H3" s="1768" t="s">
        <v>9</v>
      </c>
      <c r="I3" s="1768" t="s">
        <v>728</v>
      </c>
      <c r="J3" s="1768" t="s">
        <v>651</v>
      </c>
      <c r="K3" s="1768" t="s">
        <v>433</v>
      </c>
      <c r="L3" s="1768" t="s">
        <v>729</v>
      </c>
      <c r="M3" s="1768" t="s">
        <v>653</v>
      </c>
      <c r="N3" s="1768" t="s">
        <v>655</v>
      </c>
    </row>
    <row r="4" spans="1:14" s="1189" customFormat="1" ht="24.75" customHeight="1" x14ac:dyDescent="0.35">
      <c r="A4" s="1777">
        <v>46076</v>
      </c>
      <c r="B4" s="1753" t="s">
        <v>4300</v>
      </c>
      <c r="C4" s="1769">
        <v>46078</v>
      </c>
      <c r="D4" s="1770" t="s">
        <v>4301</v>
      </c>
      <c r="E4" s="1771" t="s">
        <v>4302</v>
      </c>
      <c r="F4" s="1772" t="s">
        <v>4303</v>
      </c>
      <c r="G4" s="1768"/>
      <c r="H4" s="1768"/>
      <c r="I4" s="1768"/>
      <c r="J4" s="1768"/>
      <c r="K4" s="1768"/>
      <c r="L4" s="1768"/>
      <c r="M4" s="1768"/>
      <c r="N4" s="1768"/>
    </row>
    <row r="5" spans="1:14" ht="24.75" customHeight="1" x14ac:dyDescent="0.35">
      <c r="A5" s="1773">
        <v>46083</v>
      </c>
      <c r="B5" s="1753" t="s">
        <v>164</v>
      </c>
      <c r="C5" s="1773">
        <v>46085</v>
      </c>
      <c r="D5" s="1770" t="s">
        <v>4301</v>
      </c>
      <c r="E5" s="1189" t="s">
        <v>4304</v>
      </c>
      <c r="F5" s="1753" t="s">
        <v>4305</v>
      </c>
    </row>
    <row r="6" spans="1:14" ht="24.75" customHeight="1" x14ac:dyDescent="0.35">
      <c r="A6" s="1773">
        <v>46097</v>
      </c>
      <c r="B6" s="1753" t="s">
        <v>164</v>
      </c>
      <c r="C6" s="1773">
        <v>46100</v>
      </c>
      <c r="D6" s="1770" t="s">
        <v>4301</v>
      </c>
      <c r="E6" s="1753" t="s">
        <v>3620</v>
      </c>
      <c r="F6" s="1189" t="s">
        <v>4306</v>
      </c>
    </row>
    <row r="7" spans="1:14" ht="24.75" customHeight="1" x14ac:dyDescent="0.35">
      <c r="A7" s="1773">
        <v>46118</v>
      </c>
      <c r="B7" s="1753" t="s">
        <v>3678</v>
      </c>
      <c r="C7" s="1773">
        <v>46121</v>
      </c>
      <c r="D7" s="1770" t="s">
        <v>4301</v>
      </c>
      <c r="E7" s="1189" t="s">
        <v>4307</v>
      </c>
      <c r="F7" s="1753" t="s">
        <v>4308</v>
      </c>
    </row>
    <row r="8" spans="1:14" ht="24.75" customHeight="1" x14ac:dyDescent="0.35">
      <c r="A8" s="1773">
        <v>46132</v>
      </c>
      <c r="B8" s="1753" t="s">
        <v>3678</v>
      </c>
      <c r="C8" s="1773">
        <v>46133</v>
      </c>
      <c r="D8" s="1770" t="s">
        <v>4301</v>
      </c>
      <c r="E8" s="1753" t="s">
        <v>4309</v>
      </c>
      <c r="F8" s="1753" t="s">
        <v>4310</v>
      </c>
    </row>
    <row r="9" spans="1:14" ht="24.75" customHeight="1" x14ac:dyDescent="0.35">
      <c r="A9" s="1773">
        <v>46146</v>
      </c>
    </row>
    <row r="10" spans="1:14" ht="24.75" customHeight="1" x14ac:dyDescent="0.35">
      <c r="A10" s="1773">
        <v>46160</v>
      </c>
    </row>
    <row r="12" spans="1:14" ht="24.75" customHeight="1" x14ac:dyDescent="0.35">
      <c r="A12" s="1753" t="s">
        <v>4311</v>
      </c>
      <c r="B12" s="2187" t="s">
        <v>4312</v>
      </c>
      <c r="C12" s="2187"/>
      <c r="D12" s="2187"/>
      <c r="E12" s="2187"/>
      <c r="F12" s="2187"/>
    </row>
  </sheetData>
  <mergeCells count="1">
    <mergeCell ref="B12:F12"/>
  </mergeCells>
  <hyperlinks>
    <hyperlink ref="D4" r:id="rId1" xr:uid="{73024C58-D985-468C-9F29-F147D2195E79}"/>
    <hyperlink ref="D5:D8" r:id="rId2" display="swang@360livemedia.com" xr:uid="{94AAB6E5-9DF9-4AAB-88ED-5C040195FCD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2221E3A8D84154BBF6AAC13E53147AD" ma:contentTypeVersion="16" ma:contentTypeDescription="Create a new document." ma:contentTypeScope="" ma:versionID="78a44f35a8c429f625a2a8c1c5e6935b">
  <xsd:schema xmlns:xsd="http://www.w3.org/2001/XMLSchema" xmlns:xs="http://www.w3.org/2001/XMLSchema" xmlns:p="http://schemas.microsoft.com/office/2006/metadata/properties" xmlns:ns2="20a37e1e-cb09-4705-a5f2-a49cbb19fca6" xmlns:ns3="1ee2e583-4fe5-4f06-8855-a62d82653687" targetNamespace="http://schemas.microsoft.com/office/2006/metadata/properties" ma:root="true" ma:fieldsID="3cd36cfeb0f8c13e30a5d2b648ef0e6e" ns2:_="" ns3:_="">
    <xsd:import namespace="20a37e1e-cb09-4705-a5f2-a49cbb19fca6"/>
    <xsd:import namespace="1ee2e583-4fe5-4f06-8855-a62d826536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BillingMetadata"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37e1e-cb09-4705-a5f2-a49cbb19fc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99c727-3acf-4c25-8995-31529a25435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e2e583-4fe5-4f06-8855-a62d826536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8fb98b3-044f-40e5-834b-193b122b2f2f}" ma:internalName="TaxCatchAll" ma:showField="CatchAllData" ma:web="1ee2e583-4fe5-4f06-8855-a62d826536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1ee2e583-4fe5-4f06-8855-a62d82653687">
      <UserInfo>
        <DisplayName>King, Kris</DisplayName>
        <AccountId>25</AccountId>
        <AccountType/>
      </UserInfo>
      <UserInfo>
        <DisplayName>Owens, Jordan</DisplayName>
        <AccountId>28</AccountId>
        <AccountType/>
      </UserInfo>
      <UserInfo>
        <DisplayName>Griffin, Sue</DisplayName>
        <AccountId>23</AccountId>
        <AccountType/>
      </UserInfo>
      <UserInfo>
        <DisplayName>Schuette, Nick</DisplayName>
        <AccountId>26</AccountId>
        <AccountType/>
      </UserInfo>
      <UserInfo>
        <DisplayName>Cooksey, Don</DisplayName>
        <AccountId>27</AccountId>
        <AccountType/>
      </UserInfo>
    </SharedWithUsers>
    <lcf76f155ced4ddcb4097134ff3c332f xmlns="20a37e1e-cb09-4705-a5f2-a49cbb19fca6">
      <Terms xmlns="http://schemas.microsoft.com/office/infopath/2007/PartnerControls"/>
    </lcf76f155ced4ddcb4097134ff3c332f>
    <TaxCatchAll xmlns="1ee2e583-4fe5-4f06-8855-a62d82653687" xsi:nil="true"/>
  </documentManagement>
</p:properties>
</file>

<file path=customXml/itemProps1.xml><?xml version="1.0" encoding="utf-8"?>
<ds:datastoreItem xmlns:ds="http://schemas.openxmlformats.org/officeDocument/2006/customXml" ds:itemID="{9C2B685C-9002-4045-8478-726BD48B4E52}">
  <ds:schemaRefs>
    <ds:schemaRef ds:uri="http://schemas.microsoft.com/sharepoint/v3/contenttype/forms"/>
  </ds:schemaRefs>
</ds:datastoreItem>
</file>

<file path=customXml/itemProps2.xml><?xml version="1.0" encoding="utf-8"?>
<ds:datastoreItem xmlns:ds="http://schemas.openxmlformats.org/officeDocument/2006/customXml" ds:itemID="{8BEACB45-684E-4A3D-B56C-49D5FBCBD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a37e1e-cb09-4705-a5f2-a49cbb19fca6"/>
    <ds:schemaRef ds:uri="1ee2e583-4fe5-4f06-8855-a62d826536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A0D2D7-C19D-4CEE-A50B-798B204BC0B9}">
  <ds:schemaRefs>
    <ds:schemaRef ds:uri="http://purl.org/dc/dcmitype/"/>
    <ds:schemaRef ds:uri="http://schemas.microsoft.com/office/2006/documentManagement/types"/>
    <ds:schemaRef ds:uri="20a37e1e-cb09-4705-a5f2-a49cbb19fca6"/>
    <ds:schemaRef ds:uri="http://purl.org/dc/terms/"/>
    <ds:schemaRef ds:uri="1ee2e583-4fe5-4f06-8855-a62d82653687"/>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ASHE</vt:lpstr>
      <vt:lpstr>AHRMM</vt:lpstr>
      <vt:lpstr>ASHE 2025 - Kris</vt:lpstr>
      <vt:lpstr>ASHE - Kris</vt:lpstr>
      <vt:lpstr>SHSMD - Jill</vt:lpstr>
      <vt:lpstr>AHE - Kevin (Only)</vt:lpstr>
      <vt:lpstr>AHRMM - Kris &amp; Jill</vt:lpstr>
      <vt:lpstr>ASHRM - Kevin</vt:lpstr>
      <vt:lpstr>ATC - Sara &amp; Sky</vt:lpstr>
      <vt:lpstr>HCMC - Kris</vt:lpstr>
      <vt:lpstr>ASHRM</vt:lpstr>
      <vt:lpstr>AHE</vt:lpstr>
      <vt:lpstr>TEST - Krishna</vt:lpstr>
      <vt:lpstr>ADA - Sara</vt:lpstr>
      <vt:lpstr>ASHE!Print_Area</vt:lpstr>
      <vt:lpstr>'ASHE - Kris'!Print_Area</vt:lpstr>
      <vt:lpstr>'ASHE 2025 - Kris'!Print_Area</vt:lpstr>
      <vt:lpstr>'SHSMD - Jill'!Print_Area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Macy</dc:creator>
  <cp:keywords/>
  <dc:description/>
  <cp:lastModifiedBy>Peyton Touma</cp:lastModifiedBy>
  <cp:revision/>
  <dcterms:created xsi:type="dcterms:W3CDTF">2022-01-07T18:48:17Z</dcterms:created>
  <dcterms:modified xsi:type="dcterms:W3CDTF">2026-06-18T20:49:27Z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0x01010072221E3A8D84154BBF6AAC13E53147AD</vt:lpwstr>
  </property>
  <property fmtid="{D5CDD505-2E9C-101B-9397-08002B2CF9AE}" pid="3" name="MediaServiceImageTags">
    <vt:lpwstr/>
  </property>
</Properties>
</file>