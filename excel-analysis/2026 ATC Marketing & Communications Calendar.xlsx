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ocumenttasks/documenttask1.xml" ContentType="application/vnd.ms-excel.documenttask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smithbucklin-my.sharepoint.com/personal/ptouma_smithbucklin_com/Documents/Desktop/Dev/360-marketing-dashboard/excel-analysis/"/>
    </mc:Choice>
  </mc:AlternateContent>
  <xr:revisionPtr revIDLastSave="0" documentId="8_{F60188F5-9DBC-4618-83BB-A14DA21F8572}" xr6:coauthVersionLast="47" xr6:coauthVersionMax="47" xr10:uidLastSave="{00000000-0000-0000-0000-000000000000}"/>
  <bookViews>
    <workbookView xWindow="4335" yWindow="-16470" windowWidth="19155" windowHeight="13935" firstSheet="12" activeTab="13" xr2:uid="{00000000-000D-0000-FFFF-FFFF00000000}"/>
  </bookViews>
  <sheets>
    <sheet name="June 2025" sheetId="8" r:id="rId1"/>
    <sheet name="July 2025" sheetId="9" r:id="rId2"/>
    <sheet name="Aug 2025" sheetId="10" r:id="rId3"/>
    <sheet name="Sept 2025" sheetId="11" r:id="rId4"/>
    <sheet name="Oct 2025" sheetId="12" r:id="rId5"/>
    <sheet name="Nov 2025" sheetId="13" r:id="rId6"/>
    <sheet name="Dec 2025" sheetId="2" r:id="rId7"/>
    <sheet name="Jan 2026" sheetId="3" r:id="rId8"/>
    <sheet name="Feb 2026" sheetId="4" r:id="rId9"/>
    <sheet name="March 2026" sheetId="5" r:id="rId10"/>
    <sheet name="April 2026" sheetId="6" r:id="rId11"/>
    <sheet name="May 2026" sheetId="7" r:id="rId12"/>
    <sheet name="June 2026" sheetId="14" r:id="rId13"/>
    <sheet name="July 2026" sheetId="15" r:id="rId14"/>
    <sheet name="August 2026" sheetId="16" r:id="rId15"/>
  </sheets>
  <definedNames>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12" l="1"/>
  <c r="B9" i="4"/>
  <c r="B19" i="16"/>
  <c r="G9" i="16"/>
  <c r="H9" i="16" s="1"/>
  <c r="B11" i="16" s="1"/>
  <c r="C11" i="16" s="1"/>
  <c r="D11" i="16" s="1"/>
  <c r="E11" i="16" s="1"/>
  <c r="F11" i="16" s="1"/>
  <c r="G11" i="16" s="1"/>
  <c r="H11" i="16" s="1"/>
  <c r="B13" i="16" s="1"/>
  <c r="C13" i="16" s="1"/>
  <c r="D13" i="16" s="1"/>
  <c r="E13" i="16" s="1"/>
  <c r="F13" i="16" s="1"/>
  <c r="G13" i="16" s="1"/>
  <c r="H13" i="16" s="1"/>
  <c r="B15" i="16" s="1"/>
  <c r="C15" i="16" s="1"/>
  <c r="D15" i="16" s="1"/>
  <c r="E15" i="16" s="1"/>
  <c r="F15" i="16" s="1"/>
  <c r="G15" i="16" s="1"/>
  <c r="H15" i="16" s="1"/>
  <c r="B17" i="16" s="1"/>
  <c r="C17" i="16" s="1"/>
  <c r="D17" i="16" s="1"/>
  <c r="E17" i="16" s="1"/>
  <c r="F17" i="16" s="1"/>
  <c r="G17" i="16" s="1"/>
  <c r="H17" i="16" s="1"/>
  <c r="C9" i="14"/>
  <c r="D9" i="14" s="1"/>
  <c r="E9" i="14" s="1"/>
  <c r="F9" i="14" s="1"/>
  <c r="G9" i="14" s="1"/>
  <c r="E9" i="6"/>
  <c r="F9" i="6" s="1"/>
  <c r="G9" i="6" s="1"/>
  <c r="C9" i="5"/>
  <c r="D9" i="5" s="1"/>
  <c r="G10" i="3"/>
  <c r="F9" i="12"/>
  <c r="D9" i="11"/>
  <c r="E9" i="11" s="1"/>
  <c r="B12" i="10"/>
  <c r="E9" i="9"/>
  <c r="F9" i="15"/>
  <c r="G9" i="15" s="1"/>
  <c r="H9" i="15" s="1"/>
  <c r="B11" i="15" s="1"/>
  <c r="C11" i="15" s="1"/>
  <c r="D11" i="15" s="1"/>
  <c r="E11" i="15" s="1"/>
  <c r="F11" i="15" s="1"/>
  <c r="G11" i="15" s="1"/>
  <c r="H11" i="15" s="1"/>
  <c r="B13" i="15" s="1"/>
  <c r="C13" i="15" s="1"/>
  <c r="D13" i="15" s="1"/>
  <c r="E13" i="15" s="1"/>
  <c r="F13" i="15" s="1"/>
  <c r="G13" i="15" s="1"/>
  <c r="H13" i="15" s="1"/>
  <c r="H9" i="14"/>
  <c r="H9" i="7"/>
  <c r="B11" i="7" s="1"/>
  <c r="C11" i="7" s="1"/>
  <c r="D11" i="7" s="1"/>
  <c r="E11" i="7" s="1"/>
  <c r="F11" i="7" s="1"/>
  <c r="G11" i="7" s="1"/>
  <c r="H11" i="7" s="1"/>
  <c r="B14" i="7" s="1"/>
  <c r="C14" i="7" s="1"/>
  <c r="D14" i="7" s="1"/>
  <c r="E14" i="7" s="1"/>
  <c r="F14" i="7" s="1"/>
  <c r="G14" i="7" s="1"/>
  <c r="H14" i="7" s="1"/>
  <c r="H9" i="6"/>
  <c r="B14" i="6" s="1"/>
  <c r="C14" i="6" s="1"/>
  <c r="D14" i="6" s="1"/>
  <c r="E14" i="6" s="1"/>
  <c r="F14" i="6" s="1"/>
  <c r="G14" i="6" s="1"/>
  <c r="H14" i="6" s="1"/>
  <c r="F9" i="5"/>
  <c r="G9" i="5" s="1"/>
  <c r="D9" i="4"/>
  <c r="E9" i="4" s="1"/>
  <c r="F9" i="4" s="1"/>
  <c r="G9" i="4" s="1"/>
  <c r="H9" i="4" s="1"/>
  <c r="H10" i="3"/>
  <c r="B13" i="3" s="1"/>
  <c r="C13" i="3" s="1"/>
  <c r="D13" i="3" s="1"/>
  <c r="E13" i="3" s="1"/>
  <c r="F13" i="3" s="1"/>
  <c r="G13" i="3" s="1"/>
  <c r="H13" i="3" s="1"/>
  <c r="B16" i="3" s="1"/>
  <c r="C16" i="3" s="1"/>
  <c r="D16" i="3" s="1"/>
  <c r="E16" i="3" s="1"/>
  <c r="F16" i="3" s="1"/>
  <c r="G16" i="3" s="1"/>
  <c r="H16" i="3" s="1"/>
  <c r="B20" i="3" s="1"/>
  <c r="C20" i="3" s="1"/>
  <c r="D20" i="3" s="1"/>
  <c r="E20" i="3" s="1"/>
  <c r="F20" i="3" s="1"/>
  <c r="G20" i="3" s="1"/>
  <c r="H20" i="3" s="1"/>
  <c r="B23" i="3" s="1"/>
  <c r="C23" i="3" s="1"/>
  <c r="D23" i="3" s="1"/>
  <c r="E23" i="3" s="1"/>
  <c r="F23" i="3" s="1"/>
  <c r="G23" i="3" s="1"/>
  <c r="H23" i="3" s="1"/>
  <c r="B12" i="2"/>
  <c r="C12" i="2" s="1"/>
  <c r="B12" i="13"/>
  <c r="C12" i="13" s="1"/>
  <c r="D12" i="13" s="1"/>
  <c r="E12" i="13" s="1"/>
  <c r="F12" i="13" s="1"/>
  <c r="G12" i="13" s="1"/>
  <c r="H12" i="13" s="1"/>
  <c r="B16" i="13" s="1"/>
  <c r="C16" i="13" s="1"/>
  <c r="D16" i="13" s="1"/>
  <c r="E16" i="13" s="1"/>
  <c r="F16" i="13" s="1"/>
  <c r="G16" i="13" s="1"/>
  <c r="H16" i="13" s="1"/>
  <c r="B20" i="13" s="1"/>
  <c r="C20" i="13" s="1"/>
  <c r="D20" i="13" s="1"/>
  <c r="E20" i="13" s="1"/>
  <c r="H9" i="12"/>
  <c r="B13" i="12"/>
  <c r="C13" i="12" s="1"/>
  <c r="D13" i="12" s="1"/>
  <c r="E13" i="12" s="1"/>
  <c r="F13" i="12" s="1"/>
  <c r="G13" i="12" s="1"/>
  <c r="H13" i="12" s="1"/>
  <c r="B17" i="12" s="1"/>
  <c r="C17" i="12" s="1"/>
  <c r="D17" i="12" s="1"/>
  <c r="B13" i="11"/>
  <c r="C13" i="11" s="1"/>
  <c r="D13" i="11" s="1"/>
  <c r="E13" i="11" s="1"/>
  <c r="F13" i="11" s="1"/>
  <c r="G13" i="11" s="1"/>
  <c r="H13" i="11" s="1"/>
  <c r="B17" i="11" s="1"/>
  <c r="C17" i="11" s="1"/>
  <c r="D17" i="11" s="1"/>
  <c r="E17" i="11" s="1"/>
  <c r="F17" i="11" s="1"/>
  <c r="G17" i="11" s="1"/>
  <c r="H17" i="11" s="1"/>
  <c r="B21" i="11" s="1"/>
  <c r="C21" i="11" s="1"/>
  <c r="D21" i="11" s="1"/>
  <c r="E21" i="11" s="1"/>
  <c r="F21" i="11" s="1"/>
  <c r="G21" i="11" s="1"/>
  <c r="H21" i="11" s="1"/>
  <c r="B25" i="11" s="1"/>
  <c r="G9" i="11"/>
  <c r="C12" i="10"/>
  <c r="D12" i="10" s="1"/>
  <c r="E12" i="10" s="1"/>
  <c r="F12" i="10" s="1"/>
  <c r="G12" i="10" s="1"/>
  <c r="H12" i="10" s="1"/>
  <c r="B16" i="10" s="1"/>
  <c r="C16" i="10" s="1"/>
  <c r="D16" i="10" s="1"/>
  <c r="E16" i="10" s="1"/>
  <c r="F16" i="10" s="1"/>
  <c r="G16" i="10" s="1"/>
  <c r="H16" i="10" s="1"/>
  <c r="B20" i="10" s="1"/>
  <c r="C20" i="10" s="1"/>
  <c r="H9" i="9"/>
  <c r="B13" i="9" s="1"/>
  <c r="B12" i="8"/>
  <c r="C12" i="8" s="1"/>
  <c r="D12" i="8" s="1"/>
  <c r="H9" i="5" l="1"/>
  <c r="B12" i="5" s="1"/>
  <c r="C12" i="5" s="1"/>
  <c r="D12" i="5" s="1"/>
  <c r="E12" i="5" s="1"/>
  <c r="F12" i="5" s="1"/>
  <c r="G12" i="5" s="1"/>
  <c r="H12" i="5" s="1"/>
  <c r="B16" i="5" s="1"/>
  <c r="C16" i="5" s="1"/>
  <c r="D16" i="5" s="1"/>
  <c r="E16" i="5" s="1"/>
  <c r="F16" i="5" s="1"/>
  <c r="G16" i="5" s="1"/>
  <c r="H16" i="5" s="1"/>
  <c r="B20" i="5" s="1"/>
  <c r="C20" i="5" s="1"/>
  <c r="D20" i="5" s="1"/>
  <c r="E20" i="5" s="1"/>
  <c r="F20" i="5" s="1"/>
  <c r="D12" i="2"/>
  <c r="E12" i="2" s="1"/>
  <c r="F12" i="2" s="1"/>
  <c r="G12" i="2" s="1"/>
  <c r="H12" i="2" s="1"/>
  <c r="B16" i="2" s="1"/>
  <c r="C16" i="2" s="1"/>
  <c r="F20" i="13"/>
  <c r="G20" i="13" s="1"/>
  <c r="H20" i="13" s="1"/>
  <c r="B23" i="13" s="1"/>
  <c r="C23" i="13" s="1"/>
  <c r="D23" i="13" s="1"/>
  <c r="C25" i="11"/>
  <c r="D25" i="11" s="1"/>
  <c r="G17" i="12"/>
  <c r="H17" i="12" s="1"/>
  <c r="B21" i="12" s="1"/>
  <c r="C21" i="12" s="1"/>
  <c r="D21" i="12" s="1"/>
  <c r="E21" i="12" s="1"/>
  <c r="F21" i="12" s="1"/>
  <c r="G21" i="12" s="1"/>
  <c r="H21" i="12" s="1"/>
  <c r="B24" i="12" s="1"/>
  <c r="D24" i="12" s="1"/>
  <c r="E24" i="12" s="1"/>
  <c r="F24" i="12" s="1"/>
  <c r="G24" i="12" s="1"/>
  <c r="E17" i="12"/>
  <c r="E12" i="8"/>
  <c r="F12" i="8" s="1"/>
  <c r="G12" i="8" s="1"/>
  <c r="H12" i="8" s="1"/>
  <c r="B15" i="8" s="1"/>
  <c r="C15" i="8" s="1"/>
  <c r="D15" i="8" s="1"/>
  <c r="E15" i="8" s="1"/>
  <c r="B15" i="15"/>
  <c r="C15" i="15" s="1"/>
  <c r="D15" i="15" s="1"/>
  <c r="E15" i="15" s="1"/>
  <c r="F15" i="15" s="1"/>
  <c r="B13" i="14"/>
  <c r="C13" i="14" s="1"/>
  <c r="D13" i="14" s="1"/>
  <c r="E13" i="14" s="1"/>
  <c r="F13" i="14" s="1"/>
  <c r="G13" i="14" s="1"/>
  <c r="H13" i="14" s="1"/>
  <c r="B16" i="7"/>
  <c r="C16" i="7" s="1"/>
  <c r="D16" i="7" s="1"/>
  <c r="E16" i="7" s="1"/>
  <c r="F16" i="7" s="1"/>
  <c r="E23" i="13"/>
  <c r="F23" i="13" s="1"/>
  <c r="G23" i="13" s="1"/>
  <c r="H23" i="13" s="1"/>
  <c r="B26" i="13" s="1"/>
  <c r="D20" i="10"/>
  <c r="E20" i="10" s="1"/>
  <c r="G20" i="5"/>
  <c r="H20" i="5" s="1"/>
  <c r="B24" i="5" s="1"/>
  <c r="C24" i="5" s="1"/>
  <c r="D24" i="5" s="1"/>
  <c r="F20" i="10"/>
  <c r="G20" i="10" s="1"/>
  <c r="H20" i="10" s="1"/>
  <c r="B24" i="10" s="1"/>
  <c r="C24" i="10" s="1"/>
  <c r="D24" i="10" s="1"/>
  <c r="E24" i="10" s="1"/>
  <c r="F24" i="10" s="1"/>
  <c r="G24" i="10" s="1"/>
  <c r="H24" i="10" s="1"/>
  <c r="B28" i="10" s="1"/>
  <c r="C13" i="9"/>
  <c r="D13" i="9" s="1"/>
  <c r="E13" i="9" s="1"/>
  <c r="F13" i="9" s="1"/>
  <c r="G13" i="9" s="1"/>
  <c r="H13" i="9" s="1"/>
  <c r="B17" i="9" s="1"/>
  <c r="C17" i="9" s="1"/>
  <c r="D17" i="9" s="1"/>
  <c r="E17" i="9" s="1"/>
  <c r="F17" i="9" s="1"/>
  <c r="G17" i="9" s="1"/>
  <c r="H17" i="9" s="1"/>
  <c r="B21" i="9" s="1"/>
  <c r="C21" i="9" s="1"/>
  <c r="D21" i="9" s="1"/>
  <c r="E21" i="9" s="1"/>
  <c r="F21" i="9" s="1"/>
  <c r="G21" i="9" s="1"/>
  <c r="H21" i="9" s="1"/>
  <c r="B24" i="9" s="1"/>
  <c r="C24" i="9" s="1"/>
  <c r="D24" i="9" s="1"/>
  <c r="E24" i="9" s="1"/>
  <c r="F24" i="9" s="1"/>
  <c r="D16" i="2"/>
  <c r="E16" i="2" s="1"/>
  <c r="F16" i="2" s="1"/>
  <c r="G16" i="2" s="1"/>
  <c r="H16" i="2" s="1"/>
  <c r="B21" i="2" s="1"/>
  <c r="C21" i="2" s="1"/>
  <c r="D21" i="2" s="1"/>
  <c r="E21" i="2" s="1"/>
  <c r="F21" i="2" s="1"/>
  <c r="F15" i="8"/>
  <c r="G15" i="8" s="1"/>
  <c r="H15" i="8" s="1"/>
  <c r="B19" i="8" s="1"/>
  <c r="C19" i="8" s="1"/>
  <c r="D19" i="8" s="1"/>
  <c r="E19" i="8" s="1"/>
  <c r="F19" i="8" s="1"/>
  <c r="G19" i="8" s="1"/>
  <c r="H19" i="8" s="1"/>
  <c r="B22" i="8" s="1"/>
  <c r="C22" i="8" s="1"/>
  <c r="B18" i="6"/>
  <c r="C18" i="6" s="1"/>
  <c r="D18" i="6" s="1"/>
  <c r="E18" i="6" s="1"/>
  <c r="F18" i="6" s="1"/>
  <c r="G18" i="6" s="1"/>
  <c r="H18" i="6" s="1"/>
  <c r="B22" i="6" s="1"/>
  <c r="C22" i="6" s="1"/>
  <c r="D22" i="6" s="1"/>
  <c r="E22" i="6" s="1"/>
  <c r="F22" i="6" s="1"/>
  <c r="G22" i="6" s="1"/>
  <c r="H22" i="6" s="1"/>
  <c r="B26" i="6" s="1"/>
  <c r="C26" i="6" s="1"/>
  <c r="D26" i="6" s="1"/>
  <c r="E26" i="6" s="1"/>
  <c r="F26" i="6" s="1"/>
  <c r="B14" i="4"/>
  <c r="C14" i="4" s="1"/>
  <c r="D14" i="4" s="1"/>
  <c r="E14" i="4" s="1"/>
  <c r="F14" i="4" s="1"/>
  <c r="G14" i="4" s="1"/>
  <c r="H14" i="4" s="1"/>
  <c r="B18" i="4" s="1"/>
  <c r="C18" i="4" s="1"/>
  <c r="D18" i="4" s="1"/>
  <c r="E18" i="4" s="1"/>
  <c r="F18" i="4" s="1"/>
  <c r="G18" i="4" s="1"/>
  <c r="H18" i="4" s="1"/>
  <c r="B22" i="4" s="1"/>
  <c r="B17" i="14" l="1"/>
  <c r="C17" i="14" s="1"/>
  <c r="D17" i="14" s="1"/>
  <c r="E17" i="14"/>
  <c r="F17" i="14" s="1"/>
  <c r="G17" i="14" s="1"/>
  <c r="H17" i="14" s="1"/>
  <c r="B21" i="14" s="1"/>
  <c r="C21" i="14" s="1"/>
  <c r="D21" i="14" s="1"/>
  <c r="E21" i="14" s="1"/>
  <c r="F21" i="14" s="1"/>
  <c r="G21" i="14" s="1"/>
  <c r="H21" i="14" s="1"/>
  <c r="B27" i="14" s="1"/>
  <c r="C27" i="14" s="1"/>
  <c r="D27" i="14" s="1"/>
  <c r="G15" i="15"/>
  <c r="H15" i="15" s="1"/>
  <c r="B17" i="15" s="1"/>
  <c r="C17" i="15" s="1"/>
  <c r="D17" i="15" s="1"/>
  <c r="E17" i="15" s="1"/>
  <c r="F17" i="15" s="1"/>
  <c r="G17" i="15" s="1"/>
  <c r="G16" i="7"/>
  <c r="H16" i="7" s="1"/>
  <c r="B19" i="7" s="1"/>
  <c r="C19" i="7" s="1"/>
  <c r="D19" i="7" s="1"/>
  <c r="E19" i="7" s="1"/>
  <c r="F19" i="7" s="1"/>
  <c r="G19" i="7" s="1"/>
  <c r="H19" i="7" s="1"/>
  <c r="C22" i="4"/>
  <c r="G21" i="2"/>
  <c r="H21" i="2" s="1"/>
  <c r="B25" i="2" s="1"/>
  <c r="C25" i="2" s="1"/>
  <c r="D25" i="2" s="1"/>
  <c r="E25" i="2" s="1"/>
  <c r="D22" i="4" l="1"/>
  <c r="E22" i="4" s="1"/>
  <c r="F22" i="4" s="1"/>
  <c r="G22" i="4" s="1"/>
  <c r="H2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tc={55EBD7CB-409A-479B-83A0-9EE8FFC0D167}</author>
  </authors>
  <commentList>
    <comment ref="E25" authorId="0" shapeId="0" xr:uid="{55EBD7CB-409A-479B-83A0-9EE8FFC0D167}">
      <text>
        <t>[Threaded comment]
Your version of Excel allows you to read this threaded comment; however, any edits to it will get removed if the file is opened in a newer version of Excel. Learn more: https://go.microsoft.com/fwlink/?linkid=870924
Comment:
    Do we do any posting for WTC? 
Reply:
    @Christina Butchko WTC doesn't have any social media, but I'd like to tie into WTC with a few posts! I've added in. This one was originally international but I'm hesitant to do that right before WTC since I don't want to distract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tc={0202EC0E-5AC5-4070-B103-6F2D8D9DCF06}</author>
    <author>tc={843F1D81-F1C7-44DA-93B9-0815C95FEC7D}</author>
  </authors>
  <commentList>
    <comment ref="C18" authorId="0" shapeId="0" xr:uid="{0202EC0E-5AC5-4070-B103-6F2D8D9DCF06}">
      <text>
        <t xml:space="preserve">[Threaded comment]
Your version of Excel allows you to read this threaded comment; however, any edits to it will get removed if the file is opened in a newer version of Excel. Learn more: https://go.microsoft.com/fwlink/?linkid=870924
Comment:
    Christina -  this is specifically a previous attendee testimonial. All can be found in the post-event survey responses in this folder: https://smithbucklin.sharepoint.com/:f:/r/sites/xunit-360agency/Shared%20Documents/ATC_American%20Transplant%20Congress/2026%20ATC%20-%20Boston/Marketing/ATC%202026/1.%20Marketing%20Operations/3.%20Client%20Provided%20Materials%20%26%20Other%20Resources/Testimonials?csf=1&amp;web=1&amp;e=qGpqnk  </t>
      </text>
    </comment>
    <comment ref="E26" authorId="1" shapeId="0" xr:uid="{843F1D81-F1C7-44DA-93B9-0815C95FEC7D}">
      <text>
        <t>[Threaded comment]
Your version of Excel allows you to read this threaded comment; however, any edits to it will get removed if the file is opened in a newer version of Excel. Learn more: https://go.microsoft.com/fwlink/?linkid=870924
Comment:
    @Lauren Bavis this might be more of a question for Emma - but is it possible to get info from the education team on past submissions that were high-impact or were first presented at ATC and influenced transplantation in some way? Or like get anecdotes from previous submitters on how their abstract impacted their journey in their profession/field etc. 
That would prob be really hard now that I'm thinking about it but worth a shot
Reply:
    @Christina Butchko Love this idea! We might have some anecdotes already in last year's survey data
As for the high-impact posters, it doesn't hurt to ask! Emma can reach out to Kristen when she's back on monday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tc={8BEEDC6B-C35C-43E1-B96A-578A3F3B679D}</author>
    <author>tc={336AE922-B747-4784-8FC1-63238D6C1B38}</author>
    <author>tc={99B68992-D538-4A70-B1DC-8DE989CFDE2A}</author>
    <author>tc={8C3F3CB2-CA2B-4EC1-9FD3-B1C02ABEB037}</author>
    <author>tc={5B4C351A-8B1E-4C65-9F3A-CE108A7B52D9}</author>
  </authors>
  <commentList>
    <comment ref="D10" authorId="0" shapeId="0" xr:uid="{8BEEDC6B-C35C-43E1-B96A-578A3F3B679D}">
      <text>
        <t>[Threaded comment]
Your version of Excel allows you to read this threaded comment; however, any edits to it will get removed if the file is opened in a newer version of Excel. Learn more: https://go.microsoft.com/fwlink/?linkid=870924
Comment:
    @Christina Butchko Would you please add a more specific topic to this? Some ideas: who should attend or the holiday spin like the social posts you have (love those!), tell them generally that reg will open in January, testimonials, push to the schedule at a glance
Reply:
    @Lauren Weber I wrote this already!! but my focus was on who's attending
Reply:
    Ha, perfect</t>
      </text>
    </comment>
    <comment ref="C13" authorId="1" shapeId="0" xr:uid="{336AE922-B747-4784-8FC1-63238D6C1B38}">
      <text>
        <t>[Threaded comment]
Your version of Excel allows you to read this threaded comment; however, any edits to it will get removed if the file is opened in a newer version of Excel. Learn more: https://go.microsoft.com/fwlink/?linkid=870924
Comment:
    Let's move this to later in the week so there is a more even spread of social posts throughout the month</t>
      </text>
    </comment>
    <comment ref="F13" authorId="2" shapeId="0" xr:uid="{99B68992-D538-4A70-B1DC-8DE989CFDE2A}">
      <text>
        <t>[Threaded comment]
Your version of Excel allows you to read this threaded comment; however, any edits to it will get removed if the file is opened in a newer version of Excel. Learn more: https://go.microsoft.com/fwlink/?linkid=870924
Comment:
    Let's move this to later in the week so there is a more even spread of social posts throughout the month</t>
      </text>
    </comment>
    <comment ref="E18" authorId="3" shapeId="0" xr:uid="{8C3F3CB2-CA2B-4EC1-9FD3-B1C02ABEB037}">
      <text>
        <t>[Threaded comment]
Your version of Excel allows you to read this threaded comment; however, any edits to it will get removed if the file is opened in a newer version of Excel. Learn more: https://go.microsoft.com/fwlink/?linkid=870924
Comment:
    @Christina Butchko looks like the best day to send calendar has the 17th marked as the better option</t>
      </text>
    </comment>
    <comment ref="D25" authorId="4" shapeId="0" xr:uid="{5B4C351A-8B1E-4C65-9F3A-CE108A7B52D9}">
      <text>
        <t xml:space="preserve">[Threaded comment]
Your version of Excel allows you to read this threaded comment; however, any edits to it will get removed if the file is opened in a newer version of Excel. Learn more: https://go.microsoft.com/fwlink/?linkid=870924
Comment:
    @Christina Butchko I agree with leaving this blank, but just noting that we should move around January emails so there is not a large gap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tc={7AA4A36C-EE71-4C28-AE42-F6370BEE6218}</author>
    <author>tc={A684C7C6-2378-4F6A-A87C-F52B279D7065}</author>
    <author>tc={5BA368C3-23A9-44E3-914B-7FBB3E9AA5A8}</author>
    <author>tc={05800C6F-ACA4-4AE1-AD3C-49784D5ED960}</author>
  </authors>
  <commentList>
    <comment ref="D14" authorId="0" shapeId="0" xr:uid="{7AA4A36C-EE71-4C28-AE42-F6370BEE6218}">
      <text>
        <t xml:space="preserve">[Threaded comment]
Your version of Excel allows you to read this threaded comment; however, any edits to it will get removed if the file is opened in a newer version of Excel. Learn more: https://go.microsoft.com/fwlink/?linkid=870924
Comment:
    @Lauren Weber made this #19.5 just to avoid renumbering all emails (let me know if that's okay to do)  </t>
      </text>
    </comment>
    <comment ref="E25" authorId="1" shapeId="0" xr:uid="{A684C7C6-2378-4F6A-A87C-F52B279D7065}">
      <text>
        <t>[Threaded comment]
Your version of Excel allows you to read this threaded comment; however, any edits to it will get removed if the file is opened in a newer version of Excel. Learn more: https://go.microsoft.com/fwlink/?linkid=870924
Comment:
    @Lauren Bavis same idea here - can we pull an anecdotes from previous submissions and implement them here?
Reply:
    @Christina Butchko  looking at this now, we're going to be hitting them with a lot this week. I think 3 emails is too much. Let's remove this one and add a late-breaking callout to the registration email 2 (since they'll both go to both lists)</t>
      </text>
    </comment>
    <comment ref="G25" authorId="2" shapeId="0" xr:uid="{5BA368C3-23A9-44E3-914B-7FBB3E9AA5A8}">
      <text>
        <t xml:space="preserve">[Threaded comment]
Your version of Excel allows you to read this threaded comment; however, any edits to it will get removed if the file is opened in a newer version of Excel. Learn more: https://go.microsoft.com/fwlink/?linkid=870924
Comment:
    https://youtu.be/l40c6zyFgow?list=PL9CZabk3nD4HN1sylCr314rY4GPIch6NN\
</t>
      </text>
    </comment>
    <comment ref="H25" authorId="3" shapeId="0" xr:uid="{05800C6F-ACA4-4AE1-AD3C-49784D5ED960}">
      <text>
        <t>[Threaded comment]
Your version of Excel allows you to read this threaded comment; however, any edits to it will get removed if the file is opened in a newer version of Excel. Learn more: https://go.microsoft.com/fwlink/?linkid=870924
Comment:
    Is this on the website?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tc={C6F24C17-EBD5-48AC-9E4A-183DE9EC34FD}</author>
    <author>tc={DB828575-F0F6-492C-AC10-DB2C45B6042C}</author>
    <author>tc={C49B65A2-C2F9-430F-8CA9-4E570B43711A}</author>
    <author>tc={52FCDF3F-EACF-40EB-92DF-CC6BC4E24380}</author>
  </authors>
  <commentList>
    <comment ref="D10" authorId="0" shapeId="0" xr:uid="{C6F24C17-EBD5-48AC-9E4A-183DE9EC34FD}">
      <text>
        <t>[Threaded comment]
Your version of Excel allows you to read this threaded comment; however, any edits to it will get removed if the file is opened in a newer version of Excel. Learn more: https://go.microsoft.com/fwlink/?linkid=870924
Comment:
    @Christina Butchko Are these parenthesis incorrect?
Reply:
    @Lauren Weber can we change the subject line to be related to the 1 week away deadline?</t>
      </text>
    </comment>
    <comment ref="E15" authorId="1" shapeId="0" xr:uid="{DB828575-F0F6-492C-AC10-DB2C45B6042C}">
      <text>
        <t xml:space="preserve">[Threaded comment]
Your version of Excel allows you to read this threaded comment; however, any edits to it will get removed if the file is opened in a newer version of Excel. Learn more: https://go.microsoft.com/fwlink/?linkid=870924
Comment:
    @Christina Butchko Same here - let's make this a registration email that also touches on late-breaking. It looks like we'll have details on the symposia program that this email can focus on
Reply:
    just making a note that I'm changing this to a 2.5 email to avoid any renumbering. 
Reply:
    @Christina Butchko If this calendar is correct it looks like we won't have the full online schedule until end of the month (which would include program info like this)
Reply:
    @Lauren Weber wait I'm confused - does this need to change? </t>
      </text>
    </comment>
    <comment ref="H15" authorId="2" shapeId="0" xr:uid="{C49B65A2-C2F9-430F-8CA9-4E570B43711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does this get a website feature? 
Reply:
    @Christina Butchko I like this idea! Maybe we can add a carousel feature for the week prior saying something along the lines of "Celebrating National Donor Day" and we could link to one of our PR materials?
Reply:
    @Emma Burnett-Balbier I love that!</t>
      </text>
    </comment>
    <comment ref="B23" authorId="3" shapeId="0" xr:uid="{52FCDF3F-EACF-40EB-92DF-CC6BC4E24380}">
      <text>
        <t xml:space="preserve">[Threaded comment]
Your version of Excel allows you to read this threaded comment; however, any edits to it will get removed if the file is opened in a newer version of Excel. Learn more: https://go.microsoft.com/fwlink/?linkid=870924
Comment:
    is this on website?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tc={48DFC212-C77B-4377-9D75-B3537285DCA5}</author>
  </authors>
  <commentList>
    <comment ref="E17" authorId="0" shapeId="0" xr:uid="{48DFC212-C77B-4377-9D75-B3537285DCA5}">
      <text>
        <t>[Threaded comment]
Your version of Excel allows you to read this threaded comment; however, any edits to it will get removed if the file is opened in a newer version of Excel. Learn more: https://go.microsoft.com/fwlink/?linkid=870924
Comment:
    @Christina Butchko Slight edit</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tc={664B7D05-B12C-49B9-BBC0-DDA4AE774302}</author>
    <author>tc={8721430D-C10A-43E3-A588-B648EC915766}</author>
    <author>tc={6A7518AF-4845-4C47-9414-F3EB87BD1ADD}</author>
  </authors>
  <commentList>
    <comment ref="E11" authorId="0" shapeId="0" xr:uid="{664B7D05-B12C-49B9-BBC0-DDA4AE774302}">
      <text>
        <t>[Threaded comment]
Your version of Excel allows you to read this threaded comment; however, any edits to it will get removed if the file is opened in a newer version of Excel. Learn more: https://go.microsoft.com/fwlink/?linkid=870924
Comment:
    is this a website change?
Reply:
    I think it was just a date reminder for us, but if you have an idea on where it would work on the website we could do that, too!
Reply:
    @Lauren Weber that comment was from June :) I'm going to resolve!</t>
      </text>
    </comment>
    <comment ref="C24" authorId="1" shapeId="0" xr:uid="{8721430D-C10A-43E3-A588-B648EC915766}">
      <text>
        <t>[Threaded comment]
Your version of Excel allows you to read this threaded comment; however, any edits to it will get removed if the file is opened in a newer version of Excel. Learn more: https://go.microsoft.com/fwlink/?linkid=870924
Comment:
    @Christina Butchko What would this include?
Reply:
    @Lauren Weber I was thinking a poll! Like sessions, networking, education credits etc. 
Could be used for marketing for 2027 maybe</t>
      </text>
    </comment>
    <comment ref="E27" authorId="2" shapeId="0" xr:uid="{6A7518AF-4845-4C47-9414-F3EB87BD1ADD}">
      <text>
        <t>[Threaded comment]
Your version of Excel allows you to read this threaded comment; however, any edits to it will get removed if the file is opened in a newer version of Excel. Learn more: https://go.microsoft.com/fwlink/?linkid=870924
Comment:
    (modeling this email) https://myemail.constantcontact.com/Need-continuing-medical-education-credits-.html?soid=1133232331019&amp;aid=00lRJarPF84
Reply:
    Love it, just will need to ensure credit info is ready by then. We may want to switch the topics of 2, 3, and 4
Reply:
    Let's also add segmentation to the continuing education email based on types of accreditation available (usually there's something specific to nurses, surgeons, etc)</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tc={6790F378-B6E1-4C82-8560-26AFC2992B85}</author>
    <author>tc={194A836E-9474-4089-94C1-5C033E72D172}</author>
    <author>tc={115B6D0B-EB48-4219-866D-130E364051AA}</author>
    <author>tc={8E365048-53F6-464F-9605-6AA8E98CAA80}</author>
    <author>tc={BF416AF8-1EC0-4FB9-8413-9729C52D4741}</author>
    <author>tc={5459D79A-A952-4700-8CBB-67DCDEADBA1E}</author>
    <author>tc={F93C30D9-9BA0-42F6-8800-6C7DD4B1230B}</author>
    <author>tc={5466C5C9-E9AF-4D2D-B1B6-3CE234ACCBC0}</author>
    <author>tc={A91DE8F8-8DE5-4505-9CE2-1D113B001F72}</author>
  </authors>
  <commentList>
    <comment ref="F12" authorId="0" shapeId="0" xr:uid="{6790F378-B6E1-4C82-8560-26AFC2992B85}">
      <text>
        <t>[Threaded comment]
Your version of Excel allows you to read this threaded comment; however, any edits to it will get removed if the file is opened in a newer version of Excel. Learn more: https://go.microsoft.com/fwlink/?linkid=870924
Comment:
    Let's make this one lead with the program! This will take a little research, but last time we were able to find a handful of sessions covering important topics applicable to everyone and highlight those. If I had to guess, there's going to be a bunch of research about using AI. Go into the program tab of the planner and search ai and see if there are enough that come up. Or, look up most pressing issues right now that apply to everyone (increasing the donor pool maybe?) and try to find themes that way
Reply:
    yes - AI use is big, expanding the donor pool is there - as far as researching goes I'll need more time to dive into that!</t>
      </text>
    </comment>
    <comment ref="G12" authorId="1" shapeId="0" xr:uid="{194A836E-9474-4089-94C1-5C033E72D172}">
      <text>
        <t>[Threaded comment]
Your version of Excel allows you to read this threaded comment; however, any edits to it will get removed if the file is opened in a newer version of Excel. Learn more: https://go.microsoft.com/fwlink/?linkid=870924
Comment:
    Match email 15</t>
      </text>
    </comment>
    <comment ref="E15" authorId="2" shapeId="0" xr:uid="{115B6D0B-EB48-4219-866D-130E364051AA}">
      <text>
        <t>[Threaded comment]
Your version of Excel allows you to read this threaded comment; however, any edits to it will get removed if the file is opened in a newer version of Excel. Learn more: https://go.microsoft.com/fwlink/?linkid=870924
Comment:
    Let's segment by job title and make this relevant to each. The most important are nurse practitioners, transplant program directors, trainees, and everyone else</t>
      </text>
    </comment>
    <comment ref="F15" authorId="3" shapeId="0" xr:uid="{8E365048-53F6-464F-9605-6AA8E98CAA80}">
      <text>
        <t>[Threaded comment]
Your version of Excel allows you to read this threaded comment; however, any edits to it will get removed if the file is opened in a newer version of Excel. Learn more: https://go.microsoft.com/fwlink/?linkid=870924
Comment:
    What myths are we busting here?</t>
      </text>
    </comment>
    <comment ref="G15" authorId="4" shapeId="0" xr:uid="{BF416AF8-1EC0-4FB9-8413-9729C52D4741}">
      <text>
        <t>[Threaded comment]
Your version of Excel allows you to read this threaded comment; however, any edits to it will get removed if the file is opened in a newer version of Excel. Learn more: https://go.microsoft.com/fwlink/?linkid=870924
Comment:
    What myths are we busting here?</t>
      </text>
    </comment>
    <comment ref="F17" authorId="5" shapeId="0" xr:uid="{5459D79A-A952-4700-8CBB-67DCDEADBA1E}">
      <text>
        <t xml:space="preserve">[Threaded comment]
Your version of Excel allows you to read this threaded comment; however, any edits to it will get removed if the file is opened in a newer version of Excel. Learn more: https://go.microsoft.com/fwlink/?linkid=870924
Comment:
    I think we've covered this enough! Let's focus on program. HOw about campfire sessions? Those are new this year so it could be positioned like an announcement and there are only 4 or 5 of them so we could list out the actual topics
Reply:
    Let's bring campfire sessions earlier in the schedule and swap with 15 </t>
      </text>
    </comment>
    <comment ref="D20" authorId="6" shapeId="0" xr:uid="{F93C30D9-9BA0-42F6-8800-6C7DD4B1230B}">
      <text>
        <t>[Threaded comment]
Your version of Excel allows you to read this threaded comment; however, any edits to it will get removed if the file is opened in a newer version of Excel. Learn more: https://go.microsoft.com/fwlink/?linkid=870924
Comment:
    I don't think I added this - but was are product theaters? 
Reply:
    @Christina Butchko I don't think I added those? But yesterday during the call with the rest of the team, Lauren and I aligned that we might want to segment this nurture email to returning registrants and to "new/first-timer" registrants with the purpose of promoting an ATC overview webinar. @Lauren Weber  can give more details on framing this from a marketing perspective.</t>
      </text>
    </comment>
    <comment ref="G20" authorId="7" shapeId="0" xr:uid="{5466C5C9-E9AF-4D2D-B1B6-3CE234ACCBC0}">
      <text>
        <t>[Threaded comment]
Your version of Excel allows you to read this threaded comment; however, any edits to it will get removed if the file is opened in a newer version of Excel. Learn more: https://go.microsoft.com/fwlink/?linkid=870924
Comment:
    Which sessions? This could be another themed one like the AI one
Reply:
    Will update based off the research I do for next week</t>
      </text>
    </comment>
    <comment ref="D21" authorId="8" shapeId="0" xr:uid="{A91DE8F8-8DE5-4505-9CE2-1D113B001F72}">
      <text>
        <t>[Threaded comment]
Your version of Excel allows you to read this threaded comment; however, any edits to it will get removed if the file is opened in a newer version of Excel. Learn more: https://go.microsoft.com/fwlink/?linkid=870924
Comment:
    This would be good timing for a "one-month left" message to hit on that they're running out of time, flights are getting more expensive, etc.</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tc={1E6B18FD-C0B4-446B-8FF7-D82D097B5822}</author>
    <author>tc={7ED35C92-1540-4719-9171-2A4F405122C7}</author>
    <author>tc={8C676741-56D4-4A93-BAE4-FDC410D96B31}</author>
    <author>tc={5721D8C4-6877-4646-9445-7F8619407882}</author>
    <author>tc={F77C8C43-4617-44FA-A997-24F1F7FA76E6}</author>
    <author>tc={0E0E0405-DB0D-4263-8185-20D1220A935E}</author>
    <author>tc={472ACC93-5550-4745-A4D1-A40DC0DA96C1}</author>
  </authors>
  <commentList>
    <comment ref="D10" authorId="0" shapeId="0" xr:uid="{1E6B18FD-C0B4-446B-8FF7-D82D097B5822}">
      <text>
        <t xml:space="preserve">[Threaded comment]
Your version of Excel allows you to read this threaded comment; however, any edits to it will get removed if the file is opened in a newer version of Excel. Learn more: https://go.microsoft.com/fwlink/?linkid=870924
Comment:
    Idea: A/B test: drive in audience / all prospects. Drive-in gets a little Boston history push along with the "legacy" of ATC - when it started, how it can by a pivotal event in your life (career growth, networking)
Reply:
    I like this! Let's include messaging here about ATC being this month </t>
      </text>
    </comment>
    <comment ref="D11" authorId="1" shapeId="0" xr:uid="{7ED35C92-1540-4719-9171-2A4F405122C7}">
      <text>
        <t>[Threaded comment]
Your version of Excel allows you to read this threaded comment; however, any edits to it will get removed if the file is opened in a newer version of Excel. Learn more: https://go.microsoft.com/fwlink/?linkid=870924
Comment:
    Match this to email 20 instead</t>
      </text>
    </comment>
    <comment ref="E11" authorId="2" shapeId="0" xr:uid="{8C676741-56D4-4A93-BAE4-FDC410D96B31}">
      <text>
        <t>[Threaded comment]
Your version of Excel allows you to read this threaded comment; however, any edits to it will get removed if the file is opened in a newer version of Excel. Learn more: https://go.microsoft.com/fwlink/?linkid=870924
Comment:
    Was this "content comes directly from sponsors" note in here already? @Emma Burnett-Balbier do you remember any details about this? 
Reply:
    @Lauren Weber yes - I did not add that in for this go around of updates!</t>
      </text>
    </comment>
    <comment ref="D14" authorId="3" shapeId="0" xr:uid="{5721D8C4-6877-4646-9445-7F8619407882}">
      <text>
        <t>[Threaded comment]
Your version of Excel allows you to read this threaded comment; however, any edits to it will get removed if the file is opened in a newer version of Excel. Learn more: https://go.microsoft.com/fwlink/?linkid=870924
Comment:
    Do you feel that both 48.5 and 49 is necessary? The messages seem like they'd be very similar!</t>
      </text>
    </comment>
    <comment ref="E14" authorId="4" shapeId="0" xr:uid="{F77C8C43-4617-44FA-A997-24F1F7FA76E6}">
      <text>
        <t>[Threaded comment]
Your version of Excel allows you to read this threaded comment; however, any edits to it will get removed if the file is opened in a newer version of Excel. Learn more: https://go.microsoft.com/fwlink/?linkid=870924
Comment:
    What specifically about the program should be highlighted here?
Reply:
    Are there any segments that have performed very well in past emails that should be highlighted? Nurse practitioners, transplant program directors, etc?
Reply:
    @Lauren Weber the previous segmented email hasn't deployed yet so I can't necessarily see what has performed will in the past (this was the first by job segmentation we've done in 2026), I was hoping to highlight: 
-Being in person and the benefits of that. There is no on demand component of the event!
- Hot Topic Debates require a setting-the-stage, pro, and con structure
- Meet-the-Experts sessions are intimate discussions with no formal slides
- Campfire and Fireside Chat sessions are conversation-led
-People’s Choice Awards depend on onsite attendee voting after the daily plenaries
I'm having chat do some deep research to help me with topics that we can use for those segments once we get some results fro the deployment</t>
      </text>
    </comment>
    <comment ref="C18" authorId="5" shapeId="0" xr:uid="{0E0E0405-DB0D-4263-8185-20D1220A935E}">
      <text>
        <t>[Threaded comment]
Your version of Excel allows you to read this threaded comment; however, any edits to it will get removed if the file is opened in a newer version of Excel. Learn more: https://go.microsoft.com/fwlink/?linkid=870924
Comment:
    Let's segment by members/nonmembers</t>
      </text>
    </comment>
    <comment ref="D19" authorId="6" shapeId="0" xr:uid="{472ACC93-5550-4745-A4D1-A40DC0DA96C1}">
      <text>
        <t>[Threaded comment]
Your version of Excel allows you to read this threaded comment; however, any edits to it will get removed if the file is opened in a newer version of Excel. Learn more: https://go.microsoft.com/fwlink/?linkid=870924
Comment:
    Testimonials</t>
      </text>
    </comment>
  </commentList>
</comments>
</file>

<file path=xl/sharedStrings.xml><?xml version="1.0" encoding="utf-8"?>
<sst xmlns="http://schemas.openxmlformats.org/spreadsheetml/2006/main" count="520" uniqueCount="277">
  <si>
    <t>June 2025</t>
  </si>
  <si>
    <t>Content KEY</t>
  </si>
  <si>
    <t>Important Date</t>
  </si>
  <si>
    <t>ATC Attendee Marketing</t>
  </si>
  <si>
    <t>ATC Exhibitor Marketing</t>
  </si>
  <si>
    <t>ASTS Email &amp; Social Marketing</t>
  </si>
  <si>
    <t>AST Email &amp; Social Marketing</t>
  </si>
  <si>
    <t>ATC Public Relations</t>
  </si>
  <si>
    <t>SUN</t>
  </si>
  <si>
    <t>MON</t>
  </si>
  <si>
    <t>TUES</t>
  </si>
  <si>
    <t>WED</t>
  </si>
  <si>
    <t>THURS</t>
  </si>
  <si>
    <t>FRI</t>
  </si>
  <si>
    <t>SAT</t>
  </si>
  <si>
    <t>ATC Site Update</t>
  </si>
  <si>
    <t>Email #1: Call For Invited Programs Launch and nominate State of the Art (SotA) Speakers 
a/b (past submitters, all prospects)</t>
  </si>
  <si>
    <t>Flag Day</t>
  </si>
  <si>
    <t xml:space="preserve">Programs Email #2: Call For Invited Programs Launch and State of the Art Speakers 
</t>
  </si>
  <si>
    <t>Father's Day</t>
  </si>
  <si>
    <t>Juneteenth</t>
  </si>
  <si>
    <t>Social Post #1: Call for Invited Programs</t>
  </si>
  <si>
    <t xml:space="preserve">Programs Email #3: Call For Invited Programs Launch and State of the Art Speakers 
</t>
  </si>
  <si>
    <t>Social Post #2: Call for SOTA Speakers</t>
  </si>
  <si>
    <t>N O T E S</t>
  </si>
  <si>
    <t>July 2025</t>
  </si>
  <si>
    <t xml:space="preserve">Programs Email #3 RESEND to non-openers
</t>
  </si>
  <si>
    <t>Independence Day</t>
  </si>
  <si>
    <t xml:space="preserve">Programs Email #4a/b: Call For Invited Programs Launch and State of the Art Speakers (past submitters vs all all prospects)
</t>
  </si>
  <si>
    <t>Social Post #3
Call for Invited Programs Reminder</t>
  </si>
  <si>
    <t>Ashura</t>
  </si>
  <si>
    <t>ATC Invited Programs Session Review Site Live</t>
  </si>
  <si>
    <t>Social Post #3.5 Highlight last year's SOTA speakers</t>
  </si>
  <si>
    <t xml:space="preserve">Programs Email #5: Call For Invited Programs Launch and State of the Art Speakers 
</t>
  </si>
  <si>
    <t>Abstract Chair and Reviewer Invitations Sent</t>
  </si>
  <si>
    <t>Social Post #4 Tie in to WTC</t>
  </si>
  <si>
    <t xml:space="preserve">Programs Email #6: Call For Invited Programs Launch and State of the Art Speakers 
</t>
  </si>
  <si>
    <t>International Only Email #1: Include a poll asking if they're attending</t>
  </si>
  <si>
    <t>Social Post #5
International attendees focused</t>
  </si>
  <si>
    <t>Review Program Layout and Hybrid/Virtual Options</t>
  </si>
  <si>
    <t>Programs Email #6 RESEND to non-openers</t>
  </si>
  <si>
    <t>Social Post #5.5
WTC tie in</t>
  </si>
  <si>
    <t>August 2025</t>
  </si>
  <si>
    <t>World Transplant Congress</t>
  </si>
  <si>
    <t>Social Post #6
Tie in to WTC (Boston Cream Pie Photos)</t>
  </si>
  <si>
    <t xml:space="preserve">Programs Email #7: Call For Invited Programs Launch and State of the Art Speakers (1 week away)
</t>
  </si>
  <si>
    <t>Social Post #6.5
Call for Invited Programs + SoTA deadline approaching next week</t>
  </si>
  <si>
    <t>Website Update: Homepage Carousel Call for Invited Programs &amp; SoTA 1 week Away deadline</t>
  </si>
  <si>
    <t>Website Update Live: Homepage Carousel Call for Invited Programs &amp; SoTA 1 week Away deadline</t>
  </si>
  <si>
    <t>Programs Email #8: Call For Invited Programs and State of the Art Speakers 
(48 hours)</t>
  </si>
  <si>
    <t>Social Post #8
24 hours left to subimt a session + SoTA</t>
  </si>
  <si>
    <t>Programs Email #9.5 Call for Invited Programs Submissions / SotA Speaker  Deadline/Close Extended</t>
  </si>
  <si>
    <t>Website Update: Homepage Carousel Call for Invited Programs &amp; SoTA Closing tonight deadline / closed</t>
  </si>
  <si>
    <t>Website Update: Call for Abstracts page, links, and homepage carousel</t>
  </si>
  <si>
    <t>Website Update Live: Homepage Carousel Call for Invited Programs &amp; SoTA Closing tonight deadline / closed</t>
  </si>
  <si>
    <t>Website Update Live: Homepage Carousel Call for Invited Programs &amp; SoTA closed</t>
  </si>
  <si>
    <t>Online Abstract Submission Site Live</t>
  </si>
  <si>
    <t>Social Post #7
Save the Date</t>
  </si>
  <si>
    <t>Call for Invited Programs Close</t>
  </si>
  <si>
    <t>2025 Program Submissions to Program Planning Sub-Committee</t>
  </si>
  <si>
    <t>Social Post #9
Call for Abstracts Launch</t>
  </si>
  <si>
    <t>Programs Email #9 Call for Invited Programs Submissions / SotA Speaker  Deadline/Close TONIGHT</t>
  </si>
  <si>
    <t>Abstracts Email #10: Call for Abstracts Launch</t>
  </si>
  <si>
    <t>Website Update Live: Call for Abstracts page, links, and homepage carousel</t>
  </si>
  <si>
    <t xml:space="preserve">Social Post #9.5
Call for Abstracts </t>
  </si>
  <si>
    <t>September 2025</t>
  </si>
  <si>
    <t>Abstracts Email #10.5: Call for Abstracts / Posters - Early Deadline Notice for Past Attendees + Past Submitters</t>
  </si>
  <si>
    <t>Labor Day</t>
  </si>
  <si>
    <t>Awareness 1 - Save the Date Email #1 - Learning Doesn't Have to Stop Just Because WTC is Over! (include images of on-site activiations at WTC about ATC) 
Audience - WTC attendees</t>
  </si>
  <si>
    <t>Awareness 2- Save the Date Email #2 - For full prospective list
Sub module - call for abstracts</t>
  </si>
  <si>
    <t xml:space="preserve">Social Post #10
Call for Abstracts Reminder </t>
  </si>
  <si>
    <t>Abstracts Email #11: Call for Abstracts / Posters (A/B Test)</t>
  </si>
  <si>
    <t>Social Post #11
Call for abstract / posters</t>
  </si>
  <si>
    <t>Email 11 Resend to Non-Openers</t>
  </si>
  <si>
    <t>Abstracts Email #12a: Call for Abstracts / Posters (international/visa focus)</t>
  </si>
  <si>
    <t>Social Post #12
Why Attend</t>
  </si>
  <si>
    <t>Rosh Hashanah</t>
  </si>
  <si>
    <t>Abstracts Email #12b: Call for Abstracts / Posters (all prospects minus international)</t>
  </si>
  <si>
    <t>October 2025</t>
  </si>
  <si>
    <t>Yom Kippur</t>
  </si>
  <si>
    <t>Abstracts Email #13: Call for Abstracts/Poster</t>
  </si>
  <si>
    <t>Social Post #13
Fact about Transplantation field</t>
  </si>
  <si>
    <t xml:space="preserve">Social Post #14: Quote </t>
  </si>
  <si>
    <t>Website Update Live: Invited Program Submission Notifications sent page, links, and homepage carousel</t>
  </si>
  <si>
    <t>Awareness Email 3: 2026 Boston Drive In -  FYI - ATC 2026 is close to home</t>
  </si>
  <si>
    <t>Indigenous People's Day</t>
  </si>
  <si>
    <t>Invited Program Submission Notifications Sent</t>
  </si>
  <si>
    <t>Social Post #15: Awareness social post: Teaser video</t>
  </si>
  <si>
    <t>Abstract Email #14: Call for Abstracts 
Teaser Video Highlight</t>
  </si>
  <si>
    <t>Diwali</t>
  </si>
  <si>
    <t>Social Post #16</t>
  </si>
  <si>
    <t>Abstract Email #15: Call for Abstracts (Past Impact Submissions)</t>
  </si>
  <si>
    <t>Halloween</t>
  </si>
  <si>
    <t>November 2025</t>
  </si>
  <si>
    <t>Abstract Chair &amp; Reviewer Invitations Go Out</t>
  </si>
  <si>
    <t>Abstract/ Posters Category Chair Assignments</t>
  </si>
  <si>
    <t>Abstract Email #16: Call for Abstracts closes in 1 week</t>
  </si>
  <si>
    <t>Social Post #17
Call for Abstracts closes in 1 week</t>
  </si>
  <si>
    <t>Day of the Dead</t>
  </si>
  <si>
    <t>Election Day</t>
  </si>
  <si>
    <t>Website Update: Call for abstracts deadline 1 week away, homepage carousel</t>
  </si>
  <si>
    <t>Abstract Email #17: Call for Abstracts closes in 72 hours</t>
  </si>
  <si>
    <t>Abstract Email #18: Abstracts Extension MODULE: Late Breaking vs. Reg Abstract (DEPLOY 2 PM)</t>
  </si>
  <si>
    <t>Social Post #18: Abstracts Extension (DEPLOY 2 PM)</t>
  </si>
  <si>
    <t>Veterans Day</t>
  </si>
  <si>
    <t>d</t>
  </si>
  <si>
    <t xml:space="preserve">Online Abstract System Closes, Abstract / Poster Deadline </t>
  </si>
  <si>
    <t>Website Update Live: Abstracts Extension!</t>
  </si>
  <si>
    <t>Social Post #19: Last chance</t>
  </si>
  <si>
    <t xml:space="preserve">Abstract Email #19: Online Abstract System Closes, Online Abstract / Poster Deadline at 11:59PM </t>
  </si>
  <si>
    <t>Online Abstract System Closes, Abstract / Poster EXTENSION Deadline</t>
  </si>
  <si>
    <t>Website Update Live: Abstracts Now Closed</t>
  </si>
  <si>
    <t xml:space="preserve">Social Post #20: Quote / testimonial </t>
  </si>
  <si>
    <t>Thanksgiving Day</t>
  </si>
  <si>
    <t>Black Friday</t>
  </si>
  <si>
    <t>December 2025</t>
  </si>
  <si>
    <t>ATC Sponsored Content</t>
  </si>
  <si>
    <t>Awareness Email #4: Save the date! (who's attending)</t>
  </si>
  <si>
    <t>Social #21: Awareness Social post, who should attend</t>
  </si>
  <si>
    <t>Social Post #22
More of a holiday post - The positive  impact transplantation has on families and individuals (highlight on togetherness of ATC)</t>
  </si>
  <si>
    <t>Awareness email #5: Save the date! Registration is opening in January</t>
  </si>
  <si>
    <t>Social Post #23: Save the Date</t>
  </si>
  <si>
    <t>Hanukkah (1st day)</t>
  </si>
  <si>
    <t>Christmas Eve</t>
  </si>
  <si>
    <t>Christmas Day</t>
  </si>
  <si>
    <t>Kwanzaa</t>
  </si>
  <si>
    <t>New Year's Eve</t>
  </si>
  <si>
    <t>January 2026</t>
  </si>
  <si>
    <t>New Year's Day</t>
  </si>
  <si>
    <t xml:space="preserve">Email #19.5: Call for Late Breaking Abstracts - Get Ready for the Submission Portal Opening and reminder on the differences </t>
  </si>
  <si>
    <t>Social Post #24: Call for Late Breaking Abstracts Launch</t>
  </si>
  <si>
    <t>Email #20: Call for Late Breaking Abstracts Launch</t>
  </si>
  <si>
    <t>Awareness email #6: Save the date! - push to the schedule at a glance</t>
  </si>
  <si>
    <t>Website Update Live: Call for Late-Breaking abstracts live, homepage carousel, late-breaking abstracts page</t>
  </si>
  <si>
    <t xml:space="preserve">Email #21: Call for Late Breaking Abstracts - Instructions Breakdown </t>
  </si>
  <si>
    <t>Martin Luther King Jr. Day</t>
  </si>
  <si>
    <t>ASTS Winter Symposium</t>
  </si>
  <si>
    <t>Social Post #25: Registration Now Open [ DO NOT PRESCHEDULE UNTIL REG SITE IS TESTED AND LIVE ]</t>
  </si>
  <si>
    <t>Speaker Notifications detailing Codes for Hotel Reservations and Registrations Sent. 1/25/24-1/30/24</t>
  </si>
  <si>
    <t>Registration Opens</t>
  </si>
  <si>
    <t>Website Update: Call for Late-Breaking Abstracts 1 week away, homepage carousel, links</t>
  </si>
  <si>
    <t xml:space="preserve">Register Now Email #2
A look back at 2024 to see what you can experience at 2026!
+ late-breaking abstracts callout </t>
  </si>
  <si>
    <t>Invited Speaker Invitations Closed</t>
  </si>
  <si>
    <t>Register Now Email #1 (Announcement, General Messaging)
[ DO NOT PRESCHEDULE UNTIL REG SITE IS TESTED AND LIVE ]</t>
  </si>
  <si>
    <t>Website Update: Invited Symposia page, homepage carousel</t>
  </si>
  <si>
    <t>Website Update Live: Registration live, homepage carousel, registration page</t>
  </si>
  <si>
    <t>February 2026</t>
  </si>
  <si>
    <t>Social Post #26: Call for Late Breaking Abstracts one week away</t>
  </si>
  <si>
    <t>Register Now Email #2 Resend (1 week away from late breaking abstracts deadline)</t>
  </si>
  <si>
    <t xml:space="preserve">Social Post #27 Register Now </t>
  </si>
  <si>
    <t>Launch Invited Symposia Program</t>
  </si>
  <si>
    <t>Email #22: Call for Late Breaking Abstracts (72 hours left)</t>
  </si>
  <si>
    <t>Website Update Live: Invited Symposia page, homepage carousel</t>
  </si>
  <si>
    <t>Website Update Live: Call for Late-Breaking Abstracts 1 week away, homepage carousel, links</t>
  </si>
  <si>
    <t>Groundhog Day</t>
  </si>
  <si>
    <t>Website Update Live: Call for Late-Breaking Abstracts closes tonight, homepage carousel, links</t>
  </si>
  <si>
    <t>Website Update Live: Call for Late-Breaking Abstracts closed</t>
  </si>
  <si>
    <t>Register Now Email #2.5: State of the Art Speakers</t>
  </si>
  <si>
    <t>Social Post #28: National Donor Day / Valentines Day</t>
  </si>
  <si>
    <t>Email #22: Resend to Non-Openers</t>
  </si>
  <si>
    <t>Call for Late Breaking Abstracts Close / Abstract Decisions Sent</t>
  </si>
  <si>
    <t>Valentine's Day / National Donor Day</t>
  </si>
  <si>
    <t>RESEND Email 2.5</t>
  </si>
  <si>
    <t>Register Now Email #3a - US - Boston Highlight
#3b - International - Boston Highlight
#3c - Drive-in Email</t>
  </si>
  <si>
    <t>Ash Wednesday</t>
  </si>
  <si>
    <t>Presidents' Day</t>
  </si>
  <si>
    <t>Lunar New Year</t>
  </si>
  <si>
    <t xml:space="preserve">First Night of Ramadan </t>
  </si>
  <si>
    <t>Online session schedule available / Online Posting of Original Abstract Submission Session Titles Available</t>
  </si>
  <si>
    <t>Register Now Email #4a - Past Attendees - New this year: Location + Quiz Bowl
Register Now Email #4b - International - Countries in Attendance Breakdown + Speaker Module</t>
  </si>
  <si>
    <t>Register Now Social #30 - SOTA Speakers</t>
  </si>
  <si>
    <t>AST CEOT</t>
  </si>
  <si>
    <t>March 2026</t>
  </si>
  <si>
    <t xml:space="preserve">
Register Now Social Post #30.5 - Quiz Bowl</t>
  </si>
  <si>
    <t>Register Now Email #5 - Early Bird Ends Tonight + Schedule at a Glance</t>
  </si>
  <si>
    <t xml:space="preserve">
Register Now Social Post #31 - Early Bird Ends Tonight</t>
  </si>
  <si>
    <t>Advance Pricing Begins</t>
  </si>
  <si>
    <t>World Kidney Day Social #33</t>
  </si>
  <si>
    <t>Testimonial Social #32</t>
  </si>
  <si>
    <t>Daylight Saving Time</t>
  </si>
  <si>
    <t>Abstract Notifications Sent for Late Breaking Abstract Submissions</t>
  </si>
  <si>
    <t>World Kidney Day</t>
  </si>
  <si>
    <t>Register Now Email #6 - Session Info if we have it
If we don't - World Kidney day approaching, it's relevance toward ATC, include a testimonial</t>
  </si>
  <si>
    <t>Final Date for Abstract Presenter Changes</t>
  </si>
  <si>
    <t>St. Patrick's Day</t>
  </si>
  <si>
    <t>Eid al-Fitr</t>
  </si>
  <si>
    <t>PR-Outreach Email to Exhibitors</t>
  </si>
  <si>
    <t>Register Now Social #34 (Spotlight for the symposia?)</t>
  </si>
  <si>
    <t xml:space="preserve">Register Now Email #7a/b International attendees / US attendees - </t>
  </si>
  <si>
    <t>March Nurture Email #1
Housing Reminder + Looking Forward to ATC - include video again</t>
  </si>
  <si>
    <t>Palm Sunday</t>
  </si>
  <si>
    <t>April 2026</t>
  </si>
  <si>
    <t xml:space="preserve">
Social #35 National Donate Life Month)</t>
  </si>
  <si>
    <t xml:space="preserve">Register Now Email #8 National Donate Life Month and its significance toward ATC
</t>
  </si>
  <si>
    <t>National Donate Life Month</t>
  </si>
  <si>
    <t>April Fool's Day</t>
  </si>
  <si>
    <t>Passover</t>
  </si>
  <si>
    <t>Good Friday</t>
  </si>
  <si>
    <t xml:space="preserve">Social #36: Program Format Highlight </t>
  </si>
  <si>
    <t>Register Now Email #9 Speaker / Program Highlights</t>
  </si>
  <si>
    <t>Easter</t>
  </si>
  <si>
    <t>Easter Monday</t>
  </si>
  <si>
    <t>Register Now Email #10a/b International / Domestic - Networking Opportunities + Visa Reminders (emphasize that the housing block is almost sold out and it'll get more expensive)</t>
  </si>
  <si>
    <t xml:space="preserve">Register Now - Email #11 FAQ Questions Answered + See Who is Exhibiting </t>
  </si>
  <si>
    <t>Register Now Social #37</t>
  </si>
  <si>
    <t xml:space="preserve">Register Now Social #38 - Exhibitor Highlight </t>
  </si>
  <si>
    <t>Orthodox Easter</t>
  </si>
  <si>
    <t>Tax Day</t>
  </si>
  <si>
    <t>Social #41 - Program Announcement</t>
  </si>
  <si>
    <t>Register Now Email #13 - Program Announcement</t>
  </si>
  <si>
    <t>Register Now Email #12a/b - Members/Nonmembers - Reminder that Members Get Reduced Rates</t>
  </si>
  <si>
    <t>April Nurture Email #2 What Are You Looking Forward to Most at ATC? 
Reminder that hotel is selling out
Promote adding on Meet-the-Expert Sessions to your registration</t>
  </si>
  <si>
    <t>FINAL Date for Abstract Presenter Changes</t>
  </si>
  <si>
    <t>Register Now Social #39</t>
  </si>
  <si>
    <t>Earth Day</t>
  </si>
  <si>
    <t>Register Now Email #14
24 Hours Left of Advance Pricing</t>
  </si>
  <si>
    <t>Social #42 - Advance Pricing Ends Today</t>
  </si>
  <si>
    <t>May 2026</t>
  </si>
  <si>
    <t>Social #43 - Session Spotlight (SOTA Speaker)</t>
  </si>
  <si>
    <t xml:space="preserve">Register Now Email #15: Campfire Sessions
a/b (Past Attendees / House Marketing)
module about the scientific insights waiting for them that they don't want to miss (program) + Who are you looking to connect with / reconnect with? </t>
  </si>
  <si>
    <t>Social #44: Campfire Sessions</t>
  </si>
  <si>
    <t>Cinco de Mayo</t>
  </si>
  <si>
    <t>Mother's Day</t>
  </si>
  <si>
    <t>Social #45 - Attendee Takeaway, list program session themes that align with career growth</t>
  </si>
  <si>
    <t xml:space="preserve">Register Now Email #16 - Deep Dive into ATC's Artificial Intelligence Sessions
The Potential Takeaways from Attending segmented by nurse practioners, transplant program directors, trainees, and everyone else. </t>
  </si>
  <si>
    <t>Register Now - Email #17 - Deep Dive into ATC's Organ Allocation Sessions</t>
  </si>
  <si>
    <t>Register Now - Email #17 resend</t>
  </si>
  <si>
    <t>Social #46: 1 Month Out - Program Push</t>
  </si>
  <si>
    <t>Register now - Email #18a/b:(Past Attendees / House Marketing): Deep Dive into ATC's Immunology &amp; Immunosuppression Sessions
Include ASTS graphic</t>
  </si>
  <si>
    <t>Sponsored Event eBlast (4 week)</t>
  </si>
  <si>
    <t>May Nurture Email #3 - 5k, Meet the Expert Lunch</t>
  </si>
  <si>
    <t>May Nurture Email #4 - Promote ATC Overview Webinar
Include AST graphic</t>
  </si>
  <si>
    <t>Session Spotlight (program) / Register Now - Email #20: Deep Dive into Robotics Sessions at ATC + mobile app promotion, find sessions on the mobile app
Include ASTS graphic</t>
  </si>
  <si>
    <t>Memorial Day</t>
  </si>
  <si>
    <t>Register Now - Email #19a/b (drive in / non-drive in) Get Ahead, 1 month away, Running out of time, flights are getting more expensive</t>
  </si>
  <si>
    <t>Eid al-Adha</t>
  </si>
  <si>
    <t>June 2026</t>
  </si>
  <si>
    <t>Register Now Email #21a/b - drive in audience / all prospects. Drive-in gets a Boston history push along with the "legacy" of ATC - when it started, how it can by a pivotal event in your life (career growth, networking)- ATC is this month 
Include AST graphic</t>
  </si>
  <si>
    <t>Register Now Email #21 resend</t>
  </si>
  <si>
    <t>Social #50: Pre-Event Webinar</t>
  </si>
  <si>
    <t>Awareness Social #47
Match email #20 MOBILE APP PROMOTION
IF MOBILE APP IS STILL DELAYED, POST SOCIAL #49 TODAY INSTEAD</t>
  </si>
  <si>
    <t>June Nurture Email #5 - Satellite Symposia Highlight. Content comes directly from sponsors</t>
  </si>
  <si>
    <t>Social #49. Women's Networking Event Promo (Lisa Callahan)</t>
  </si>
  <si>
    <t>Sponsored event eBlast (2 weeks out)</t>
  </si>
  <si>
    <t>Social #51: ATC is less than 2 weeks away! (match Email #22: what you could miss out on)</t>
  </si>
  <si>
    <t>Register Now Email #22 Less than 2 weeks away + reminder of what you could miss out on (program)</t>
  </si>
  <si>
    <t>Social #48. MOBILE APP - include specific information, where to download</t>
  </si>
  <si>
    <t>Nurture Email #6: Know Before You Go</t>
  </si>
  <si>
    <t>Register Now Email #23a/b/c (Members / Non-Members/Past Attendees) - It's not too late to register! Final savings before onsite. Offer Past Attendees a Discount Code</t>
  </si>
  <si>
    <t>Know Before You Go Resend</t>
  </si>
  <si>
    <t>Register Now Email #24 drive in</t>
  </si>
  <si>
    <t>Social #54
Get ready! Here is what's waiting for you in just 2 days</t>
  </si>
  <si>
    <t>ATC</t>
  </si>
  <si>
    <t>Social #52 we saved you a seat + save</t>
  </si>
  <si>
    <t>Social #53
Testimonial</t>
  </si>
  <si>
    <t>Social #1
Day 1</t>
  </si>
  <si>
    <t>Sponsored event post (1 week)</t>
  </si>
  <si>
    <t>Daily News Brief Email #1</t>
  </si>
  <si>
    <t>Social #2
Day 2</t>
  </si>
  <si>
    <t>Social #3
Day 3</t>
  </si>
  <si>
    <t>Social #4
Day 4</t>
  </si>
  <si>
    <t>Social #5
Day 5</t>
  </si>
  <si>
    <t>Social #6
Recap</t>
  </si>
  <si>
    <t>Nurture Email #7: Post-Event Survey</t>
  </si>
  <si>
    <t>Daily News Brief Email #2</t>
  </si>
  <si>
    <t>Daily News Brief Email #3</t>
  </si>
  <si>
    <t>Daily News Brief Email #4</t>
  </si>
  <si>
    <t>Daily News Brief Email #5</t>
  </si>
  <si>
    <t>Sponsored event eBlast (week of)</t>
  </si>
  <si>
    <t>Nurture Email #7 RESEND: Post-Event Survey</t>
  </si>
  <si>
    <t>Sponsored event eBlast (post event)</t>
  </si>
  <si>
    <t>July 2026</t>
  </si>
  <si>
    <t>ATC 2024 OnDemand Marketing</t>
  </si>
  <si>
    <t>Independence Day (Observed)</t>
  </si>
  <si>
    <t>Nurture Email #8: CME Email</t>
  </si>
  <si>
    <t>Sponsored event eBlast (2 weeks post event)</t>
  </si>
  <si>
    <t>August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</si>
</sst>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2"/>
      <color theme="1"/>
      <name val="Calibri"/>
      <scheme val="minor"/>
    </font>
    <font>
      <sz val="12"/>
      <color theme="1"/>
      <name val="Calibri"/>
      <family val="2"/>
      <scheme val="minor"/>
    </font>
    <font>
      <b/>
      <sz val="12"/>
      <color theme="1"/>
      <name val="Arial"/>
      <family val="2"/>
    </font>
    <font>
      <b/>
      <sz val="12"/>
      <color rgb="FFC55A11"/>
      <name val="Arial"/>
      <family val="2"/>
    </font>
    <font>
      <sz val="12"/>
      <color theme="1"/>
      <name val="Arial"/>
      <family val="2"/>
    </font>
    <font>
      <b/>
      <sz val="12"/>
      <color theme="0"/>
      <name val="Arial"/>
      <family val="2"/>
    </font>
    <font>
      <b/>
      <sz val="12"/>
      <color theme="2"/>
      <name val="Arial"/>
      <family val="2"/>
    </font>
    <font>
      <sz val="12"/>
      <name val="Arial"/>
      <family val="2"/>
    </font>
    <font>
      <b/>
      <sz val="48"/>
      <color rgb="FF333F4F"/>
      <name val="Arial"/>
      <family val="2"/>
    </font>
    <font>
      <b/>
      <sz val="12"/>
      <color rgb="FF333F4F"/>
      <name val="Arial"/>
      <family val="2"/>
    </font>
    <font>
      <sz val="12"/>
      <color rgb="FF333F4F"/>
      <name val="Arial"/>
      <family val="2"/>
    </font>
    <font>
      <sz val="10"/>
      <color rgb="FF333F4F"/>
      <name val="Arial"/>
      <family val="2"/>
    </font>
    <font>
      <sz val="9"/>
      <color rgb="FF333F4F"/>
      <name val="Arial"/>
      <family val="2"/>
    </font>
    <font>
      <b/>
      <sz val="9"/>
      <color rgb="FF333F4F"/>
      <name val="Arial"/>
      <family val="2"/>
    </font>
    <font>
      <b/>
      <sz val="10"/>
      <color rgb="FFC55A11"/>
      <name val="Arial"/>
      <family val="2"/>
    </font>
    <font>
      <b/>
      <sz val="10"/>
      <color rgb="FF333F4F"/>
      <name val="Arial"/>
      <family val="2"/>
    </font>
    <font>
      <sz val="10"/>
      <color theme="1"/>
      <name val="Arial"/>
      <family val="2"/>
    </font>
    <font>
      <b/>
      <sz val="10"/>
      <color theme="1"/>
      <name val="Arial"/>
      <family val="2"/>
    </font>
    <font>
      <sz val="10"/>
      <color rgb="FFC55A11"/>
      <name val="Arial"/>
      <family val="2"/>
    </font>
    <font>
      <b/>
      <sz val="12"/>
      <color rgb="FF000000"/>
      <name val="Arial"/>
      <family val="2"/>
    </font>
    <font>
      <sz val="12"/>
      <color rgb="FF000000"/>
      <name val="Arial"/>
      <family val="2"/>
    </font>
    <font>
      <sz val="10"/>
      <color rgb="FF000000"/>
      <name val="Arial"/>
      <family val="2"/>
    </font>
    <font>
      <sz val="10"/>
      <color rgb="FFFF0000"/>
      <name val="Arial"/>
      <family val="2"/>
    </font>
    <font>
      <sz val="10"/>
      <color rgb="FF000000"/>
      <name val="Arial"/>
      <charset val="1"/>
    </font>
    <font>
      <sz val="11"/>
      <color rgb="FF333F4F"/>
      <name val="Arial"/>
      <family val="2"/>
    </font>
    <font>
      <sz val="10"/>
      <color rgb="FF333F4F"/>
      <name val="Arial"/>
    </font>
    <font>
      <sz val="10"/>
      <color rgb="FF000000"/>
      <name val="Arial"/>
    </font>
    <font>
      <sz val="9"/>
      <color theme="1"/>
      <name val="Arial"/>
      <family val="2"/>
    </font>
    <font>
      <strike/>
      <sz val="10"/>
      <color theme="1"/>
      <name val="Arial"/>
      <family val="2"/>
    </font>
    <font>
      <b/>
      <sz val="12"/>
      <color theme="1" tint="0.499984740745262"/>
      <name val="Arial"/>
      <family val="2"/>
    </font>
    <font>
      <sz val="10"/>
      <color theme="1" tint="0.499984740745262"/>
      <name val="Arial"/>
      <family val="2"/>
    </font>
    <font>
      <sz val="10"/>
      <color theme="1"/>
      <name val="Arial"/>
    </font>
    <font>
      <sz val="11"/>
      <color theme="1"/>
      <name val="Arial"/>
      <family val="2"/>
    </font>
    <font>
      <sz val="11"/>
      <color theme="1"/>
      <name val="Arial"/>
      <charset val="1"/>
    </font>
    <font>
      <sz val="9"/>
      <color rgb="FF000000"/>
      <name val="Arial"/>
      <charset val="1"/>
    </font>
  </fonts>
  <fills count="17">
    <fill>
      <patternFill patternType="none"/>
    </fill>
    <fill>
      <patternFill patternType="gray125"/>
    </fill>
    <fill>
      <patternFill patternType="solid">
        <fgColor rgb="FF333F4F"/>
        <bgColor rgb="FF333F4F"/>
      </patternFill>
    </fill>
    <fill>
      <patternFill patternType="solid">
        <fgColor rgb="FFD6DCE4"/>
        <bgColor rgb="FFD6DCE4"/>
      </patternFill>
    </fill>
    <fill>
      <patternFill patternType="solid">
        <fgColor theme="0"/>
        <bgColor theme="0"/>
      </patternFill>
    </fill>
    <fill>
      <patternFill patternType="solid">
        <fgColor rgb="FFF2F2F2"/>
        <bgColor rgb="FFF2F2F2"/>
      </patternFill>
    </fill>
    <fill>
      <patternFill patternType="solid">
        <fgColor theme="3" tint="0.249977111117893"/>
        <bgColor indexed="64"/>
      </patternFill>
    </fill>
    <fill>
      <patternFill patternType="solid">
        <fgColor rgb="FF79DCFF"/>
        <bgColor indexed="64"/>
      </patternFill>
    </fill>
    <fill>
      <patternFill patternType="solid">
        <fgColor rgb="FFFFE181"/>
        <bgColor indexed="64"/>
      </patternFill>
    </fill>
    <fill>
      <patternFill patternType="solid">
        <fgColor rgb="FFFFCCFF"/>
        <bgColor indexed="64"/>
      </patternFill>
    </fill>
    <fill>
      <patternFill patternType="solid">
        <fgColor rgb="FFBAE18F"/>
        <bgColor indexed="64"/>
      </patternFill>
    </fill>
    <fill>
      <patternFill patternType="solid">
        <fgColor rgb="FFFF9966"/>
        <bgColor indexed="64"/>
      </patternFill>
    </fill>
    <fill>
      <patternFill patternType="solid">
        <fgColor rgb="FFFFFF00"/>
        <bgColor indexed="64"/>
      </patternFill>
    </fill>
    <fill>
      <patternFill patternType="solid">
        <fgColor rgb="FFCB81F0"/>
        <bgColor indexed="64"/>
      </patternFill>
    </fill>
    <fill>
      <patternFill patternType="solid">
        <fgColor rgb="FFD6DCE4"/>
        <bgColor indexed="64"/>
      </patternFill>
    </fill>
    <fill>
      <patternFill patternType="solid">
        <fgColor theme="0"/>
        <bgColor indexed="64"/>
      </patternFill>
    </fill>
    <fill>
      <patternFill patternType="solid">
        <fgColor rgb="FF78FFC4"/>
        <bgColor indexed="64"/>
      </patternFill>
    </fill>
  </fills>
  <borders count="2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
      <left/>
      <right/>
      <top/>
      <bottom/>
      <diagonal/>
    </border>
    <border>
      <left/>
      <right/>
      <top style="thin">
        <color rgb="FFBFBFBF"/>
      </top>
      <bottom/>
      <diagonal/>
    </border>
    <border>
      <left/>
      <right style="thin">
        <color rgb="FFBFBFBF"/>
      </right>
      <top style="thin">
        <color rgb="FFBFBFBF"/>
      </top>
      <bottom/>
      <diagonal/>
    </border>
    <border>
      <left/>
      <right style="thin">
        <color rgb="FFBFBFBF"/>
      </right>
      <top/>
      <bottom style="thin">
        <color rgb="FFBFBFBF"/>
      </bottom>
      <diagonal/>
    </border>
    <border>
      <left/>
      <right/>
      <top/>
      <bottom style="thin">
        <color rgb="FFBFBFBF"/>
      </bottom>
      <diagonal/>
    </border>
    <border>
      <left style="thin">
        <color rgb="FFBFBFBF"/>
      </left>
      <right style="thin">
        <color rgb="FFBFBFBF"/>
      </right>
      <top/>
      <bottom/>
      <diagonal/>
    </border>
    <border>
      <left style="thin">
        <color rgb="FFBFBFBF"/>
      </left>
      <right/>
      <top/>
      <bottom style="thin">
        <color rgb="FFBFBFBF"/>
      </bottom>
      <diagonal/>
    </border>
    <border>
      <left style="thin">
        <color theme="0" tint="-0.34998626667073579"/>
      </left>
      <right style="thin">
        <color rgb="FFBFBFBF"/>
      </right>
      <top style="thin">
        <color rgb="FFBFBFBF"/>
      </top>
      <bottom/>
      <diagonal/>
    </border>
    <border>
      <left style="thin">
        <color theme="0" tint="-0.34998626667073579"/>
      </left>
      <right style="thin">
        <color rgb="FFBFBFBF"/>
      </right>
      <top/>
      <bottom style="thin">
        <color rgb="FFBFBFBF"/>
      </bottom>
      <diagonal/>
    </border>
    <border>
      <left/>
      <right style="thin">
        <color rgb="FFBFBFBF"/>
      </right>
      <top/>
      <bottom/>
      <diagonal/>
    </border>
    <border>
      <left style="thin">
        <color indexed="64"/>
      </left>
      <right style="thin">
        <color indexed="64"/>
      </right>
      <top style="thin">
        <color indexed="64"/>
      </top>
      <bottom style="thin">
        <color indexed="64"/>
      </bottom>
      <diagonal/>
    </border>
    <border>
      <left style="thin">
        <color rgb="FFBFBFBF"/>
      </left>
      <right/>
      <top/>
      <bottom/>
      <diagonal/>
    </border>
    <border>
      <left style="thin">
        <color theme="0" tint="-0.34998626667073579"/>
      </left>
      <right style="thin">
        <color rgb="FFBFBFBF"/>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5"/>
  </cellStyleXfs>
  <cellXfs count="199">
    <xf numFmtId="0" fontId="0" fillId="0" borderId="0" xfId="0"/>
    <xf numFmtId="0" fontId="2" fillId="0" borderId="0" xfId="0" applyFont="1" applyAlignment="1">
      <alignment vertical="center"/>
    </xf>
    <xf numFmtId="0" fontId="2" fillId="0" borderId="0" xfId="0" applyFont="1"/>
    <xf numFmtId="0" fontId="3" fillId="0" borderId="0" xfId="0" applyFont="1"/>
    <xf numFmtId="0" fontId="4" fillId="0" borderId="0" xfId="0" applyFont="1"/>
    <xf numFmtId="0" fontId="6" fillId="6" borderId="15" xfId="0" applyFont="1" applyFill="1" applyBorder="1" applyAlignment="1">
      <alignment vertical="center"/>
    </xf>
    <xf numFmtId="0" fontId="7" fillId="7" borderId="15" xfId="0" applyFont="1" applyFill="1" applyBorder="1"/>
    <xf numFmtId="0" fontId="7" fillId="8" borderId="15" xfId="0" applyFont="1" applyFill="1" applyBorder="1"/>
    <xf numFmtId="0" fontId="7" fillId="9" borderId="15" xfId="0" applyFont="1" applyFill="1" applyBorder="1"/>
    <xf numFmtId="0" fontId="7" fillId="10" borderId="15" xfId="0" applyFont="1" applyFill="1" applyBorder="1"/>
    <xf numFmtId="0" fontId="4" fillId="11" borderId="15" xfId="0" applyFont="1" applyFill="1" applyBorder="1"/>
    <xf numFmtId="0" fontId="7" fillId="12" borderId="15" xfId="0" applyFont="1" applyFill="1" applyBorder="1" applyAlignment="1">
      <alignment vertical="center"/>
    </xf>
    <xf numFmtId="0" fontId="5" fillId="2" borderId="1" xfId="0" applyFont="1" applyFill="1" applyBorder="1" applyAlignment="1">
      <alignment horizontal="center" vertical="center" wrapText="1"/>
    </xf>
    <xf numFmtId="0" fontId="9" fillId="0" borderId="4" xfId="0" applyFont="1" applyBorder="1" applyAlignment="1">
      <alignment horizontal="left" vertical="center" wrapText="1"/>
    </xf>
    <xf numFmtId="0" fontId="9" fillId="3" borderId="10" xfId="0" applyFont="1" applyFill="1" applyBorder="1" applyAlignment="1">
      <alignment horizontal="left" vertical="center" wrapText="1"/>
    </xf>
    <xf numFmtId="0" fontId="9" fillId="3" borderId="16" xfId="0" applyFont="1" applyFill="1" applyBorder="1" applyAlignment="1">
      <alignment horizontal="left" vertical="center" wrapText="1"/>
    </xf>
    <xf numFmtId="0" fontId="9" fillId="0" borderId="10" xfId="0" applyFont="1" applyBorder="1" applyAlignment="1">
      <alignment horizontal="left" vertical="center" wrapText="1"/>
    </xf>
    <xf numFmtId="0" fontId="12" fillId="0" borderId="3" xfId="0" applyFont="1" applyBorder="1" applyAlignment="1">
      <alignment wrapText="1"/>
    </xf>
    <xf numFmtId="0" fontId="12" fillId="0" borderId="3" xfId="0" applyFont="1" applyBorder="1" applyAlignment="1">
      <alignment horizontal="left" wrapText="1"/>
    </xf>
    <xf numFmtId="0" fontId="9" fillId="5" borderId="2"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9" fillId="4" borderId="12" xfId="0" applyFont="1" applyFill="1" applyBorder="1" applyAlignment="1">
      <alignment horizontal="left" vertical="center" wrapText="1"/>
    </xf>
    <xf numFmtId="0" fontId="14" fillId="0" borderId="0" xfId="0" applyFont="1"/>
    <xf numFmtId="0" fontId="15" fillId="0" borderId="10" xfId="0" applyFont="1" applyBorder="1" applyAlignment="1">
      <alignment horizontal="left" vertical="center" wrapText="1"/>
    </xf>
    <xf numFmtId="0" fontId="16" fillId="0" borderId="0" xfId="0" applyFont="1"/>
    <xf numFmtId="0" fontId="17" fillId="0" borderId="0" xfId="0" applyFont="1"/>
    <xf numFmtId="0" fontId="11" fillId="0" borderId="3" xfId="0" applyFont="1" applyBorder="1" applyAlignment="1">
      <alignment wrapText="1"/>
    </xf>
    <xf numFmtId="0" fontId="11" fillId="0" borderId="3" xfId="0" applyFont="1" applyBorder="1" applyAlignment="1">
      <alignment horizontal="left" wrapText="1"/>
    </xf>
    <xf numFmtId="0" fontId="15" fillId="0" borderId="10" xfId="0" applyFont="1" applyBorder="1" applyAlignment="1">
      <alignment vertical="center" wrapText="1"/>
    </xf>
    <xf numFmtId="0" fontId="15" fillId="0" borderId="3" xfId="0" applyFont="1" applyBorder="1" applyAlignment="1">
      <alignment vertical="center" wrapText="1"/>
    </xf>
    <xf numFmtId="0" fontId="11" fillId="0" borderId="10" xfId="0" applyFont="1" applyBorder="1" applyAlignment="1">
      <alignment horizontal="left" vertical="center" wrapText="1"/>
    </xf>
    <xf numFmtId="0" fontId="18" fillId="0" borderId="0" xfId="0" applyFont="1"/>
    <xf numFmtId="0" fontId="11" fillId="0" borderId="8" xfId="0" applyFont="1" applyBorder="1" applyAlignment="1">
      <alignment wrapText="1"/>
    </xf>
    <xf numFmtId="0" fontId="11" fillId="0" borderId="10" xfId="0" applyFont="1" applyBorder="1" applyAlignment="1">
      <alignment horizontal="left" wrapText="1"/>
    </xf>
    <xf numFmtId="0" fontId="11" fillId="4" borderId="10" xfId="0" applyFont="1" applyFill="1" applyBorder="1" applyAlignment="1">
      <alignment horizontal="left" vertical="center" wrapText="1"/>
    </xf>
    <xf numFmtId="0" fontId="11" fillId="4" borderId="14" xfId="0" applyFont="1" applyFill="1" applyBorder="1" applyAlignment="1">
      <alignment horizontal="left" vertical="center" wrapText="1"/>
    </xf>
    <xf numFmtId="0" fontId="9" fillId="3" borderId="4" xfId="0" applyFont="1" applyFill="1" applyBorder="1" applyAlignment="1">
      <alignment horizontal="left" vertical="center" wrapText="1"/>
    </xf>
    <xf numFmtId="0" fontId="9" fillId="5" borderId="6" xfId="0" applyFont="1" applyFill="1" applyBorder="1" applyAlignment="1">
      <alignment horizontal="center" vertical="center" wrapText="1"/>
    </xf>
    <xf numFmtId="0" fontId="9" fillId="5" borderId="6" xfId="0" applyFont="1" applyFill="1" applyBorder="1" applyAlignment="1">
      <alignment horizontal="left" vertical="center" wrapText="1"/>
    </xf>
    <xf numFmtId="0" fontId="9" fillId="5" borderId="7" xfId="0" applyFont="1" applyFill="1" applyBorder="1" applyAlignment="1">
      <alignment horizontal="center" vertical="center" wrapText="1"/>
    </xf>
    <xf numFmtId="0" fontId="9" fillId="4" borderId="7" xfId="0" applyFont="1" applyFill="1" applyBorder="1" applyAlignment="1">
      <alignment horizontal="left" vertical="center" wrapText="1"/>
    </xf>
    <xf numFmtId="0" fontId="9" fillId="4" borderId="4" xfId="0" applyFont="1" applyFill="1" applyBorder="1" applyAlignment="1">
      <alignment horizontal="left" vertical="center" wrapText="1"/>
    </xf>
    <xf numFmtId="0" fontId="11" fillId="4" borderId="3" xfId="0" applyFont="1" applyFill="1" applyBorder="1" applyAlignment="1">
      <alignment wrapText="1"/>
    </xf>
    <xf numFmtId="0" fontId="11" fillId="5" borderId="6" xfId="0" applyFont="1" applyFill="1" applyBorder="1" applyAlignment="1">
      <alignment horizontal="center" vertical="center" wrapText="1"/>
    </xf>
    <xf numFmtId="0" fontId="12" fillId="4" borderId="3" xfId="0" applyFont="1" applyFill="1" applyBorder="1" applyAlignment="1">
      <alignment wrapText="1"/>
    </xf>
    <xf numFmtId="0" fontId="11" fillId="3" borderId="3" xfId="0" applyFont="1" applyFill="1" applyBorder="1" applyAlignment="1">
      <alignment wrapText="1"/>
    </xf>
    <xf numFmtId="0" fontId="11" fillId="3" borderId="11" xfId="0" applyFont="1" applyFill="1" applyBorder="1" applyAlignment="1">
      <alignment horizontal="left" wrapText="1"/>
    </xf>
    <xf numFmtId="0" fontId="13" fillId="3" borderId="3" xfId="0" applyFont="1" applyFill="1" applyBorder="1" applyAlignment="1">
      <alignment wrapText="1"/>
    </xf>
    <xf numFmtId="0" fontId="11" fillId="4" borderId="17" xfId="0" applyFont="1" applyFill="1" applyBorder="1" applyAlignment="1">
      <alignment vertical="center" wrapText="1"/>
    </xf>
    <xf numFmtId="0" fontId="11" fillId="4" borderId="13" xfId="0" applyFont="1" applyFill="1" applyBorder="1" applyAlignment="1">
      <alignment vertical="center" wrapText="1"/>
    </xf>
    <xf numFmtId="0" fontId="11" fillId="0" borderId="10" xfId="0" applyFont="1" applyBorder="1" applyAlignment="1">
      <alignment vertical="center" wrapText="1"/>
    </xf>
    <xf numFmtId="0" fontId="11" fillId="0" borderId="3" xfId="0" applyFont="1" applyBorder="1" applyAlignment="1">
      <alignment vertical="center" wrapText="1"/>
    </xf>
    <xf numFmtId="0" fontId="11" fillId="0" borderId="16" xfId="0" applyFont="1" applyBorder="1" applyAlignment="1">
      <alignment horizontal="left" vertical="center" wrapText="1"/>
    </xf>
    <xf numFmtId="0" fontId="11" fillId="0" borderId="11" xfId="0" applyFont="1" applyBorder="1" applyAlignment="1">
      <alignment horizontal="left" wrapText="1"/>
    </xf>
    <xf numFmtId="0" fontId="11" fillId="0" borderId="14" xfId="0" applyFont="1" applyBorder="1" applyAlignment="1">
      <alignment horizontal="left" vertical="center" wrapText="1"/>
    </xf>
    <xf numFmtId="0" fontId="11" fillId="0" borderId="3" xfId="0" applyFont="1" applyBorder="1" applyAlignment="1">
      <alignment horizontal="left" vertical="center" wrapText="1"/>
    </xf>
    <xf numFmtId="0" fontId="11" fillId="5" borderId="11" xfId="0" applyFont="1" applyFill="1" applyBorder="1" applyAlignment="1">
      <alignment horizontal="left" vertical="top"/>
    </xf>
    <xf numFmtId="0" fontId="11" fillId="5" borderId="9" xfId="0" applyFont="1" applyFill="1" applyBorder="1" applyAlignment="1">
      <alignment horizontal="left" vertical="top" wrapText="1"/>
    </xf>
    <xf numFmtId="0" fontId="11" fillId="5" borderId="16" xfId="0" applyFont="1" applyFill="1" applyBorder="1" applyAlignment="1">
      <alignment horizontal="left" vertical="center" wrapText="1"/>
    </xf>
    <xf numFmtId="0" fontId="11" fillId="5" borderId="5" xfId="0" applyFont="1" applyFill="1" applyBorder="1" applyAlignment="1">
      <alignment horizontal="center" vertical="center" wrapText="1"/>
    </xf>
    <xf numFmtId="0" fontId="11" fillId="0" borderId="5" xfId="0" applyFont="1" applyBorder="1" applyAlignment="1">
      <alignment horizontal="left" wrapText="1"/>
    </xf>
    <xf numFmtId="0" fontId="11" fillId="0" borderId="3" xfId="0" applyFont="1" applyBorder="1" applyAlignment="1">
      <alignment horizontal="center" wrapText="1"/>
    </xf>
    <xf numFmtId="0" fontId="11" fillId="0" borderId="10" xfId="0" applyFont="1" applyBorder="1" applyAlignment="1">
      <alignment horizontal="center" wrapText="1"/>
    </xf>
    <xf numFmtId="0" fontId="11" fillId="0" borderId="10" xfId="0" applyFont="1" applyBorder="1" applyAlignment="1">
      <alignment wrapText="1"/>
    </xf>
    <xf numFmtId="0" fontId="9" fillId="0" borderId="5" xfId="0" applyFont="1" applyBorder="1" applyAlignment="1">
      <alignment horizontal="left" vertical="center" wrapText="1"/>
    </xf>
    <xf numFmtId="0" fontId="7" fillId="13" borderId="15" xfId="0" applyFont="1" applyFill="1" applyBorder="1"/>
    <xf numFmtId="0" fontId="20" fillId="0" borderId="0" xfId="0" applyFont="1"/>
    <xf numFmtId="0" fontId="19" fillId="0" borderId="0" xfId="0" applyFont="1"/>
    <xf numFmtId="0" fontId="19" fillId="3" borderId="4" xfId="0" applyFont="1" applyFill="1" applyBorder="1" applyAlignment="1">
      <alignment horizontal="left" vertical="center" wrapText="1"/>
    </xf>
    <xf numFmtId="0" fontId="19" fillId="0" borderId="4" xfId="0" applyFont="1" applyBorder="1" applyAlignment="1">
      <alignment horizontal="left" vertical="center" wrapText="1"/>
    </xf>
    <xf numFmtId="0" fontId="21" fillId="0" borderId="0" xfId="0" applyFont="1"/>
    <xf numFmtId="0" fontId="21" fillId="3" borderId="3" xfId="0" applyFont="1" applyFill="1" applyBorder="1" applyAlignment="1">
      <alignment wrapText="1"/>
    </xf>
    <xf numFmtId="0" fontId="21" fillId="0" borderId="3" xfId="0" applyFont="1" applyBorder="1" applyAlignment="1">
      <alignment horizontal="left" wrapText="1"/>
    </xf>
    <xf numFmtId="0" fontId="21" fillId="0" borderId="3" xfId="0" applyFont="1" applyBorder="1" applyAlignment="1">
      <alignment wrapText="1"/>
    </xf>
    <xf numFmtId="0" fontId="21" fillId="0" borderId="10" xfId="0" applyFont="1" applyBorder="1" applyAlignment="1">
      <alignment horizontal="left" vertical="center" wrapText="1"/>
    </xf>
    <xf numFmtId="0" fontId="19" fillId="0" borderId="10" xfId="0" applyFont="1" applyBorder="1" applyAlignment="1">
      <alignment horizontal="left" vertical="center" wrapText="1"/>
    </xf>
    <xf numFmtId="0" fontId="19" fillId="3" borderId="10" xfId="0" applyFont="1" applyFill="1" applyBorder="1" applyAlignment="1">
      <alignment horizontal="left" vertical="center" wrapText="1"/>
    </xf>
    <xf numFmtId="0" fontId="23" fillId="0" borderId="0" xfId="0" applyFont="1" applyAlignment="1">
      <alignment horizontal="left" vertical="top" wrapText="1"/>
    </xf>
    <xf numFmtId="0" fontId="0" fillId="14" borderId="0" xfId="0" applyFill="1"/>
    <xf numFmtId="0" fontId="11" fillId="14" borderId="17" xfId="0" applyFont="1" applyFill="1" applyBorder="1" applyAlignment="1">
      <alignment vertical="center" wrapText="1"/>
    </xf>
    <xf numFmtId="0" fontId="11" fillId="14" borderId="13" xfId="0" applyFont="1" applyFill="1" applyBorder="1" applyAlignment="1">
      <alignment vertical="center" wrapText="1"/>
    </xf>
    <xf numFmtId="0" fontId="16" fillId="0" borderId="5" xfId="0" applyFont="1" applyBorder="1"/>
    <xf numFmtId="0" fontId="16" fillId="0" borderId="0" xfId="0" applyFont="1" applyAlignment="1">
      <alignment wrapText="1"/>
    </xf>
    <xf numFmtId="0" fontId="9" fillId="5" borderId="16" xfId="0" applyFont="1" applyFill="1" applyBorder="1" applyAlignment="1">
      <alignment horizontal="left" vertical="center" wrapText="1"/>
    </xf>
    <xf numFmtId="0" fontId="21" fillId="0" borderId="0" xfId="0" applyFont="1" applyAlignment="1">
      <alignment wrapText="1"/>
    </xf>
    <xf numFmtId="0" fontId="11" fillId="3" borderId="5" xfId="0" applyFont="1" applyFill="1" applyBorder="1" applyAlignment="1">
      <alignment wrapText="1"/>
    </xf>
    <xf numFmtId="0" fontId="22" fillId="0" borderId="10" xfId="0" applyFont="1" applyBorder="1" applyAlignment="1">
      <alignment horizontal="left" vertical="center" wrapText="1"/>
    </xf>
    <xf numFmtId="0" fontId="16" fillId="0" borderId="10" xfId="0" applyFont="1" applyBorder="1" applyAlignment="1">
      <alignment horizontal="left" vertical="center" wrapText="1"/>
    </xf>
    <xf numFmtId="0" fontId="10" fillId="0" borderId="10" xfId="0" applyFont="1" applyBorder="1" applyAlignment="1">
      <alignment horizontal="left" vertical="center" wrapText="1"/>
    </xf>
    <xf numFmtId="0" fontId="11" fillId="10" borderId="10" xfId="0" applyFont="1" applyFill="1" applyBorder="1" applyAlignment="1">
      <alignment vertical="center" wrapText="1"/>
    </xf>
    <xf numFmtId="0" fontId="11" fillId="12" borderId="13" xfId="0" applyFont="1" applyFill="1" applyBorder="1" applyAlignment="1">
      <alignment vertical="center" wrapText="1"/>
    </xf>
    <xf numFmtId="0" fontId="11" fillId="10" borderId="10" xfId="0" applyFont="1" applyFill="1" applyBorder="1" applyAlignment="1">
      <alignment horizontal="left" vertical="center" wrapText="1"/>
    </xf>
    <xf numFmtId="0" fontId="9" fillId="12" borderId="10" xfId="0" applyFont="1" applyFill="1" applyBorder="1" applyAlignment="1">
      <alignment horizontal="left" vertical="center" wrapText="1"/>
    </xf>
    <xf numFmtId="0" fontId="11" fillId="12" borderId="3" xfId="0" applyFont="1" applyFill="1" applyBorder="1" applyAlignment="1">
      <alignment wrapText="1"/>
    </xf>
    <xf numFmtId="0" fontId="11" fillId="10" borderId="3" xfId="0" applyFont="1" applyFill="1" applyBorder="1" applyAlignment="1">
      <alignment wrapText="1"/>
    </xf>
    <xf numFmtId="0" fontId="11" fillId="12" borderId="10" xfId="0" applyFont="1" applyFill="1" applyBorder="1" applyAlignment="1">
      <alignment horizontal="left" vertical="center" wrapText="1"/>
    </xf>
    <xf numFmtId="0" fontId="11" fillId="12" borderId="3" xfId="0" applyFont="1" applyFill="1" applyBorder="1" applyAlignment="1">
      <alignment horizontal="left" wrapText="1"/>
    </xf>
    <xf numFmtId="0" fontId="11" fillId="10" borderId="3" xfId="0" applyFont="1" applyFill="1" applyBorder="1" applyAlignment="1">
      <alignment horizontal="left" wrapText="1"/>
    </xf>
    <xf numFmtId="0" fontId="21" fillId="10" borderId="10" xfId="0" applyFont="1" applyFill="1" applyBorder="1" applyAlignment="1">
      <alignment horizontal="left" vertical="center" wrapText="1"/>
    </xf>
    <xf numFmtId="0" fontId="21" fillId="12" borderId="10" xfId="0" applyFont="1" applyFill="1" applyBorder="1" applyAlignment="1">
      <alignment horizontal="left" vertical="center" wrapText="1"/>
    </xf>
    <xf numFmtId="0" fontId="21" fillId="10" borderId="3" xfId="0" applyFont="1" applyFill="1" applyBorder="1" applyAlignment="1">
      <alignment wrapText="1"/>
    </xf>
    <xf numFmtId="0" fontId="21" fillId="15" borderId="10" xfId="0" applyFont="1" applyFill="1" applyBorder="1" applyAlignment="1">
      <alignment horizontal="left" vertical="center" wrapText="1"/>
    </xf>
    <xf numFmtId="0" fontId="24" fillId="10" borderId="10" xfId="0" applyFont="1" applyFill="1" applyBorder="1" applyAlignment="1">
      <alignment horizontal="left" vertical="center" wrapText="1"/>
    </xf>
    <xf numFmtId="0" fontId="16" fillId="10" borderId="0" xfId="0" applyFont="1" applyFill="1" applyAlignment="1">
      <alignment wrapText="1"/>
    </xf>
    <xf numFmtId="0" fontId="24" fillId="12" borderId="10" xfId="0" applyFont="1" applyFill="1" applyBorder="1" applyAlignment="1">
      <alignment horizontal="left" vertical="center" wrapText="1"/>
    </xf>
    <xf numFmtId="0" fontId="25" fillId="12" borderId="10" xfId="0" applyFont="1" applyFill="1" applyBorder="1" applyAlignment="1">
      <alignment horizontal="left" vertical="center" wrapText="1"/>
    </xf>
    <xf numFmtId="0" fontId="10" fillId="10" borderId="10" xfId="0" applyFont="1" applyFill="1" applyBorder="1" applyAlignment="1">
      <alignment horizontal="left" vertical="center" wrapText="1"/>
    </xf>
    <xf numFmtId="0" fontId="27" fillId="10" borderId="0" xfId="0" applyFont="1" applyFill="1" applyAlignment="1">
      <alignment wrapText="1"/>
    </xf>
    <xf numFmtId="0" fontId="4" fillId="10" borderId="0" xfId="0" applyFont="1" applyFill="1" applyAlignment="1">
      <alignment wrapText="1"/>
    </xf>
    <xf numFmtId="0" fontId="10" fillId="10" borderId="5" xfId="0" applyFont="1" applyFill="1" applyBorder="1" applyAlignment="1">
      <alignment horizontal="left" vertical="center" wrapText="1"/>
    </xf>
    <xf numFmtId="0" fontId="16" fillId="10" borderId="10" xfId="0" applyFont="1" applyFill="1" applyBorder="1" applyAlignment="1">
      <alignment horizontal="left" vertical="center" wrapText="1"/>
    </xf>
    <xf numFmtId="0" fontId="12" fillId="10" borderId="3" xfId="0" applyFont="1" applyFill="1" applyBorder="1" applyAlignment="1">
      <alignment wrapText="1"/>
    </xf>
    <xf numFmtId="0" fontId="10" fillId="10" borderId="10" xfId="0" applyFont="1" applyFill="1" applyBorder="1" applyAlignment="1">
      <alignment vertical="center" wrapText="1"/>
    </xf>
    <xf numFmtId="0" fontId="4" fillId="10" borderId="10" xfId="0" applyFont="1" applyFill="1" applyBorder="1" applyAlignment="1">
      <alignment horizontal="left" vertical="center" wrapText="1"/>
    </xf>
    <xf numFmtId="0" fontId="12" fillId="12" borderId="3" xfId="0" applyFont="1" applyFill="1" applyBorder="1" applyAlignment="1">
      <alignment horizontal="left" wrapText="1"/>
    </xf>
    <xf numFmtId="0" fontId="11" fillId="15" borderId="10" xfId="0" applyFont="1" applyFill="1" applyBorder="1" applyAlignment="1">
      <alignment horizontal="left" vertical="center" wrapText="1"/>
    </xf>
    <xf numFmtId="0" fontId="23" fillId="10" borderId="0" xfId="0" applyFont="1" applyFill="1" applyAlignment="1">
      <alignment wrapText="1"/>
    </xf>
    <xf numFmtId="0" fontId="25" fillId="15" borderId="10" xfId="0" applyFont="1" applyFill="1" applyBorder="1" applyAlignment="1">
      <alignment horizontal="left" vertical="center" wrapText="1"/>
    </xf>
    <xf numFmtId="0" fontId="4" fillId="15" borderId="0" xfId="0" applyFont="1" applyFill="1"/>
    <xf numFmtId="0" fontId="9" fillId="15" borderId="10" xfId="0" applyFont="1" applyFill="1" applyBorder="1" applyAlignment="1">
      <alignment horizontal="left" vertical="center" wrapText="1"/>
    </xf>
    <xf numFmtId="0" fontId="9" fillId="15" borderId="5" xfId="0" applyFont="1" applyFill="1" applyBorder="1" applyAlignment="1">
      <alignment horizontal="left" vertical="center" wrapText="1"/>
    </xf>
    <xf numFmtId="0" fontId="21" fillId="15" borderId="0" xfId="0" applyFont="1" applyFill="1"/>
    <xf numFmtId="0" fontId="0" fillId="15" borderId="0" xfId="0" applyFill="1"/>
    <xf numFmtId="0" fontId="12" fillId="13" borderId="3" xfId="0" applyFont="1" applyFill="1" applyBorder="1" applyAlignment="1">
      <alignment horizontal="left" wrapText="1"/>
    </xf>
    <xf numFmtId="0" fontId="12" fillId="13" borderId="3" xfId="0" applyFont="1" applyFill="1" applyBorder="1" applyAlignment="1">
      <alignment wrapText="1"/>
    </xf>
    <xf numFmtId="0" fontId="10" fillId="13" borderId="10" xfId="0" applyFont="1" applyFill="1" applyBorder="1" applyAlignment="1">
      <alignment horizontal="left" vertical="center" wrapText="1"/>
    </xf>
    <xf numFmtId="0" fontId="20" fillId="16" borderId="0" xfId="0" applyFont="1" applyFill="1"/>
    <xf numFmtId="0" fontId="16" fillId="16" borderId="0" xfId="0" applyFont="1" applyFill="1" applyAlignment="1">
      <alignment wrapText="1"/>
    </xf>
    <xf numFmtId="0" fontId="11" fillId="16" borderId="10" xfId="0" applyFont="1" applyFill="1" applyBorder="1" applyAlignment="1">
      <alignment horizontal="left" vertical="center" wrapText="1"/>
    </xf>
    <xf numFmtId="0" fontId="11" fillId="16" borderId="10" xfId="0" applyFont="1" applyFill="1" applyBorder="1" applyAlignment="1">
      <alignment horizontal="left" wrapText="1"/>
    </xf>
    <xf numFmtId="0" fontId="23" fillId="16" borderId="0" xfId="0" applyFont="1" applyFill="1" applyAlignment="1">
      <alignment wrapText="1"/>
    </xf>
    <xf numFmtId="0" fontId="21" fillId="0" borderId="16" xfId="0" applyFont="1" applyBorder="1" applyAlignment="1">
      <alignment wrapText="1"/>
    </xf>
    <xf numFmtId="0" fontId="21" fillId="0" borderId="5" xfId="0" applyFont="1" applyBorder="1" applyAlignment="1">
      <alignment wrapText="1"/>
    </xf>
    <xf numFmtId="0" fontId="21" fillId="0" borderId="5" xfId="0" applyFont="1" applyBorder="1" applyAlignment="1">
      <alignment horizontal="left" wrapText="1"/>
    </xf>
    <xf numFmtId="0" fontId="21" fillId="0" borderId="14" xfId="0" applyFont="1" applyBorder="1" applyAlignment="1">
      <alignment wrapText="1"/>
    </xf>
    <xf numFmtId="0" fontId="23" fillId="15" borderId="0" xfId="0" applyFont="1" applyFill="1" applyAlignment="1">
      <alignment wrapText="1"/>
    </xf>
    <xf numFmtId="0" fontId="25" fillId="16" borderId="10" xfId="0" applyFont="1" applyFill="1" applyBorder="1" applyAlignment="1">
      <alignment horizontal="left" vertical="center" wrapText="1"/>
    </xf>
    <xf numFmtId="0" fontId="11" fillId="10" borderId="10" xfId="0" applyFont="1" applyFill="1" applyBorder="1" applyAlignment="1">
      <alignment horizontal="left" vertical="top" wrapText="1"/>
    </xf>
    <xf numFmtId="0" fontId="11" fillId="15" borderId="3" xfId="0" applyFont="1" applyFill="1" applyBorder="1" applyAlignment="1">
      <alignment horizontal="left" wrapText="1"/>
    </xf>
    <xf numFmtId="0" fontId="19" fillId="0" borderId="5" xfId="0" applyFont="1" applyBorder="1" applyAlignment="1">
      <alignment horizontal="left" vertical="center" wrapText="1"/>
    </xf>
    <xf numFmtId="0" fontId="24" fillId="10" borderId="3" xfId="0" applyFont="1" applyFill="1" applyBorder="1" applyAlignment="1">
      <alignment wrapText="1"/>
    </xf>
    <xf numFmtId="0" fontId="24" fillId="0" borderId="3" xfId="0" applyFont="1" applyBorder="1" applyAlignment="1">
      <alignment horizontal="left" wrapText="1"/>
    </xf>
    <xf numFmtId="0" fontId="11" fillId="0" borderId="10" xfId="0" applyFont="1" applyBorder="1" applyAlignment="1">
      <alignment horizontal="left" vertical="top" wrapText="1"/>
    </xf>
    <xf numFmtId="0" fontId="29" fillId="0" borderId="18" xfId="0" applyFont="1" applyBorder="1" applyAlignment="1">
      <alignment horizontal="left" vertical="center" wrapText="1"/>
    </xf>
    <xf numFmtId="0" fontId="30" fillId="0" borderId="18" xfId="0" applyFont="1" applyBorder="1"/>
    <xf numFmtId="0" fontId="28" fillId="0" borderId="0" xfId="0" applyFont="1" applyAlignment="1">
      <alignment wrapText="1"/>
    </xf>
    <xf numFmtId="0" fontId="11" fillId="10" borderId="0" xfId="0" applyFont="1" applyFill="1" applyAlignment="1">
      <alignment wrapText="1"/>
    </xf>
    <xf numFmtId="0" fontId="11" fillId="16" borderId="0" xfId="0" applyFont="1" applyFill="1" applyAlignment="1">
      <alignment wrapText="1"/>
    </xf>
    <xf numFmtId="0" fontId="16" fillId="10" borderId="8" xfId="0" applyFont="1" applyFill="1" applyBorder="1" applyAlignment="1">
      <alignment wrapText="1"/>
    </xf>
    <xf numFmtId="0" fontId="31" fillId="10" borderId="10" xfId="0" applyFont="1" applyFill="1" applyBorder="1" applyAlignment="1">
      <alignment horizontal="left" vertical="center" wrapText="1"/>
    </xf>
    <xf numFmtId="0" fontId="16" fillId="12" borderId="3" xfId="0" applyFont="1" applyFill="1" applyBorder="1" applyAlignment="1">
      <alignment horizontal="left" wrapText="1"/>
    </xf>
    <xf numFmtId="0" fontId="2" fillId="0" borderId="4" xfId="0" applyFont="1" applyBorder="1" applyAlignment="1">
      <alignment horizontal="left" vertical="center" wrapText="1"/>
    </xf>
    <xf numFmtId="0" fontId="32" fillId="12" borderId="10" xfId="0" applyFont="1" applyFill="1" applyBorder="1" applyAlignment="1">
      <alignment horizontal="left" vertical="center" wrapText="1"/>
    </xf>
    <xf numFmtId="0" fontId="32" fillId="10" borderId="3" xfId="0" applyFont="1" applyFill="1" applyBorder="1" applyAlignment="1">
      <alignment wrapText="1"/>
    </xf>
    <xf numFmtId="0" fontId="2" fillId="3" borderId="2" xfId="0" applyFont="1" applyFill="1" applyBorder="1" applyAlignment="1">
      <alignment horizontal="left" vertical="center" wrapText="1"/>
    </xf>
    <xf numFmtId="0" fontId="2" fillId="3" borderId="16" xfId="0" applyFont="1" applyFill="1" applyBorder="1" applyAlignment="1">
      <alignment horizontal="left" vertical="center" wrapText="1"/>
    </xf>
    <xf numFmtId="0" fontId="32" fillId="15" borderId="10" xfId="0" applyFont="1" applyFill="1" applyBorder="1" applyAlignment="1">
      <alignment horizontal="left" vertical="center" wrapText="1"/>
    </xf>
    <xf numFmtId="0" fontId="4" fillId="0" borderId="10" xfId="0" applyFont="1" applyBorder="1" applyAlignment="1">
      <alignment horizontal="left" vertical="center" wrapText="1"/>
    </xf>
    <xf numFmtId="0" fontId="31" fillId="12" borderId="10" xfId="0" applyFont="1" applyFill="1" applyBorder="1" applyAlignment="1">
      <alignment horizontal="left" vertical="center" wrapText="1"/>
    </xf>
    <xf numFmtId="0" fontId="27" fillId="0" borderId="3" xfId="0" applyFont="1" applyBorder="1" applyAlignment="1">
      <alignment wrapText="1"/>
    </xf>
    <xf numFmtId="0" fontId="2" fillId="0" borderId="10" xfId="0" applyFont="1" applyBorder="1" applyAlignment="1">
      <alignment horizontal="left" vertical="center" wrapText="1"/>
    </xf>
    <xf numFmtId="0" fontId="27" fillId="3" borderId="11" xfId="0" applyFont="1" applyFill="1" applyBorder="1" applyAlignment="1">
      <alignment horizontal="left" wrapText="1"/>
    </xf>
    <xf numFmtId="0" fontId="31" fillId="15" borderId="10" xfId="0" applyFont="1" applyFill="1" applyBorder="1" applyAlignment="1">
      <alignment horizontal="left" vertical="center" wrapText="1"/>
    </xf>
    <xf numFmtId="0" fontId="16" fillId="15" borderId="10" xfId="0" applyFont="1" applyFill="1" applyBorder="1" applyAlignment="1">
      <alignment horizontal="left" vertical="center" wrapText="1"/>
    </xf>
    <xf numFmtId="0" fontId="27" fillId="0" borderId="3" xfId="0" applyFont="1" applyBorder="1" applyAlignment="1">
      <alignment horizontal="left" wrapText="1"/>
    </xf>
    <xf numFmtId="0" fontId="27" fillId="12" borderId="10" xfId="0" applyFont="1" applyFill="1" applyBorder="1" applyAlignment="1">
      <alignment horizontal="left" vertical="center" wrapText="1"/>
    </xf>
    <xf numFmtId="0" fontId="24" fillId="10" borderId="10" xfId="0" applyFont="1" applyFill="1" applyBorder="1" applyAlignment="1">
      <alignment wrapText="1"/>
    </xf>
    <xf numFmtId="0" fontId="21" fillId="10" borderId="3" xfId="0" applyFont="1" applyFill="1" applyBorder="1" applyAlignment="1">
      <alignment horizontal="left" wrapText="1"/>
    </xf>
    <xf numFmtId="0" fontId="10" fillId="15" borderId="10" xfId="0" applyFont="1" applyFill="1" applyBorder="1" applyAlignment="1">
      <alignment horizontal="left" vertical="center" wrapText="1"/>
    </xf>
    <xf numFmtId="0" fontId="11" fillId="3" borderId="10" xfId="0" applyFont="1" applyFill="1" applyBorder="1" applyAlignment="1">
      <alignment wrapText="1"/>
    </xf>
    <xf numFmtId="0" fontId="12" fillId="0" borderId="10" xfId="0" applyFont="1" applyBorder="1" applyAlignment="1">
      <alignment wrapText="1"/>
    </xf>
    <xf numFmtId="0" fontId="12" fillId="15" borderId="10" xfId="0" applyFont="1" applyFill="1" applyBorder="1" applyAlignment="1">
      <alignment horizontal="left" wrapText="1"/>
    </xf>
    <xf numFmtId="0" fontId="23" fillId="0" borderId="0" xfId="0" applyFont="1" applyAlignment="1">
      <alignment wrapText="1"/>
    </xf>
    <xf numFmtId="0" fontId="20" fillId="16" borderId="19" xfId="0" applyFont="1" applyFill="1" applyBorder="1"/>
    <xf numFmtId="0" fontId="3" fillId="0" borderId="5" xfId="0" applyFont="1" applyBorder="1"/>
    <xf numFmtId="0" fontId="4" fillId="0" borderId="5" xfId="0" applyFont="1" applyBorder="1"/>
    <xf numFmtId="0" fontId="7" fillId="13" borderId="20" xfId="0" applyFont="1" applyFill="1" applyBorder="1"/>
    <xf numFmtId="0" fontId="0" fillId="0" borderId="5" xfId="0" applyBorder="1"/>
    <xf numFmtId="0" fontId="10" fillId="0" borderId="10" xfId="0" applyFont="1" applyBorder="1" applyAlignment="1">
      <alignment vertical="center" wrapText="1"/>
    </xf>
    <xf numFmtId="0" fontId="31" fillId="0" borderId="10" xfId="0" applyFont="1" applyBorder="1" applyAlignment="1">
      <alignment horizontal="left" vertical="center" wrapText="1"/>
    </xf>
    <xf numFmtId="0" fontId="16" fillId="15" borderId="0" xfId="0" applyFont="1" applyFill="1" applyAlignment="1">
      <alignment wrapText="1"/>
    </xf>
    <xf numFmtId="0" fontId="0" fillId="0" borderId="19" xfId="0" applyBorder="1"/>
    <xf numFmtId="0" fontId="9" fillId="0" borderId="16" xfId="0" applyFont="1" applyBorder="1" applyAlignment="1">
      <alignment horizontal="left" vertical="center" wrapText="1"/>
    </xf>
    <xf numFmtId="0" fontId="26" fillId="15" borderId="5" xfId="0" applyFont="1" applyFill="1" applyBorder="1" applyAlignment="1">
      <alignment wrapText="1"/>
    </xf>
    <xf numFmtId="0" fontId="9" fillId="4" borderId="10" xfId="0" applyFont="1" applyFill="1" applyBorder="1" applyAlignment="1">
      <alignment horizontal="left" vertical="center" wrapText="1"/>
    </xf>
    <xf numFmtId="0" fontId="33" fillId="10" borderId="0" xfId="0" applyFont="1" applyFill="1" applyAlignment="1">
      <alignment wrapText="1"/>
    </xf>
    <xf numFmtId="0" fontId="34" fillId="10" borderId="0" xfId="0" applyFont="1" applyFill="1"/>
    <xf numFmtId="0" fontId="27" fillId="15" borderId="0" xfId="0" applyFont="1" applyFill="1" applyAlignment="1">
      <alignment wrapText="1"/>
    </xf>
    <xf numFmtId="0" fontId="24" fillId="0" borderId="3" xfId="0" applyFont="1" applyBorder="1" applyAlignment="1">
      <alignment wrapText="1"/>
    </xf>
    <xf numFmtId="0" fontId="24" fillId="0" borderId="10" xfId="0" applyFont="1" applyBorder="1" applyAlignment="1">
      <alignment wrapText="1"/>
    </xf>
    <xf numFmtId="49" fontId="8" fillId="0" borderId="5" xfId="0" applyNumberFormat="1" applyFont="1" applyBorder="1" applyAlignment="1">
      <alignment horizontal="left" vertical="top"/>
    </xf>
    <xf numFmtId="49" fontId="8" fillId="0" borderId="9" xfId="0" applyNumberFormat="1" applyFont="1" applyBorder="1" applyAlignment="1">
      <alignment horizontal="left" vertical="top"/>
    </xf>
    <xf numFmtId="0" fontId="9" fillId="3" borderId="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9" xfId="0" applyFont="1" applyFill="1" applyBorder="1" applyAlignment="1">
      <alignment horizontal="center" vertical="center" wrapText="1"/>
    </xf>
  </cellXfs>
  <cellStyles count="2">
    <cellStyle name="Normal" xfId="0" builtinId="0"/>
    <cellStyle name="Normal 2" xfId="1" xr:uid="{863A8528-3653-3241-9700-00AE68B69E1C}"/>
  </cellStyles>
  <dxfs count="0"/>
  <tableStyles count="0" defaultTableStyle="TableStyleMedium2" defaultPivotStyle="PivotStyleLight16"/>
  <colors>
    <mruColors>
      <color rgb="FFBAE18F"/>
      <color rgb="FFD6DCE4"/>
      <color rgb="FF333F4F"/>
      <color rgb="FF78FFC4"/>
      <color rgb="FFCB81F0"/>
      <color rgb="FFE7E7E7"/>
      <color rgb="FFFFE181"/>
      <color rgb="FFFFB74A"/>
      <color rgb="FF4AFF74"/>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ocumenttasks/documenttask1.xml><?xml version="1.0" encoding="utf-8"?>
<Tasks xmlns="http://schemas.microsoft.com/office/tasks/2019/documenttasks">
  <Task id="{50081A66-C3AF-4463-BFA1-FE7E9E820F9E}">
    <Anchor>
      <Comment id="{C49B65A2-C2F9-430F-8CA9-4E570B43711A}"/>
    </Anchor>
    <History>
      <Event time="2026-01-08T20:41:42.31" id="{79729A21-3B81-414E-B1D0-0A9FCE893372}">
        <Attribution userId="S::cbutchko@smithbucklin.com::69da6896-4910-4b34-b0b1-60b82611f839" userName="Christina Butchko" userProvider="AD"/>
        <Anchor>
          <Comment id="{F979E5DA-D537-437A-881D-6BB2A3D2A291}"/>
        </Anchor>
        <Create/>
      </Event>
      <Event time="2026-01-08T20:41:42.31" id="{40539593-0202-4598-BEA4-737B16FA8B85}">
        <Attribution userId="S::cbutchko@smithbucklin.com::69da6896-4910-4b34-b0b1-60b82611f839" userName="Christina Butchko" userProvider="AD"/>
        <Anchor>
          <Comment id="{F979E5DA-D537-437A-881D-6BB2A3D2A291}"/>
        </Anchor>
        <Assign userId="S::EBurnett@smithbucklin.com::3a094c37-284d-49d7-a3f1-dd1ac4057584" userName="Emma Burnett-Balbier" userProvider="AD"/>
      </Event>
      <Event time="2026-01-08T20:41:42.31" id="{739777D1-DB9C-491B-B376-D35F4498E6A0}">
        <Attribution userId="S::cbutchko@smithbucklin.com::69da6896-4910-4b34-b0b1-60b82611f839" userName="Christina Butchko" userProvider="AD"/>
        <Anchor>
          <Comment id="{F979E5DA-D537-437A-881D-6BB2A3D2A291}"/>
        </Anchor>
        <SetTitle title="@Emma Burnett-Balbier I love that!"/>
      </Event>
    </History>
  </Task>
</Tasks>
</file>

<file path=xl/persons/person.xml><?xml version="1.0" encoding="utf-8"?>
<personList xmlns="http://schemas.microsoft.com/office/spreadsheetml/2018/threadedcomments" xmlns:x="http://schemas.openxmlformats.org/spreadsheetml/2006/main">
  <person displayName="Lauren Bavis" id="{4688D22B-EF7C-4DA8-AA24-5FC0A398E573}" userId="lbavis@smithbucklin.com" providerId="PeoplePicker"/>
  <person displayName="Emma Burnett-Balbier" id="{32D53191-1D15-47F8-ACCC-D8DD255A13F3}" userId="EBurnett@smithbucklin.com" providerId="PeoplePicker"/>
  <person displayName="Christina Butchko" id="{A47461B3-6BA2-4F9F-B34C-54517AE4B0D4}" userId="cbutchko@smithbucklin.com" providerId="PeoplePicker"/>
  <person displayName="Lauren Bavis" id="{6CA23101-D2B6-46A2-B099-31B6BCEB3173}" userId="S::lbavis@smithbucklin.com::00ece81a-8adb-409e-b2fe-27d7b0bc64d7" providerId="AD"/>
  <person displayName="Christina Butchko" id="{C23EEDB3-A4C4-4D76-8E13-E26C790124BF}" userId="S::cbutchko@smithbucklin.com::69da6896-4910-4b34-b0b1-60b82611f839" providerId="AD"/>
  <person displayName="Emma Burnett-Balbier" id="{7B76D8F3-6E2B-4A3E-A9DC-988DFE1A5C99}" userId="S::eburnett@smithbucklin.com::3a094c37-284d-49d7-a3f1-dd1ac405758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5" dT="2025-06-24T16:46:42.63" personId="{C23EEDB3-A4C4-4D76-8E13-E26C790124BF}" id="{55EBD7CB-409A-479B-83A0-9EE8FFC0D167}">
    <text xml:space="preserve">Do we do any posting for WTC? </text>
  </threadedComment>
  <threadedComment ref="E25" dT="2025-06-26T17:49:41.32" personId="{6CA23101-D2B6-46A2-B099-31B6BCEB3173}" id="{FC854CED-AF3D-47DB-A16B-1BD43BD721D8}" parentId="{55EBD7CB-409A-479B-83A0-9EE8FFC0D167}">
    <text>@Christina Butchko WTC doesn't have any social media, but I'd like to tie into WTC with a few posts! I've added in. This one was originally international but I'm hesitant to do that right before WTC since I don't want to distract</text>
    <mentions>
      <mention mentionpersonId="{A47461B3-6BA2-4F9F-B34C-54517AE4B0D4}" mentionId="{C65447B1-166B-4810-8BA1-1B7A91FEB661}" startIndex="0" length="18"/>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18" dT="2025-09-24T13:42:20.05" personId="{7B76D8F3-6E2B-4A3E-A9DC-988DFE1A5C99}" id="{0202EC0E-5AC5-4070-B103-6F2D8D9DCF06}">
    <text xml:space="preserve">Christina -  this is specifically a previous attendee testimonial. All can be found in the post-event survey responses in this folder: https://smithbucklin.sharepoint.com/:f:/r/sites/xunit-360agency/Shared%20Documents/ATC_American%20Transplant%20Congress/2026%20ATC%20-%20Boston/Marketing/ATC%202026/1.%20Marketing%20Operations/3.%20Client%20Provided%20Materials%20%26%20Other%20Resources/Testimonials?csf=1&amp;web=1&amp;e=qGpqnk  </text>
    <extLst>
      <x:ext xmlns:xltc2="http://schemas.microsoft.com/office/spreadsheetml/2020/threadedcomments2" uri="{F7C98A9C-CBB3-438F-8F68-D28B6AF4A901}">
        <xltc2:checksum>751022571</xltc2:checksum>
        <xltc2:hyperlink startIndex="135" length="287" url="https://smithbucklin.sharepoint.com/:f:/r/sites/xunit-360agency/Shared%20Documents/ATC_American%20Transplant%20Congress/2026%20ATC%20-%20Boston/Marketing/ATC%202026/1.%20Marketing%20Operations/3.%20Client%20Provided%20Materials%20%26%20Other%20Resources/Testimonials?csf=1&amp;web=1&amp;e=qGpqnk"/>
      </x:ext>
    </extLst>
  </threadedComment>
  <threadedComment ref="E26" dT="2025-09-16T15:07:27.73" personId="{C23EEDB3-A4C4-4D76-8E13-E26C790124BF}" id="{843F1D81-F1C7-44DA-93B9-0815C95FEC7D}">
    <text>@Lauren Bavis this might be more of a question for Emma - but is it possible to get info from the education team on past submissions that were high-impact or were first presented at ATC and influenced transplantation in some way? Or like get anecdotes from previous submitters on how their abstract impacted their journey in their profession/field etc. 
That would prob be really hard now that I'm thinking about it but worth a shot</text>
    <mentions>
      <mention mentionpersonId="{4688D22B-EF7C-4DA8-AA24-5FC0A398E573}" mentionId="{A8193A0F-AE99-41B5-B411-58CEF38285BA}" startIndex="0" length="13"/>
    </mentions>
  </threadedComment>
  <threadedComment ref="E26" dT="2025-09-19T15:03:57.21" personId="{6CA23101-D2B6-46A2-B099-31B6BCEB3173}" id="{37C373FF-E8A2-4BAD-BF52-D10CA64FE687}" parentId="{843F1D81-F1C7-44DA-93B9-0815C95FEC7D}">
    <text>@Christina Butchko Love this idea! We might have some anecdotes already in last year's survey data
As for the high-impact posters, it doesn't hurt to ask! Emma can reach out to Kristen when she's back on monday</text>
    <mentions>
      <mention mentionpersonId="{A47461B3-6BA2-4F9F-B34C-54517AE4B0D4}" mentionId="{4B3764FE-9F45-4FEC-82FE-0513F90A97F0}" startIndex="0" length="18"/>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D10" dT="2025-11-18T21:30:51.64" personId="{6CA23101-D2B6-46A2-B099-31B6BCEB3173}" id="{8BEEDC6B-C35C-43E1-B96A-578A3F3B679D}" done="1">
    <text>@Christina Butchko Would you please add a more specific topic to this? Some ideas: who should attend or the holiday spin like the social posts you have (love those!), tell them generally that reg will open in January, testimonials, push to the schedule at a glance</text>
    <mentions>
      <mention mentionpersonId="{A47461B3-6BA2-4F9F-B34C-54517AE4B0D4}" mentionId="{8860382B-D3DC-43EE-8CF9-DEABB7CCBB3F}" startIndex="0" length="18"/>
    </mentions>
  </threadedComment>
  <threadedComment ref="D10" dT="2025-11-19T14:34:16.37" personId="{C23EEDB3-A4C4-4D76-8E13-E26C790124BF}" id="{ED752912-6957-4454-B868-067DEA0ADDC1}" parentId="{8BEEDC6B-C35C-43E1-B96A-578A3F3B679D}">
    <text>@Lauren Weber I wrote this already!! but my focus was on who's attending</text>
    <mentions>
      <mention mentionpersonId="{4688D22B-EF7C-4DA8-AA24-5FC0A398E573}" mentionId="{03CA2D4C-8BB2-4E9F-B0BC-FF2C5D52DCA7}" startIndex="0" length="13"/>
    </mentions>
  </threadedComment>
  <threadedComment ref="D10" dT="2025-11-19T15:04:32.51" personId="{6CA23101-D2B6-46A2-B099-31B6BCEB3173}" id="{1A611208-9B7D-4E9B-A29A-9A424F41601C}" parentId="{8BEEDC6B-C35C-43E1-B96A-578A3F3B679D}">
    <text>Ha, perfect</text>
  </threadedComment>
  <threadedComment ref="C13" dT="2025-11-18T21:34:12.97" personId="{6CA23101-D2B6-46A2-B099-31B6BCEB3173}" id="{336AE922-B747-4784-8FC1-63238D6C1B38}" done="1">
    <text>Let's move this to later in the week so there is a more even spread of social posts throughout the month</text>
  </threadedComment>
  <threadedComment ref="F13" dT="2025-11-18T21:34:12.97" personId="{6CA23101-D2B6-46A2-B099-31B6BCEB3173}" id="{99B68992-D538-4A70-B1DC-8DE989CFDE2A}" done="1">
    <text>Let's move this to later in the week so there is a more even spread of social posts throughout the month</text>
  </threadedComment>
  <threadedComment ref="E18" dT="2025-11-18T21:33:05.29" personId="{6CA23101-D2B6-46A2-B099-31B6BCEB3173}" id="{8C3F3CB2-CA2B-4EC1-9FD3-B1C02ABEB037}" done="1">
    <text>@Christina Butchko looks like the best day to send calendar has the 17th marked as the better option</text>
    <mentions>
      <mention mentionpersonId="{A47461B3-6BA2-4F9F-B34C-54517AE4B0D4}" mentionId="{771AFD2A-121A-43F6-97B3-F9D45C68469F}" startIndex="0" length="18"/>
    </mentions>
  </threadedComment>
  <threadedComment ref="D25" dT="2025-11-18T21:33:38.92" personId="{6CA23101-D2B6-46A2-B099-31B6BCEB3173}" id="{5B4C351A-8B1E-4C65-9F3A-CE108A7B52D9}" done="1">
    <text xml:space="preserve">@Christina Butchko I agree with leaving this blank, but just noting that we should move around January emails so there is not a large gap </text>
    <mentions>
      <mention mentionpersonId="{A47461B3-6BA2-4F9F-B34C-54517AE4B0D4}" mentionId="{113E71C8-9870-4DFB-AE38-4689DCE4DC37}" startIndex="0" length="18"/>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D14" dT="2025-11-19T14:37:34.20" personId="{C23EEDB3-A4C4-4D76-8E13-E26C790124BF}" id="{7AA4A36C-EE71-4C28-AE42-F6370BEE6218}">
    <text xml:space="preserve">@Lauren Weber made this #19.5 just to avoid renumbering all emails (let me know if that's okay to do)  </text>
    <mentions>
      <mention mentionpersonId="{4688D22B-EF7C-4DA8-AA24-5FC0A398E573}" mentionId="{77EABE30-9742-439F-89DC-5261EF4F0DF7}" startIndex="0" length="13"/>
    </mentions>
  </threadedComment>
  <threadedComment ref="E25" dT="2025-09-16T15:14:42.25" personId="{C23EEDB3-A4C4-4D76-8E13-E26C790124BF}" id="{A684C7C6-2378-4F6A-A87C-F52B279D7065}" done="1">
    <text>@Lauren Bavis same idea here - can we pull an anecdotes from previous submissions and implement them here?</text>
    <mentions>
      <mention mentionpersonId="{4688D22B-EF7C-4DA8-AA24-5FC0A398E573}" mentionId="{F8243557-0713-4404-A3C4-025468D87BDA}" startIndex="0" length="13"/>
    </mentions>
  </threadedComment>
  <threadedComment ref="E25" dT="2025-12-23T15:41:22.80" personId="{6CA23101-D2B6-46A2-B099-31B6BCEB3173}" id="{23200D27-F9E5-480C-9F61-1524E1277EB0}" parentId="{A684C7C6-2378-4F6A-A87C-F52B279D7065}">
    <text>@Christina Butchko  looking at this now, we're going to be hitting them with a lot this week. I think 3 emails is too much. Let's remove this one and add a late-breaking callout to the registration email 2 (since they'll both go to both lists)</text>
    <mentions>
      <mention mentionpersonId="{A47461B3-6BA2-4F9F-B34C-54517AE4B0D4}" mentionId="{4A4AD01C-2193-4AB8-8597-72599F58EA51}" startIndex="0" length="18"/>
    </mentions>
  </threadedComment>
  <threadedComment ref="G25" dT="2025-09-16T14:57:48.17" personId="{C23EEDB3-A4C4-4D76-8E13-E26C790124BF}" id="{5BA368C3-23A9-44E3-914B-7FBB3E9AA5A8}">
    <text xml:space="preserve">https://youtu.be/l40c6zyFgow?list=PL9CZabk3nD4HN1sylCr314rY4GPIch6NN\
</text>
    <extLst>
      <x:ext xmlns:xltc2="http://schemas.microsoft.com/office/spreadsheetml/2020/threadedcomments2" uri="{F7C98A9C-CBB3-438F-8F68-D28B6AF4A901}">
        <xltc2:checksum>361994698</xltc2:checksum>
        <xltc2:hyperlink startIndex="0" length="69" url="https://youtu.be/l40c6zyFgow?list=PL9CZabk3nD4HN1sylCr314rY4GPIch6NN\"/>
      </x:ext>
    </extLst>
  </threadedComment>
  <threadedComment ref="H25" dT="2025-06-19T19:28:15.03" personId="{C23EEDB3-A4C4-4D76-8E13-E26C790124BF}" id="{05800C6F-ACA4-4AE1-AD3C-49784D5ED960}">
    <text>Is this on the website?</text>
  </threadedComment>
</ThreadedComments>
</file>

<file path=xl/threadedComments/threadedComment5.xml><?xml version="1.0" encoding="utf-8"?>
<ThreadedComments xmlns="http://schemas.microsoft.com/office/spreadsheetml/2018/threadedcomments" xmlns:x="http://schemas.openxmlformats.org/spreadsheetml/2006/main">
  <threadedComment ref="D10" dT="2026-01-08T17:22:47.68" personId="{6CA23101-D2B6-46A2-B099-31B6BCEB3173}" id="{C6F24C17-EBD5-48AC-9E4A-183DE9EC34FD}">
    <text>@Christina Butchko Are these parenthesis incorrect?</text>
    <mentions>
      <mention mentionpersonId="{A47461B3-6BA2-4F9F-B34C-54517AE4B0D4}" mentionId="{B704E33B-9EDB-454D-891C-7EFD878D7C4C}" startIndex="0" length="18"/>
    </mentions>
  </threadedComment>
  <threadedComment ref="D10" dT="2026-01-08T20:41:01.55" personId="{C23EEDB3-A4C4-4D76-8E13-E26C790124BF}" id="{6773858B-5FA0-4629-BDB7-15EA7C48C065}" parentId="{C6F24C17-EBD5-48AC-9E4A-183DE9EC34FD}">
    <text>@Lauren Weber can we change the subject line to be related to the 1 week away deadline?</text>
    <mentions>
      <mention mentionpersonId="{4688D22B-EF7C-4DA8-AA24-5FC0A398E573}" mentionId="{E560A240-0F40-45BE-973B-43A0E9102A78}" startIndex="0" length="13"/>
    </mentions>
  </threadedComment>
  <threadedComment ref="E15" dT="2025-12-23T15:44:58.82" personId="{6CA23101-D2B6-46A2-B099-31B6BCEB3173}" id="{DB828575-F0F6-492C-AC10-DB2C45B6042C}">
    <text>@Christina Butchko Same here - let's make this a registration email that also touches on late-breaking. It looks like we'll have details on the symposia program that this email can focus on</text>
    <mentions>
      <mention mentionpersonId="{A47461B3-6BA2-4F9F-B34C-54517AE4B0D4}" mentionId="{820C9F91-B69E-432F-8DA3-6A00F37E61CB}" startIndex="0" length="18"/>
    </mentions>
  </threadedComment>
  <threadedComment ref="E15" dT="2026-01-04T17:08:22.07" personId="{C23EEDB3-A4C4-4D76-8E13-E26C790124BF}" id="{BCE404A5-E6D2-478B-A806-DC328C5165D4}" parentId="{DB828575-F0F6-492C-AC10-DB2C45B6042C}">
    <text xml:space="preserve">just making a note that I'm changing this to a 2.5 email to avoid any renumbering. </text>
  </threadedComment>
  <threadedComment ref="E15" dT="2026-01-08T17:22:08.97" personId="{6CA23101-D2B6-46A2-B099-31B6BCEB3173}" id="{C193A8D6-B45A-4392-B65A-77E2E4F1884A}" parentId="{DB828575-F0F6-492C-AC10-DB2C45B6042C}">
    <text>@Christina Butchko If this calendar is correct it looks like we won't have the full online schedule until end of the month (which would include program info like this)</text>
    <mentions>
      <mention mentionpersonId="{A47461B3-6BA2-4F9F-B34C-54517AE4B0D4}" mentionId="{5ECFC8EB-C946-418D-9C6B-12728ABB04FF}" startIndex="0" length="18"/>
    </mentions>
  </threadedComment>
  <threadedComment ref="E15" dT="2026-01-08T20:39:28.89" personId="{C23EEDB3-A4C4-4D76-8E13-E26C790124BF}" id="{9CB80F12-93CA-4A82-96B0-39B67ED0D16D}" parentId="{DB828575-F0F6-492C-AC10-DB2C45B6042C}">
    <text xml:space="preserve">@Lauren Weber wait I'm confused - does this need to change? </text>
    <mentions>
      <mention mentionpersonId="{4688D22B-EF7C-4DA8-AA24-5FC0A398E573}" mentionId="{13CD1B34-E42F-47D4-9CD6-63B4BD24FF92}" startIndex="0" length="13"/>
    </mentions>
  </threadedComment>
  <threadedComment ref="H15" dT="2025-06-19T19:33:32.99" personId="{C23EEDB3-A4C4-4D76-8E13-E26C790124BF}" id="{C49B65A2-C2F9-430F-8CA9-4E570B43711A}">
    <text xml:space="preserve">does this get a website feature? </text>
  </threadedComment>
  <threadedComment ref="H15" dT="2026-01-08T15:56:01.58" personId="{7B76D8F3-6E2B-4A3E-A9DC-988DFE1A5C99}" id="{1A97AB15-A96C-4288-AD32-33A0AC33D396}" parentId="{C49B65A2-C2F9-430F-8CA9-4E570B43711A}">
    <text>@Christina Butchko I like this idea! Maybe we can add a carousel feature for the week prior saying something along the lines of "Celebrating National Donor Day" and we could link to one of our PR materials?</text>
    <mentions>
      <mention mentionpersonId="{A47461B3-6BA2-4F9F-B34C-54517AE4B0D4}" mentionId="{D5DCB93D-2AA6-46C8-8A78-D54F30D9CEEC}" startIndex="0" length="18"/>
    </mentions>
  </threadedComment>
  <threadedComment ref="H15" dT="2026-01-08T20:41:42.38" personId="{C23EEDB3-A4C4-4D76-8E13-E26C790124BF}" id="{F979E5DA-D537-437A-881D-6BB2A3D2A291}" parentId="{C49B65A2-C2F9-430F-8CA9-4E570B43711A}">
    <text>@Emma Burnett-Balbier I love that!</text>
    <mentions>
      <mention mentionpersonId="{32D53191-1D15-47F8-ACCC-D8DD255A13F3}" mentionId="{ED702609-E915-4082-AAAA-BE70C7047B9D}" startIndex="0" length="21"/>
    </mentions>
  </threadedComment>
  <threadedComment ref="B23" dT="2025-06-19T19:33:56.77" personId="{C23EEDB3-A4C4-4D76-8E13-E26C790124BF}" id="{52FCDF3F-EACF-40EB-92DF-CC6BC4E24380}">
    <text xml:space="preserve">is this on website? </text>
  </threadedComment>
</ThreadedComments>
</file>

<file path=xl/threadedComments/threadedComment6.xml><?xml version="1.0" encoding="utf-8"?>
<ThreadedComments xmlns="http://schemas.microsoft.com/office/spreadsheetml/2018/threadedcomments" xmlns:x="http://schemas.openxmlformats.org/spreadsheetml/2006/main">
  <threadedComment ref="E17" dT="2026-02-16T19:34:38.46" personId="{6CA23101-D2B6-46A2-B099-31B6BCEB3173}" id="{48DFC212-C77B-4377-9D75-B3537285DCA5}">
    <text>@Christina Butchko Slight edit</text>
    <mentions>
      <mention mentionpersonId="{A47461B3-6BA2-4F9F-B34C-54517AE4B0D4}" mentionId="{9C2C269B-9F2F-4907-911C-7484E5F3CA3D}" startIndex="0" length="18"/>
    </mentions>
  </threadedComment>
</ThreadedComments>
</file>

<file path=xl/threadedComments/threadedComment7.xml><?xml version="1.0" encoding="utf-8"?>
<ThreadedComments xmlns="http://schemas.microsoft.com/office/spreadsheetml/2018/threadedcomments" xmlns:x="http://schemas.openxmlformats.org/spreadsheetml/2006/main">
  <threadedComment ref="E11" dT="2025-06-20T13:20:03.78" personId="{C23EEDB3-A4C4-4D76-8E13-E26C790124BF}" id="{664B7D05-B12C-49B9-BBC0-DDA4AE774302}" done="1">
    <text>is this a website change?</text>
  </threadedComment>
  <threadedComment ref="E11" dT="2026-03-18T17:40:53.00" personId="{6CA23101-D2B6-46A2-B099-31B6BCEB3173}" id="{ABC2C203-4B36-442A-A440-83CBD5DA4C71}" parentId="{664B7D05-B12C-49B9-BBC0-DDA4AE774302}">
    <text>I think it was just a date reminder for us, but if you have an idea on where it would work on the website we could do that, too!</text>
  </threadedComment>
  <threadedComment ref="E11" dT="2026-03-18T17:58:11.90" personId="{C23EEDB3-A4C4-4D76-8E13-E26C790124BF}" id="{434FC347-FE26-48FE-8EB9-246A2806A43C}" parentId="{664B7D05-B12C-49B9-BBC0-DDA4AE774302}">
    <text>@Lauren Weber that comment was from June :) I'm going to resolve!</text>
    <mentions>
      <mention mentionpersonId="{4688D22B-EF7C-4DA8-AA24-5FC0A398E573}" mentionId="{DE4AE1DA-DACC-4C48-ADFD-AA1C20373B05}" startIndex="0" length="13"/>
    </mentions>
  </threadedComment>
  <threadedComment ref="C24" dT="2026-03-18T17:40:01.05" personId="{6CA23101-D2B6-46A2-B099-31B6BCEB3173}" id="{8721430D-C10A-43E3-A588-B648EC915766}">
    <text>@Christina Butchko What would this include?</text>
    <mentions>
      <mention mentionpersonId="{A47461B3-6BA2-4F9F-B34C-54517AE4B0D4}" mentionId="{B4747D32-85A8-45E6-8FB4-9FA57D155353}" startIndex="0" length="18"/>
    </mentions>
  </threadedComment>
  <threadedComment ref="C24" dT="2026-03-18T17:57:43.29" personId="{C23EEDB3-A4C4-4D76-8E13-E26C790124BF}" id="{A508391A-8A33-4EF4-BE94-BF670F96B6D4}" parentId="{8721430D-C10A-43E3-A588-B648EC915766}">
    <text>@Lauren Weber I was thinking a poll! Like sessions, networking, education credits etc. 
Could be used for marketing for 2027 maybe</text>
    <mentions>
      <mention mentionpersonId="{4688D22B-EF7C-4DA8-AA24-5FC0A398E573}" mentionId="{2827AF91-BD85-4BB4-BEF9-04CC17D064B6}" startIndex="0" length="13"/>
    </mentions>
  </threadedComment>
  <threadedComment ref="E27" dT="2025-09-16T17:08:18.00" personId="{C23EEDB3-A4C4-4D76-8E13-E26C790124BF}" id="{6A7518AF-4845-4C47-9414-F3EB87BD1ADD}">
    <text xml:space="preserve">(modeling this email) https://myemail.constantcontact.com/Need-continuing-medical-education-credits-.html?soid=1133232331019&amp;aid=00lRJarPF84
</text>
    <extLst>
      <x:ext xmlns:xltc2="http://schemas.microsoft.com/office/spreadsheetml/2020/threadedcomments2" uri="{F7C98A9C-CBB3-438F-8F68-D28B6AF4A901}">
        <xltc2:checksum>2677236198</xltc2:checksum>
        <xltc2:hyperlink startIndex="22" length="118" url="https://myemail.constantcontact.com/Need-continuing-medical-education-credits-.html?soid=1133232331019&amp;aid=00lRJarPF84"/>
      </x:ext>
    </extLst>
  </threadedComment>
  <threadedComment ref="E27" dT="2026-01-08T17:20:41.40" personId="{6CA23101-D2B6-46A2-B099-31B6BCEB3173}" id="{74047FE6-E635-459F-A2FF-4FC764AF4E8E}" parentId="{6A7518AF-4845-4C47-9414-F3EB87BD1ADD}">
    <text>Love it, just will need to ensure credit info is ready by then. We may want to switch the topics of 2, 3, and 4</text>
  </threadedComment>
  <threadedComment ref="E27" dT="2026-01-08T17:24:07.17" personId="{6CA23101-D2B6-46A2-B099-31B6BCEB3173}" id="{289CDFFA-1EA6-4254-B3AF-FAE21EBA955A}" parentId="{6A7518AF-4845-4C47-9414-F3EB87BD1ADD}">
    <text>Let's also add segmentation to the continuing education email based on types of accreditation available (usually there's something specific to nurses, surgeons, etc)</text>
  </threadedComment>
</ThreadedComments>
</file>

<file path=xl/threadedComments/threadedComment8.xml><?xml version="1.0" encoding="utf-8"?>
<ThreadedComments xmlns="http://schemas.microsoft.com/office/spreadsheetml/2018/threadedcomments" xmlns:x="http://schemas.openxmlformats.org/spreadsheetml/2006/main">
  <threadedComment ref="F12" dT="2026-04-24T16:44:36.32" personId="{6CA23101-D2B6-46A2-B099-31B6BCEB3173}" id="{6790F378-B6E1-4C82-8560-26AFC2992B85}">
    <text>Let's make this one lead with the program! This will take a little research, but last time we were able to find a handful of sessions covering important topics applicable to everyone and highlight those. If I had to guess, there's going to be a bunch of research about using AI. Go into the program tab of the planner and search ai and see if there are enough that come up. Or, look up most pressing issues right now that apply to everyone (increasing the donor pool maybe?) and try to find themes that way</text>
  </threadedComment>
  <threadedComment ref="F12" dT="2026-04-24T18:26:04.95" personId="{C23EEDB3-A4C4-4D76-8E13-E26C790124BF}" id="{0E533465-6F4A-41DE-8AD3-888D716BB761}" parentId="{6790F378-B6E1-4C82-8560-26AFC2992B85}">
    <text>yes - AI use is big, expanding the donor pool is there - as far as researching goes I'll need more time to dive into that!</text>
  </threadedComment>
  <threadedComment ref="G12" dT="2026-04-24T16:52:06.23" personId="{6CA23101-D2B6-46A2-B099-31B6BCEB3173}" id="{194A836E-9474-4089-94C1-5C033E72D172}" done="1">
    <text>Match email 15</text>
  </threadedComment>
  <threadedComment ref="E15" dT="2026-04-24T16:47:12.42" personId="{6CA23101-D2B6-46A2-B099-31B6BCEB3173}" id="{115B6D0B-EB48-4219-866D-130E364051AA}">
    <text>Let's segment by job title and make this relevant to each. The most important are nurse practitioners, transplant program directors, trainees, and everyone else</text>
  </threadedComment>
  <threadedComment ref="F15" dT="2026-04-24T16:47:22.62" personId="{6CA23101-D2B6-46A2-B099-31B6BCEB3173}" id="{8E365048-53F6-464F-9605-6AA8E98CAA80}">
    <text>What myths are we busting here?</text>
  </threadedComment>
  <threadedComment ref="G15" dT="2026-04-24T16:47:22.62" personId="{6CA23101-D2B6-46A2-B099-31B6BCEB3173}" id="{BF416AF8-1EC0-4FB9-8413-9729C52D4741}">
    <text>What myths are we busting here?</text>
  </threadedComment>
  <threadedComment ref="F17" dT="2026-04-24T16:49:40.79" personId="{6CA23101-D2B6-46A2-B099-31B6BCEB3173}" id="{5459D79A-A952-4700-8CBB-67DCDEADBA1E}" done="1">
    <text>I think we've covered this enough! Let's focus on program. HOw about campfire sessions? Those are new this year so it could be positioned like an announcement and there are only 4 or 5 of them so we could list out the actual topics</text>
  </threadedComment>
  <threadedComment ref="F17" dT="2026-04-24T16:50:24.71" personId="{6CA23101-D2B6-46A2-B099-31B6BCEB3173}" id="{7DB1C971-5342-4127-A4CD-92D2D579FE4C}" parentId="{5459D79A-A952-4700-8CBB-67DCDEADBA1E}">
    <text xml:space="preserve">Let's bring campfire sessions earlier in the schedule and swap with 15 </text>
  </threadedComment>
  <threadedComment ref="D20" dT="2026-04-24T14:06:08.08" personId="{C23EEDB3-A4C4-4D76-8E13-E26C790124BF}" id="{F93C30D9-9BA0-42F6-8800-6C7DD4B1230B}">
    <text xml:space="preserve">I don't think I added this - but was are product theaters? </text>
  </threadedComment>
  <threadedComment ref="D20" dT="2026-04-24T14:56:04.13" personId="{7B76D8F3-6E2B-4A3E-A9DC-988DFE1A5C99}" id="{F206D711-5644-4260-BD51-8E2B6846F8D3}" parentId="{F93C30D9-9BA0-42F6-8800-6C7DD4B1230B}">
    <text>@Christina Butchko I don't think I added those? But yesterday during the call with the rest of the team, Lauren and I aligned that we might want to segment this nurture email to returning registrants and to "new/first-timer" registrants with the purpose of promoting an ATC overview webinar. @Lauren Weber  can give more details on framing this from a marketing perspective.</text>
    <mentions>
      <mention mentionpersonId="{A47461B3-6BA2-4F9F-B34C-54517AE4B0D4}" mentionId="{CAD37AE5-EEFC-4E43-81A2-BAF72628841D}" startIndex="0" length="18"/>
      <mention mentionpersonId="{4688D22B-EF7C-4DA8-AA24-5FC0A398E573}" mentionId="{35961EED-C597-4263-9B3E-F40FD0B536D0}" startIndex="292" length="13"/>
    </mentions>
  </threadedComment>
  <threadedComment ref="G20" dT="2026-04-24T16:51:04.57" personId="{6CA23101-D2B6-46A2-B099-31B6BCEB3173}" id="{5466C5C9-E9AF-4D2D-B1B6-3CE234ACCBC0}">
    <text>Which sessions? This could be another themed one like the AI one</text>
  </threadedComment>
  <threadedComment ref="G20" dT="2026-04-24T18:32:38.73" personId="{C23EEDB3-A4C4-4D76-8E13-E26C790124BF}" id="{9FB43907-17F7-4E9E-AE24-9C1C16E3B885}" parentId="{5466C5C9-E9AF-4D2D-B1B6-3CE234ACCBC0}">
    <text>Will update based off the research I do for next week</text>
  </threadedComment>
  <threadedComment ref="D21" dT="2026-04-24T14:57:30.89" personId="{7B76D8F3-6E2B-4A3E-A9DC-988DFE1A5C99}" id="{A91DE8F8-8DE5-4505-9CE2-1D113B001F72}" done="1">
    <text>This would be good timing for a "one-month left" message to hit on that they're running out of time, flights are getting more expensive, etc.</text>
  </threadedComment>
</ThreadedComments>
</file>

<file path=xl/threadedComments/threadedComment9.xml><?xml version="1.0" encoding="utf-8"?>
<ThreadedComments xmlns="http://schemas.microsoft.com/office/spreadsheetml/2018/threadedcomments" xmlns:x="http://schemas.openxmlformats.org/spreadsheetml/2006/main">
  <threadedComment ref="D10" dT="2026-05-11T19:41:46.24" personId="{C23EEDB3-A4C4-4D76-8E13-E26C790124BF}" id="{1E6B18FD-C0B4-446B-8FF7-D82D097B5822}">
    <text>Idea: A/B test: drive in audience / all prospects. Drive-in gets a little Boston history push along with the "legacy" of ATC - when it started, how it can by a pivotal event in your life (career growth, networking)</text>
  </threadedComment>
  <threadedComment ref="D10" dT="2026-05-12T12:30:17.69" personId="{6CA23101-D2B6-46A2-B099-31B6BCEB3173}" id="{B85BBF6B-AA59-4CDF-85AA-F3D4CF800386}" parentId="{1E6B18FD-C0B4-446B-8FF7-D82D097B5822}">
    <text xml:space="preserve">I like this! Let's include messaging here about ATC being this month </text>
  </threadedComment>
  <threadedComment ref="D11" dT="2026-04-24T16:51:20.09" personId="{6CA23101-D2B6-46A2-B099-31B6BCEB3173}" id="{7ED35C92-1540-4719-9171-2A4F405122C7}" done="1">
    <text>Match this to email 20 instead</text>
  </threadedComment>
  <threadedComment ref="E11" dT="2026-05-12T12:32:38.68" personId="{6CA23101-D2B6-46A2-B099-31B6BCEB3173}" id="{8C676741-56D4-4A93-BAE4-FDC410D96B31}">
    <text xml:space="preserve">Was this "content comes directly from sponsors" note in here already? @Emma Burnett-Balbier do you remember any details about this? </text>
    <mentions>
      <mention mentionpersonId="{32D53191-1D15-47F8-ACCC-D8DD255A13F3}" mentionId="{98A841E5-479B-43DA-B58D-7BD5308396AB}" startIndex="70" length="21"/>
    </mentions>
  </threadedComment>
  <threadedComment ref="E11" dT="2026-05-12T18:44:06.37" personId="{C23EEDB3-A4C4-4D76-8E13-E26C790124BF}" id="{7A7081D5-1A26-4759-95F9-611DB901BA7A}" parentId="{8C676741-56D4-4A93-BAE4-FDC410D96B31}">
    <text>@Lauren Weber yes - I did not add that in for this go around of updates!</text>
    <mentions>
      <mention mentionpersonId="{4688D22B-EF7C-4DA8-AA24-5FC0A398E573}" mentionId="{9FC40854-4C1E-4D7F-8376-84268119F38F}" startIndex="0" length="13"/>
    </mentions>
  </threadedComment>
  <threadedComment ref="D14" dT="2026-05-12T12:34:40.59" personId="{6CA23101-D2B6-46A2-B099-31B6BCEB3173}" id="{5721D8C4-6877-4646-9445-7F8619407882}" done="1">
    <text>Do you feel that both 48.5 and 49 is necessary? The messages seem like they'd be very similar!</text>
  </threadedComment>
  <threadedComment ref="E14" dT="2026-05-12T12:34:06.34" personId="{6CA23101-D2B6-46A2-B099-31B6BCEB3173}" id="{F77C8C43-4617-44FA-A997-24F1F7FA76E6}">
    <text>What specifically about the program should be highlighted here?</text>
  </threadedComment>
  <threadedComment ref="E14" dT="2026-05-12T12:39:09.18" personId="{6CA23101-D2B6-46A2-B099-31B6BCEB3173}" id="{FA4E1F64-040A-4398-B60A-8031BD3F309E}" parentId="{F77C8C43-4617-44FA-A997-24F1F7FA76E6}">
    <text>Are there any segments that have performed very well in past emails that should be highlighted? Nurse practitioners, transplant program directors, etc?</text>
  </threadedComment>
  <threadedComment ref="E14" dT="2026-05-12T19:15:22.61" personId="{C23EEDB3-A4C4-4D76-8E13-E26C790124BF}" id="{4A08C4A6-0448-44A5-953C-56BE50FD02C5}" parentId="{F77C8C43-4617-44FA-A997-24F1F7FA76E6}">
    <text>@Lauren Weber the previous segmented email hasn't deployed yet so I can't necessarily see what has performed will in the past (this was the first by job segmentation we've done in 2026), I was hoping to highlight: 
-Being in person and the benefits of that. There is no on demand component of the event!
- Hot Topic Debates require a setting-the-stage, pro, and con structure
- Meet-the-Experts sessions are intimate discussions with no formal slides
- Campfire and Fireside Chat sessions are conversation-led
-People’s Choice Awards depend on onsite attendee voting after the daily plenaries
I'm having chat do some deep research to help me with topics that we can use for those segments once we get some results fro the deployment</text>
    <mentions>
      <mention mentionpersonId="{4688D22B-EF7C-4DA8-AA24-5FC0A398E573}" mentionId="{CD777B89-C2BF-4392-A83E-9A5066C5C643}" startIndex="0" length="13"/>
    </mentions>
  </threadedComment>
  <threadedComment ref="C18" dT="2026-05-12T12:38:29.36" personId="{6CA23101-D2B6-46A2-B099-31B6BCEB3173}" id="{0E0E0405-DB0D-4263-8185-20D1220A935E}" done="1">
    <text>Let's segment by members/nonmembers</text>
  </threadedComment>
  <threadedComment ref="D19" dT="2026-05-12T18:42:50.82" personId="{C23EEDB3-A4C4-4D76-8E13-E26C790124BF}" id="{472ACC93-5550-4745-A4D1-A40DC0DA96C1}">
    <text>Testimonials</text>
    <extLst>
      <x:ext xmlns:xltc2="http://schemas.microsoft.com/office/spreadsheetml/2020/threadedcomments2" uri="{F7C98A9C-CBB3-438F-8F68-D28B6AF4A901}">
        <xltc2:checksum>1947829325</xltc2:checksum>
        <xltc2:hyperlink startIndex="0" length="12" url="https://smithbucklin.sharepoint.com/:f:/r/sites/xunit-360agency/Shared%20Documents/ATC_American%20Transplant%20Congress/2026%20ATC%20-%20Boston/Marketing/ATC%202026/1.%20Marketing%20Operations/3.%20Client%20Provided%20Materials%20%26%20Other%20Resources/Testimonials?csf=1&amp;web=1&amp;e=dvzuxD"/>
      </x:ext>
    </extLs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documenttask" Target="../documenttasks/documenttask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6DCE4"/>
  </sheetPr>
  <dimension ref="B1:J25"/>
  <sheetViews>
    <sheetView showGridLines="0" topLeftCell="A12" workbookViewId="0">
      <selection activeCell="F20" sqref="F20"/>
    </sheetView>
  </sheetViews>
  <sheetFormatPr defaultColWidth="11.25" defaultRowHeight="15" customHeight="1" x14ac:dyDescent="0.35"/>
  <cols>
    <col min="1" max="1" width="3.25" style="4" customWidth="1"/>
    <col min="2" max="8" width="16.75" style="4" customWidth="1"/>
    <col min="9" max="9" width="10.75" style="4" customWidth="1"/>
    <col min="10" max="10" width="30.33203125" style="4" bestFit="1" customWidth="1"/>
    <col min="11" max="26" width="10.75" style="4" customWidth="1"/>
    <col min="27" max="16384" width="11.25" style="4"/>
  </cols>
  <sheetData>
    <row r="1" spans="2:10" ht="15.5" x14ac:dyDescent="0.35">
      <c r="B1" s="191" t="s">
        <v>0</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2"/>
      <c r="C7" s="192"/>
      <c r="D7" s="192"/>
      <c r="E7" s="192"/>
      <c r="F7" s="192"/>
      <c r="G7" s="192"/>
      <c r="H7" s="192"/>
      <c r="I7" s="1"/>
      <c r="J7" s="10" t="s">
        <v>7</v>
      </c>
    </row>
    <row r="8" spans="2:10" ht="24" customHeight="1" x14ac:dyDescent="0.35">
      <c r="B8" s="12" t="s">
        <v>8</v>
      </c>
      <c r="C8" s="12" t="s">
        <v>9</v>
      </c>
      <c r="D8" s="12" t="s">
        <v>10</v>
      </c>
      <c r="E8" s="12" t="s">
        <v>11</v>
      </c>
      <c r="F8" s="12" t="s">
        <v>12</v>
      </c>
      <c r="G8" s="12" t="s">
        <v>13</v>
      </c>
      <c r="H8" s="12" t="s">
        <v>14</v>
      </c>
      <c r="I8" s="2"/>
      <c r="J8" s="127" t="s">
        <v>15</v>
      </c>
    </row>
    <row r="9" spans="2:10" ht="24" customHeight="1" x14ac:dyDescent="0.35">
      <c r="B9" s="21">
        <v>1</v>
      </c>
      <c r="C9" s="21">
        <v>2</v>
      </c>
      <c r="D9" s="21">
        <v>3</v>
      </c>
      <c r="E9" s="21">
        <v>4</v>
      </c>
      <c r="F9" s="21">
        <v>5</v>
      </c>
      <c r="G9" s="21">
        <v>6</v>
      </c>
      <c r="H9" s="21">
        <v>7</v>
      </c>
      <c r="I9" s="3"/>
    </row>
    <row r="10" spans="2:10" s="25" customFormat="1" ht="13" x14ac:dyDescent="0.3">
      <c r="B10" s="29"/>
      <c r="C10" s="51"/>
      <c r="D10" s="29"/>
      <c r="E10" s="51"/>
      <c r="F10" s="29"/>
      <c r="G10" s="29"/>
      <c r="H10" s="29"/>
      <c r="I10" s="23"/>
    </row>
    <row r="11" spans="2:10" s="25" customFormat="1" ht="13" x14ac:dyDescent="0.3">
      <c r="B11" s="30"/>
      <c r="C11" s="52"/>
      <c r="D11" s="30"/>
      <c r="E11" s="52"/>
      <c r="F11" s="30"/>
      <c r="G11" s="30"/>
      <c r="H11" s="30"/>
      <c r="I11" s="26"/>
    </row>
    <row r="12" spans="2:10" ht="24" customHeight="1" x14ac:dyDescent="0.35">
      <c r="B12" s="13">
        <f>H9+1</f>
        <v>8</v>
      </c>
      <c r="C12" s="13">
        <f t="shared" ref="C12:H12" si="0">B12+1</f>
        <v>9</v>
      </c>
      <c r="D12" s="13">
        <f t="shared" si="0"/>
        <v>10</v>
      </c>
      <c r="E12" s="13">
        <f>D12+1</f>
        <v>11</v>
      </c>
      <c r="F12" s="13">
        <f t="shared" si="0"/>
        <v>12</v>
      </c>
      <c r="G12" s="13">
        <f t="shared" si="0"/>
        <v>13</v>
      </c>
      <c r="H12" s="13">
        <f t="shared" si="0"/>
        <v>14</v>
      </c>
      <c r="I12" s="3"/>
    </row>
    <row r="13" spans="2:10" s="25" customFormat="1" ht="13" x14ac:dyDescent="0.3">
      <c r="B13" s="24"/>
      <c r="C13" s="24"/>
      <c r="D13" s="24"/>
      <c r="E13" s="24"/>
      <c r="F13" s="51"/>
      <c r="G13" s="24"/>
      <c r="H13" s="24"/>
      <c r="I13" s="23"/>
    </row>
    <row r="14" spans="2:10" s="25" customFormat="1" ht="105.75" customHeight="1" x14ac:dyDescent="0.3">
      <c r="B14" s="27"/>
      <c r="C14" s="28"/>
      <c r="D14" s="27"/>
      <c r="E14" s="27"/>
      <c r="G14" s="95" t="s">
        <v>16</v>
      </c>
      <c r="H14" s="27" t="s">
        <v>17</v>
      </c>
      <c r="I14" s="26"/>
    </row>
    <row r="15" spans="2:10" ht="24" customHeight="1" x14ac:dyDescent="0.35">
      <c r="B15" s="13">
        <f>H12+1</f>
        <v>15</v>
      </c>
      <c r="C15" s="13">
        <f t="shared" ref="C15:H15" si="1">B15+1</f>
        <v>16</v>
      </c>
      <c r="D15" s="13">
        <f t="shared" si="1"/>
        <v>17</v>
      </c>
      <c r="E15" s="13">
        <f t="shared" si="1"/>
        <v>18</v>
      </c>
      <c r="F15" s="13">
        <f t="shared" si="1"/>
        <v>19</v>
      </c>
      <c r="G15" s="13">
        <f t="shared" si="1"/>
        <v>20</v>
      </c>
      <c r="H15" s="13">
        <f t="shared" si="1"/>
        <v>21</v>
      </c>
      <c r="I15" s="3"/>
      <c r="J15" s="3"/>
    </row>
    <row r="16" spans="2:10" s="25" customFormat="1" ht="13" x14ac:dyDescent="0.25">
      <c r="B16" s="24"/>
      <c r="C16" s="24"/>
      <c r="D16" s="24"/>
      <c r="E16" s="24"/>
      <c r="F16" s="31"/>
      <c r="G16" s="24"/>
      <c r="H16" s="24"/>
    </row>
    <row r="17" spans="2:8" s="25" customFormat="1" ht="82.5" customHeight="1" x14ac:dyDescent="0.25">
      <c r="B17" s="24"/>
      <c r="C17" s="116"/>
      <c r="E17" s="24"/>
      <c r="F17" s="24"/>
      <c r="G17" s="95" t="s">
        <v>18</v>
      </c>
      <c r="H17" s="24"/>
    </row>
    <row r="18" spans="2:8" s="25" customFormat="1" ht="12.5" x14ac:dyDescent="0.25">
      <c r="B18" s="27" t="s">
        <v>19</v>
      </c>
      <c r="C18" s="27"/>
      <c r="D18" s="27"/>
      <c r="E18" s="27"/>
      <c r="F18" s="27" t="s">
        <v>20</v>
      </c>
      <c r="H18" s="27"/>
    </row>
    <row r="19" spans="2:8" ht="24" customHeight="1" x14ac:dyDescent="0.35">
      <c r="B19" s="13">
        <f>H15+1</f>
        <v>22</v>
      </c>
      <c r="C19" s="13">
        <f t="shared" ref="C19:H19" si="2">B19+1</f>
        <v>23</v>
      </c>
      <c r="D19" s="13">
        <f t="shared" si="2"/>
        <v>24</v>
      </c>
      <c r="E19" s="13">
        <f t="shared" si="2"/>
        <v>25</v>
      </c>
      <c r="F19" s="13">
        <f t="shared" si="2"/>
        <v>26</v>
      </c>
      <c r="G19" s="13">
        <f t="shared" si="2"/>
        <v>27</v>
      </c>
      <c r="H19" s="13">
        <f t="shared" si="2"/>
        <v>28</v>
      </c>
    </row>
    <row r="20" spans="2:8" s="25" customFormat="1" ht="75" x14ac:dyDescent="0.25">
      <c r="B20" s="24"/>
      <c r="C20" s="95" t="s">
        <v>21</v>
      </c>
      <c r="D20" s="24"/>
      <c r="E20" s="24"/>
      <c r="F20" s="138" t="s">
        <v>22</v>
      </c>
      <c r="G20" s="24"/>
      <c r="H20" s="24"/>
    </row>
    <row r="21" spans="2:8" s="25" customFormat="1" ht="40.5" customHeight="1" x14ac:dyDescent="0.25">
      <c r="B21" s="28"/>
      <c r="C21" s="27"/>
      <c r="E21" s="143"/>
      <c r="F21" s="95" t="s">
        <v>23</v>
      </c>
      <c r="G21" s="28"/>
      <c r="H21" s="27"/>
    </row>
    <row r="22" spans="2:8" ht="24" customHeight="1" x14ac:dyDescent="0.35">
      <c r="B22" s="13">
        <f>H19+1</f>
        <v>29</v>
      </c>
      <c r="C22" s="13">
        <f t="shared" ref="C22" si="3">B22+1</f>
        <v>30</v>
      </c>
      <c r="D22" s="193"/>
      <c r="E22" s="193"/>
      <c r="F22" s="193"/>
      <c r="G22" s="193"/>
      <c r="H22" s="193"/>
    </row>
    <row r="23" spans="2:8" s="25" customFormat="1" ht="12.75" customHeight="1" x14ac:dyDescent="0.25">
      <c r="B23" s="24"/>
      <c r="C23" s="24"/>
      <c r="D23" s="194"/>
      <c r="E23" s="194"/>
      <c r="F23" s="194"/>
      <c r="G23" s="194"/>
      <c r="H23" s="194"/>
    </row>
    <row r="24" spans="2:8" s="25" customFormat="1" ht="12.75" customHeight="1" x14ac:dyDescent="0.25">
      <c r="B24" s="27"/>
      <c r="C24" s="31"/>
      <c r="D24" s="195"/>
      <c r="E24" s="195"/>
      <c r="F24" s="195"/>
      <c r="G24" s="195"/>
      <c r="H24" s="195"/>
    </row>
    <row r="25" spans="2:8" ht="24" customHeight="1" x14ac:dyDescent="0.35">
      <c r="B25" s="19" t="s">
        <v>24</v>
      </c>
      <c r="C25" s="38"/>
      <c r="D25" s="39"/>
      <c r="E25" s="38"/>
      <c r="F25" s="38"/>
      <c r="G25" s="38"/>
      <c r="H25" s="40"/>
    </row>
  </sheetData>
  <mergeCells count="6">
    <mergeCell ref="B1:H7"/>
    <mergeCell ref="G22:G24"/>
    <mergeCell ref="H22:H24"/>
    <mergeCell ref="D22:D24"/>
    <mergeCell ref="E22:E24"/>
    <mergeCell ref="F22:F24"/>
  </mergeCells>
  <printOptions horizontalCentered="1" verticalCentered="1"/>
  <pageMargins left="0.3" right="0.3" top="0.3" bottom="0.3"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6DCE4"/>
  </sheetPr>
  <dimension ref="B1:J26"/>
  <sheetViews>
    <sheetView showGridLines="0" workbookViewId="0">
      <selection activeCell="E11" sqref="E11"/>
    </sheetView>
  </sheetViews>
  <sheetFormatPr defaultColWidth="11.25" defaultRowHeight="15" customHeight="1" x14ac:dyDescent="0.35"/>
  <cols>
    <col min="1" max="1" width="3.25" style="4" customWidth="1"/>
    <col min="2" max="8" width="16.75" style="4" customWidth="1"/>
    <col min="9" max="9" width="10.75" style="4" customWidth="1"/>
    <col min="10" max="10" width="30.33203125" style="4" bestFit="1" customWidth="1"/>
    <col min="11" max="26" width="10.75" style="4" customWidth="1"/>
    <col min="27" max="16384" width="11.25" style="4"/>
  </cols>
  <sheetData>
    <row r="1" spans="2:10" ht="15.5" x14ac:dyDescent="0.35">
      <c r="B1" s="191" t="s">
        <v>25</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2"/>
      <c r="C7" s="192"/>
      <c r="D7" s="192"/>
      <c r="E7" s="192"/>
      <c r="F7" s="192"/>
      <c r="G7" s="192"/>
      <c r="H7" s="192"/>
      <c r="I7" s="1"/>
      <c r="J7" s="10" t="s">
        <v>7</v>
      </c>
    </row>
    <row r="8" spans="2:10" ht="24" customHeight="1" x14ac:dyDescent="0.35">
      <c r="B8" s="12" t="s">
        <v>8</v>
      </c>
      <c r="C8" s="12" t="s">
        <v>9</v>
      </c>
      <c r="D8" s="12" t="s">
        <v>10</v>
      </c>
      <c r="E8" s="12" t="s">
        <v>11</v>
      </c>
      <c r="F8" s="12" t="s">
        <v>12</v>
      </c>
      <c r="G8" s="12" t="s">
        <v>13</v>
      </c>
      <c r="H8" s="12" t="s">
        <v>14</v>
      </c>
      <c r="I8" s="2"/>
      <c r="J8" s="127" t="s">
        <v>15</v>
      </c>
    </row>
    <row r="9" spans="2:10" ht="24" customHeight="1" x14ac:dyDescent="0.35">
      <c r="B9" s="193"/>
      <c r="C9" s="193"/>
      <c r="D9" s="13">
        <v>1</v>
      </c>
      <c r="E9" s="41">
        <f t="shared" ref="E9" si="0">D9+1</f>
        <v>2</v>
      </c>
      <c r="F9" s="13">
        <v>3</v>
      </c>
      <c r="G9" s="13">
        <v>4</v>
      </c>
      <c r="H9" s="41">
        <f t="shared" ref="H9" si="1">G9+1</f>
        <v>5</v>
      </c>
      <c r="I9" s="3"/>
      <c r="J9" s="2"/>
    </row>
    <row r="10" spans="2:10" s="25" customFormat="1" ht="68.25" customHeight="1" x14ac:dyDescent="0.25">
      <c r="B10" s="194"/>
      <c r="C10" s="194"/>
      <c r="D10" s="31"/>
      <c r="E10" s="92" t="s">
        <v>26</v>
      </c>
      <c r="F10" s="31"/>
      <c r="G10" s="31"/>
      <c r="H10" s="36"/>
      <c r="I10" s="32"/>
    </row>
    <row r="11" spans="2:10" s="25" customFormat="1" ht="13.15" customHeight="1" x14ac:dyDescent="0.25">
      <c r="B11" s="194"/>
      <c r="C11" s="194"/>
      <c r="D11" s="51"/>
      <c r="E11" s="51"/>
      <c r="F11" s="51"/>
      <c r="G11" s="51"/>
      <c r="H11" s="51"/>
      <c r="I11" s="32"/>
      <c r="J11" s="32"/>
    </row>
    <row r="12" spans="2:10" s="25" customFormat="1" ht="13.15" customHeight="1" x14ac:dyDescent="0.25">
      <c r="B12" s="195"/>
      <c r="C12" s="195"/>
      <c r="D12" s="52"/>
      <c r="E12" s="52"/>
      <c r="F12" s="52"/>
      <c r="G12" s="52" t="s">
        <v>27</v>
      </c>
      <c r="H12" s="52"/>
    </row>
    <row r="13" spans="2:10" ht="24" customHeight="1" x14ac:dyDescent="0.35">
      <c r="B13" s="13">
        <f>H9+1</f>
        <v>6</v>
      </c>
      <c r="C13" s="13">
        <f t="shared" ref="C13:H13" si="2">B13+1</f>
        <v>7</v>
      </c>
      <c r="D13" s="13">
        <f t="shared" si="2"/>
        <v>8</v>
      </c>
      <c r="E13" s="13">
        <f t="shared" si="2"/>
        <v>9</v>
      </c>
      <c r="F13" s="13">
        <f t="shared" si="2"/>
        <v>10</v>
      </c>
      <c r="G13" s="13">
        <f t="shared" si="2"/>
        <v>11</v>
      </c>
      <c r="H13" s="13">
        <f t="shared" si="2"/>
        <v>12</v>
      </c>
      <c r="I13" s="3"/>
      <c r="J13" s="3"/>
    </row>
    <row r="14" spans="2:10" s="25" customFormat="1" ht="12.5" x14ac:dyDescent="0.25">
      <c r="B14" s="31"/>
      <c r="C14" s="53"/>
      <c r="D14" s="31"/>
      <c r="E14" s="31"/>
      <c r="F14" s="31"/>
      <c r="G14" s="31"/>
      <c r="H14" s="31"/>
      <c r="I14" s="32"/>
      <c r="J14" s="32"/>
    </row>
    <row r="15" spans="2:10" s="25" customFormat="1" ht="77.25" customHeight="1" x14ac:dyDescent="0.25">
      <c r="B15" s="31"/>
      <c r="C15" s="83"/>
      <c r="D15" s="138" t="s">
        <v>28</v>
      </c>
      <c r="E15" s="92" t="s">
        <v>29</v>
      </c>
      <c r="F15" s="31"/>
      <c r="G15" s="31"/>
      <c r="H15" s="31"/>
      <c r="I15" s="32"/>
      <c r="J15" s="32"/>
    </row>
    <row r="16" spans="2:10" s="25" customFormat="1" ht="48.75" customHeight="1" x14ac:dyDescent="0.25">
      <c r="B16" s="27" t="s">
        <v>30</v>
      </c>
      <c r="C16" s="54"/>
      <c r="D16" s="27"/>
      <c r="E16" s="27"/>
      <c r="F16" s="96" t="s">
        <v>31</v>
      </c>
      <c r="G16" s="27"/>
      <c r="H16" s="27"/>
    </row>
    <row r="17" spans="2:8" ht="24" customHeight="1" x14ac:dyDescent="0.35">
      <c r="B17" s="13">
        <f>H13+1</f>
        <v>13</v>
      </c>
      <c r="C17" s="13">
        <f t="shared" ref="C17:H17" si="3">B17+1</f>
        <v>14</v>
      </c>
      <c r="D17" s="13">
        <f t="shared" si="3"/>
        <v>15</v>
      </c>
      <c r="E17" s="13">
        <f t="shared" si="3"/>
        <v>16</v>
      </c>
      <c r="F17" s="13">
        <f t="shared" si="3"/>
        <v>17</v>
      </c>
      <c r="G17" s="13">
        <f t="shared" si="3"/>
        <v>18</v>
      </c>
      <c r="H17" s="13">
        <f t="shared" si="3"/>
        <v>19</v>
      </c>
    </row>
    <row r="18" spans="2:8" s="25" customFormat="1" ht="12.5" x14ac:dyDescent="0.25">
      <c r="B18" s="31"/>
      <c r="C18" s="31"/>
      <c r="D18" s="31"/>
      <c r="E18" s="31"/>
      <c r="F18" s="31"/>
      <c r="G18" s="31"/>
      <c r="H18" s="31"/>
    </row>
    <row r="19" spans="2:8" s="25" customFormat="1" ht="74.25" customHeight="1" x14ac:dyDescent="0.25">
      <c r="B19" s="31"/>
      <c r="D19" s="31"/>
      <c r="E19" s="92" t="s">
        <v>32</v>
      </c>
      <c r="F19" s="92" t="s">
        <v>33</v>
      </c>
      <c r="G19" s="31"/>
      <c r="H19" s="31"/>
    </row>
    <row r="20" spans="2:8" s="25" customFormat="1" ht="54" customHeight="1" x14ac:dyDescent="0.25">
      <c r="B20" s="27"/>
      <c r="C20" s="28"/>
      <c r="D20" s="96" t="s">
        <v>34</v>
      </c>
      <c r="E20" s="116"/>
      <c r="F20" s="27"/>
      <c r="G20" s="27"/>
      <c r="H20" s="27"/>
    </row>
    <row r="21" spans="2:8" ht="24" customHeight="1" x14ac:dyDescent="0.35">
      <c r="B21" s="13">
        <f>H17+1</f>
        <v>20</v>
      </c>
      <c r="C21" s="13">
        <f t="shared" ref="C21:H21" si="4">B21+1</f>
        <v>21</v>
      </c>
      <c r="D21" s="13">
        <f t="shared" si="4"/>
        <v>22</v>
      </c>
      <c r="E21" s="13">
        <f t="shared" si="4"/>
        <v>23</v>
      </c>
      <c r="F21" s="13">
        <f t="shared" si="4"/>
        <v>24</v>
      </c>
      <c r="G21" s="13">
        <f t="shared" si="4"/>
        <v>25</v>
      </c>
      <c r="H21" s="13">
        <f t="shared" si="4"/>
        <v>26</v>
      </c>
    </row>
    <row r="22" spans="2:8" s="25" customFormat="1" ht="70.5" customHeight="1" x14ac:dyDescent="0.25">
      <c r="B22" s="31"/>
      <c r="C22" s="92" t="s">
        <v>35</v>
      </c>
      <c r="D22" s="92" t="s">
        <v>36</v>
      </c>
      <c r="E22" s="92" t="s">
        <v>37</v>
      </c>
      <c r="F22" s="92" t="s">
        <v>38</v>
      </c>
      <c r="G22" s="31"/>
      <c r="H22" s="31"/>
    </row>
    <row r="23" spans="2:8" s="25" customFormat="1" ht="63" customHeight="1" x14ac:dyDescent="0.25">
      <c r="B23" s="96" t="s">
        <v>39</v>
      </c>
      <c r="C23" s="28"/>
      <c r="D23" s="27"/>
      <c r="E23" s="27"/>
      <c r="F23" s="27"/>
      <c r="G23" s="27"/>
      <c r="H23" s="27"/>
    </row>
    <row r="24" spans="2:8" ht="24" customHeight="1" x14ac:dyDescent="0.35">
      <c r="B24" s="13">
        <f>H21+1</f>
        <v>27</v>
      </c>
      <c r="C24" s="42">
        <f t="shared" ref="C24:F24" si="5">B24+1</f>
        <v>28</v>
      </c>
      <c r="D24" s="42">
        <f t="shared" si="5"/>
        <v>29</v>
      </c>
      <c r="E24" s="42">
        <f t="shared" si="5"/>
        <v>30</v>
      </c>
      <c r="F24" s="42">
        <f t="shared" si="5"/>
        <v>31</v>
      </c>
      <c r="G24" s="193"/>
      <c r="H24" s="193"/>
    </row>
    <row r="25" spans="2:8" ht="83.25" customHeight="1" x14ac:dyDescent="0.35">
      <c r="B25" s="92" t="s">
        <v>40</v>
      </c>
      <c r="C25" s="31"/>
      <c r="D25" s="31"/>
      <c r="E25" s="92" t="s">
        <v>41</v>
      </c>
      <c r="F25" s="31"/>
      <c r="G25" s="194"/>
      <c r="H25" s="194"/>
    </row>
    <row r="26" spans="2:8" ht="24" customHeight="1" x14ac:dyDescent="0.35">
      <c r="B26" s="19" t="s">
        <v>24</v>
      </c>
      <c r="C26" s="44"/>
      <c r="D26" s="44"/>
      <c r="E26" s="44"/>
      <c r="F26" s="44"/>
      <c r="G26" s="195"/>
      <c r="H26" s="195"/>
    </row>
  </sheetData>
  <mergeCells count="5">
    <mergeCell ref="G24:G26"/>
    <mergeCell ref="H24:H26"/>
    <mergeCell ref="B1:H7"/>
    <mergeCell ref="B9:B12"/>
    <mergeCell ref="C9:C12"/>
  </mergeCells>
  <printOptions horizontalCentered="1" verticalCentered="1"/>
  <pageMargins left="0.3" right="0.3" top="0.3" bottom="0.3"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22A35"/>
  </sheetPr>
  <dimension ref="A1:J31"/>
  <sheetViews>
    <sheetView showGridLines="0" topLeftCell="A21" workbookViewId="0">
      <selection activeCell="G8" sqref="G8"/>
    </sheetView>
  </sheetViews>
  <sheetFormatPr defaultColWidth="11.25" defaultRowHeight="15" customHeight="1" x14ac:dyDescent="0.35"/>
  <cols>
    <col min="1" max="1" width="3.25" style="4" customWidth="1"/>
    <col min="2" max="8" width="16.75" style="4" customWidth="1"/>
    <col min="9" max="9" width="10.75" style="4" customWidth="1"/>
    <col min="10" max="10" width="30.33203125" style="4" bestFit="1" customWidth="1"/>
    <col min="11" max="26" width="10.75" style="4" customWidth="1"/>
    <col min="27" max="16384" width="11.25" style="4"/>
  </cols>
  <sheetData>
    <row r="1" spans="2:10" ht="15.5" x14ac:dyDescent="0.35">
      <c r="B1" s="191" t="s">
        <v>42</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2"/>
      <c r="C7" s="192"/>
      <c r="D7" s="192"/>
      <c r="E7" s="192"/>
      <c r="F7" s="192"/>
      <c r="G7" s="192"/>
      <c r="H7" s="192"/>
      <c r="I7" s="1"/>
      <c r="J7" s="10" t="s">
        <v>7</v>
      </c>
    </row>
    <row r="8" spans="2:10" ht="24" customHeight="1" x14ac:dyDescent="0.35">
      <c r="B8" s="12" t="s">
        <v>8</v>
      </c>
      <c r="C8" s="12" t="s">
        <v>9</v>
      </c>
      <c r="D8" s="12" t="s">
        <v>10</v>
      </c>
      <c r="E8" s="12" t="s">
        <v>11</v>
      </c>
      <c r="F8" s="12" t="s">
        <v>12</v>
      </c>
      <c r="G8" s="12" t="s">
        <v>13</v>
      </c>
      <c r="H8" s="12" t="s">
        <v>14</v>
      </c>
      <c r="I8" s="2"/>
      <c r="J8" s="127" t="s">
        <v>15</v>
      </c>
    </row>
    <row r="9" spans="2:10" ht="24" customHeight="1" x14ac:dyDescent="0.35">
      <c r="B9" s="79"/>
      <c r="C9" s="79"/>
      <c r="D9" s="79"/>
      <c r="E9" s="79"/>
      <c r="F9" s="79"/>
      <c r="G9" s="22">
        <v>1</v>
      </c>
      <c r="H9" s="41">
        <v>2</v>
      </c>
      <c r="I9" s="3"/>
      <c r="J9" s="3"/>
    </row>
    <row r="10" spans="2:10" s="25" customFormat="1" ht="12.75" customHeight="1" x14ac:dyDescent="0.25">
      <c r="B10" s="80"/>
      <c r="C10" s="80"/>
      <c r="D10" s="80"/>
      <c r="E10" s="80"/>
      <c r="F10" s="80"/>
      <c r="G10" s="49"/>
      <c r="H10" s="49"/>
      <c r="I10" s="32"/>
      <c r="J10" s="32"/>
    </row>
    <row r="11" spans="2:10" s="25" customFormat="1" ht="25" x14ac:dyDescent="0.25">
      <c r="B11" s="81"/>
      <c r="C11" s="81"/>
      <c r="D11" s="81"/>
      <c r="E11" s="81"/>
      <c r="F11" s="81"/>
      <c r="G11" s="50"/>
      <c r="H11" s="91" t="s">
        <v>43</v>
      </c>
    </row>
    <row r="12" spans="2:10" ht="24" customHeight="1" x14ac:dyDescent="0.35">
      <c r="B12" s="13">
        <f>H9+1</f>
        <v>3</v>
      </c>
      <c r="C12" s="13">
        <f t="shared" ref="C12:H12" si="0">B12+1</f>
        <v>4</v>
      </c>
      <c r="D12" s="13">
        <f t="shared" si="0"/>
        <v>5</v>
      </c>
      <c r="E12" s="13">
        <f t="shared" si="0"/>
        <v>6</v>
      </c>
      <c r="F12" s="13">
        <f t="shared" si="0"/>
        <v>7</v>
      </c>
      <c r="G12" s="13">
        <f t="shared" si="0"/>
        <v>8</v>
      </c>
      <c r="H12" s="13">
        <f t="shared" si="0"/>
        <v>9</v>
      </c>
      <c r="I12" s="3"/>
      <c r="J12" s="3"/>
    </row>
    <row r="13" spans="2:10" ht="87" customHeight="1" x14ac:dyDescent="0.35">
      <c r="B13" s="16"/>
      <c r="C13" s="65"/>
      <c r="D13" s="92" t="s">
        <v>44</v>
      </c>
      <c r="E13" s="31"/>
      <c r="F13" s="92" t="s">
        <v>45</v>
      </c>
      <c r="G13" s="92" t="s">
        <v>46</v>
      </c>
      <c r="H13" s="16"/>
      <c r="I13" s="3"/>
      <c r="J13" s="3"/>
    </row>
    <row r="14" spans="2:10" ht="63.5" x14ac:dyDescent="0.35">
      <c r="B14" s="31"/>
      <c r="C14" s="148" t="s">
        <v>47</v>
      </c>
      <c r="D14" s="31"/>
      <c r="E14" s="31"/>
      <c r="F14" s="148" t="s">
        <v>48</v>
      </c>
      <c r="G14" s="31"/>
      <c r="H14" s="31"/>
    </row>
    <row r="15" spans="2:10" ht="49.5" customHeight="1" x14ac:dyDescent="0.35">
      <c r="B15" s="91" t="s">
        <v>43</v>
      </c>
      <c r="C15" s="91" t="s">
        <v>43</v>
      </c>
      <c r="D15" s="91" t="s">
        <v>43</v>
      </c>
      <c r="E15" s="91" t="s">
        <v>43</v>
      </c>
      <c r="F15" s="31"/>
      <c r="G15" s="31"/>
      <c r="H15" s="31"/>
    </row>
    <row r="16" spans="2:10" ht="24" customHeight="1" x14ac:dyDescent="0.35">
      <c r="B16" s="13">
        <f>H12+1</f>
        <v>10</v>
      </c>
      <c r="C16" s="13">
        <f t="shared" ref="C16:H16" si="1">B16+1</f>
        <v>11</v>
      </c>
      <c r="D16" s="13">
        <f t="shared" si="1"/>
        <v>12</v>
      </c>
      <c r="E16" s="13">
        <f t="shared" si="1"/>
        <v>13</v>
      </c>
      <c r="F16" s="13">
        <f t="shared" si="1"/>
        <v>14</v>
      </c>
      <c r="G16" s="13">
        <f t="shared" si="1"/>
        <v>15</v>
      </c>
      <c r="H16" s="13">
        <f t="shared" si="1"/>
        <v>16</v>
      </c>
    </row>
    <row r="17" spans="1:8" s="25" customFormat="1" ht="110.25" customHeight="1" x14ac:dyDescent="0.25">
      <c r="B17" s="31"/>
      <c r="C17" s="146"/>
      <c r="D17" s="92" t="s">
        <v>49</v>
      </c>
      <c r="E17" s="92" t="s">
        <v>50</v>
      </c>
      <c r="F17" s="92" t="s">
        <v>51</v>
      </c>
      <c r="G17" s="31"/>
      <c r="H17" s="31"/>
    </row>
    <row r="18" spans="1:8" s="25" customFormat="1" ht="117.75" customHeight="1" x14ac:dyDescent="0.25">
      <c r="B18" s="116"/>
      <c r="C18" s="128" t="s">
        <v>52</v>
      </c>
      <c r="D18" s="128" t="s">
        <v>53</v>
      </c>
      <c r="E18" s="83"/>
      <c r="F18" s="129" t="s">
        <v>54</v>
      </c>
      <c r="G18" s="129" t="s">
        <v>55</v>
      </c>
      <c r="H18" s="31"/>
    </row>
    <row r="19" spans="1:8" s="25" customFormat="1" ht="60" customHeight="1" x14ac:dyDescent="0.25">
      <c r="B19" s="96" t="s">
        <v>56</v>
      </c>
      <c r="C19" s="92" t="s">
        <v>57</v>
      </c>
      <c r="D19" s="27"/>
      <c r="F19" s="96" t="s">
        <v>58</v>
      </c>
      <c r="G19" s="96" t="s">
        <v>59</v>
      </c>
      <c r="H19" s="28"/>
    </row>
    <row r="20" spans="1:8" ht="24" customHeight="1" x14ac:dyDescent="0.35">
      <c r="B20" s="13">
        <f>H16+1</f>
        <v>17</v>
      </c>
      <c r="C20" s="13">
        <f t="shared" ref="C20:H20" si="2">B20+1</f>
        <v>18</v>
      </c>
      <c r="D20" s="13">
        <f t="shared" si="2"/>
        <v>19</v>
      </c>
      <c r="E20" s="13">
        <f t="shared" si="2"/>
        <v>20</v>
      </c>
      <c r="F20" s="13">
        <f t="shared" si="2"/>
        <v>21</v>
      </c>
      <c r="G20" s="13">
        <f t="shared" si="2"/>
        <v>22</v>
      </c>
      <c r="H20" s="13">
        <f t="shared" si="2"/>
        <v>23</v>
      </c>
    </row>
    <row r="21" spans="1:8" ht="107.25" customHeight="1" x14ac:dyDescent="0.35">
      <c r="B21" s="16"/>
      <c r="C21" s="92" t="s">
        <v>60</v>
      </c>
      <c r="D21" s="144"/>
      <c r="E21" s="65"/>
      <c r="F21" s="92" t="s">
        <v>61</v>
      </c>
      <c r="G21" s="16"/>
      <c r="H21" s="16"/>
    </row>
    <row r="22" spans="1:8" s="25" customFormat="1" ht="65.25" customHeight="1" x14ac:dyDescent="0.25">
      <c r="B22" s="31"/>
      <c r="C22" s="99" t="s">
        <v>62</v>
      </c>
      <c r="D22" s="145"/>
      <c r="E22" s="82"/>
      <c r="F22" s="31"/>
      <c r="G22" s="31"/>
      <c r="H22" s="31"/>
    </row>
    <row r="23" spans="1:8" s="25" customFormat="1" ht="59.25" customHeight="1" x14ac:dyDescent="0.25">
      <c r="B23" s="27"/>
      <c r="C23" s="128" t="s">
        <v>63</v>
      </c>
      <c r="D23" s="27"/>
      <c r="E23" s="27"/>
      <c r="F23" s="27"/>
      <c r="G23" s="27"/>
      <c r="H23" s="27"/>
    </row>
    <row r="24" spans="1:8" s="25" customFormat="1" ht="15.5" x14ac:dyDescent="0.25">
      <c r="B24" s="13">
        <f>H20+1</f>
        <v>24</v>
      </c>
      <c r="C24" s="13">
        <f t="shared" ref="C24:H24" si="3">B24+1</f>
        <v>25</v>
      </c>
      <c r="D24" s="13">
        <f t="shared" si="3"/>
        <v>26</v>
      </c>
      <c r="E24" s="13">
        <f t="shared" si="3"/>
        <v>27</v>
      </c>
      <c r="F24" s="13">
        <f t="shared" si="3"/>
        <v>28</v>
      </c>
      <c r="G24" s="13">
        <f t="shared" si="3"/>
        <v>29</v>
      </c>
      <c r="H24" s="13">
        <f t="shared" si="3"/>
        <v>30</v>
      </c>
    </row>
    <row r="25" spans="1:8" s="25" customFormat="1" ht="140.25" customHeight="1" x14ac:dyDescent="0.25">
      <c r="B25" s="16"/>
      <c r="C25" s="16"/>
      <c r="E25" s="16"/>
      <c r="F25" s="16"/>
      <c r="G25" s="16"/>
      <c r="H25" s="16"/>
    </row>
    <row r="26" spans="1:8" ht="123" customHeight="1" x14ac:dyDescent="0.35">
      <c r="B26" s="31"/>
      <c r="C26" s="31"/>
      <c r="E26" s="31"/>
      <c r="F26" s="92" t="s">
        <v>64</v>
      </c>
      <c r="G26" s="31"/>
      <c r="H26" s="31"/>
    </row>
    <row r="27" spans="1:8" s="25" customFormat="1" ht="12.5" x14ac:dyDescent="0.25">
      <c r="B27" s="27"/>
      <c r="C27" s="27"/>
      <c r="E27" s="27"/>
      <c r="F27" s="27"/>
      <c r="G27" s="27"/>
      <c r="H27" s="27"/>
    </row>
    <row r="28" spans="1:8" s="25" customFormat="1" ht="15.5" x14ac:dyDescent="0.25">
      <c r="B28" s="13">
        <f>H24+1</f>
        <v>31</v>
      </c>
      <c r="C28" s="196"/>
      <c r="D28" s="196"/>
      <c r="E28" s="196"/>
      <c r="F28" s="196"/>
      <c r="G28" s="196"/>
      <c r="H28" s="196"/>
    </row>
    <row r="29" spans="1:8" s="25" customFormat="1" ht="15.5" x14ac:dyDescent="0.25">
      <c r="A29" s="82"/>
      <c r="B29" s="65"/>
      <c r="C29" s="197"/>
      <c r="D29" s="197"/>
      <c r="E29" s="197"/>
      <c r="F29" s="197"/>
      <c r="G29" s="197"/>
      <c r="H29" s="197"/>
    </row>
    <row r="30" spans="1:8" s="25" customFormat="1" ht="15.5" x14ac:dyDescent="0.25">
      <c r="A30" s="82"/>
      <c r="B30" s="65"/>
      <c r="C30" s="198"/>
      <c r="D30" s="198"/>
      <c r="E30" s="198"/>
      <c r="F30" s="198"/>
      <c r="G30" s="198"/>
      <c r="H30" s="198"/>
    </row>
    <row r="31" spans="1:8" ht="24" customHeight="1" x14ac:dyDescent="0.35">
      <c r="B31" s="84" t="s">
        <v>24</v>
      </c>
      <c r="C31" s="38"/>
      <c r="D31" s="38"/>
      <c r="E31" s="38"/>
      <c r="F31" s="38"/>
      <c r="G31" s="38"/>
      <c r="H31" s="40"/>
    </row>
  </sheetData>
  <mergeCells count="7">
    <mergeCell ref="C28:C30"/>
    <mergeCell ref="B1:H7"/>
    <mergeCell ref="E28:E30"/>
    <mergeCell ref="F28:F30"/>
    <mergeCell ref="G28:G30"/>
    <mergeCell ref="H28:H30"/>
    <mergeCell ref="D28:D30"/>
  </mergeCells>
  <printOptions horizontalCentered="1" verticalCentered="1"/>
  <pageMargins left="0.3" right="0.3" top="0.3" bottom="0.3"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496B0"/>
  </sheetPr>
  <dimension ref="B1:J29"/>
  <sheetViews>
    <sheetView showGridLines="0" topLeftCell="A21" workbookViewId="0">
      <selection activeCell="D26" sqref="D26"/>
    </sheetView>
  </sheetViews>
  <sheetFormatPr defaultColWidth="11.25" defaultRowHeight="15" customHeight="1" x14ac:dyDescent="0.35"/>
  <cols>
    <col min="1" max="1" width="3.25" style="4" customWidth="1"/>
    <col min="2" max="8" width="16.75" style="4" customWidth="1"/>
    <col min="9" max="9" width="10.75" style="4" customWidth="1"/>
    <col min="10" max="10" width="30.33203125" style="4" bestFit="1" customWidth="1"/>
    <col min="11" max="26" width="10.75" style="4" customWidth="1"/>
    <col min="27" max="16384" width="11.25" style="4"/>
  </cols>
  <sheetData>
    <row r="1" spans="2:10" ht="15.5" x14ac:dyDescent="0.35">
      <c r="B1" s="191" t="s">
        <v>65</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2"/>
      <c r="C7" s="192"/>
      <c r="D7" s="192"/>
      <c r="E7" s="192"/>
      <c r="F7" s="192"/>
      <c r="G7" s="192"/>
      <c r="H7" s="192"/>
      <c r="I7" s="1"/>
      <c r="J7" s="10" t="s">
        <v>7</v>
      </c>
    </row>
    <row r="8" spans="2:10" ht="24" customHeight="1" x14ac:dyDescent="0.35">
      <c r="B8" s="12" t="s">
        <v>8</v>
      </c>
      <c r="C8" s="12" t="s">
        <v>9</v>
      </c>
      <c r="D8" s="12" t="s">
        <v>10</v>
      </c>
      <c r="E8" s="12" t="s">
        <v>11</v>
      </c>
      <c r="F8" s="12" t="s">
        <v>12</v>
      </c>
      <c r="G8" s="12" t="s">
        <v>13</v>
      </c>
      <c r="H8" s="12" t="s">
        <v>14</v>
      </c>
      <c r="I8" s="2"/>
      <c r="J8" s="127" t="s">
        <v>15</v>
      </c>
    </row>
    <row r="9" spans="2:10" ht="24" customHeight="1" x14ac:dyDescent="0.35">
      <c r="B9" s="193"/>
      <c r="C9" s="20">
        <v>1</v>
      </c>
      <c r="D9" s="13">
        <f t="shared" ref="D9" si="0">C9+1</f>
        <v>2</v>
      </c>
      <c r="E9" s="13">
        <f t="shared" ref="E9" si="1">D9+1</f>
        <v>3</v>
      </c>
      <c r="F9" s="21">
        <v>4</v>
      </c>
      <c r="G9" s="13">
        <f t="shared" ref="G9" si="2">F9+1</f>
        <v>5</v>
      </c>
      <c r="H9" s="21">
        <v>6</v>
      </c>
      <c r="I9" s="3"/>
      <c r="J9" s="3"/>
    </row>
    <row r="10" spans="2:10" s="25" customFormat="1" ht="86.25" customHeight="1" x14ac:dyDescent="0.25">
      <c r="B10" s="194"/>
      <c r="C10" s="31"/>
      <c r="D10" s="31"/>
      <c r="E10" s="92" t="s">
        <v>66</v>
      </c>
      <c r="F10" s="55"/>
      <c r="G10" s="55"/>
      <c r="H10" s="55"/>
      <c r="I10" s="32"/>
      <c r="J10" s="32"/>
    </row>
    <row r="11" spans="2:10" s="25" customFormat="1" ht="29.25" customHeight="1" x14ac:dyDescent="0.25">
      <c r="B11" s="194"/>
      <c r="C11" s="51"/>
      <c r="D11" s="31"/>
      <c r="E11" s="31"/>
      <c r="G11" s="31"/>
      <c r="H11" s="31"/>
      <c r="I11" s="32"/>
      <c r="J11" s="32"/>
    </row>
    <row r="12" spans="2:10" s="25" customFormat="1" ht="32.25" customHeight="1" x14ac:dyDescent="0.25">
      <c r="B12" s="195"/>
      <c r="C12" s="52" t="s">
        <v>67</v>
      </c>
      <c r="D12" s="56"/>
      <c r="E12" s="56"/>
      <c r="F12" s="56"/>
      <c r="G12" s="56"/>
      <c r="H12" s="56"/>
    </row>
    <row r="13" spans="2:10" ht="24" customHeight="1" x14ac:dyDescent="0.35">
      <c r="B13" s="13">
        <f>H9+1</f>
        <v>7</v>
      </c>
      <c r="C13" s="13">
        <f t="shared" ref="C13:H13" si="3">B13+1</f>
        <v>8</v>
      </c>
      <c r="D13" s="13">
        <f t="shared" si="3"/>
        <v>9</v>
      </c>
      <c r="E13" s="13">
        <f t="shared" si="3"/>
        <v>10</v>
      </c>
      <c r="F13" s="13">
        <f t="shared" si="3"/>
        <v>11</v>
      </c>
      <c r="G13" s="13">
        <f t="shared" si="3"/>
        <v>12</v>
      </c>
      <c r="H13" s="13">
        <f t="shared" si="3"/>
        <v>13</v>
      </c>
      <c r="I13" s="3"/>
      <c r="J13" s="3"/>
    </row>
    <row r="14" spans="2:10" s="25" customFormat="1" ht="140.25" customHeight="1" x14ac:dyDescent="0.25">
      <c r="B14" s="31"/>
      <c r="C14" s="147" t="s">
        <v>68</v>
      </c>
      <c r="D14" s="31"/>
      <c r="F14" s="31"/>
      <c r="H14" s="31"/>
      <c r="I14" s="32"/>
      <c r="J14" s="32"/>
    </row>
    <row r="15" spans="2:10" s="25" customFormat="1" ht="101.25" customHeight="1" x14ac:dyDescent="0.25">
      <c r="B15" s="31"/>
      <c r="C15" s="147" t="s">
        <v>69</v>
      </c>
      <c r="D15" s="92" t="s">
        <v>70</v>
      </c>
      <c r="E15" s="31"/>
      <c r="F15" s="92" t="s">
        <v>71</v>
      </c>
      <c r="G15" s="31"/>
      <c r="H15" s="31"/>
      <c r="I15" s="32"/>
      <c r="J15" s="32"/>
    </row>
    <row r="16" spans="2:10" s="25" customFormat="1" ht="12.5" x14ac:dyDescent="0.25">
      <c r="B16" s="28"/>
      <c r="C16" s="27"/>
      <c r="D16" s="27"/>
      <c r="E16" s="28"/>
      <c r="G16" s="28"/>
      <c r="H16" s="28"/>
    </row>
    <row r="17" spans="2:8" ht="24" customHeight="1" x14ac:dyDescent="0.35">
      <c r="B17" s="13">
        <f>H13+1</f>
        <v>14</v>
      </c>
      <c r="C17" s="13">
        <f t="shared" ref="C17:H17" si="4">B17+1</f>
        <v>15</v>
      </c>
      <c r="D17" s="13">
        <f t="shared" si="4"/>
        <v>16</v>
      </c>
      <c r="E17" s="13">
        <f t="shared" si="4"/>
        <v>17</v>
      </c>
      <c r="F17" s="13">
        <f t="shared" si="4"/>
        <v>18</v>
      </c>
      <c r="G17" s="13">
        <f t="shared" si="4"/>
        <v>19</v>
      </c>
      <c r="H17" s="13">
        <f t="shared" si="4"/>
        <v>20</v>
      </c>
    </row>
    <row r="18" spans="2:8" s="25" customFormat="1" ht="48" customHeight="1" x14ac:dyDescent="0.25">
      <c r="B18" s="31"/>
      <c r="D18" s="31"/>
      <c r="E18" s="31"/>
      <c r="F18" s="92" t="s">
        <v>72</v>
      </c>
      <c r="G18" s="92" t="s">
        <v>73</v>
      </c>
      <c r="H18" s="31"/>
    </row>
    <row r="19" spans="2:8" s="25" customFormat="1" ht="12.5" x14ac:dyDescent="0.25">
      <c r="B19" s="31"/>
      <c r="C19" s="31"/>
      <c r="E19" s="31"/>
      <c r="F19" s="31"/>
      <c r="G19" s="31"/>
      <c r="H19" s="31"/>
    </row>
    <row r="20" spans="2:8" s="25" customFormat="1" ht="12.5" x14ac:dyDescent="0.25">
      <c r="B20" s="28"/>
      <c r="C20" s="27"/>
      <c r="D20" s="31"/>
      <c r="E20" s="27"/>
      <c r="F20" s="27"/>
      <c r="G20" s="27"/>
      <c r="H20" s="27"/>
    </row>
    <row r="21" spans="2:8" ht="24" customHeight="1" x14ac:dyDescent="0.35">
      <c r="B21" s="13">
        <f>H17+1</f>
        <v>21</v>
      </c>
      <c r="C21" s="13">
        <f t="shared" ref="C21:H21" si="5">B21+1</f>
        <v>22</v>
      </c>
      <c r="D21" s="13">
        <f t="shared" si="5"/>
        <v>23</v>
      </c>
      <c r="E21" s="13">
        <f t="shared" si="5"/>
        <v>24</v>
      </c>
      <c r="F21" s="13">
        <f t="shared" si="5"/>
        <v>25</v>
      </c>
      <c r="G21" s="13">
        <f t="shared" si="5"/>
        <v>26</v>
      </c>
      <c r="H21" s="13">
        <f t="shared" si="5"/>
        <v>27</v>
      </c>
    </row>
    <row r="22" spans="2:8" s="25" customFormat="1" ht="73.5" customHeight="1" x14ac:dyDescent="0.25">
      <c r="B22" s="31"/>
      <c r="D22" s="31"/>
      <c r="E22" s="92" t="s">
        <v>74</v>
      </c>
      <c r="G22" s="31"/>
      <c r="H22" s="31"/>
    </row>
    <row r="23" spans="2:8" s="25" customFormat="1" ht="75.75" customHeight="1" x14ac:dyDescent="0.25">
      <c r="B23" s="31"/>
      <c r="C23" s="31"/>
      <c r="D23" s="31"/>
      <c r="E23" s="92" t="s">
        <v>75</v>
      </c>
      <c r="F23" s="31"/>
      <c r="G23" s="31"/>
      <c r="H23" s="31"/>
    </row>
    <row r="24" spans="2:8" s="25" customFormat="1" ht="12.5" x14ac:dyDescent="0.25">
      <c r="B24" s="28"/>
      <c r="C24" s="27"/>
      <c r="D24" s="28" t="s">
        <v>76</v>
      </c>
      <c r="E24" s="28"/>
      <c r="G24" s="28"/>
      <c r="H24" s="28"/>
    </row>
    <row r="25" spans="2:8" ht="24" customHeight="1" x14ac:dyDescent="0.35">
      <c r="B25" s="13">
        <f>H21+1</f>
        <v>28</v>
      </c>
      <c r="C25" s="13">
        <f>B25+1</f>
        <v>29</v>
      </c>
      <c r="D25" s="13">
        <f>C25+1</f>
        <v>30</v>
      </c>
      <c r="E25" s="193"/>
      <c r="F25" s="193"/>
      <c r="G25" s="193"/>
      <c r="H25" s="193"/>
    </row>
    <row r="26" spans="2:8" s="25" customFormat="1" ht="64.5" customHeight="1" x14ac:dyDescent="0.25">
      <c r="B26" s="31"/>
      <c r="D26" s="92" t="s">
        <v>77</v>
      </c>
      <c r="E26" s="194"/>
      <c r="F26" s="194"/>
      <c r="G26" s="194"/>
      <c r="H26" s="194"/>
    </row>
    <row r="27" spans="2:8" s="25" customFormat="1" ht="46.5" customHeight="1" x14ac:dyDescent="0.25">
      <c r="B27" s="31"/>
      <c r="D27" s="31"/>
      <c r="E27" s="194"/>
      <c r="F27" s="194"/>
      <c r="G27" s="194"/>
      <c r="H27" s="194"/>
    </row>
    <row r="28" spans="2:8" s="25" customFormat="1" ht="12.75" customHeight="1" x14ac:dyDescent="0.25">
      <c r="B28" s="28"/>
      <c r="C28" s="28"/>
      <c r="D28" s="28"/>
      <c r="E28" s="195"/>
      <c r="F28" s="195"/>
      <c r="G28" s="195"/>
      <c r="H28" s="195"/>
    </row>
    <row r="29" spans="2:8" ht="24" customHeight="1" x14ac:dyDescent="0.35">
      <c r="B29" s="19" t="s">
        <v>24</v>
      </c>
      <c r="C29" s="38"/>
      <c r="D29" s="38"/>
      <c r="E29" s="38"/>
      <c r="F29" s="38"/>
      <c r="G29" s="38"/>
      <c r="H29" s="40"/>
    </row>
  </sheetData>
  <mergeCells count="6">
    <mergeCell ref="B1:H7"/>
    <mergeCell ref="G25:G28"/>
    <mergeCell ref="H25:H28"/>
    <mergeCell ref="B9:B12"/>
    <mergeCell ref="F25:F28"/>
    <mergeCell ref="E25:E28"/>
  </mergeCells>
  <printOptions horizontalCentered="1" verticalCentered="1"/>
  <pageMargins left="0.3" right="0.3" top="0.3" bottom="0.3"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22A35"/>
  </sheetPr>
  <dimension ref="B1:J31"/>
  <sheetViews>
    <sheetView showGridLines="0" topLeftCell="A19" workbookViewId="0">
      <selection activeCell="F22" sqref="F22"/>
    </sheetView>
  </sheetViews>
  <sheetFormatPr defaultColWidth="11.25" defaultRowHeight="15" customHeight="1" x14ac:dyDescent="0.35"/>
  <cols>
    <col min="1" max="1" width="3.25" style="4" customWidth="1"/>
    <col min="2" max="8" width="16.75" style="4" customWidth="1"/>
    <col min="9" max="9" width="10.75" style="4" customWidth="1"/>
    <col min="10" max="10" width="30.33203125" style="4" bestFit="1" customWidth="1"/>
    <col min="11" max="26" width="10.75" style="4" customWidth="1"/>
    <col min="27" max="16384" width="11.25" style="4"/>
  </cols>
  <sheetData>
    <row r="1" spans="2:10" ht="15.5" x14ac:dyDescent="0.35">
      <c r="B1" s="191" t="s">
        <v>78</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2"/>
      <c r="C7" s="192"/>
      <c r="D7" s="192"/>
      <c r="E7" s="192"/>
      <c r="F7" s="192"/>
      <c r="G7" s="192"/>
      <c r="H7" s="192"/>
      <c r="I7" s="1"/>
      <c r="J7" s="10" t="s">
        <v>7</v>
      </c>
    </row>
    <row r="8" spans="2:10" ht="24" customHeight="1" x14ac:dyDescent="0.35">
      <c r="B8" s="12" t="s">
        <v>8</v>
      </c>
      <c r="C8" s="12" t="s">
        <v>9</v>
      </c>
      <c r="D8" s="12" t="s">
        <v>10</v>
      </c>
      <c r="E8" s="12" t="s">
        <v>11</v>
      </c>
      <c r="F8" s="12" t="s">
        <v>12</v>
      </c>
      <c r="G8" s="12" t="s">
        <v>13</v>
      </c>
      <c r="H8" s="12" t="s">
        <v>14</v>
      </c>
      <c r="I8" s="2"/>
      <c r="J8" s="127" t="s">
        <v>15</v>
      </c>
    </row>
    <row r="9" spans="2:10" ht="24" customHeight="1" x14ac:dyDescent="0.35">
      <c r="B9" s="193"/>
      <c r="C9" s="193"/>
      <c r="D9" s="193"/>
      <c r="E9" s="13">
        <v>1</v>
      </c>
      <c r="F9" s="41">
        <f t="shared" ref="F9" si="0">E9+1</f>
        <v>2</v>
      </c>
      <c r="G9" s="13">
        <v>3</v>
      </c>
      <c r="H9" s="41">
        <f t="shared" ref="H9" si="1">G9+1</f>
        <v>4</v>
      </c>
      <c r="I9" s="3"/>
      <c r="J9" s="3"/>
    </row>
    <row r="10" spans="2:10" s="25" customFormat="1" ht="12.75" customHeight="1" x14ac:dyDescent="0.25">
      <c r="B10" s="194"/>
      <c r="C10" s="194"/>
      <c r="D10" s="194"/>
      <c r="E10" s="31"/>
      <c r="F10" s="36"/>
      <c r="G10" s="31"/>
      <c r="H10" s="36"/>
      <c r="I10" s="32"/>
      <c r="J10" s="32"/>
    </row>
    <row r="11" spans="2:10" s="25" customFormat="1" ht="13.15" customHeight="1" x14ac:dyDescent="0.25">
      <c r="B11" s="194"/>
      <c r="C11" s="194"/>
      <c r="D11" s="194"/>
      <c r="E11" s="31"/>
      <c r="F11" s="36"/>
      <c r="G11" s="31"/>
      <c r="H11" s="36"/>
      <c r="I11" s="32"/>
      <c r="J11" s="32"/>
    </row>
    <row r="12" spans="2:10" s="25" customFormat="1" ht="12.75" customHeight="1" x14ac:dyDescent="0.25">
      <c r="B12" s="195"/>
      <c r="C12" s="195"/>
      <c r="D12" s="195"/>
      <c r="E12" s="27"/>
      <c r="F12" s="33" t="s">
        <v>79</v>
      </c>
      <c r="G12" s="27"/>
      <c r="H12" s="33"/>
    </row>
    <row r="13" spans="2:10" ht="24" customHeight="1" x14ac:dyDescent="0.35">
      <c r="B13" s="13">
        <f>H9+1</f>
        <v>5</v>
      </c>
      <c r="C13" s="13">
        <f t="shared" ref="C13:F13" si="2">B13+1</f>
        <v>6</v>
      </c>
      <c r="D13" s="13">
        <f t="shared" si="2"/>
        <v>7</v>
      </c>
      <c r="E13" s="13">
        <f t="shared" si="2"/>
        <v>8</v>
      </c>
      <c r="F13" s="13">
        <f t="shared" si="2"/>
        <v>9</v>
      </c>
      <c r="G13" s="13">
        <f>F13+1</f>
        <v>10</v>
      </c>
      <c r="H13" s="13">
        <f>G13+1</f>
        <v>11</v>
      </c>
      <c r="I13" s="3"/>
      <c r="J13" s="3"/>
    </row>
    <row r="14" spans="2:10" s="25" customFormat="1" ht="37.5" x14ac:dyDescent="0.25">
      <c r="B14" s="31"/>
      <c r="D14" s="31"/>
      <c r="E14" s="92" t="s">
        <v>80</v>
      </c>
      <c r="F14" s="92" t="s">
        <v>81</v>
      </c>
      <c r="H14" s="31"/>
      <c r="I14" s="32"/>
      <c r="J14" s="32"/>
    </row>
    <row r="15" spans="2:10" s="25" customFormat="1" ht="12.5" x14ac:dyDescent="0.25">
      <c r="B15" s="31"/>
      <c r="C15" s="31"/>
      <c r="D15" s="31"/>
      <c r="E15" s="31"/>
      <c r="F15" s="31"/>
      <c r="G15" s="31"/>
      <c r="H15" s="31"/>
      <c r="I15" s="32"/>
      <c r="J15" s="32"/>
    </row>
    <row r="16" spans="2:10" s="25" customFormat="1" ht="12.5" x14ac:dyDescent="0.25">
      <c r="B16" s="27"/>
      <c r="C16" s="27"/>
      <c r="D16" s="27"/>
      <c r="E16" s="27"/>
      <c r="G16" s="27"/>
      <c r="H16" s="27"/>
    </row>
    <row r="17" spans="2:8" ht="24" customHeight="1" x14ac:dyDescent="0.35">
      <c r="B17" s="13">
        <f>H13+1</f>
        <v>12</v>
      </c>
      <c r="C17" s="13">
        <f>B17+1</f>
        <v>13</v>
      </c>
      <c r="D17" s="13">
        <f>C17+1</f>
        <v>14</v>
      </c>
      <c r="E17" s="13">
        <f>D17+1</f>
        <v>15</v>
      </c>
      <c r="F17" s="13">
        <v>16</v>
      </c>
      <c r="G17" s="13">
        <f>F17+1</f>
        <v>17</v>
      </c>
      <c r="H17" s="13">
        <f>G17+1</f>
        <v>18</v>
      </c>
    </row>
    <row r="18" spans="2:8" s="25" customFormat="1" ht="82.5" customHeight="1" x14ac:dyDescent="0.25">
      <c r="B18" s="31"/>
      <c r="C18" s="98" t="s">
        <v>82</v>
      </c>
      <c r="D18" s="31"/>
      <c r="E18" s="128" t="s">
        <v>83</v>
      </c>
      <c r="F18" s="92" t="s">
        <v>84</v>
      </c>
      <c r="G18" s="31"/>
      <c r="H18" s="31"/>
    </row>
    <row r="19" spans="2:8" s="25" customFormat="1" ht="12.5" x14ac:dyDescent="0.25">
      <c r="B19" s="31"/>
      <c r="C19" s="31"/>
      <c r="D19" s="31"/>
      <c r="F19" s="31"/>
      <c r="H19" s="31"/>
    </row>
    <row r="20" spans="2:8" s="25" customFormat="1" ht="37.5" x14ac:dyDescent="0.25">
      <c r="B20" s="27"/>
      <c r="C20" s="27" t="s">
        <v>85</v>
      </c>
      <c r="D20" s="27"/>
      <c r="E20" s="96" t="s">
        <v>86</v>
      </c>
      <c r="F20" s="31"/>
      <c r="G20" s="27"/>
      <c r="H20" s="27"/>
    </row>
    <row r="21" spans="2:8" ht="24" customHeight="1" x14ac:dyDescent="0.35">
      <c r="B21" s="13">
        <f>H17+1</f>
        <v>19</v>
      </c>
      <c r="C21" s="13">
        <f t="shared" ref="C21:H21" si="3">B21+1</f>
        <v>20</v>
      </c>
      <c r="D21" s="13">
        <f t="shared" si="3"/>
        <v>21</v>
      </c>
      <c r="E21" s="13">
        <f t="shared" si="3"/>
        <v>22</v>
      </c>
      <c r="F21" s="13">
        <f t="shared" si="3"/>
        <v>23</v>
      </c>
      <c r="G21" s="13">
        <f t="shared" si="3"/>
        <v>24</v>
      </c>
      <c r="H21" s="13">
        <f t="shared" si="3"/>
        <v>25</v>
      </c>
    </row>
    <row r="22" spans="2:8" s="25" customFormat="1" ht="45" customHeight="1" x14ac:dyDescent="0.25">
      <c r="B22" s="31"/>
      <c r="D22" s="34"/>
      <c r="E22" s="98" t="s">
        <v>87</v>
      </c>
      <c r="F22" s="92" t="s">
        <v>88</v>
      </c>
      <c r="G22" s="34"/>
      <c r="H22" s="31"/>
    </row>
    <row r="23" spans="2:8" s="25" customFormat="1" ht="42" customHeight="1" x14ac:dyDescent="0.25">
      <c r="B23" s="27"/>
      <c r="C23" s="28"/>
      <c r="D23" s="28" t="s">
        <v>89</v>
      </c>
      <c r="F23" s="28"/>
      <c r="G23" s="28"/>
      <c r="H23" s="28"/>
    </row>
    <row r="24" spans="2:8" ht="24" customHeight="1" x14ac:dyDescent="0.35">
      <c r="B24" s="13">
        <f>H21+1</f>
        <v>26</v>
      </c>
      <c r="C24" s="42">
        <f>B24+1</f>
        <v>27</v>
      </c>
      <c r="D24" s="42">
        <f>C24+1</f>
        <v>28</v>
      </c>
      <c r="E24" s="42">
        <f>D24+1</f>
        <v>29</v>
      </c>
      <c r="F24" s="42">
        <f>E24+1</f>
        <v>30</v>
      </c>
      <c r="G24" s="42">
        <f>F24+1</f>
        <v>31</v>
      </c>
      <c r="H24" s="193"/>
    </row>
    <row r="25" spans="2:8" s="25" customFormat="1" ht="12.5" x14ac:dyDescent="0.25">
      <c r="B25" s="31"/>
      <c r="C25" s="31"/>
      <c r="D25" s="35"/>
      <c r="E25" s="92" t="s">
        <v>90</v>
      </c>
      <c r="F25" s="35"/>
      <c r="G25" s="92"/>
      <c r="H25" s="194"/>
    </row>
    <row r="26" spans="2:8" s="25" customFormat="1" ht="54.75" customHeight="1" x14ac:dyDescent="0.25">
      <c r="B26" s="31"/>
      <c r="C26" s="31"/>
      <c r="D26" s="35"/>
      <c r="E26" s="92" t="s">
        <v>91</v>
      </c>
      <c r="F26" s="35"/>
      <c r="G26" s="35"/>
      <c r="H26" s="194"/>
    </row>
    <row r="27" spans="2:8" s="25" customFormat="1" ht="12.5" x14ac:dyDescent="0.25">
      <c r="B27" s="28"/>
      <c r="D27" s="43"/>
      <c r="E27" s="43"/>
      <c r="F27" s="28"/>
      <c r="G27" s="28" t="s">
        <v>92</v>
      </c>
      <c r="H27" s="195"/>
    </row>
    <row r="28" spans="2:8" ht="24" customHeight="1" x14ac:dyDescent="0.35">
      <c r="B28" s="19" t="s">
        <v>24</v>
      </c>
      <c r="C28" s="38"/>
      <c r="D28" s="38"/>
      <c r="E28" s="38"/>
      <c r="F28" s="38"/>
      <c r="G28" s="38"/>
      <c r="H28" s="38"/>
    </row>
    <row r="29" spans="2:8" s="25" customFormat="1" ht="12.75" customHeight="1" x14ac:dyDescent="0.25">
      <c r="B29" s="59"/>
      <c r="C29" s="60"/>
      <c r="D29" s="60"/>
      <c r="E29" s="60"/>
      <c r="F29" s="60"/>
      <c r="G29" s="60"/>
      <c r="H29" s="60"/>
    </row>
    <row r="30" spans="2:8" s="25" customFormat="1" ht="12.75" customHeight="1" x14ac:dyDescent="0.25">
      <c r="B30" s="59"/>
      <c r="C30" s="60"/>
      <c r="D30" s="60"/>
      <c r="E30" s="60"/>
      <c r="F30" s="60"/>
      <c r="G30" s="60"/>
      <c r="H30" s="60"/>
    </row>
    <row r="31" spans="2:8" s="25" customFormat="1" ht="12.75" customHeight="1" x14ac:dyDescent="0.25">
      <c r="B31" s="57"/>
      <c r="C31" s="58"/>
      <c r="D31" s="58"/>
      <c r="E31" s="58"/>
      <c r="F31" s="58"/>
      <c r="G31" s="58"/>
      <c r="H31" s="58"/>
    </row>
  </sheetData>
  <mergeCells count="5">
    <mergeCell ref="H24:H27"/>
    <mergeCell ref="B1:H7"/>
    <mergeCell ref="B9:B12"/>
    <mergeCell ref="C9:C12"/>
    <mergeCell ref="D9:D12"/>
  </mergeCells>
  <printOptions horizontalCentered="1" verticalCentered="1"/>
  <pageMargins left="0.3" right="0.3" top="0.3" bottom="0.3"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496B0"/>
  </sheetPr>
  <dimension ref="B1:J29"/>
  <sheetViews>
    <sheetView showGridLines="0" workbookViewId="0"/>
  </sheetViews>
  <sheetFormatPr defaultColWidth="11.25" defaultRowHeight="15" customHeight="1" x14ac:dyDescent="0.35"/>
  <cols>
    <col min="1" max="1" width="3.25" style="4" customWidth="1"/>
    <col min="2" max="8" width="16.75" style="4" customWidth="1"/>
    <col min="9" max="9" width="10.75" style="4" customWidth="1"/>
    <col min="10" max="10" width="30.33203125" style="4" bestFit="1" customWidth="1"/>
    <col min="11" max="26" width="10.75" style="4" customWidth="1"/>
    <col min="27" max="16384" width="11.25" style="4"/>
  </cols>
  <sheetData>
    <row r="1" spans="2:10" ht="15.5" x14ac:dyDescent="0.35">
      <c r="B1" s="191" t="s">
        <v>93</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2"/>
      <c r="C7" s="192"/>
      <c r="D7" s="192"/>
      <c r="E7" s="192"/>
      <c r="F7" s="192"/>
      <c r="G7" s="192"/>
      <c r="H7" s="192"/>
      <c r="I7" s="1"/>
      <c r="J7" s="10" t="s">
        <v>7</v>
      </c>
    </row>
    <row r="8" spans="2:10" ht="24" customHeight="1" x14ac:dyDescent="0.35">
      <c r="B8" s="12" t="s">
        <v>8</v>
      </c>
      <c r="C8" s="12" t="s">
        <v>9</v>
      </c>
      <c r="D8" s="12" t="s">
        <v>10</v>
      </c>
      <c r="E8" s="12" t="s">
        <v>11</v>
      </c>
      <c r="F8" s="12" t="s">
        <v>12</v>
      </c>
      <c r="G8" s="12" t="s">
        <v>13</v>
      </c>
      <c r="H8" s="12" t="s">
        <v>14</v>
      </c>
      <c r="I8" s="2"/>
      <c r="J8" s="127" t="s">
        <v>15</v>
      </c>
    </row>
    <row r="9" spans="2:10" ht="24" customHeight="1" x14ac:dyDescent="0.35">
      <c r="B9" s="193"/>
      <c r="C9" s="193"/>
      <c r="D9" s="193"/>
      <c r="E9" s="193"/>
      <c r="F9" s="193"/>
      <c r="G9" s="193"/>
      <c r="H9" s="13">
        <v>1</v>
      </c>
      <c r="I9" s="3"/>
      <c r="J9" s="2"/>
    </row>
    <row r="10" spans="2:10" ht="44.25" customHeight="1" x14ac:dyDescent="0.35">
      <c r="B10" s="194"/>
      <c r="C10" s="194"/>
      <c r="D10" s="194"/>
      <c r="E10" s="194"/>
      <c r="F10" s="194"/>
      <c r="G10" s="194"/>
      <c r="H10" s="106" t="s">
        <v>94</v>
      </c>
      <c r="I10" s="3"/>
      <c r="J10" s="2"/>
    </row>
    <row r="11" spans="2:10" ht="32.25" customHeight="1" x14ac:dyDescent="0.35">
      <c r="B11" s="195"/>
      <c r="C11" s="195"/>
      <c r="D11" s="195"/>
      <c r="E11" s="195"/>
      <c r="F11" s="195"/>
      <c r="G11" s="195"/>
      <c r="H11" s="115" t="s">
        <v>95</v>
      </c>
      <c r="I11" s="2"/>
      <c r="J11" s="3"/>
    </row>
    <row r="12" spans="2:10" ht="24" customHeight="1" x14ac:dyDescent="0.35">
      <c r="B12" s="13">
        <f>H9+1</f>
        <v>2</v>
      </c>
      <c r="C12" s="13">
        <f t="shared" ref="C12:H12" si="0">B12+1</f>
        <v>3</v>
      </c>
      <c r="D12" s="13">
        <f t="shared" si="0"/>
        <v>4</v>
      </c>
      <c r="E12" s="13">
        <f t="shared" si="0"/>
        <v>5</v>
      </c>
      <c r="F12" s="13">
        <f t="shared" si="0"/>
        <v>6</v>
      </c>
      <c r="G12" s="13">
        <f t="shared" si="0"/>
        <v>7</v>
      </c>
      <c r="H12" s="13">
        <f t="shared" si="0"/>
        <v>8</v>
      </c>
      <c r="I12" s="3"/>
      <c r="J12" s="32"/>
    </row>
    <row r="13" spans="2:10" s="25" customFormat="1" ht="42" customHeight="1" x14ac:dyDescent="0.25">
      <c r="B13" s="31"/>
      <c r="C13" s="31"/>
      <c r="D13" s="31"/>
      <c r="E13" s="83"/>
      <c r="F13" s="92" t="s">
        <v>96</v>
      </c>
      <c r="G13" s="31"/>
      <c r="H13" s="31"/>
      <c r="I13" s="32"/>
      <c r="J13" s="32"/>
    </row>
    <row r="14" spans="2:10" s="25" customFormat="1" ht="61.5" customHeight="1" x14ac:dyDescent="0.25">
      <c r="B14" s="31"/>
      <c r="C14" s="31"/>
      <c r="D14" s="31"/>
      <c r="F14" s="92" t="s">
        <v>97</v>
      </c>
      <c r="G14" s="31"/>
      <c r="H14" s="31"/>
      <c r="I14" s="32"/>
    </row>
    <row r="15" spans="2:10" s="25" customFormat="1" ht="63.5" x14ac:dyDescent="0.35">
      <c r="B15" s="27" t="s">
        <v>98</v>
      </c>
      <c r="C15" s="27"/>
      <c r="D15" s="27" t="s">
        <v>99</v>
      </c>
      <c r="E15" s="28"/>
      <c r="F15" s="128" t="s">
        <v>100</v>
      </c>
      <c r="G15" s="27"/>
      <c r="H15" s="31"/>
      <c r="J15" s="3"/>
    </row>
    <row r="16" spans="2:10" ht="24" customHeight="1" x14ac:dyDescent="0.35">
      <c r="B16" s="13">
        <f>H12+1</f>
        <v>9</v>
      </c>
      <c r="C16" s="13">
        <f t="shared" ref="C16:H16" si="1">B16+1</f>
        <v>10</v>
      </c>
      <c r="D16" s="13">
        <f t="shared" si="1"/>
        <v>11</v>
      </c>
      <c r="E16" s="13">
        <f t="shared" si="1"/>
        <v>12</v>
      </c>
      <c r="F16" s="13">
        <f t="shared" si="1"/>
        <v>13</v>
      </c>
      <c r="G16" s="13">
        <f t="shared" si="1"/>
        <v>14</v>
      </c>
      <c r="H16" s="13">
        <f t="shared" si="1"/>
        <v>15</v>
      </c>
      <c r="I16" s="3"/>
      <c r="J16" s="32"/>
    </row>
    <row r="17" spans="2:10" ht="75.75" customHeight="1" x14ac:dyDescent="0.35">
      <c r="B17" s="31"/>
      <c r="D17" s="92" t="s">
        <v>101</v>
      </c>
      <c r="E17" s="31"/>
      <c r="F17" s="92" t="s">
        <v>102</v>
      </c>
      <c r="H17" s="31"/>
      <c r="J17" s="25"/>
    </row>
    <row r="18" spans="2:10" ht="59.25" customHeight="1" x14ac:dyDescent="0.35">
      <c r="B18" s="31"/>
      <c r="D18" s="31"/>
      <c r="E18" s="31"/>
      <c r="F18" s="98" t="s">
        <v>103</v>
      </c>
      <c r="G18" s="31"/>
      <c r="H18" s="31"/>
      <c r="J18" s="25"/>
    </row>
    <row r="19" spans="2:10" s="25" customFormat="1" ht="54" customHeight="1" x14ac:dyDescent="0.35">
      <c r="B19" s="27"/>
      <c r="C19" s="28"/>
      <c r="D19" s="27" t="s">
        <v>104</v>
      </c>
      <c r="E19" s="28" t="s">
        <v>105</v>
      </c>
      <c r="F19" s="97" t="s">
        <v>106</v>
      </c>
      <c r="G19" s="130" t="s">
        <v>107</v>
      </c>
      <c r="H19" s="28"/>
      <c r="J19" s="4"/>
    </row>
    <row r="20" spans="2:10" ht="24" customHeight="1" x14ac:dyDescent="0.35">
      <c r="B20" s="13">
        <f>H16+1</f>
        <v>16</v>
      </c>
      <c r="C20" s="13">
        <f t="shared" ref="C20:H20" si="2">B20+1</f>
        <v>17</v>
      </c>
      <c r="D20" s="13">
        <f t="shared" si="2"/>
        <v>18</v>
      </c>
      <c r="E20" s="13">
        <f t="shared" si="2"/>
        <v>19</v>
      </c>
      <c r="F20" s="13">
        <f t="shared" si="2"/>
        <v>20</v>
      </c>
      <c r="G20" s="13">
        <f t="shared" si="2"/>
        <v>21</v>
      </c>
      <c r="H20" s="13">
        <f t="shared" si="2"/>
        <v>22</v>
      </c>
    </row>
    <row r="21" spans="2:10" ht="81" customHeight="1" x14ac:dyDescent="0.35">
      <c r="B21" s="16"/>
      <c r="D21" s="31"/>
      <c r="E21" s="98" t="s">
        <v>108</v>
      </c>
      <c r="F21" s="31"/>
      <c r="G21" s="16"/>
      <c r="H21" s="16"/>
    </row>
    <row r="22" spans="2:10" ht="77.25" customHeight="1" x14ac:dyDescent="0.35">
      <c r="B22" s="18"/>
      <c r="D22" s="18"/>
      <c r="E22" s="92" t="s">
        <v>109</v>
      </c>
      <c r="F22" s="97" t="s">
        <v>110</v>
      </c>
      <c r="G22" s="130" t="s">
        <v>111</v>
      </c>
      <c r="H22" s="17"/>
    </row>
    <row r="23" spans="2:10" ht="24" customHeight="1" x14ac:dyDescent="0.35">
      <c r="B23" s="13">
        <f>H20+1</f>
        <v>23</v>
      </c>
      <c r="C23" s="13">
        <f t="shared" ref="C23:H23" si="3">B23+1</f>
        <v>24</v>
      </c>
      <c r="D23" s="13">
        <f t="shared" si="3"/>
        <v>25</v>
      </c>
      <c r="E23" s="13">
        <f t="shared" si="3"/>
        <v>26</v>
      </c>
      <c r="F23" s="13">
        <f t="shared" si="3"/>
        <v>27</v>
      </c>
      <c r="G23" s="13">
        <f t="shared" si="3"/>
        <v>28</v>
      </c>
      <c r="H23" s="42">
        <f t="shared" si="3"/>
        <v>29</v>
      </c>
      <c r="J23" s="25"/>
    </row>
    <row r="24" spans="2:10" s="25" customFormat="1" ht="36.75" customHeight="1" x14ac:dyDescent="0.25">
      <c r="B24" s="31"/>
      <c r="C24" s="98" t="s">
        <v>112</v>
      </c>
      <c r="D24" s="31"/>
      <c r="E24" s="83"/>
      <c r="F24" s="31"/>
      <c r="G24" s="31"/>
      <c r="H24" s="31"/>
    </row>
    <row r="25" spans="2:10" s="25" customFormat="1" ht="68.25" customHeight="1" x14ac:dyDescent="0.25">
      <c r="B25" s="31"/>
      <c r="D25" s="31"/>
      <c r="E25" s="18"/>
      <c r="F25" s="96" t="s">
        <v>113</v>
      </c>
      <c r="G25" s="96" t="s">
        <v>114</v>
      </c>
      <c r="H25" s="35"/>
    </row>
    <row r="26" spans="2:10" s="25" customFormat="1" ht="15.5" x14ac:dyDescent="0.35">
      <c r="B26" s="42">
        <f>H23+1</f>
        <v>30</v>
      </c>
      <c r="C26" s="193"/>
      <c r="D26" s="193"/>
      <c r="E26" s="193"/>
      <c r="F26" s="193"/>
      <c r="G26" s="193"/>
      <c r="H26" s="193"/>
      <c r="J26" s="4"/>
    </row>
    <row r="27" spans="2:10" s="25" customFormat="1" ht="15.5" x14ac:dyDescent="0.35">
      <c r="B27" s="31"/>
      <c r="C27" s="194"/>
      <c r="D27" s="194"/>
      <c r="E27" s="194"/>
      <c r="F27" s="194"/>
      <c r="G27" s="194"/>
      <c r="H27" s="194"/>
      <c r="J27" s="4"/>
    </row>
    <row r="28" spans="2:10" ht="24" customHeight="1" x14ac:dyDescent="0.35">
      <c r="B28" s="35"/>
      <c r="C28" s="195"/>
      <c r="D28" s="195"/>
      <c r="E28" s="195"/>
      <c r="F28" s="195"/>
      <c r="G28" s="195"/>
      <c r="H28" s="195"/>
    </row>
    <row r="29" spans="2:10" ht="15" customHeight="1" x14ac:dyDescent="0.35">
      <c r="B29" s="19" t="s">
        <v>24</v>
      </c>
      <c r="C29" s="38"/>
      <c r="D29" s="38"/>
      <c r="E29" s="38"/>
      <c r="F29" s="38"/>
      <c r="G29" s="38"/>
      <c r="H29" s="40"/>
    </row>
  </sheetData>
  <mergeCells count="13">
    <mergeCell ref="H26:H28"/>
    <mergeCell ref="C26:C28"/>
    <mergeCell ref="D26:D28"/>
    <mergeCell ref="E26:E28"/>
    <mergeCell ref="F26:F28"/>
    <mergeCell ref="G26:G28"/>
    <mergeCell ref="B1:H7"/>
    <mergeCell ref="B9:B11"/>
    <mergeCell ref="C9:C11"/>
    <mergeCell ref="D9:D11"/>
    <mergeCell ref="E9:E11"/>
    <mergeCell ref="F9:F11"/>
    <mergeCell ref="G9:G11"/>
  </mergeCells>
  <printOptions horizontalCentered="1" verticalCentered="1"/>
  <pageMargins left="0.3" right="0.3" top="0.3" bottom="0.3"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22A35"/>
  </sheetPr>
  <dimension ref="B1:J33"/>
  <sheetViews>
    <sheetView showGridLines="0" topLeftCell="A13" workbookViewId="0">
      <selection activeCell="G18" sqref="G18"/>
    </sheetView>
  </sheetViews>
  <sheetFormatPr defaultColWidth="11.25" defaultRowHeight="15" customHeight="1" x14ac:dyDescent="0.35"/>
  <cols>
    <col min="1" max="1" width="3.25" style="4" customWidth="1"/>
    <col min="2" max="8" width="16.75" style="4" customWidth="1"/>
    <col min="9" max="9" width="10.75" style="4" customWidth="1"/>
    <col min="10" max="10" width="36.33203125" style="4" bestFit="1" customWidth="1"/>
    <col min="11" max="26" width="10.75" style="4" customWidth="1"/>
    <col min="27" max="16384" width="11.25" style="4"/>
  </cols>
  <sheetData>
    <row r="1" spans="2:10" ht="15.5" x14ac:dyDescent="0.35">
      <c r="B1" s="191" t="s">
        <v>115</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2"/>
      <c r="C7" s="192"/>
      <c r="D7" s="192"/>
      <c r="E7" s="192"/>
      <c r="F7" s="192"/>
      <c r="G7" s="192"/>
      <c r="H7" s="192"/>
      <c r="I7" s="1"/>
      <c r="J7" s="10" t="s">
        <v>7</v>
      </c>
    </row>
    <row r="8" spans="2:10" ht="24" customHeight="1" x14ac:dyDescent="0.35">
      <c r="B8" s="12" t="s">
        <v>8</v>
      </c>
      <c r="C8" s="12" t="s">
        <v>9</v>
      </c>
      <c r="D8" s="12" t="s">
        <v>10</v>
      </c>
      <c r="E8" s="12" t="s">
        <v>11</v>
      </c>
      <c r="F8" s="12" t="s">
        <v>12</v>
      </c>
      <c r="G8" s="12" t="s">
        <v>13</v>
      </c>
      <c r="H8" s="12" t="s">
        <v>14</v>
      </c>
      <c r="I8" s="2"/>
      <c r="J8" s="66" t="s">
        <v>116</v>
      </c>
    </row>
    <row r="9" spans="2:10" ht="24" customHeight="1" x14ac:dyDescent="0.35">
      <c r="B9" s="37"/>
      <c r="C9" s="13">
        <v>1</v>
      </c>
      <c r="D9" s="70">
        <v>2</v>
      </c>
      <c r="E9" s="13">
        <v>3</v>
      </c>
      <c r="F9" s="13">
        <v>4</v>
      </c>
      <c r="G9" s="13">
        <v>5</v>
      </c>
      <c r="H9" s="13">
        <v>6</v>
      </c>
      <c r="I9" s="3"/>
      <c r="J9" s="127" t="s">
        <v>15</v>
      </c>
    </row>
    <row r="10" spans="2:10" ht="54.75" customHeight="1" x14ac:dyDescent="0.35">
      <c r="B10" s="14"/>
      <c r="C10" s="16"/>
      <c r="D10" s="99" t="s">
        <v>117</v>
      </c>
      <c r="E10" s="16"/>
      <c r="F10" s="16"/>
      <c r="G10" s="16"/>
      <c r="H10" s="16"/>
      <c r="I10" s="3"/>
      <c r="J10" s="127"/>
    </row>
    <row r="11" spans="2:10" s="25" customFormat="1" ht="55.5" customHeight="1" x14ac:dyDescent="0.25">
      <c r="B11" s="46"/>
      <c r="C11" s="28"/>
      <c r="D11" s="99" t="s">
        <v>118</v>
      </c>
      <c r="E11" s="28"/>
      <c r="F11" s="28"/>
      <c r="G11" s="28"/>
      <c r="H11" s="28"/>
      <c r="J11" s="71"/>
    </row>
    <row r="12" spans="2:10" ht="24" customHeight="1" x14ac:dyDescent="0.35">
      <c r="B12" s="13">
        <f>H9+1</f>
        <v>7</v>
      </c>
      <c r="C12" s="13">
        <f t="shared" ref="C12:H12" si="0">B12+1</f>
        <v>8</v>
      </c>
      <c r="D12" s="13">
        <f t="shared" si="0"/>
        <v>9</v>
      </c>
      <c r="E12" s="13">
        <f t="shared" si="0"/>
        <v>10</v>
      </c>
      <c r="F12" s="13">
        <f t="shared" si="0"/>
        <v>11</v>
      </c>
      <c r="G12" s="13">
        <f t="shared" si="0"/>
        <v>12</v>
      </c>
      <c r="H12" s="13">
        <f t="shared" si="0"/>
        <v>13</v>
      </c>
      <c r="I12" s="3"/>
      <c r="J12" s="71"/>
    </row>
    <row r="13" spans="2:10" s="71" customFormat="1" ht="129" customHeight="1" x14ac:dyDescent="0.35">
      <c r="B13" s="75"/>
      <c r="C13"/>
      <c r="D13" s="75"/>
      <c r="E13" s="75"/>
      <c r="F13" s="99" t="s">
        <v>119</v>
      </c>
      <c r="G13" s="75"/>
      <c r="H13" s="75"/>
    </row>
    <row r="14" spans="2:10" s="71" customFormat="1" ht="15.5" x14ac:dyDescent="0.35">
      <c r="B14" s="75"/>
      <c r="C14" s="75"/>
      <c r="D14" s="75"/>
      <c r="E14" s="75"/>
      <c r="F14" s="75"/>
      <c r="G14" s="75"/>
      <c r="H14" s="75"/>
      <c r="J14" s="68"/>
    </row>
    <row r="15" spans="2:10" s="71" customFormat="1" ht="12.5" x14ac:dyDescent="0.25">
      <c r="B15" s="74"/>
      <c r="D15" s="74"/>
      <c r="E15" s="74"/>
      <c r="F15" s="75"/>
      <c r="G15" s="85"/>
      <c r="H15" s="73"/>
    </row>
    <row r="16" spans="2:10" s="67" customFormat="1" ht="24" customHeight="1" x14ac:dyDescent="0.35">
      <c r="B16" s="70">
        <f>H12+1</f>
        <v>14</v>
      </c>
      <c r="C16" s="70">
        <f t="shared" ref="C16:H16" si="1">B16+1</f>
        <v>15</v>
      </c>
      <c r="D16" s="70">
        <f t="shared" si="1"/>
        <v>16</v>
      </c>
      <c r="E16" s="70">
        <f t="shared" si="1"/>
        <v>17</v>
      </c>
      <c r="F16" s="70">
        <f t="shared" si="1"/>
        <v>18</v>
      </c>
      <c r="G16" s="70">
        <f t="shared" si="1"/>
        <v>19</v>
      </c>
      <c r="H16" s="70">
        <f t="shared" si="1"/>
        <v>20</v>
      </c>
      <c r="I16" s="68"/>
      <c r="J16" s="71"/>
    </row>
    <row r="17" spans="2:10" s="71" customFormat="1" ht="12.5" x14ac:dyDescent="0.25">
      <c r="B17" s="75"/>
      <c r="D17" s="85"/>
      <c r="E17" s="85"/>
      <c r="F17" s="75"/>
      <c r="G17" s="75"/>
      <c r="H17" s="75"/>
    </row>
    <row r="18" spans="2:10" s="71" customFormat="1" ht="73.5" customHeight="1" x14ac:dyDescent="0.35">
      <c r="B18" s="75"/>
      <c r="C18" s="75"/>
      <c r="D18" s="75"/>
      <c r="E18" s="99" t="s">
        <v>120</v>
      </c>
      <c r="F18"/>
      <c r="G18" s="168" t="s">
        <v>121</v>
      </c>
      <c r="H18" s="75"/>
      <c r="J18" s="68"/>
    </row>
    <row r="19" spans="2:10" s="71" customFormat="1" ht="24" customHeight="1" x14ac:dyDescent="0.25">
      <c r="B19" s="75"/>
      <c r="C19" s="75"/>
      <c r="D19" s="75"/>
      <c r="E19" s="75"/>
      <c r="F19" s="75"/>
      <c r="G19" s="75"/>
      <c r="H19" s="75"/>
    </row>
    <row r="20" spans="2:10" s="71" customFormat="1" ht="12.5" x14ac:dyDescent="0.25">
      <c r="B20" s="73"/>
      <c r="C20" s="73" t="s">
        <v>122</v>
      </c>
      <c r="D20" s="73"/>
      <c r="E20" s="73"/>
      <c r="F20" s="74"/>
      <c r="G20" s="73"/>
      <c r="H20" s="73"/>
    </row>
    <row r="21" spans="2:10" s="67" customFormat="1" ht="24" customHeight="1" x14ac:dyDescent="0.35">
      <c r="B21" s="70">
        <f>H16+1</f>
        <v>21</v>
      </c>
      <c r="C21" s="70">
        <f t="shared" ref="C21:H21" si="2">B21+1</f>
        <v>22</v>
      </c>
      <c r="D21" s="70">
        <f t="shared" si="2"/>
        <v>23</v>
      </c>
      <c r="E21" s="70">
        <f t="shared" si="2"/>
        <v>24</v>
      </c>
      <c r="F21" s="70">
        <f t="shared" si="2"/>
        <v>25</v>
      </c>
      <c r="G21" s="70">
        <f t="shared" si="2"/>
        <v>26</v>
      </c>
      <c r="H21" s="70">
        <f t="shared" si="2"/>
        <v>27</v>
      </c>
      <c r="J21" s="71"/>
    </row>
    <row r="22" spans="2:10" s="71" customFormat="1" ht="12.5" x14ac:dyDescent="0.25">
      <c r="B22" s="75"/>
      <c r="C22" s="75"/>
      <c r="E22" s="75"/>
      <c r="F22" s="75"/>
      <c r="G22" s="75"/>
      <c r="H22" s="75"/>
    </row>
    <row r="23" spans="2:10" s="71" customFormat="1" ht="12.5" x14ac:dyDescent="0.25">
      <c r="B23" s="75"/>
      <c r="C23" s="75"/>
      <c r="E23" s="75"/>
      <c r="F23" s="75"/>
      <c r="G23" s="75"/>
      <c r="H23" s="75"/>
    </row>
    <row r="24" spans="2:10" s="71" customFormat="1" ht="15.5" x14ac:dyDescent="0.35">
      <c r="B24" s="73"/>
      <c r="C24" s="73"/>
      <c r="E24" s="74" t="s">
        <v>123</v>
      </c>
      <c r="F24" s="74" t="s">
        <v>124</v>
      </c>
      <c r="G24" s="74" t="s">
        <v>125</v>
      </c>
      <c r="H24" s="74"/>
      <c r="J24" s="67"/>
    </row>
    <row r="25" spans="2:10" s="67" customFormat="1" ht="24" customHeight="1" x14ac:dyDescent="0.35">
      <c r="B25" s="70">
        <f>H21+1</f>
        <v>28</v>
      </c>
      <c r="C25" s="70">
        <f>B25+1</f>
        <v>29</v>
      </c>
      <c r="D25" s="70">
        <f>C25+1</f>
        <v>30</v>
      </c>
      <c r="E25" s="70">
        <f>D25+1</f>
        <v>31</v>
      </c>
      <c r="F25" s="86"/>
      <c r="G25" s="86"/>
      <c r="H25" s="86"/>
      <c r="J25" s="71"/>
    </row>
    <row r="26" spans="2:10" s="67" customFormat="1" ht="15.5" x14ac:dyDescent="0.35">
      <c r="B26" s="75"/>
      <c r="C26" s="75"/>
      <c r="D26" s="75"/>
      <c r="E26" s="75"/>
      <c r="F26" s="86"/>
      <c r="G26" s="86"/>
      <c r="H26" s="86"/>
      <c r="J26" s="71"/>
    </row>
    <row r="27" spans="2:10" s="67" customFormat="1" ht="15.5" x14ac:dyDescent="0.35">
      <c r="B27" s="75"/>
      <c r="C27" s="75"/>
      <c r="D27" s="75"/>
      <c r="E27" s="75"/>
      <c r="F27" s="86"/>
      <c r="G27" s="86"/>
      <c r="H27" s="86"/>
      <c r="J27" s="71"/>
    </row>
    <row r="28" spans="2:10" s="25" customFormat="1" ht="15.5" x14ac:dyDescent="0.35">
      <c r="B28" s="74"/>
      <c r="C28" s="74"/>
      <c r="D28" s="74"/>
      <c r="E28" s="74" t="s">
        <v>126</v>
      </c>
      <c r="F28" s="86"/>
      <c r="G28" s="86"/>
      <c r="H28" s="86"/>
      <c r="J28" s="67"/>
    </row>
    <row r="29" spans="2:10" ht="15" customHeight="1" x14ac:dyDescent="0.35">
      <c r="B29" s="19" t="s">
        <v>24</v>
      </c>
      <c r="C29" s="38"/>
      <c r="D29" s="38"/>
      <c r="E29" s="38"/>
      <c r="F29" s="38"/>
      <c r="G29" s="38"/>
      <c r="H29" s="40"/>
      <c r="J29" s="71"/>
    </row>
    <row r="30" spans="2:10" ht="15" customHeight="1" x14ac:dyDescent="0.35">
      <c r="J30" s="71"/>
    </row>
    <row r="31" spans="2:10" ht="15" customHeight="1" x14ac:dyDescent="0.35">
      <c r="J31" s="67"/>
    </row>
    <row r="32" spans="2:10" ht="15" customHeight="1" x14ac:dyDescent="0.35">
      <c r="J32" s="67"/>
    </row>
    <row r="33" spans="10:10" ht="15" customHeight="1" x14ac:dyDescent="0.35">
      <c r="J33" s="67"/>
    </row>
  </sheetData>
  <mergeCells count="1">
    <mergeCell ref="B1:H7"/>
  </mergeCells>
  <printOptions horizontalCentered="1" verticalCentered="1"/>
  <pageMargins left="0.3" right="0.3" top="0.3" bottom="0.3"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496B0"/>
  </sheetPr>
  <dimension ref="B1:J28"/>
  <sheetViews>
    <sheetView showGridLines="0" topLeftCell="A23" workbookViewId="0">
      <selection activeCell="E24" sqref="E24"/>
    </sheetView>
  </sheetViews>
  <sheetFormatPr defaultColWidth="11.25" defaultRowHeight="15" customHeight="1" x14ac:dyDescent="0.35"/>
  <cols>
    <col min="1" max="1" width="3.25" style="4" customWidth="1"/>
    <col min="2" max="8" width="16.75" style="4" customWidth="1"/>
    <col min="9" max="9" width="10.75" style="4" customWidth="1"/>
    <col min="10" max="10" width="36.33203125" style="4" bestFit="1" customWidth="1"/>
    <col min="11" max="26" width="10.75" style="4" customWidth="1"/>
    <col min="27" max="16384" width="11.25" style="4"/>
  </cols>
  <sheetData>
    <row r="1" spans="2:10" ht="15.5" x14ac:dyDescent="0.35">
      <c r="B1" s="191" t="s">
        <v>127</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1"/>
      <c r="C7" s="191"/>
      <c r="D7" s="191"/>
      <c r="E7" s="191"/>
      <c r="F7" s="191"/>
      <c r="G7" s="191"/>
      <c r="H7" s="191"/>
      <c r="I7" s="1"/>
      <c r="J7" s="10" t="s">
        <v>7</v>
      </c>
    </row>
    <row r="8" spans="2:10" ht="15.5" x14ac:dyDescent="0.35">
      <c r="B8" s="192"/>
      <c r="C8" s="192"/>
      <c r="D8" s="192"/>
      <c r="E8" s="192"/>
      <c r="F8" s="192"/>
      <c r="G8" s="192"/>
      <c r="H8" s="192"/>
      <c r="I8" s="1"/>
      <c r="J8" s="66" t="s">
        <v>116</v>
      </c>
    </row>
    <row r="9" spans="2:10" ht="24" customHeight="1" x14ac:dyDescent="0.35">
      <c r="B9" s="12" t="s">
        <v>8</v>
      </c>
      <c r="C9" s="12" t="s">
        <v>9</v>
      </c>
      <c r="D9" s="12" t="s">
        <v>10</v>
      </c>
      <c r="E9" s="12" t="s">
        <v>11</v>
      </c>
      <c r="F9" s="12" t="s">
        <v>12</v>
      </c>
      <c r="G9" s="12" t="s">
        <v>13</v>
      </c>
      <c r="H9" s="12" t="s">
        <v>14</v>
      </c>
      <c r="I9" s="2"/>
      <c r="J9" s="127" t="s">
        <v>15</v>
      </c>
    </row>
    <row r="10" spans="2:10" s="67" customFormat="1" ht="24" customHeight="1" x14ac:dyDescent="0.35">
      <c r="B10" s="69"/>
      <c r="C10" s="69"/>
      <c r="D10" s="69"/>
      <c r="E10" s="69"/>
      <c r="F10" s="70">
        <v>1</v>
      </c>
      <c r="G10" s="70">
        <f t="shared" ref="G10:H10" si="0">F10+1</f>
        <v>2</v>
      </c>
      <c r="H10" s="70">
        <f t="shared" si="0"/>
        <v>3</v>
      </c>
      <c r="I10" s="68"/>
      <c r="J10" s="71"/>
    </row>
    <row r="11" spans="2:10" s="67" customFormat="1" ht="24" customHeight="1" x14ac:dyDescent="0.35">
      <c r="B11" s="77"/>
      <c r="C11" s="77"/>
      <c r="D11" s="77"/>
      <c r="E11" s="77"/>
      <c r="F11" s="75"/>
      <c r="G11" s="75"/>
      <c r="H11" s="75"/>
      <c r="I11" s="68"/>
      <c r="J11" s="71"/>
    </row>
    <row r="12" spans="2:10" s="71" customFormat="1" ht="15.5" x14ac:dyDescent="0.35">
      <c r="B12" s="72"/>
      <c r="C12" s="72"/>
      <c r="D12" s="72"/>
      <c r="E12" s="72"/>
      <c r="F12" s="74" t="s">
        <v>128</v>
      </c>
      <c r="G12" s="74"/>
      <c r="H12" s="74"/>
      <c r="J12" s="68"/>
    </row>
    <row r="13" spans="2:10" s="67" customFormat="1" ht="24" customHeight="1" x14ac:dyDescent="0.35">
      <c r="B13" s="70">
        <f>H10+1</f>
        <v>4</v>
      </c>
      <c r="C13" s="70">
        <f t="shared" ref="C13:H13" si="1">B13+1</f>
        <v>5</v>
      </c>
      <c r="D13" s="70">
        <f t="shared" si="1"/>
        <v>6</v>
      </c>
      <c r="E13" s="70">
        <f t="shared" si="1"/>
        <v>7</v>
      </c>
      <c r="F13" s="70">
        <f t="shared" si="1"/>
        <v>8</v>
      </c>
      <c r="G13" s="70">
        <f t="shared" si="1"/>
        <v>9</v>
      </c>
      <c r="H13" s="70">
        <f t="shared" si="1"/>
        <v>10</v>
      </c>
      <c r="I13" s="68"/>
      <c r="J13" s="71"/>
    </row>
    <row r="14" spans="2:10" s="67" customFormat="1" ht="91.5" customHeight="1" x14ac:dyDescent="0.35">
      <c r="B14" s="76"/>
      <c r="C14" s="76"/>
      <c r="D14" s="117" t="s">
        <v>129</v>
      </c>
      <c r="E14"/>
      <c r="F14" s="75"/>
      <c r="G14" s="76"/>
      <c r="H14" s="76"/>
      <c r="I14" s="68"/>
      <c r="J14" s="71"/>
    </row>
    <row r="15" spans="2:10" s="71" customFormat="1" ht="49.5" customHeight="1" x14ac:dyDescent="0.35">
      <c r="B15" s="74"/>
      <c r="C15" s="74"/>
      <c r="E15" s="74"/>
      <c r="G15" s="74"/>
      <c r="H15" s="74"/>
      <c r="J15" s="68"/>
    </row>
    <row r="16" spans="2:10" s="67" customFormat="1" ht="24" customHeight="1" x14ac:dyDescent="0.35">
      <c r="B16" s="70">
        <f>H13+1</f>
        <v>11</v>
      </c>
      <c r="C16" s="70">
        <f t="shared" ref="C16:H16" si="2">B16+1</f>
        <v>12</v>
      </c>
      <c r="D16" s="70">
        <f t="shared" si="2"/>
        <v>13</v>
      </c>
      <c r="E16" s="70">
        <f t="shared" si="2"/>
        <v>14</v>
      </c>
      <c r="F16" s="70">
        <f t="shared" si="2"/>
        <v>15</v>
      </c>
      <c r="G16" s="70">
        <f t="shared" si="2"/>
        <v>16</v>
      </c>
      <c r="H16" s="70">
        <f t="shared" si="2"/>
        <v>17</v>
      </c>
      <c r="I16" s="68"/>
      <c r="J16" s="71"/>
    </row>
    <row r="17" spans="2:10" s="71" customFormat="1" ht="42.75" customHeight="1" x14ac:dyDescent="0.25">
      <c r="B17" s="75"/>
      <c r="C17" s="98" t="s">
        <v>130</v>
      </c>
      <c r="D17" s="75"/>
      <c r="E17" s="75"/>
      <c r="F17" s="75"/>
      <c r="G17" s="75"/>
      <c r="H17" s="75"/>
    </row>
    <row r="18" spans="2:10" s="71" customFormat="1" ht="87.75" customHeight="1" x14ac:dyDescent="0.25">
      <c r="B18" s="75"/>
      <c r="C18" s="117" t="s">
        <v>131</v>
      </c>
      <c r="D18" s="139"/>
      <c r="E18" s="139"/>
      <c r="F18" s="99" t="s">
        <v>132</v>
      </c>
      <c r="G18" s="75"/>
      <c r="H18" s="75"/>
    </row>
    <row r="19" spans="2:10" s="71" customFormat="1" ht="74.25" customHeight="1" x14ac:dyDescent="0.25">
      <c r="B19" s="75"/>
      <c r="C19" s="131" t="s">
        <v>133</v>
      </c>
      <c r="D19" s="75"/>
      <c r="E19" s="75"/>
      <c r="F19" s="73"/>
      <c r="G19" s="75"/>
      <c r="H19" s="75"/>
    </row>
    <row r="20" spans="2:10" s="67" customFormat="1" ht="24" customHeight="1" x14ac:dyDescent="0.35">
      <c r="B20" s="70">
        <f>H16+1</f>
        <v>18</v>
      </c>
      <c r="C20" s="70">
        <f t="shared" ref="C20:H20" si="3">B20+1</f>
        <v>19</v>
      </c>
      <c r="D20" s="70">
        <f t="shared" si="3"/>
        <v>20</v>
      </c>
      <c r="E20" s="70">
        <f t="shared" si="3"/>
        <v>21</v>
      </c>
      <c r="F20" s="70">
        <f t="shared" si="3"/>
        <v>22</v>
      </c>
      <c r="G20" s="70">
        <f t="shared" si="3"/>
        <v>23</v>
      </c>
      <c r="H20" s="70">
        <f t="shared" si="3"/>
        <v>24</v>
      </c>
      <c r="J20" s="71"/>
    </row>
    <row r="21" spans="2:10" s="67" customFormat="1" ht="81.75" customHeight="1" x14ac:dyDescent="0.35">
      <c r="B21" s="76"/>
      <c r="C21" s="87"/>
      <c r="D21" s="173"/>
      <c r="E21" s="76"/>
      <c r="F21" s="117" t="s">
        <v>134</v>
      </c>
      <c r="G21" s="76"/>
      <c r="H21" s="76"/>
      <c r="J21" s="71"/>
    </row>
    <row r="22" spans="2:10" s="71" customFormat="1" ht="26" x14ac:dyDescent="0.35">
      <c r="B22" s="73"/>
      <c r="C22" s="73" t="s">
        <v>135</v>
      </c>
      <c r="D22" s="74"/>
      <c r="E22" s="73"/>
      <c r="F22" s="100" t="s">
        <v>136</v>
      </c>
      <c r="G22" s="100" t="s">
        <v>136</v>
      </c>
      <c r="H22" s="100" t="s">
        <v>136</v>
      </c>
      <c r="J22" s="67"/>
    </row>
    <row r="23" spans="2:10" s="67" customFormat="1" ht="42" customHeight="1" x14ac:dyDescent="0.35">
      <c r="B23" s="70">
        <f>H20+1</f>
        <v>25</v>
      </c>
      <c r="C23" s="70">
        <f t="shared" ref="C23" si="4">B23+1</f>
        <v>26</v>
      </c>
      <c r="D23" s="70">
        <f t="shared" ref="D23" si="5">C23+1</f>
        <v>27</v>
      </c>
      <c r="E23" s="70">
        <f t="shared" ref="E23" si="6">D23+1</f>
        <v>28</v>
      </c>
      <c r="F23" s="70">
        <f t="shared" ref="F23" si="7">E23+1</f>
        <v>29</v>
      </c>
      <c r="G23" s="70">
        <f t="shared" ref="G23" si="8">F23+1</f>
        <v>30</v>
      </c>
      <c r="H23" s="70">
        <f t="shared" ref="H23" si="9">G23+1</f>
        <v>31</v>
      </c>
      <c r="J23" s="71"/>
    </row>
    <row r="24" spans="2:10" s="67" customFormat="1" ht="93.75" customHeight="1" x14ac:dyDescent="0.35">
      <c r="B24" s="76"/>
      <c r="C24" s="98" t="s">
        <v>137</v>
      </c>
      <c r="D24" s="76"/>
      <c r="E24" s="140"/>
      <c r="F24" s="139"/>
      <c r="G24" s="76"/>
      <c r="H24" s="76"/>
      <c r="J24" s="71"/>
    </row>
    <row r="25" spans="2:10" s="71" customFormat="1" ht="92.25" customHeight="1" x14ac:dyDescent="0.35">
      <c r="B25" s="75" t="s">
        <v>138</v>
      </c>
      <c r="C25" s="100" t="s">
        <v>139</v>
      </c>
      <c r="D25" s="75"/>
      <c r="E25"/>
      <c r="F25" s="131" t="s">
        <v>140</v>
      </c>
      <c r="G25" s="99" t="s">
        <v>141</v>
      </c>
      <c r="H25" s="75" t="s">
        <v>142</v>
      </c>
    </row>
    <row r="26" spans="2:10" s="71" customFormat="1" ht="96" customHeight="1" x14ac:dyDescent="0.35">
      <c r="B26" s="100" t="s">
        <v>136</v>
      </c>
      <c r="C26" s="101" t="s">
        <v>143</v>
      </c>
      <c r="D26" s="74"/>
      <c r="E26" s="131" t="s">
        <v>144</v>
      </c>
      <c r="F26" s="74"/>
      <c r="G26" s="73"/>
      <c r="H26" s="74"/>
      <c r="J26" s="67"/>
    </row>
    <row r="27" spans="2:10" s="71" customFormat="1" ht="72.75" customHeight="1" x14ac:dyDescent="0.35">
      <c r="B27" s="132"/>
      <c r="C27" s="131" t="s">
        <v>145</v>
      </c>
      <c r="D27" s="133"/>
      <c r="E27" s="133"/>
      <c r="F27" s="133"/>
      <c r="G27" s="134"/>
      <c r="H27" s="135"/>
      <c r="J27" s="67"/>
    </row>
    <row r="28" spans="2:10" ht="24" customHeight="1" x14ac:dyDescent="0.35">
      <c r="B28" s="19" t="s">
        <v>24</v>
      </c>
      <c r="C28" s="38"/>
      <c r="D28" s="38"/>
      <c r="E28" s="38"/>
      <c r="F28" s="38"/>
      <c r="G28" s="38"/>
      <c r="H28" s="40"/>
    </row>
  </sheetData>
  <mergeCells count="1">
    <mergeCell ref="B1:H8"/>
  </mergeCells>
  <printOptions horizontalCentered="1" verticalCentered="1"/>
  <pageMargins left="0.3" right="0.3" top="0.3" bottom="0.3"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22A35"/>
  </sheetPr>
  <dimension ref="B1:XFD38"/>
  <sheetViews>
    <sheetView showGridLines="0" topLeftCell="A18" workbookViewId="0">
      <selection activeCell="E23" sqref="E23"/>
    </sheetView>
  </sheetViews>
  <sheetFormatPr defaultColWidth="11.25" defaultRowHeight="15" customHeight="1" x14ac:dyDescent="0.35"/>
  <cols>
    <col min="1" max="1" width="3.25" style="4" customWidth="1"/>
    <col min="2" max="4" width="16.75" style="4" customWidth="1"/>
    <col min="5" max="5" width="27.58203125" style="4" customWidth="1"/>
    <col min="6" max="8" width="16.75" style="4" customWidth="1"/>
    <col min="9" max="9" width="10.75" style="4" customWidth="1"/>
    <col min="10" max="10" width="36.33203125" style="4" bestFit="1" customWidth="1"/>
    <col min="11" max="26" width="10.75" style="4" customWidth="1"/>
    <col min="27" max="16384" width="11.25" style="4"/>
  </cols>
  <sheetData>
    <row r="1" spans="2:11" ht="15.5" x14ac:dyDescent="0.35">
      <c r="B1" s="191" t="s">
        <v>146</v>
      </c>
      <c r="C1" s="191"/>
      <c r="D1" s="191"/>
      <c r="E1" s="191"/>
      <c r="F1" s="191"/>
      <c r="G1" s="191"/>
      <c r="H1" s="191"/>
      <c r="I1" s="1"/>
      <c r="J1" s="5" t="s">
        <v>1</v>
      </c>
    </row>
    <row r="2" spans="2:11" ht="15.5" x14ac:dyDescent="0.35">
      <c r="B2" s="191"/>
      <c r="C2" s="191"/>
      <c r="D2" s="191"/>
      <c r="E2" s="191"/>
      <c r="F2" s="191"/>
      <c r="G2" s="191"/>
      <c r="H2" s="191"/>
      <c r="I2" s="1"/>
      <c r="J2" s="11" t="s">
        <v>2</v>
      </c>
    </row>
    <row r="3" spans="2:11" ht="15.5" x14ac:dyDescent="0.35">
      <c r="B3" s="191"/>
      <c r="C3" s="191"/>
      <c r="D3" s="191"/>
      <c r="E3" s="191"/>
      <c r="F3" s="191"/>
      <c r="G3" s="191"/>
      <c r="H3" s="191"/>
      <c r="I3" s="1"/>
      <c r="J3" s="9" t="s">
        <v>3</v>
      </c>
    </row>
    <row r="4" spans="2:11" ht="15.5" x14ac:dyDescent="0.35">
      <c r="B4" s="191"/>
      <c r="C4" s="191"/>
      <c r="D4" s="191"/>
      <c r="E4" s="191"/>
      <c r="F4" s="191"/>
      <c r="G4" s="191"/>
      <c r="H4" s="191"/>
      <c r="I4" s="1"/>
      <c r="J4" s="7" t="s">
        <v>4</v>
      </c>
    </row>
    <row r="5" spans="2:11" ht="15.5" x14ac:dyDescent="0.35">
      <c r="B5" s="191"/>
      <c r="C5" s="191"/>
      <c r="D5" s="191"/>
      <c r="E5" s="191"/>
      <c r="F5" s="191"/>
      <c r="G5" s="191"/>
      <c r="H5" s="191"/>
      <c r="I5" s="1"/>
      <c r="J5" s="6" t="s">
        <v>5</v>
      </c>
    </row>
    <row r="6" spans="2:11" ht="15.5" x14ac:dyDescent="0.35">
      <c r="B6" s="191"/>
      <c r="C6" s="191"/>
      <c r="D6" s="191"/>
      <c r="E6" s="191"/>
      <c r="F6" s="191"/>
      <c r="G6" s="191"/>
      <c r="H6" s="191"/>
      <c r="I6" s="1"/>
      <c r="J6" s="8" t="s">
        <v>6</v>
      </c>
    </row>
    <row r="7" spans="2:11" ht="15.5" x14ac:dyDescent="0.35">
      <c r="B7" s="192"/>
      <c r="C7" s="192"/>
      <c r="D7" s="192"/>
      <c r="E7" s="192"/>
      <c r="F7" s="192"/>
      <c r="G7" s="192"/>
      <c r="H7" s="192"/>
      <c r="I7" s="1"/>
      <c r="J7" s="10" t="s">
        <v>7</v>
      </c>
    </row>
    <row r="8" spans="2:11" ht="24" customHeight="1" x14ac:dyDescent="0.35">
      <c r="B8" s="12" t="s">
        <v>8</v>
      </c>
      <c r="C8" s="12" t="s">
        <v>9</v>
      </c>
      <c r="D8" s="12" t="s">
        <v>10</v>
      </c>
      <c r="E8" s="12" t="s">
        <v>11</v>
      </c>
      <c r="F8" s="12" t="s">
        <v>12</v>
      </c>
      <c r="G8" s="12" t="s">
        <v>13</v>
      </c>
      <c r="H8" s="12" t="s">
        <v>14</v>
      </c>
      <c r="I8" s="2"/>
      <c r="J8" s="177" t="s">
        <v>116</v>
      </c>
    </row>
    <row r="9" spans="2:11" ht="24" customHeight="1" x14ac:dyDescent="0.35">
      <c r="B9" s="13">
        <f>A9+1</f>
        <v>1</v>
      </c>
      <c r="C9" s="13">
        <v>2</v>
      </c>
      <c r="D9" s="13">
        <f t="shared" ref="D9" si="0">C9+1</f>
        <v>3</v>
      </c>
      <c r="E9" s="13">
        <f t="shared" ref="E9" si="1">D9+1</f>
        <v>4</v>
      </c>
      <c r="F9" s="13">
        <f t="shared" ref="F9" si="2">E9+1</f>
        <v>5</v>
      </c>
      <c r="G9" s="13">
        <f t="shared" ref="G9" si="3">F9+1</f>
        <v>6</v>
      </c>
      <c r="H9" s="13">
        <f t="shared" ref="H9" si="4">G9+1</f>
        <v>7</v>
      </c>
      <c r="I9" s="175"/>
      <c r="J9" s="174" t="s">
        <v>15</v>
      </c>
      <c r="K9" s="176"/>
    </row>
    <row r="10" spans="2:11" ht="74.25" customHeight="1" x14ac:dyDescent="0.35">
      <c r="B10" s="16"/>
      <c r="C10" s="98" t="s">
        <v>147</v>
      </c>
      <c r="D10" s="99" t="s">
        <v>148</v>
      </c>
      <c r="E10" s="75"/>
      <c r="F10" s="16"/>
      <c r="G10" s="99" t="s">
        <v>149</v>
      </c>
      <c r="H10" s="16"/>
      <c r="I10" s="3"/>
      <c r="J10" s="178"/>
    </row>
    <row r="11" spans="2:11" s="25" customFormat="1" ht="88.5" customHeight="1" x14ac:dyDescent="0.25">
      <c r="B11" s="100" t="s">
        <v>150</v>
      </c>
      <c r="C11" s="75"/>
      <c r="D11" s="136"/>
      <c r="E11" s="75"/>
      <c r="F11" s="75"/>
      <c r="G11" s="104" t="s">
        <v>151</v>
      </c>
      <c r="H11" s="31"/>
      <c r="I11" s="32"/>
      <c r="J11" s="71"/>
    </row>
    <row r="12" spans="2:11" s="25" customFormat="1" ht="88.5" customHeight="1" x14ac:dyDescent="0.25">
      <c r="B12" s="131" t="s">
        <v>152</v>
      </c>
      <c r="C12" s="131" t="s">
        <v>153</v>
      </c>
      <c r="D12" s="136"/>
      <c r="E12" s="75"/>
      <c r="F12" s="173"/>
      <c r="G12" s="75"/>
      <c r="H12" s="31"/>
      <c r="I12" s="32"/>
      <c r="J12" s="71"/>
    </row>
    <row r="13" spans="2:11" s="25" customFormat="1" ht="56.25" customHeight="1" x14ac:dyDescent="0.35">
      <c r="B13" s="28"/>
      <c r="C13" s="28" t="s">
        <v>154</v>
      </c>
      <c r="D13" s="28"/>
      <c r="F13" s="75"/>
      <c r="G13" s="83"/>
      <c r="H13" s="28"/>
      <c r="J13" s="68"/>
    </row>
    <row r="14" spans="2:11" ht="24" customHeight="1" x14ac:dyDescent="0.35">
      <c r="B14" s="13">
        <f>H9+1</f>
        <v>8</v>
      </c>
      <c r="C14" s="13">
        <f t="shared" ref="C14:H14" si="5">B14+1</f>
        <v>9</v>
      </c>
      <c r="D14" s="13">
        <f t="shared" si="5"/>
        <v>10</v>
      </c>
      <c r="E14" s="13">
        <f t="shared" si="5"/>
        <v>11</v>
      </c>
      <c r="F14" s="13">
        <f t="shared" si="5"/>
        <v>12</v>
      </c>
      <c r="G14" s="13">
        <f t="shared" si="5"/>
        <v>13</v>
      </c>
      <c r="H14" s="13">
        <f t="shared" si="5"/>
        <v>14</v>
      </c>
      <c r="I14" s="3"/>
      <c r="J14" s="71"/>
    </row>
    <row r="15" spans="2:11" ht="74.25" customHeight="1" x14ac:dyDescent="0.35">
      <c r="B15" s="16"/>
      <c r="C15" s="137" t="s">
        <v>155</v>
      </c>
      <c r="D15" s="137" t="s">
        <v>156</v>
      </c>
      <c r="E15" s="99" t="s">
        <v>157</v>
      </c>
      <c r="F15" s="16"/>
      <c r="G15" s="16"/>
      <c r="H15" s="92" t="s">
        <v>158</v>
      </c>
      <c r="I15" s="3"/>
      <c r="J15" s="71"/>
    </row>
    <row r="16" spans="2:11" ht="102" customHeight="1" x14ac:dyDescent="0.35">
      <c r="B16" s="16"/>
      <c r="C16" s="99" t="s">
        <v>159</v>
      </c>
      <c r="D16" s="102"/>
      <c r="E16" s="75"/>
      <c r="F16" s="102"/>
      <c r="G16" s="75"/>
      <c r="H16" s="63"/>
      <c r="I16" s="3"/>
      <c r="J16" s="71"/>
    </row>
    <row r="17" spans="2:10 16384:16384" s="25" customFormat="1" ht="51" x14ac:dyDescent="0.35">
      <c r="B17" s="28"/>
      <c r="C17" s="94" t="s">
        <v>160</v>
      </c>
      <c r="D17" s="31"/>
      <c r="E17" s="27"/>
      <c r="F17" s="31"/>
      <c r="H17" s="94" t="s">
        <v>161</v>
      </c>
      <c r="J17" s="68"/>
    </row>
    <row r="18" spans="2:10 16384:16384" ht="24" customHeight="1" x14ac:dyDescent="0.35">
      <c r="B18" s="13">
        <f>H14+1</f>
        <v>15</v>
      </c>
      <c r="C18" s="13">
        <f t="shared" ref="C18:H18" si="6">B18+1</f>
        <v>16</v>
      </c>
      <c r="D18" s="13">
        <f t="shared" si="6"/>
        <v>17</v>
      </c>
      <c r="E18" s="13">
        <f t="shared" si="6"/>
        <v>18</v>
      </c>
      <c r="F18" s="13">
        <f t="shared" si="6"/>
        <v>19</v>
      </c>
      <c r="G18" s="13">
        <f t="shared" si="6"/>
        <v>20</v>
      </c>
      <c r="H18" s="13">
        <f t="shared" si="6"/>
        <v>21</v>
      </c>
      <c r="I18" s="3"/>
      <c r="J18" s="71"/>
    </row>
    <row r="19" spans="2:10 16384:16384" ht="84.75" customHeight="1" x14ac:dyDescent="0.35">
      <c r="B19" s="64"/>
      <c r="C19" s="75"/>
      <c r="D19" s="99" t="s">
        <v>162</v>
      </c>
      <c r="E19" s="31"/>
      <c r="F19" s="99" t="s">
        <v>163</v>
      </c>
      <c r="G19" s="75"/>
      <c r="H19" s="63"/>
      <c r="J19" s="71"/>
      <c r="XFD19" s="28"/>
    </row>
    <row r="20" spans="2:10 16384:16384" ht="30.75" customHeight="1" x14ac:dyDescent="0.35">
      <c r="B20" s="64"/>
      <c r="C20" s="75"/>
      <c r="D20" s="63"/>
      <c r="E20" s="28" t="s">
        <v>164</v>
      </c>
      <c r="F20" s="88"/>
      <c r="G20" s="31"/>
      <c r="H20" s="63"/>
      <c r="J20" s="71"/>
      <c r="XFD20" s="61"/>
    </row>
    <row r="21" spans="2:10 16384:16384" ht="15.5" x14ac:dyDescent="0.35">
      <c r="B21" s="27"/>
      <c r="C21" s="28" t="s">
        <v>165</v>
      </c>
      <c r="D21" s="28" t="s">
        <v>166</v>
      </c>
      <c r="E21" s="28" t="s">
        <v>167</v>
      </c>
      <c r="F21" s="75"/>
      <c r="G21" s="62"/>
      <c r="H21" s="62"/>
      <c r="J21" s="71"/>
      <c r="XFD21" s="61"/>
    </row>
    <row r="22" spans="2:10 16384:16384" ht="24" customHeight="1" x14ac:dyDescent="0.35">
      <c r="B22" s="13">
        <f>H18+1</f>
        <v>22</v>
      </c>
      <c r="C22" s="13">
        <f t="shared" ref="C22:H22" si="7">B22+1</f>
        <v>23</v>
      </c>
      <c r="D22" s="13">
        <f t="shared" si="7"/>
        <v>24</v>
      </c>
      <c r="E22" s="13">
        <f t="shared" si="7"/>
        <v>25</v>
      </c>
      <c r="F22" s="13">
        <f t="shared" si="7"/>
        <v>26</v>
      </c>
      <c r="G22" s="13">
        <f t="shared" si="7"/>
        <v>27</v>
      </c>
      <c r="H22" s="13">
        <f t="shared" si="7"/>
        <v>28</v>
      </c>
      <c r="J22" s="71"/>
    </row>
    <row r="23" spans="2:10 16384:16384" ht="119.25" customHeight="1" x14ac:dyDescent="0.35">
      <c r="B23" s="105" t="s">
        <v>168</v>
      </c>
      <c r="C23" s="16"/>
      <c r="D23" s="118"/>
      <c r="E23" s="103" t="s">
        <v>169</v>
      </c>
      <c r="G23" s="16"/>
      <c r="H23" s="16"/>
      <c r="J23" s="71"/>
    </row>
    <row r="24" spans="2:10 16384:16384" s="25" customFormat="1" ht="28" x14ac:dyDescent="0.25">
      <c r="B24" s="28"/>
      <c r="C24" s="28"/>
      <c r="D24" s="27"/>
      <c r="E24" s="103" t="s">
        <v>170</v>
      </c>
      <c r="F24" s="94" t="s">
        <v>171</v>
      </c>
      <c r="G24" s="94" t="s">
        <v>171</v>
      </c>
      <c r="H24" s="94" t="s">
        <v>171</v>
      </c>
      <c r="J24" s="71"/>
    </row>
    <row r="25" spans="2:10 16384:16384" ht="63.75" customHeight="1" x14ac:dyDescent="0.35">
      <c r="B25" s="19" t="s">
        <v>24</v>
      </c>
      <c r="C25" s="38"/>
      <c r="D25" s="38"/>
      <c r="E25" s="38"/>
      <c r="F25" s="38"/>
      <c r="G25" s="38"/>
      <c r="H25" s="40"/>
      <c r="J25" s="71"/>
    </row>
    <row r="26" spans="2:10 16384:16384" ht="15" customHeight="1" x14ac:dyDescent="0.35">
      <c r="J26" s="67"/>
    </row>
    <row r="27" spans="2:10 16384:16384" ht="15" customHeight="1" x14ac:dyDescent="0.35">
      <c r="J27" s="67"/>
    </row>
    <row r="28" spans="2:10 16384:16384" ht="15" customHeight="1" x14ac:dyDescent="0.35">
      <c r="J28" s="67"/>
    </row>
    <row r="33" s="4" customFormat="1" ht="15" customHeight="1" x14ac:dyDescent="0.35"/>
    <row r="34" s="4" customFormat="1" ht="15" customHeight="1" x14ac:dyDescent="0.35"/>
    <row r="35" s="4" customFormat="1" ht="15" customHeight="1" x14ac:dyDescent="0.35"/>
    <row r="36" s="4" customFormat="1" ht="15" customHeight="1" x14ac:dyDescent="0.35"/>
    <row r="37" s="4" customFormat="1" ht="15" customHeight="1" x14ac:dyDescent="0.35"/>
    <row r="38" s="4" customFormat="1" ht="15" customHeight="1" x14ac:dyDescent="0.35"/>
  </sheetData>
  <mergeCells count="1">
    <mergeCell ref="B1:H7"/>
  </mergeCells>
  <printOptions horizontalCentered="1" verticalCentered="1"/>
  <pageMargins left="0.3" right="0.3" top="0.3" bottom="0.3"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496B0"/>
  </sheetPr>
  <dimension ref="B1:J32"/>
  <sheetViews>
    <sheetView showGridLines="0" topLeftCell="A17" workbookViewId="0">
      <selection activeCell="J17" sqref="J17"/>
    </sheetView>
  </sheetViews>
  <sheetFormatPr defaultColWidth="11.25" defaultRowHeight="15" customHeight="1" x14ac:dyDescent="0.35"/>
  <cols>
    <col min="1" max="1" width="3.25" style="4" customWidth="1"/>
    <col min="2" max="6" width="16.75" style="4" customWidth="1"/>
    <col min="7" max="7" width="20.58203125" style="4" customWidth="1"/>
    <col min="8" max="8" width="16.75" style="4" customWidth="1"/>
    <col min="9" max="9" width="10.75" style="4" customWidth="1"/>
    <col min="10" max="10" width="36.33203125" style="4" bestFit="1" customWidth="1"/>
    <col min="11" max="26" width="10.75" style="4" customWidth="1"/>
    <col min="27" max="16384" width="11.25" style="4"/>
  </cols>
  <sheetData>
    <row r="1" spans="2:10" ht="15.5" x14ac:dyDescent="0.35">
      <c r="B1" s="191" t="s">
        <v>172</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2"/>
      <c r="C7" s="192"/>
      <c r="D7" s="192"/>
      <c r="E7" s="192"/>
      <c r="F7" s="192"/>
      <c r="G7" s="192"/>
      <c r="H7" s="192"/>
      <c r="I7" s="1"/>
      <c r="J7" s="10" t="s">
        <v>7</v>
      </c>
    </row>
    <row r="8" spans="2:10" ht="24" customHeight="1" x14ac:dyDescent="0.35">
      <c r="B8" s="12" t="s">
        <v>8</v>
      </c>
      <c r="C8" s="12" t="s">
        <v>9</v>
      </c>
      <c r="D8" s="12" t="s">
        <v>10</v>
      </c>
      <c r="E8" s="12" t="s">
        <v>11</v>
      </c>
      <c r="F8" s="12" t="s">
        <v>12</v>
      </c>
      <c r="G8" s="12" t="s">
        <v>13</v>
      </c>
      <c r="H8" s="12" t="s">
        <v>14</v>
      </c>
      <c r="I8" s="2"/>
      <c r="J8" s="66" t="s">
        <v>116</v>
      </c>
    </row>
    <row r="9" spans="2:10" ht="24" customHeight="1" x14ac:dyDescent="0.35">
      <c r="B9" s="42">
        <v>1</v>
      </c>
      <c r="C9" s="41">
        <f t="shared" ref="C9" si="0">B9+1</f>
        <v>2</v>
      </c>
      <c r="D9" s="41">
        <f t="shared" ref="D9" si="1">C9+1</f>
        <v>3</v>
      </c>
      <c r="E9" s="42">
        <v>4</v>
      </c>
      <c r="F9" s="41">
        <f t="shared" ref="F9" si="2">E9+1</f>
        <v>5</v>
      </c>
      <c r="G9" s="41">
        <f t="shared" ref="G9" si="3">F9+1</f>
        <v>6</v>
      </c>
      <c r="H9" s="41">
        <f>G9+1</f>
        <v>7</v>
      </c>
      <c r="I9" s="3"/>
      <c r="J9" s="127" t="s">
        <v>15</v>
      </c>
    </row>
    <row r="10" spans="2:10" s="25" customFormat="1" ht="50" x14ac:dyDescent="0.25">
      <c r="B10" s="75"/>
      <c r="D10" s="75"/>
      <c r="E10" s="149" t="s">
        <v>173</v>
      </c>
      <c r="G10" s="99" t="s">
        <v>174</v>
      </c>
      <c r="H10" s="55"/>
      <c r="I10" s="32"/>
      <c r="J10" s="71"/>
    </row>
    <row r="11" spans="2:10" s="25" customFormat="1" ht="50" x14ac:dyDescent="0.25">
      <c r="B11" s="75"/>
      <c r="C11" s="74"/>
      <c r="D11" s="33"/>
      <c r="E11" s="102"/>
      <c r="F11" s="74"/>
      <c r="G11" s="149" t="s">
        <v>175</v>
      </c>
      <c r="H11" s="151" t="s">
        <v>176</v>
      </c>
      <c r="J11" s="71"/>
    </row>
    <row r="12" spans="2:10" ht="24" customHeight="1" x14ac:dyDescent="0.35">
      <c r="B12" s="13">
        <f>H9+1</f>
        <v>8</v>
      </c>
      <c r="C12" s="13">
        <f t="shared" ref="C12:H12" si="4">B12+1</f>
        <v>9</v>
      </c>
      <c r="D12" s="13">
        <f t="shared" si="4"/>
        <v>10</v>
      </c>
      <c r="E12" s="13">
        <f t="shared" si="4"/>
        <v>11</v>
      </c>
      <c r="F12" s="13">
        <f t="shared" si="4"/>
        <v>12</v>
      </c>
      <c r="G12" s="13">
        <f t="shared" si="4"/>
        <v>13</v>
      </c>
      <c r="H12" s="13">
        <f t="shared" si="4"/>
        <v>14</v>
      </c>
      <c r="I12" s="3"/>
      <c r="J12" s="68"/>
    </row>
    <row r="13" spans="2:10" ht="34.5" customHeight="1" x14ac:dyDescent="0.35">
      <c r="B13" s="16"/>
      <c r="C13" s="78"/>
      <c r="D13" s="75"/>
      <c r="E13" s="75"/>
      <c r="F13" s="88"/>
      <c r="G13" s="75"/>
      <c r="H13" s="150" t="s">
        <v>177</v>
      </c>
      <c r="I13" s="3"/>
      <c r="J13" s="71"/>
    </row>
    <row r="14" spans="2:10" ht="66" customHeight="1" x14ac:dyDescent="0.35">
      <c r="B14" s="16"/>
      <c r="C14" s="78"/>
      <c r="D14" s="75"/>
      <c r="E14" s="150" t="s">
        <v>178</v>
      </c>
      <c r="F14" s="88"/>
      <c r="G14" s="75"/>
      <c r="H14" s="180"/>
      <c r="I14" s="3"/>
      <c r="J14" s="71"/>
    </row>
    <row r="15" spans="2:10" s="25" customFormat="1" ht="61.5" customHeight="1" x14ac:dyDescent="0.25">
      <c r="B15" s="28" t="s">
        <v>179</v>
      </c>
      <c r="C15" s="75"/>
      <c r="D15" s="75"/>
      <c r="F15" s="31"/>
      <c r="G15" s="100" t="s">
        <v>180</v>
      </c>
      <c r="H15" s="151" t="s">
        <v>181</v>
      </c>
      <c r="J15" s="71"/>
    </row>
    <row r="16" spans="2:10" ht="24" customHeight="1" x14ac:dyDescent="0.35">
      <c r="B16" s="13">
        <f>H12+1</f>
        <v>15</v>
      </c>
      <c r="C16" s="13">
        <f t="shared" ref="C16:H16" si="5">B16+1</f>
        <v>16</v>
      </c>
      <c r="D16" s="13">
        <f t="shared" si="5"/>
        <v>17</v>
      </c>
      <c r="E16" s="13">
        <f t="shared" si="5"/>
        <v>18</v>
      </c>
      <c r="F16" s="13">
        <f t="shared" si="5"/>
        <v>19</v>
      </c>
      <c r="G16" s="13">
        <f t="shared" si="5"/>
        <v>20</v>
      </c>
      <c r="H16" s="152">
        <f t="shared" si="5"/>
        <v>21</v>
      </c>
      <c r="I16" s="3"/>
      <c r="J16" s="68"/>
    </row>
    <row r="17" spans="2:10" ht="113.5" x14ac:dyDescent="0.35">
      <c r="B17" s="183"/>
      <c r="C17" s="182"/>
      <c r="D17" s="184"/>
      <c r="E17" s="104" t="s">
        <v>182</v>
      </c>
      <c r="F17" s="88"/>
      <c r="H17" s="153" t="s">
        <v>183</v>
      </c>
      <c r="I17" s="3"/>
      <c r="J17" s="71"/>
    </row>
    <row r="18" spans="2:10" ht="15.5" x14ac:dyDescent="0.35">
      <c r="B18" s="16"/>
      <c r="C18" s="184"/>
      <c r="D18" s="16"/>
      <c r="E18" s="181"/>
      <c r="G18" s="16"/>
      <c r="H18" s="75"/>
      <c r="I18" s="3"/>
      <c r="J18" s="71"/>
    </row>
    <row r="19" spans="2:10" s="25" customFormat="1" ht="39" customHeight="1" x14ac:dyDescent="0.25">
      <c r="B19" s="28"/>
      <c r="C19" s="27"/>
      <c r="D19" s="28" t="s">
        <v>184</v>
      </c>
      <c r="E19" s="27"/>
      <c r="F19" s="75"/>
      <c r="G19" s="27" t="s">
        <v>185</v>
      </c>
      <c r="H19" s="28"/>
      <c r="J19" s="71"/>
    </row>
    <row r="20" spans="2:10" ht="24" customHeight="1" x14ac:dyDescent="0.35">
      <c r="B20" s="13">
        <f>H16+1</f>
        <v>22</v>
      </c>
      <c r="C20" s="13">
        <f t="shared" ref="C20:H20" si="6">B20+1</f>
        <v>23</v>
      </c>
      <c r="D20" s="13">
        <f t="shared" si="6"/>
        <v>24</v>
      </c>
      <c r="E20" s="13">
        <f t="shared" si="6"/>
        <v>25</v>
      </c>
      <c r="F20" s="13">
        <f t="shared" si="6"/>
        <v>26</v>
      </c>
      <c r="G20" s="13">
        <f>F20+1</f>
        <v>27</v>
      </c>
      <c r="H20" s="13">
        <f t="shared" si="6"/>
        <v>28</v>
      </c>
      <c r="J20" s="71"/>
    </row>
    <row r="21" spans="2:10" s="25" customFormat="1" ht="50" x14ac:dyDescent="0.25">
      <c r="B21" s="31"/>
      <c r="C21" s="102" t="s">
        <v>186</v>
      </c>
      <c r="D21" s="75"/>
      <c r="E21" s="104" t="s">
        <v>187</v>
      </c>
      <c r="F21" s="99" t="s">
        <v>188</v>
      </c>
      <c r="H21" s="75"/>
      <c r="J21" s="71"/>
    </row>
    <row r="22" spans="2:10" s="25" customFormat="1" ht="15.5" x14ac:dyDescent="0.35">
      <c r="B22" s="31"/>
      <c r="E22" s="75"/>
      <c r="G22" s="88"/>
      <c r="H22" s="75"/>
      <c r="J22" s="67"/>
    </row>
    <row r="23" spans="2:10" s="25" customFormat="1" ht="78" customHeight="1" x14ac:dyDescent="0.25">
      <c r="B23" s="28"/>
      <c r="C23" s="99" t="s">
        <v>189</v>
      </c>
      <c r="D23" s="27"/>
      <c r="E23" s="75"/>
      <c r="F23" s="27"/>
      <c r="G23" s="88"/>
      <c r="H23" s="16"/>
      <c r="J23" s="71"/>
    </row>
    <row r="24" spans="2:10" s="2" customFormat="1" ht="24" customHeight="1" x14ac:dyDescent="0.35">
      <c r="B24" s="13">
        <f>H20+1</f>
        <v>29</v>
      </c>
      <c r="C24" s="13">
        <f t="shared" ref="C24:D24" si="7">B24+1</f>
        <v>30</v>
      </c>
      <c r="D24" s="13">
        <f t="shared" si="7"/>
        <v>31</v>
      </c>
      <c r="E24" s="37"/>
      <c r="F24" s="37"/>
      <c r="G24" s="37"/>
      <c r="H24" s="37"/>
      <c r="J24" s="71"/>
    </row>
    <row r="25" spans="2:10" s="2" customFormat="1" ht="49.5" customHeight="1" x14ac:dyDescent="0.35">
      <c r="B25" s="16"/>
      <c r="E25" s="15"/>
      <c r="F25" s="15"/>
      <c r="G25" s="15"/>
      <c r="H25" s="15"/>
      <c r="J25" s="71"/>
    </row>
    <row r="26" spans="2:10" s="2" customFormat="1" ht="15.5" x14ac:dyDescent="0.35">
      <c r="B26" s="16"/>
      <c r="C26" s="16"/>
      <c r="D26" s="88"/>
      <c r="E26" s="15"/>
      <c r="F26" s="15"/>
      <c r="G26" s="15"/>
      <c r="H26" s="15"/>
      <c r="J26" s="67"/>
    </row>
    <row r="27" spans="2:10" s="25" customFormat="1" ht="12.5" x14ac:dyDescent="0.25">
      <c r="B27" s="34" t="s">
        <v>190</v>
      </c>
      <c r="C27" s="28"/>
      <c r="D27" s="75"/>
      <c r="E27" s="47"/>
      <c r="F27" s="47"/>
      <c r="G27" s="47"/>
      <c r="H27" s="47"/>
      <c r="J27" s="71"/>
    </row>
    <row r="28" spans="2:10" ht="24" customHeight="1" x14ac:dyDescent="0.35">
      <c r="B28" s="19" t="s">
        <v>24</v>
      </c>
      <c r="C28" s="38"/>
      <c r="D28" s="38"/>
      <c r="E28" s="38"/>
      <c r="F28" s="38"/>
      <c r="G28" s="38"/>
      <c r="H28" s="40"/>
      <c r="J28" s="71"/>
    </row>
    <row r="29" spans="2:10" ht="15" customHeight="1" x14ac:dyDescent="0.35">
      <c r="J29" s="71"/>
    </row>
    <row r="30" spans="2:10" ht="15" customHeight="1" x14ac:dyDescent="0.35">
      <c r="J30" s="67"/>
    </row>
    <row r="31" spans="2:10" ht="15" customHeight="1" x14ac:dyDescent="0.35">
      <c r="J31" s="67"/>
    </row>
    <row r="32" spans="2:10" ht="15" customHeight="1" x14ac:dyDescent="0.35">
      <c r="J32" s="67"/>
    </row>
  </sheetData>
  <mergeCells count="1">
    <mergeCell ref="B1:H7"/>
  </mergeCells>
  <printOptions horizontalCentered="1" verticalCentered="1"/>
  <pageMargins left="0.3" right="0.3" top="0.3" bottom="0.3"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22A35"/>
  </sheetPr>
  <dimension ref="B1:K32"/>
  <sheetViews>
    <sheetView showGridLines="0" topLeftCell="A21" workbookViewId="0">
      <selection activeCell="J24" sqref="J24"/>
    </sheetView>
  </sheetViews>
  <sheetFormatPr defaultColWidth="11.25" defaultRowHeight="15" customHeight="1" x14ac:dyDescent="0.35"/>
  <cols>
    <col min="1" max="1" width="3.25" style="4" customWidth="1"/>
    <col min="2" max="8" width="16.75" style="4" customWidth="1"/>
    <col min="9" max="9" width="10.75" style="4" customWidth="1"/>
    <col min="10" max="10" width="36.33203125" style="4" bestFit="1" customWidth="1"/>
    <col min="11" max="11" width="9"/>
    <col min="12" max="26" width="10.75" style="4" customWidth="1"/>
    <col min="27" max="16384" width="11.25" style="4"/>
  </cols>
  <sheetData>
    <row r="1" spans="2:10" ht="15.5" x14ac:dyDescent="0.35">
      <c r="B1" s="191" t="s">
        <v>191</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2"/>
      <c r="C7" s="192"/>
      <c r="D7" s="192"/>
      <c r="E7" s="192"/>
      <c r="F7" s="192"/>
      <c r="G7" s="192"/>
      <c r="H7" s="192"/>
      <c r="I7" s="1"/>
      <c r="J7" s="10" t="s">
        <v>7</v>
      </c>
    </row>
    <row r="8" spans="2:10" ht="24" customHeight="1" x14ac:dyDescent="0.35">
      <c r="B8" s="12" t="s">
        <v>8</v>
      </c>
      <c r="C8" s="12" t="s">
        <v>9</v>
      </c>
      <c r="D8" s="12" t="s">
        <v>10</v>
      </c>
      <c r="E8" s="12" t="s">
        <v>11</v>
      </c>
      <c r="F8" s="12" t="s">
        <v>12</v>
      </c>
      <c r="G8" s="12" t="s">
        <v>13</v>
      </c>
      <c r="H8" s="12" t="s">
        <v>14</v>
      </c>
      <c r="I8" s="2"/>
      <c r="J8" s="66" t="s">
        <v>116</v>
      </c>
    </row>
    <row r="9" spans="2:10" ht="24" customHeight="1" x14ac:dyDescent="0.35">
      <c r="B9" s="37"/>
      <c r="C9" s="155"/>
      <c r="D9" s="155"/>
      <c r="E9" s="152">
        <f>D9+1</f>
        <v>1</v>
      </c>
      <c r="F9" s="152">
        <f>E9+1</f>
        <v>2</v>
      </c>
      <c r="G9" s="152">
        <f>F9+1</f>
        <v>3</v>
      </c>
      <c r="H9" s="152">
        <f>G9+1</f>
        <v>4</v>
      </c>
      <c r="I9" s="3"/>
      <c r="J9" s="127" t="s">
        <v>15</v>
      </c>
    </row>
    <row r="10" spans="2:10" ht="87.5" x14ac:dyDescent="0.35">
      <c r="B10" s="14"/>
      <c r="C10" s="156"/>
      <c r="D10" s="156"/>
      <c r="E10" s="150" t="s">
        <v>192</v>
      </c>
      <c r="F10" s="157"/>
      <c r="G10" s="111" t="s">
        <v>193</v>
      </c>
      <c r="H10" s="158"/>
      <c r="I10" s="3"/>
      <c r="J10" s="71"/>
    </row>
    <row r="11" spans="2:10" ht="25" x14ac:dyDescent="0.35">
      <c r="B11" s="14"/>
      <c r="C11" s="156"/>
      <c r="D11" s="156"/>
      <c r="E11" s="159" t="s">
        <v>194</v>
      </c>
      <c r="F11" s="158"/>
      <c r="G11" s="158"/>
      <c r="H11" s="158"/>
      <c r="I11" s="3"/>
      <c r="J11" s="71"/>
    </row>
    <row r="12" spans="2:10" ht="24" customHeight="1" x14ac:dyDescent="0.35">
      <c r="B12" s="14"/>
      <c r="C12" s="156"/>
      <c r="D12" s="156"/>
      <c r="E12" s="160" t="s">
        <v>195</v>
      </c>
      <c r="F12" s="161"/>
      <c r="G12" s="161"/>
      <c r="H12" s="161"/>
      <c r="I12" s="3"/>
      <c r="J12" s="71"/>
    </row>
    <row r="13" spans="2:10" ht="15.5" x14ac:dyDescent="0.35">
      <c r="B13" s="46"/>
      <c r="C13" s="162"/>
      <c r="D13" s="162"/>
      <c r="E13" s="160" t="s">
        <v>196</v>
      </c>
      <c r="F13" s="160"/>
      <c r="G13" s="160" t="s">
        <v>197</v>
      </c>
      <c r="H13" s="160"/>
      <c r="I13" s="2"/>
      <c r="J13" s="71"/>
    </row>
    <row r="14" spans="2:10" ht="24" customHeight="1" x14ac:dyDescent="0.35">
      <c r="B14" s="13">
        <f>H9+1</f>
        <v>5</v>
      </c>
      <c r="C14" s="152">
        <f t="shared" ref="C14:H14" si="0">B14+1</f>
        <v>6</v>
      </c>
      <c r="D14" s="152">
        <f t="shared" si="0"/>
        <v>7</v>
      </c>
      <c r="E14" s="152">
        <f t="shared" si="0"/>
        <v>8</v>
      </c>
      <c r="F14" s="152">
        <f t="shared" si="0"/>
        <v>9</v>
      </c>
      <c r="G14" s="152">
        <f t="shared" si="0"/>
        <v>10</v>
      </c>
      <c r="H14" s="152">
        <f t="shared" si="0"/>
        <v>11</v>
      </c>
      <c r="I14" s="3"/>
      <c r="J14" s="68"/>
    </row>
    <row r="15" spans="2:10" ht="37.5" x14ac:dyDescent="0.35">
      <c r="B15" s="89"/>
      <c r="C15" s="158"/>
      <c r="D15" s="164"/>
      <c r="E15" s="111" t="s">
        <v>198</v>
      </c>
      <c r="F15" s="111" t="s">
        <v>199</v>
      </c>
      <c r="G15" s="88"/>
      <c r="H15" s="161"/>
      <c r="I15" s="3"/>
      <c r="J15" s="71"/>
    </row>
    <row r="16" spans="2:10" ht="15" customHeight="1" x14ac:dyDescent="0.35">
      <c r="B16" s="16"/>
      <c r="C16" s="161"/>
      <c r="D16" s="161"/>
      <c r="E16" s="161"/>
      <c r="F16" s="161"/>
      <c r="G16" s="161"/>
      <c r="H16" s="161"/>
      <c r="J16" s="71"/>
    </row>
    <row r="17" spans="2:10" ht="15" customHeight="1" x14ac:dyDescent="0.35">
      <c r="B17" s="89" t="s">
        <v>200</v>
      </c>
      <c r="C17" s="158" t="s">
        <v>201</v>
      </c>
      <c r="D17" s="161"/>
      <c r="E17" s="161"/>
      <c r="F17" s="161"/>
      <c r="G17" s="161"/>
      <c r="H17" s="161"/>
      <c r="J17" s="71"/>
    </row>
    <row r="18" spans="2:10" ht="24" customHeight="1" x14ac:dyDescent="0.35">
      <c r="B18" s="13">
        <f>H14+1</f>
        <v>12</v>
      </c>
      <c r="C18" s="152">
        <f t="shared" ref="C18:H18" si="1">B18+1</f>
        <v>13</v>
      </c>
      <c r="D18" s="152">
        <f t="shared" si="1"/>
        <v>14</v>
      </c>
      <c r="E18" s="152">
        <f t="shared" si="1"/>
        <v>15</v>
      </c>
      <c r="F18" s="152">
        <f t="shared" si="1"/>
        <v>16</v>
      </c>
      <c r="G18" s="152">
        <f t="shared" si="1"/>
        <v>17</v>
      </c>
      <c r="H18" s="152">
        <f t="shared" si="1"/>
        <v>18</v>
      </c>
      <c r="J18" s="68"/>
    </row>
    <row r="19" spans="2:10" ht="138.5" x14ac:dyDescent="0.35">
      <c r="B19" s="16"/>
      <c r="C19" s="104" t="s">
        <v>202</v>
      </c>
      <c r="D19" s="163"/>
      <c r="E19" s="163"/>
      <c r="F19" s="150" t="s">
        <v>203</v>
      </c>
      <c r="G19" s="161"/>
      <c r="H19" s="161"/>
      <c r="J19" s="71"/>
    </row>
    <row r="20" spans="2:10" ht="74.25" customHeight="1" x14ac:dyDescent="0.35">
      <c r="B20" s="16"/>
      <c r="C20" s="111" t="s">
        <v>204</v>
      </c>
      <c r="D20" s="164"/>
      <c r="F20" s="150" t="s">
        <v>205</v>
      </c>
      <c r="G20" s="161"/>
      <c r="H20" s="161"/>
      <c r="J20" s="71"/>
    </row>
    <row r="21" spans="2:10" ht="15.5" x14ac:dyDescent="0.35">
      <c r="B21" s="18" t="s">
        <v>206</v>
      </c>
      <c r="C21" s="165"/>
      <c r="D21" s="165"/>
      <c r="E21" s="160" t="s">
        <v>207</v>
      </c>
      <c r="F21" s="160"/>
      <c r="G21" s="165"/>
      <c r="H21" s="165"/>
      <c r="J21" s="71"/>
    </row>
    <row r="22" spans="2:10" ht="24" customHeight="1" x14ac:dyDescent="0.35">
      <c r="B22" s="13">
        <f>H18+1</f>
        <v>19</v>
      </c>
      <c r="C22" s="152">
        <f t="shared" ref="C22:H22" si="2">B22+1</f>
        <v>20</v>
      </c>
      <c r="D22" s="152">
        <f t="shared" si="2"/>
        <v>21</v>
      </c>
      <c r="E22" s="152">
        <f t="shared" si="2"/>
        <v>22</v>
      </c>
      <c r="F22" s="152">
        <f t="shared" si="2"/>
        <v>23</v>
      </c>
      <c r="G22" s="152">
        <f t="shared" si="2"/>
        <v>24</v>
      </c>
      <c r="H22" s="152">
        <f t="shared" si="2"/>
        <v>25</v>
      </c>
      <c r="J22" s="71"/>
    </row>
    <row r="23" spans="2:10" ht="108.75" customHeight="1" x14ac:dyDescent="0.35">
      <c r="B23" s="16"/>
      <c r="C23" s="188"/>
      <c r="D23" s="154" t="s">
        <v>208</v>
      </c>
      <c r="E23" s="161"/>
      <c r="F23" s="111" t="s">
        <v>209</v>
      </c>
      <c r="H23" s="108" t="s">
        <v>210</v>
      </c>
      <c r="J23" s="71"/>
    </row>
    <row r="24" spans="2:10" ht="128.25" customHeight="1" x14ac:dyDescent="0.35">
      <c r="B24" s="16"/>
      <c r="C24" s="150" t="s">
        <v>211</v>
      </c>
      <c r="D24" s="166" t="s">
        <v>212</v>
      </c>
      <c r="E24" s="161"/>
      <c r="F24" s="187" t="s">
        <v>213</v>
      </c>
      <c r="G24" s="161"/>
      <c r="H24" s="161"/>
      <c r="J24" s="71"/>
    </row>
    <row r="25" spans="2:10" ht="41.25" customHeight="1" x14ac:dyDescent="0.35">
      <c r="B25" s="16"/>
      <c r="C25" s="161"/>
      <c r="E25" s="88" t="s">
        <v>214</v>
      </c>
      <c r="G25" s="161"/>
      <c r="H25" s="161"/>
      <c r="J25" s="67"/>
    </row>
    <row r="26" spans="2:10" ht="19.5" customHeight="1" x14ac:dyDescent="0.35">
      <c r="B26" s="13">
        <f>H22+1</f>
        <v>26</v>
      </c>
      <c r="C26" s="152">
        <f t="shared" ref="C26" si="3">B26+1</f>
        <v>27</v>
      </c>
      <c r="D26" s="152">
        <f t="shared" ref="D26" si="4">C26+1</f>
        <v>28</v>
      </c>
      <c r="E26" s="152">
        <f>D26+1</f>
        <v>29</v>
      </c>
      <c r="F26" s="152">
        <f t="shared" ref="F26" si="5">E26+1</f>
        <v>30</v>
      </c>
      <c r="G26" s="155"/>
      <c r="H26" s="155"/>
      <c r="J26" s="71"/>
    </row>
    <row r="27" spans="2:10" ht="55.5" customHeight="1" x14ac:dyDescent="0.35">
      <c r="B27" s="17"/>
      <c r="E27" s="99" t="s">
        <v>215</v>
      </c>
      <c r="F27" s="186" t="s">
        <v>216</v>
      </c>
      <c r="G27" s="162"/>
      <c r="H27" s="162"/>
      <c r="J27" s="71"/>
    </row>
    <row r="28" spans="2:10" ht="24" customHeight="1" x14ac:dyDescent="0.35">
      <c r="B28" s="19" t="s">
        <v>24</v>
      </c>
      <c r="C28" s="38"/>
      <c r="D28" s="38"/>
      <c r="E28" s="38"/>
      <c r="F28" s="38"/>
      <c r="G28" s="38"/>
      <c r="H28" s="40"/>
      <c r="J28" s="71"/>
    </row>
    <row r="29" spans="2:10" ht="15" customHeight="1" x14ac:dyDescent="0.35">
      <c r="J29" s="71"/>
    </row>
    <row r="30" spans="2:10" ht="15" customHeight="1" x14ac:dyDescent="0.35">
      <c r="J30" s="67"/>
    </row>
    <row r="31" spans="2:10" ht="15" customHeight="1" x14ac:dyDescent="0.35">
      <c r="J31" s="67"/>
    </row>
    <row r="32" spans="2:10" ht="15" customHeight="1" x14ac:dyDescent="0.35">
      <c r="J32" s="67"/>
    </row>
  </sheetData>
  <mergeCells count="1">
    <mergeCell ref="B1:H7"/>
  </mergeCells>
  <printOptions horizontalCentered="1" verticalCentered="1"/>
  <pageMargins left="0.3" right="0.3" top="0.3" bottom="0.3"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496B0"/>
  </sheetPr>
  <dimension ref="B1:J22"/>
  <sheetViews>
    <sheetView showGridLines="0" topLeftCell="B18" workbookViewId="0">
      <selection activeCell="I20" sqref="I20"/>
    </sheetView>
  </sheetViews>
  <sheetFormatPr defaultColWidth="11.25" defaultRowHeight="15" customHeight="1" x14ac:dyDescent="0.35"/>
  <cols>
    <col min="1" max="1" width="3.25" style="4" customWidth="1"/>
    <col min="2" max="2" width="16.75" style="4" customWidth="1"/>
    <col min="3" max="3" width="28.08203125" style="4" customWidth="1"/>
    <col min="4" max="4" width="21.25" style="4" customWidth="1"/>
    <col min="5" max="5" width="16.75" style="4" customWidth="1"/>
    <col min="6" max="6" width="31.33203125" style="4" customWidth="1"/>
    <col min="7" max="7" width="18.33203125" style="4" customWidth="1"/>
    <col min="8" max="8" width="16.75" style="4" customWidth="1"/>
    <col min="9" max="9" width="10.75" style="4" customWidth="1"/>
    <col min="10" max="10" width="30.33203125" style="4" bestFit="1" customWidth="1"/>
    <col min="11" max="26" width="10.75" style="4" customWidth="1"/>
    <col min="27" max="16384" width="11.25" style="4"/>
  </cols>
  <sheetData>
    <row r="1" spans="2:10" ht="15.5" x14ac:dyDescent="0.35">
      <c r="B1" s="191" t="s">
        <v>217</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2"/>
      <c r="C7" s="192"/>
      <c r="D7" s="192"/>
      <c r="E7" s="192"/>
      <c r="F7" s="192"/>
      <c r="G7" s="192"/>
      <c r="H7" s="192"/>
      <c r="I7" s="1"/>
      <c r="J7" s="10" t="s">
        <v>7</v>
      </c>
    </row>
    <row r="8" spans="2:10" ht="24" customHeight="1" x14ac:dyDescent="0.35">
      <c r="B8" s="12" t="s">
        <v>8</v>
      </c>
      <c r="C8" s="12" t="s">
        <v>9</v>
      </c>
      <c r="D8" s="12" t="s">
        <v>10</v>
      </c>
      <c r="E8" s="12" t="s">
        <v>11</v>
      </c>
      <c r="F8" s="12" t="s">
        <v>12</v>
      </c>
      <c r="G8" s="12" t="s">
        <v>13</v>
      </c>
      <c r="H8" s="12" t="s">
        <v>14</v>
      </c>
      <c r="I8" s="2"/>
      <c r="J8" s="66" t="s">
        <v>116</v>
      </c>
    </row>
    <row r="9" spans="2:10" ht="24" customHeight="1" x14ac:dyDescent="0.35">
      <c r="B9" s="37"/>
      <c r="C9" s="37"/>
      <c r="D9" s="37"/>
      <c r="E9" s="37"/>
      <c r="F9" s="37"/>
      <c r="G9" s="41">
        <v>1</v>
      </c>
      <c r="H9" s="13">
        <f t="shared" ref="H9" si="0">G9+1</f>
        <v>2</v>
      </c>
      <c r="I9" s="3"/>
      <c r="J9" s="127" t="s">
        <v>15</v>
      </c>
    </row>
    <row r="10" spans="2:10" ht="55.5" customHeight="1" x14ac:dyDescent="0.35">
      <c r="B10" s="48"/>
      <c r="C10" s="48"/>
      <c r="D10" s="48"/>
      <c r="E10" s="48"/>
      <c r="F10" s="48"/>
      <c r="G10" s="88"/>
      <c r="H10" s="17"/>
      <c r="I10" s="2"/>
      <c r="J10" s="2"/>
    </row>
    <row r="11" spans="2:10" ht="24" customHeight="1" x14ac:dyDescent="0.35">
      <c r="B11" s="13">
        <f>H9+1</f>
        <v>3</v>
      </c>
      <c r="C11" s="13">
        <f t="shared" ref="C11:H11" si="1">B11+1</f>
        <v>4</v>
      </c>
      <c r="D11" s="13">
        <f t="shared" si="1"/>
        <v>5</v>
      </c>
      <c r="E11" s="13">
        <f t="shared" si="1"/>
        <v>6</v>
      </c>
      <c r="F11" s="13">
        <f t="shared" si="1"/>
        <v>7</v>
      </c>
      <c r="G11" s="13">
        <f t="shared" si="1"/>
        <v>8</v>
      </c>
      <c r="H11" s="13">
        <f t="shared" si="1"/>
        <v>9</v>
      </c>
      <c r="I11" s="3"/>
      <c r="J11" s="3"/>
    </row>
    <row r="12" spans="2:10" ht="133.5" customHeight="1" x14ac:dyDescent="0.35">
      <c r="B12" s="16"/>
      <c r="C12" s="16"/>
      <c r="D12" s="95" t="s">
        <v>218</v>
      </c>
      <c r="F12" s="141" t="s">
        <v>219</v>
      </c>
      <c r="G12" s="154" t="s">
        <v>220</v>
      </c>
      <c r="H12" s="16"/>
      <c r="I12" s="3"/>
      <c r="J12" s="3"/>
    </row>
    <row r="13" spans="2:10" ht="44.25" customHeight="1" x14ac:dyDescent="0.35">
      <c r="B13" s="18"/>
      <c r="D13" s="142" t="s">
        <v>221</v>
      </c>
      <c r="F13" s="189"/>
      <c r="H13" s="17"/>
      <c r="I13" s="2"/>
      <c r="J13" s="2"/>
    </row>
    <row r="14" spans="2:10" ht="24" customHeight="1" x14ac:dyDescent="0.35">
      <c r="B14" s="13">
        <f>H11+1</f>
        <v>10</v>
      </c>
      <c r="C14" s="13">
        <f t="shared" ref="C14:H14" si="2">B14+1</f>
        <v>11</v>
      </c>
      <c r="D14" s="13">
        <f t="shared" si="2"/>
        <v>12</v>
      </c>
      <c r="E14" s="13">
        <f t="shared" si="2"/>
        <v>13</v>
      </c>
      <c r="F14" s="13">
        <f t="shared" si="2"/>
        <v>14</v>
      </c>
      <c r="G14" s="13">
        <f t="shared" si="2"/>
        <v>15</v>
      </c>
      <c r="H14" s="13">
        <f t="shared" si="2"/>
        <v>16</v>
      </c>
      <c r="I14" s="3"/>
      <c r="J14" s="3"/>
    </row>
    <row r="15" spans="2:10" ht="150.75" customHeight="1" x14ac:dyDescent="0.35">
      <c r="B15" s="18" t="s">
        <v>222</v>
      </c>
      <c r="C15" s="27"/>
      <c r="D15" s="95" t="s">
        <v>223</v>
      </c>
      <c r="E15" s="95" t="s">
        <v>224</v>
      </c>
      <c r="F15" s="27"/>
      <c r="G15" s="95" t="s">
        <v>225</v>
      </c>
      <c r="H15" s="27"/>
      <c r="I15" s="2"/>
      <c r="J15" s="2"/>
    </row>
    <row r="16" spans="2:10" ht="24" customHeight="1" x14ac:dyDescent="0.35">
      <c r="B16" s="42">
        <f>H14+1</f>
        <v>17</v>
      </c>
      <c r="C16" s="42">
        <f t="shared" ref="C16:H16" si="3">B16+1</f>
        <v>18</v>
      </c>
      <c r="D16" s="42">
        <f t="shared" si="3"/>
        <v>19</v>
      </c>
      <c r="E16" s="13">
        <f t="shared" si="3"/>
        <v>20</v>
      </c>
      <c r="F16" s="13">
        <f t="shared" si="3"/>
        <v>21</v>
      </c>
      <c r="G16" s="13">
        <f t="shared" si="3"/>
        <v>22</v>
      </c>
      <c r="H16" s="13">
        <f t="shared" si="3"/>
        <v>23</v>
      </c>
      <c r="I16" s="3"/>
      <c r="J16" s="3"/>
    </row>
    <row r="17" spans="2:8" ht="108.75" customHeight="1" x14ac:dyDescent="0.35">
      <c r="B17" s="45"/>
      <c r="C17" s="95" t="s">
        <v>226</v>
      </c>
      <c r="D17" s="189"/>
      <c r="E17" s="141" t="s">
        <v>227</v>
      </c>
      <c r="F17" s="141" t="s">
        <v>228</v>
      </c>
      <c r="G17" s="125" t="s">
        <v>229</v>
      </c>
      <c r="H17" s="88"/>
    </row>
    <row r="18" spans="2:8" ht="87.75" customHeight="1" x14ac:dyDescent="0.35">
      <c r="C18" s="190"/>
      <c r="H18" s="88"/>
    </row>
    <row r="19" spans="2:8" ht="24" customHeight="1" x14ac:dyDescent="0.35">
      <c r="B19" s="13">
        <f>H16+1</f>
        <v>24</v>
      </c>
      <c r="C19" s="42">
        <f t="shared" ref="C19:H19" si="4">B19+1</f>
        <v>25</v>
      </c>
      <c r="D19" s="42">
        <f t="shared" si="4"/>
        <v>26</v>
      </c>
      <c r="E19" s="42">
        <f t="shared" si="4"/>
        <v>27</v>
      </c>
      <c r="F19" s="42">
        <f t="shared" si="4"/>
        <v>28</v>
      </c>
      <c r="G19" s="42">
        <f t="shared" si="4"/>
        <v>29</v>
      </c>
      <c r="H19" s="42">
        <f t="shared" si="4"/>
        <v>30</v>
      </c>
    </row>
    <row r="20" spans="2:8" ht="90.75" customHeight="1" x14ac:dyDescent="0.35">
      <c r="B20" s="16"/>
      <c r="D20" s="167" t="s">
        <v>230</v>
      </c>
      <c r="F20" s="141" t="s">
        <v>231</v>
      </c>
      <c r="G20" s="112" t="s">
        <v>232</v>
      </c>
      <c r="H20" s="185"/>
    </row>
    <row r="21" spans="2:8" ht="95.25" customHeight="1" x14ac:dyDescent="0.35">
      <c r="B21" s="17"/>
      <c r="C21" s="18" t="s">
        <v>233</v>
      </c>
      <c r="D21" s="111" t="s">
        <v>234</v>
      </c>
      <c r="E21" s="45" t="s">
        <v>235</v>
      </c>
      <c r="G21" s="17"/>
      <c r="H21" s="45"/>
    </row>
    <row r="22" spans="2:8" ht="24" customHeight="1" x14ac:dyDescent="0.35">
      <c r="B22" s="19" t="s">
        <v>24</v>
      </c>
      <c r="C22" s="38"/>
      <c r="D22" s="38"/>
      <c r="E22" s="38"/>
      <c r="F22" s="38"/>
      <c r="G22" s="38"/>
      <c r="H22" s="38"/>
    </row>
  </sheetData>
  <mergeCells count="1">
    <mergeCell ref="B1:H7"/>
  </mergeCells>
  <printOptions horizontalCentered="1" verticalCentered="1"/>
  <pageMargins left="0.3" right="0.3" top="0.3" bottom="0.3" header="0" footer="0"/>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FF420-BEB9-4CDD-AC09-FAEE63789E4E}">
  <sheetPr>
    <tabColor rgb="FF222A35"/>
  </sheetPr>
  <dimension ref="B1:K33"/>
  <sheetViews>
    <sheetView showGridLines="0" topLeftCell="A18" workbookViewId="0">
      <selection activeCell="C18" sqref="C18"/>
    </sheetView>
  </sheetViews>
  <sheetFormatPr defaultColWidth="11.25" defaultRowHeight="15" customHeight="1" x14ac:dyDescent="0.35"/>
  <cols>
    <col min="1" max="1" width="3.25" style="4" customWidth="1"/>
    <col min="2" max="2" width="16.75" style="4" customWidth="1"/>
    <col min="3" max="3" width="21" style="4" customWidth="1"/>
    <col min="4" max="4" width="27.83203125" style="4" customWidth="1"/>
    <col min="5" max="5" width="21.58203125" style="4" customWidth="1"/>
    <col min="6" max="6" width="16.75" style="4" customWidth="1"/>
    <col min="7" max="7" width="20.25" style="4" customWidth="1"/>
    <col min="8" max="8" width="16.75" style="4" customWidth="1"/>
    <col min="9" max="9" width="10.75" style="4" customWidth="1"/>
    <col min="10" max="10" width="36.33203125" style="4" bestFit="1" customWidth="1"/>
    <col min="11" max="11" width="9"/>
    <col min="12" max="26" width="10.75" style="4" customWidth="1"/>
    <col min="27" max="16384" width="11.25" style="4"/>
  </cols>
  <sheetData>
    <row r="1" spans="2:10" ht="15.5" x14ac:dyDescent="0.35">
      <c r="B1" s="191" t="s">
        <v>236</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2"/>
      <c r="C7" s="192"/>
      <c r="D7" s="192"/>
      <c r="E7" s="192"/>
      <c r="F7" s="192"/>
      <c r="G7" s="192"/>
      <c r="H7" s="192"/>
      <c r="I7" s="1"/>
      <c r="J7" s="10" t="s">
        <v>7</v>
      </c>
    </row>
    <row r="8" spans="2:10" ht="24" customHeight="1" x14ac:dyDescent="0.35">
      <c r="B8" s="12" t="s">
        <v>8</v>
      </c>
      <c r="C8" s="12" t="s">
        <v>9</v>
      </c>
      <c r="D8" s="12" t="s">
        <v>10</v>
      </c>
      <c r="E8" s="12" t="s">
        <v>11</v>
      </c>
      <c r="F8" s="12" t="s">
        <v>12</v>
      </c>
      <c r="G8" s="12" t="s">
        <v>13</v>
      </c>
      <c r="H8" s="12" t="s">
        <v>14</v>
      </c>
      <c r="I8" s="2"/>
      <c r="J8" s="66" t="s">
        <v>116</v>
      </c>
    </row>
    <row r="9" spans="2:10" ht="24" customHeight="1" x14ac:dyDescent="0.35">
      <c r="B9" s="37"/>
      <c r="C9" s="13">
        <f t="shared" ref="C9:H9" si="0">B9+1</f>
        <v>1</v>
      </c>
      <c r="D9" s="13">
        <f t="shared" si="0"/>
        <v>2</v>
      </c>
      <c r="E9" s="13">
        <f t="shared" si="0"/>
        <v>3</v>
      </c>
      <c r="F9" s="13">
        <f t="shared" si="0"/>
        <v>4</v>
      </c>
      <c r="G9" s="13">
        <f t="shared" si="0"/>
        <v>5</v>
      </c>
      <c r="H9" s="13">
        <f t="shared" si="0"/>
        <v>6</v>
      </c>
      <c r="I9" s="3"/>
      <c r="J9" s="127" t="s">
        <v>15</v>
      </c>
    </row>
    <row r="10" spans="2:10" ht="159.75" customHeight="1" x14ac:dyDescent="0.35">
      <c r="B10" s="14"/>
      <c r="D10" s="107" t="s">
        <v>237</v>
      </c>
      <c r="F10" s="107" t="s">
        <v>238</v>
      </c>
      <c r="G10" s="109" t="s">
        <v>239</v>
      </c>
      <c r="H10" s="16"/>
      <c r="I10" s="3"/>
      <c r="J10" s="71"/>
    </row>
    <row r="11" spans="2:10" ht="84.5" x14ac:dyDescent="0.35">
      <c r="B11" s="46"/>
      <c r="C11" s="16"/>
      <c r="D11" s="141" t="s">
        <v>240</v>
      </c>
      <c r="E11" s="113" t="s">
        <v>241</v>
      </c>
      <c r="F11" s="107" t="s">
        <v>242</v>
      </c>
      <c r="G11" s="126" t="s">
        <v>243</v>
      </c>
      <c r="H11" s="17"/>
      <c r="I11" s="2"/>
      <c r="J11" s="71"/>
    </row>
    <row r="12" spans="2:10" ht="31" x14ac:dyDescent="0.35">
      <c r="B12" s="170"/>
      <c r="C12" s="16"/>
      <c r="D12" s="16"/>
      <c r="E12" s="16"/>
      <c r="F12" s="169"/>
      <c r="G12" s="126" t="s">
        <v>243</v>
      </c>
      <c r="H12" s="171"/>
      <c r="I12" s="2"/>
      <c r="J12" s="71"/>
    </row>
    <row r="13" spans="2:10" ht="24" customHeight="1" x14ac:dyDescent="0.35">
      <c r="B13" s="13">
        <f>H9+1</f>
        <v>7</v>
      </c>
      <c r="C13" s="13">
        <f t="shared" ref="C13:H13" si="1">B13+1</f>
        <v>8</v>
      </c>
      <c r="D13" s="13">
        <f t="shared" si="1"/>
        <v>9</v>
      </c>
      <c r="E13" s="13">
        <f t="shared" si="1"/>
        <v>10</v>
      </c>
      <c r="F13" s="13">
        <f t="shared" si="1"/>
        <v>11</v>
      </c>
      <c r="G13" s="13">
        <f t="shared" si="1"/>
        <v>12</v>
      </c>
      <c r="H13" s="13">
        <f t="shared" si="1"/>
        <v>13</v>
      </c>
      <c r="I13" s="3"/>
      <c r="J13" s="68"/>
    </row>
    <row r="14" spans="2:10" ht="93" x14ac:dyDescent="0.35">
      <c r="B14" s="89"/>
      <c r="D14" s="107" t="s">
        <v>244</v>
      </c>
      <c r="E14" s="107" t="s">
        <v>245</v>
      </c>
      <c r="F14" s="107" t="s">
        <v>246</v>
      </c>
      <c r="G14" s="114" t="s">
        <v>247</v>
      </c>
      <c r="H14" s="16"/>
      <c r="I14" s="3"/>
      <c r="J14" s="71"/>
    </row>
    <row r="15" spans="2:10" ht="59.25" customHeight="1" x14ac:dyDescent="0.35">
      <c r="B15" s="16"/>
      <c r="D15" s="179"/>
      <c r="E15" s="89"/>
      <c r="F15" s="89"/>
      <c r="G15" s="158"/>
      <c r="H15" s="16"/>
      <c r="J15" s="71"/>
    </row>
    <row r="16" spans="2:10" ht="15" customHeight="1" x14ac:dyDescent="0.35">
      <c r="B16" s="16"/>
      <c r="C16" s="16"/>
      <c r="D16" s="16"/>
      <c r="E16" s="16"/>
      <c r="F16" s="16"/>
      <c r="G16" s="16"/>
      <c r="H16" s="16"/>
      <c r="J16" s="71"/>
    </row>
    <row r="17" spans="2:11" ht="24" customHeight="1" x14ac:dyDescent="0.35">
      <c r="B17" s="13">
        <f>H13+1</f>
        <v>14</v>
      </c>
      <c r="C17" s="13">
        <f t="shared" ref="C17:H17" si="2">B17+1</f>
        <v>15</v>
      </c>
      <c r="D17" s="13">
        <f t="shared" si="2"/>
        <v>16</v>
      </c>
      <c r="E17" s="13">
        <f t="shared" si="2"/>
        <v>17</v>
      </c>
      <c r="F17" s="13">
        <f t="shared" si="2"/>
        <v>18</v>
      </c>
      <c r="G17" s="13">
        <f t="shared" si="2"/>
        <v>19</v>
      </c>
      <c r="H17" s="13">
        <f t="shared" si="2"/>
        <v>20</v>
      </c>
      <c r="J17" s="68"/>
    </row>
    <row r="18" spans="2:11" ht="139.5" x14ac:dyDescent="0.35">
      <c r="B18" s="16"/>
      <c r="C18" s="109" t="s">
        <v>248</v>
      </c>
      <c r="D18" s="107" t="s">
        <v>249</v>
      </c>
      <c r="E18" s="110" t="s">
        <v>250</v>
      </c>
      <c r="F18" s="107" t="s">
        <v>251</v>
      </c>
      <c r="G18" s="16"/>
      <c r="H18" s="93" t="s">
        <v>252</v>
      </c>
      <c r="J18" s="71"/>
    </row>
    <row r="19" spans="2:11" ht="75" customHeight="1" x14ac:dyDescent="0.35">
      <c r="B19" s="16"/>
      <c r="C19" s="107" t="s">
        <v>253</v>
      </c>
      <c r="D19" s="107" t="s">
        <v>254</v>
      </c>
      <c r="E19" s="169"/>
      <c r="F19" s="169"/>
      <c r="G19" s="16"/>
      <c r="H19" s="107" t="s">
        <v>255</v>
      </c>
      <c r="J19" s="71"/>
    </row>
    <row r="20" spans="2:11" ht="31" x14ac:dyDescent="0.35">
      <c r="B20" s="18" t="s">
        <v>17</v>
      </c>
      <c r="C20" s="18"/>
      <c r="D20" s="126" t="s">
        <v>256</v>
      </c>
      <c r="F20" s="17"/>
      <c r="G20" s="18" t="s">
        <v>20</v>
      </c>
      <c r="H20" s="124" t="s">
        <v>257</v>
      </c>
      <c r="J20" s="71"/>
    </row>
    <row r="21" spans="2:11" ht="24" customHeight="1" x14ac:dyDescent="0.35">
      <c r="B21" s="13">
        <f>H17+1</f>
        <v>21</v>
      </c>
      <c r="C21" s="13">
        <f t="shared" ref="C21:F21" si="3">B21+1</f>
        <v>22</v>
      </c>
      <c r="D21" s="13">
        <f t="shared" si="3"/>
        <v>23</v>
      </c>
      <c r="E21" s="13">
        <f t="shared" si="3"/>
        <v>24</v>
      </c>
      <c r="F21" s="13">
        <f t="shared" si="3"/>
        <v>25</v>
      </c>
      <c r="G21" s="13">
        <f>F21+1</f>
        <v>26</v>
      </c>
      <c r="H21" s="13">
        <f>G21+1</f>
        <v>27</v>
      </c>
      <c r="J21" s="71"/>
    </row>
    <row r="22" spans="2:11" ht="24" customHeight="1" x14ac:dyDescent="0.35">
      <c r="B22" s="107" t="s">
        <v>258</v>
      </c>
      <c r="C22" s="107" t="s">
        <v>259</v>
      </c>
      <c r="D22" s="107" t="s">
        <v>260</v>
      </c>
      <c r="E22" s="107" t="s">
        <v>261</v>
      </c>
      <c r="F22" s="107" t="s">
        <v>262</v>
      </c>
      <c r="G22" s="16"/>
      <c r="H22" s="16"/>
      <c r="J22" s="71"/>
    </row>
    <row r="23" spans="2:11" ht="46.5" x14ac:dyDescent="0.35">
      <c r="B23" s="93" t="s">
        <v>252</v>
      </c>
      <c r="C23" s="93" t="s">
        <v>252</v>
      </c>
      <c r="D23" s="93" t="s">
        <v>252</v>
      </c>
      <c r="E23" s="93" t="s">
        <v>252</v>
      </c>
      <c r="F23" s="114" t="s">
        <v>263</v>
      </c>
      <c r="G23" s="16"/>
      <c r="H23" s="16"/>
      <c r="J23" s="71"/>
    </row>
    <row r="24" spans="2:11" s="119" customFormat="1" ht="24" customHeight="1" x14ac:dyDescent="0.35">
      <c r="B24" s="124" t="s">
        <v>264</v>
      </c>
      <c r="C24" s="124" t="s">
        <v>265</v>
      </c>
      <c r="D24" s="124" t="s">
        <v>266</v>
      </c>
      <c r="E24" s="124" t="s">
        <v>267</v>
      </c>
      <c r="F24" s="121"/>
      <c r="G24" s="120"/>
      <c r="H24" s="120"/>
      <c r="J24" s="122"/>
      <c r="K24" s="123"/>
    </row>
    <row r="25" spans="2:11" s="119" customFormat="1" ht="43.5" customHeight="1" x14ac:dyDescent="0.35">
      <c r="B25" s="126" t="s">
        <v>268</v>
      </c>
      <c r="C25" s="172"/>
      <c r="D25" s="126" t="s">
        <v>268</v>
      </c>
      <c r="F25" s="121"/>
      <c r="G25" s="120"/>
      <c r="H25" s="120"/>
      <c r="J25" s="122"/>
      <c r="K25" s="123"/>
    </row>
    <row r="26" spans="2:11" ht="33" customHeight="1" x14ac:dyDescent="0.35">
      <c r="B26" s="18" t="s">
        <v>19</v>
      </c>
      <c r="C26" s="16"/>
      <c r="D26" s="16"/>
      <c r="E26" s="31"/>
      <c r="G26" s="18" t="s">
        <v>30</v>
      </c>
      <c r="H26" s="16"/>
      <c r="J26" s="67"/>
    </row>
    <row r="27" spans="2:11" ht="24" customHeight="1" x14ac:dyDescent="0.35">
      <c r="B27" s="13">
        <f>H21+1</f>
        <v>28</v>
      </c>
      <c r="C27" s="13">
        <f t="shared" ref="C27:D27" si="4">B27+1</f>
        <v>29</v>
      </c>
      <c r="D27" s="13">
        <f t="shared" si="4"/>
        <v>30</v>
      </c>
      <c r="E27" s="37"/>
      <c r="F27" s="37"/>
      <c r="G27" s="37"/>
      <c r="H27" s="37"/>
      <c r="J27" s="71"/>
    </row>
    <row r="28" spans="2:11" ht="55.5" customHeight="1" x14ac:dyDescent="0.35">
      <c r="B28" s="17"/>
      <c r="C28" s="114" t="s">
        <v>269</v>
      </c>
      <c r="D28" s="126" t="s">
        <v>270</v>
      </c>
      <c r="E28" s="46"/>
      <c r="F28" s="46"/>
      <c r="G28" s="46"/>
      <c r="H28" s="46"/>
      <c r="J28" s="71"/>
    </row>
    <row r="29" spans="2:11" ht="24" customHeight="1" x14ac:dyDescent="0.35">
      <c r="B29" s="19" t="s">
        <v>24</v>
      </c>
      <c r="C29" s="38"/>
      <c r="D29" s="38"/>
      <c r="E29" s="38"/>
      <c r="F29" s="38"/>
      <c r="G29" s="38"/>
      <c r="H29" s="40"/>
      <c r="J29" s="71"/>
    </row>
    <row r="30" spans="2:11" ht="15" customHeight="1" x14ac:dyDescent="0.35">
      <c r="J30" s="71"/>
    </row>
    <row r="31" spans="2:11" ht="15" customHeight="1" x14ac:dyDescent="0.35">
      <c r="J31" s="67"/>
    </row>
    <row r="32" spans="2:11" ht="15" customHeight="1" x14ac:dyDescent="0.35">
      <c r="J32" s="67"/>
    </row>
    <row r="33" spans="10:10" ht="15" customHeight="1" x14ac:dyDescent="0.35">
      <c r="J33" s="67"/>
    </row>
  </sheetData>
  <mergeCells count="1">
    <mergeCell ref="B1:H7"/>
  </mergeCells>
  <printOptions horizontalCentered="1" verticalCentered="1"/>
  <pageMargins left="0.3" right="0.3" top="0.3" bottom="0.3" header="0" footer="0"/>
  <pageSetup orientation="landscape"/>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4E7CA-32FD-4FEE-B3FF-B49BDA460F23}">
  <sheetPr>
    <tabColor rgb="FF8496B0"/>
  </sheetPr>
  <dimension ref="B1:J19"/>
  <sheetViews>
    <sheetView showGridLines="0" tabSelected="1" topLeftCell="A5" workbookViewId="0">
      <selection activeCell="F18" sqref="F18"/>
    </sheetView>
  </sheetViews>
  <sheetFormatPr defaultColWidth="11.25" defaultRowHeight="15" customHeight="1" x14ac:dyDescent="0.35"/>
  <cols>
    <col min="1" max="1" width="3.25" style="4" customWidth="1"/>
    <col min="2" max="8" width="16.75" style="4" customWidth="1"/>
    <col min="9" max="9" width="10.75" style="4" customWidth="1"/>
    <col min="10" max="10" width="30.33203125" style="4" bestFit="1" customWidth="1"/>
    <col min="11" max="26" width="10.75" style="4" customWidth="1"/>
    <col min="27" max="16384" width="11.25" style="4"/>
  </cols>
  <sheetData>
    <row r="1" spans="2:10" ht="15.5" x14ac:dyDescent="0.35">
      <c r="B1" s="191" t="s">
        <v>271</v>
      </c>
      <c r="C1" s="191"/>
      <c r="D1" s="191"/>
      <c r="E1" s="191"/>
      <c r="F1" s="191"/>
      <c r="G1" s="191"/>
      <c r="H1" s="191"/>
      <c r="I1" s="1"/>
      <c r="J1" s="5" t="s">
        <v>1</v>
      </c>
    </row>
    <row r="2" spans="2:10" ht="15.5" x14ac:dyDescent="0.35">
      <c r="B2" s="191"/>
      <c r="C2" s="191"/>
      <c r="D2" s="191"/>
      <c r="E2" s="191"/>
      <c r="F2" s="191"/>
      <c r="G2" s="191"/>
      <c r="H2" s="191"/>
      <c r="I2" s="1"/>
      <c r="J2" s="11" t="s">
        <v>2</v>
      </c>
    </row>
    <row r="3" spans="2:10" ht="15.5" x14ac:dyDescent="0.35">
      <c r="B3" s="191"/>
      <c r="C3" s="191"/>
      <c r="D3" s="191"/>
      <c r="E3" s="191"/>
      <c r="F3" s="191"/>
      <c r="G3" s="191"/>
      <c r="H3" s="191"/>
      <c r="I3" s="1"/>
      <c r="J3" s="9" t="s">
        <v>3</v>
      </c>
    </row>
    <row r="4" spans="2:10" ht="15.5" x14ac:dyDescent="0.35">
      <c r="B4" s="191"/>
      <c r="C4" s="191"/>
      <c r="D4" s="191"/>
      <c r="E4" s="191"/>
      <c r="F4" s="191"/>
      <c r="G4" s="191"/>
      <c r="H4" s="191"/>
      <c r="I4" s="1"/>
      <c r="J4" s="7" t="s">
        <v>4</v>
      </c>
    </row>
    <row r="5" spans="2:10" ht="15.5" x14ac:dyDescent="0.35">
      <c r="B5" s="191"/>
      <c r="C5" s="191"/>
      <c r="D5" s="191"/>
      <c r="E5" s="191"/>
      <c r="F5" s="191"/>
      <c r="G5" s="191"/>
      <c r="H5" s="191"/>
      <c r="I5" s="1"/>
      <c r="J5" s="6" t="s">
        <v>5</v>
      </c>
    </row>
    <row r="6" spans="2:10" ht="15.5" x14ac:dyDescent="0.35">
      <c r="B6" s="191"/>
      <c r="C6" s="191"/>
      <c r="D6" s="191"/>
      <c r="E6" s="191"/>
      <c r="F6" s="191"/>
      <c r="G6" s="191"/>
      <c r="H6" s="191"/>
      <c r="I6" s="1"/>
      <c r="J6" s="8" t="s">
        <v>6</v>
      </c>
    </row>
    <row r="7" spans="2:10" ht="15.5" x14ac:dyDescent="0.35">
      <c r="B7" s="192"/>
      <c r="C7" s="192"/>
      <c r="D7" s="192"/>
      <c r="E7" s="192"/>
      <c r="F7" s="192"/>
      <c r="G7" s="192"/>
      <c r="H7" s="192"/>
      <c r="I7" s="1"/>
      <c r="J7" s="10" t="s">
        <v>272</v>
      </c>
    </row>
    <row r="8" spans="2:10" ht="24" customHeight="1" x14ac:dyDescent="0.35">
      <c r="B8" s="12" t="s">
        <v>8</v>
      </c>
      <c r="C8" s="12" t="s">
        <v>9</v>
      </c>
      <c r="D8" s="12" t="s">
        <v>10</v>
      </c>
      <c r="E8" s="12" t="s">
        <v>11</v>
      </c>
      <c r="F8" s="12" t="s">
        <v>12</v>
      </c>
      <c r="G8" s="12" t="s">
        <v>13</v>
      </c>
      <c r="H8" s="12" t="s">
        <v>14</v>
      </c>
      <c r="I8" s="2"/>
      <c r="J8" s="66" t="s">
        <v>116</v>
      </c>
    </row>
    <row r="9" spans="2:10" ht="24" customHeight="1" x14ac:dyDescent="0.35">
      <c r="B9" s="37"/>
      <c r="C9" s="37"/>
      <c r="D9" s="37"/>
      <c r="E9" s="41">
        <v>1</v>
      </c>
      <c r="F9" s="13">
        <f t="shared" ref="F9:H9" si="0">E9+1</f>
        <v>2</v>
      </c>
      <c r="G9" s="13">
        <f t="shared" si="0"/>
        <v>3</v>
      </c>
      <c r="H9" s="13">
        <f t="shared" si="0"/>
        <v>4</v>
      </c>
      <c r="I9" s="3"/>
      <c r="J9" s="3"/>
    </row>
    <row r="10" spans="2:10" ht="55.5" customHeight="1" x14ac:dyDescent="0.35">
      <c r="B10" s="48"/>
      <c r="C10" s="48"/>
      <c r="D10" s="48"/>
      <c r="E10" s="17"/>
      <c r="F10" s="126" t="s">
        <v>270</v>
      </c>
      <c r="G10" s="18" t="s">
        <v>273</v>
      </c>
      <c r="H10" s="18" t="s">
        <v>27</v>
      </c>
      <c r="I10" s="2"/>
      <c r="J10" s="2"/>
    </row>
    <row r="11" spans="2:10" ht="24" customHeight="1" x14ac:dyDescent="0.35">
      <c r="B11" s="13">
        <f>H9+1</f>
        <v>5</v>
      </c>
      <c r="C11" s="13">
        <f t="shared" ref="C11:H11" si="1">B11+1</f>
        <v>6</v>
      </c>
      <c r="D11" s="13">
        <f t="shared" si="1"/>
        <v>7</v>
      </c>
      <c r="E11" s="13">
        <f t="shared" si="1"/>
        <v>8</v>
      </c>
      <c r="F11" s="13">
        <f t="shared" si="1"/>
        <v>9</v>
      </c>
      <c r="G11" s="13">
        <f t="shared" si="1"/>
        <v>10</v>
      </c>
      <c r="H11" s="13">
        <f t="shared" si="1"/>
        <v>11</v>
      </c>
      <c r="I11" s="3"/>
      <c r="J11" s="3"/>
    </row>
    <row r="12" spans="2:10" ht="55.5" customHeight="1" x14ac:dyDescent="0.35">
      <c r="B12" s="18"/>
      <c r="C12" s="114" t="s">
        <v>274</v>
      </c>
      <c r="D12" s="126" t="s">
        <v>275</v>
      </c>
      <c r="E12" s="90"/>
      <c r="F12" s="126" t="s">
        <v>275</v>
      </c>
      <c r="G12" s="18"/>
      <c r="H12" s="17"/>
      <c r="I12" s="2"/>
      <c r="J12" s="2"/>
    </row>
    <row r="13" spans="2:10" ht="24" customHeight="1" x14ac:dyDescent="0.35">
      <c r="B13" s="13">
        <f>H11+1</f>
        <v>12</v>
      </c>
      <c r="C13" s="13">
        <f t="shared" ref="C13:H15" si="2">B13+1</f>
        <v>13</v>
      </c>
      <c r="D13" s="13">
        <f t="shared" si="2"/>
        <v>14</v>
      </c>
      <c r="E13" s="13">
        <f t="shared" si="2"/>
        <v>15</v>
      </c>
      <c r="F13" s="13">
        <f t="shared" si="2"/>
        <v>16</v>
      </c>
      <c r="G13" s="13">
        <f t="shared" si="2"/>
        <v>17</v>
      </c>
      <c r="H13" s="13">
        <f t="shared" si="2"/>
        <v>18</v>
      </c>
      <c r="I13" s="3"/>
      <c r="J13" s="3"/>
    </row>
    <row r="14" spans="2:10" ht="55.5" customHeight="1" x14ac:dyDescent="0.35">
      <c r="B14" s="18"/>
      <c r="C14" s="17"/>
      <c r="D14" s="17"/>
      <c r="E14" s="17"/>
      <c r="F14" s="17"/>
      <c r="G14" s="17"/>
      <c r="H14" s="17"/>
      <c r="I14" s="2"/>
      <c r="J14" s="2"/>
    </row>
    <row r="15" spans="2:10" ht="24" customHeight="1" x14ac:dyDescent="0.35">
      <c r="B15" s="13">
        <f>H13+1</f>
        <v>19</v>
      </c>
      <c r="C15" s="13">
        <f t="shared" si="2"/>
        <v>20</v>
      </c>
      <c r="D15" s="13">
        <f t="shared" si="2"/>
        <v>21</v>
      </c>
      <c r="E15" s="13">
        <f t="shared" si="2"/>
        <v>22</v>
      </c>
      <c r="F15" s="13">
        <f t="shared" ref="F15:H15" si="3">E15+1</f>
        <v>23</v>
      </c>
      <c r="G15" s="13">
        <f t="shared" si="3"/>
        <v>24</v>
      </c>
      <c r="H15" s="13">
        <f t="shared" si="3"/>
        <v>25</v>
      </c>
      <c r="I15" s="3"/>
      <c r="J15" s="3"/>
    </row>
    <row r="16" spans="2:10" ht="39" customHeight="1" x14ac:dyDescent="0.35">
      <c r="B16" s="17"/>
      <c r="C16" s="17"/>
      <c r="D16" s="17"/>
      <c r="E16" s="17"/>
      <c r="F16" s="88"/>
      <c r="G16" s="88"/>
      <c r="H16" s="88"/>
    </row>
    <row r="17" spans="2:8" ht="24" customHeight="1" x14ac:dyDescent="0.35">
      <c r="B17" s="13">
        <f>H15+1</f>
        <v>26</v>
      </c>
      <c r="C17" s="42">
        <f t="shared" ref="C17:G17" si="4">B17+1</f>
        <v>27</v>
      </c>
      <c r="D17" s="42">
        <f t="shared" si="4"/>
        <v>28</v>
      </c>
      <c r="E17" s="42">
        <f t="shared" si="4"/>
        <v>29</v>
      </c>
      <c r="F17" s="42">
        <f t="shared" si="4"/>
        <v>30</v>
      </c>
      <c r="G17" s="42">
        <f t="shared" si="4"/>
        <v>31</v>
      </c>
      <c r="H17" s="37"/>
    </row>
    <row r="18" spans="2:8" ht="55.5" customHeight="1" x14ac:dyDescent="0.35">
      <c r="B18" s="17"/>
      <c r="C18" s="18"/>
      <c r="D18" s="45"/>
      <c r="E18" s="17"/>
      <c r="F18" s="45"/>
      <c r="G18" s="45"/>
      <c r="H18" s="14"/>
    </row>
    <row r="19" spans="2:8" ht="24" customHeight="1" x14ac:dyDescent="0.35">
      <c r="B19" s="19" t="s">
        <v>24</v>
      </c>
      <c r="C19" s="38"/>
      <c r="D19" s="38"/>
      <c r="E19" s="38"/>
      <c r="F19" s="38"/>
      <c r="G19" s="38"/>
      <c r="H19" s="38"/>
    </row>
  </sheetData>
  <mergeCells count="1">
    <mergeCell ref="B1:H7"/>
  </mergeCells>
  <printOptions horizontalCentered="1" verticalCentered="1"/>
  <pageMargins left="0.3" right="0.3" top="0.3" bottom="0.3"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A4E1-C597-4CE6-A97C-82DA3EA04877}">
  <sheetPr>
    <tabColor theme="1"/>
  </sheetPr>
  <dimension ref="B1:H21"/>
  <sheetViews>
    <sheetView showGridLines="0" workbookViewId="0">
      <selection activeCell="F12" sqref="F12"/>
    </sheetView>
  </sheetViews>
  <sheetFormatPr defaultColWidth="11.25" defaultRowHeight="15" customHeight="1" x14ac:dyDescent="0.35"/>
  <cols>
    <col min="1" max="1" width="3.25" style="4" customWidth="1"/>
    <col min="2" max="8" width="16.75" style="4" customWidth="1"/>
    <col min="9" max="21" width="10.75" style="4" customWidth="1"/>
    <col min="22" max="16384" width="11.25" style="4"/>
  </cols>
  <sheetData>
    <row r="1" spans="2:8" ht="15.5" x14ac:dyDescent="0.35">
      <c r="B1" s="191" t="s">
        <v>276</v>
      </c>
      <c r="C1" s="191"/>
      <c r="D1" s="191"/>
      <c r="E1" s="191"/>
      <c r="F1" s="191"/>
      <c r="G1" s="191"/>
      <c r="H1" s="191"/>
    </row>
    <row r="2" spans="2:8" ht="15.5" x14ac:dyDescent="0.35">
      <c r="B2" s="191"/>
      <c r="C2" s="191"/>
      <c r="D2" s="191"/>
      <c r="E2" s="191"/>
      <c r="F2" s="191"/>
      <c r="G2" s="191"/>
      <c r="H2" s="191"/>
    </row>
    <row r="3" spans="2:8" ht="15.5" x14ac:dyDescent="0.35">
      <c r="B3" s="191"/>
      <c r="C3" s="191"/>
      <c r="D3" s="191"/>
      <c r="E3" s="191"/>
      <c r="F3" s="191"/>
      <c r="G3" s="191"/>
      <c r="H3" s="191"/>
    </row>
    <row r="4" spans="2:8" ht="15.5" x14ac:dyDescent="0.35">
      <c r="B4" s="191"/>
      <c r="C4" s="191"/>
      <c r="D4" s="191"/>
      <c r="E4" s="191"/>
      <c r="F4" s="191"/>
      <c r="G4" s="191"/>
      <c r="H4" s="191"/>
    </row>
    <row r="5" spans="2:8" ht="15.5" x14ac:dyDescent="0.35">
      <c r="B5" s="191"/>
      <c r="C5" s="191"/>
      <c r="D5" s="191"/>
      <c r="E5" s="191"/>
      <c r="F5" s="191"/>
      <c r="G5" s="191"/>
      <c r="H5" s="191"/>
    </row>
    <row r="6" spans="2:8" ht="15.5" x14ac:dyDescent="0.35">
      <c r="B6" s="191"/>
      <c r="C6" s="191"/>
      <c r="D6" s="191"/>
      <c r="E6" s="191"/>
      <c r="F6" s="191"/>
      <c r="G6" s="191"/>
      <c r="H6" s="191"/>
    </row>
    <row r="7" spans="2:8" ht="15.5" x14ac:dyDescent="0.35">
      <c r="B7" s="192"/>
      <c r="C7" s="192"/>
      <c r="D7" s="192"/>
      <c r="E7" s="192"/>
      <c r="F7" s="192"/>
      <c r="G7" s="192"/>
      <c r="H7" s="192"/>
    </row>
    <row r="8" spans="2:8" ht="24" customHeight="1" x14ac:dyDescent="0.35">
      <c r="B8" s="12" t="s">
        <v>8</v>
      </c>
      <c r="C8" s="12" t="s">
        <v>9</v>
      </c>
      <c r="D8" s="12" t="s">
        <v>10</v>
      </c>
      <c r="E8" s="12" t="s">
        <v>11</v>
      </c>
      <c r="F8" s="12" t="s">
        <v>12</v>
      </c>
      <c r="G8" s="12" t="s">
        <v>13</v>
      </c>
      <c r="H8" s="12" t="s">
        <v>14</v>
      </c>
    </row>
    <row r="9" spans="2:8" ht="24" customHeight="1" x14ac:dyDescent="0.35">
      <c r="B9" s="37"/>
      <c r="C9" s="37"/>
      <c r="D9" s="37"/>
      <c r="E9" s="37"/>
      <c r="F9" s="37"/>
      <c r="G9" s="13">
        <f t="shared" ref="G9:H9" si="0">F9+1</f>
        <v>1</v>
      </c>
      <c r="H9" s="13">
        <f t="shared" si="0"/>
        <v>2</v>
      </c>
    </row>
    <row r="10" spans="2:8" ht="55.5" customHeight="1" x14ac:dyDescent="0.35">
      <c r="B10" s="48"/>
      <c r="C10" s="48"/>
      <c r="D10" s="48"/>
      <c r="E10" s="48"/>
      <c r="F10" s="48"/>
      <c r="G10" s="18"/>
      <c r="H10" s="18"/>
    </row>
    <row r="11" spans="2:8" ht="24" customHeight="1" x14ac:dyDescent="0.35">
      <c r="B11" s="13">
        <f>H9+1</f>
        <v>3</v>
      </c>
      <c r="C11" s="13">
        <f t="shared" ref="C11:H11" si="1">B11+1</f>
        <v>4</v>
      </c>
      <c r="D11" s="13">
        <f t="shared" si="1"/>
        <v>5</v>
      </c>
      <c r="E11" s="13">
        <f t="shared" si="1"/>
        <v>6</v>
      </c>
      <c r="F11" s="13">
        <f t="shared" si="1"/>
        <v>7</v>
      </c>
      <c r="G11" s="13">
        <f t="shared" si="1"/>
        <v>8</v>
      </c>
      <c r="H11" s="13">
        <f t="shared" si="1"/>
        <v>9</v>
      </c>
    </row>
    <row r="12" spans="2:8" ht="55.5" customHeight="1" x14ac:dyDescent="0.35">
      <c r="B12" s="18"/>
      <c r="C12" s="18"/>
      <c r="D12" s="18"/>
      <c r="E12" s="17"/>
      <c r="F12" s="51"/>
      <c r="G12" s="18"/>
      <c r="H12" s="17"/>
    </row>
    <row r="13" spans="2:8" ht="24" customHeight="1" x14ac:dyDescent="0.35">
      <c r="B13" s="13">
        <f>H11+1</f>
        <v>10</v>
      </c>
      <c r="C13" s="13">
        <f t="shared" ref="C13:H15" si="2">B13+1</f>
        <v>11</v>
      </c>
      <c r="D13" s="13">
        <f t="shared" si="2"/>
        <v>12</v>
      </c>
      <c r="E13" s="13">
        <f t="shared" si="2"/>
        <v>13</v>
      </c>
      <c r="F13" s="13">
        <f t="shared" si="2"/>
        <v>14</v>
      </c>
      <c r="G13" s="13">
        <f t="shared" si="2"/>
        <v>15</v>
      </c>
      <c r="H13" s="13">
        <f t="shared" si="2"/>
        <v>16</v>
      </c>
    </row>
    <row r="14" spans="2:8" ht="55.5" customHeight="1" x14ac:dyDescent="0.35">
      <c r="B14" s="18"/>
      <c r="C14" s="17"/>
      <c r="D14" s="17"/>
      <c r="E14" s="17"/>
      <c r="F14" s="17"/>
      <c r="G14" s="17"/>
      <c r="H14" s="17"/>
    </row>
    <row r="15" spans="2:8" ht="24" customHeight="1" x14ac:dyDescent="0.35">
      <c r="B15" s="13">
        <f>H13+1</f>
        <v>17</v>
      </c>
      <c r="C15" s="13">
        <f t="shared" si="2"/>
        <v>18</v>
      </c>
      <c r="D15" s="13">
        <f t="shared" si="2"/>
        <v>19</v>
      </c>
      <c r="E15" s="13">
        <f t="shared" si="2"/>
        <v>20</v>
      </c>
      <c r="F15" s="13">
        <f t="shared" si="2"/>
        <v>21</v>
      </c>
      <c r="G15" s="13">
        <f t="shared" si="2"/>
        <v>22</v>
      </c>
      <c r="H15" s="13">
        <f t="shared" si="2"/>
        <v>23</v>
      </c>
    </row>
    <row r="16" spans="2:8" ht="39" customHeight="1" x14ac:dyDescent="0.35">
      <c r="B16" s="17"/>
      <c r="C16" s="17"/>
      <c r="D16" s="17"/>
      <c r="E16" s="17"/>
      <c r="F16" s="88"/>
      <c r="G16" s="88"/>
      <c r="H16" s="88"/>
    </row>
    <row r="17" spans="2:8" ht="24" customHeight="1" x14ac:dyDescent="0.35">
      <c r="B17" s="13">
        <f>H15+1</f>
        <v>24</v>
      </c>
      <c r="C17" s="42">
        <f t="shared" ref="C17:G17" si="3">B17+1</f>
        <v>25</v>
      </c>
      <c r="D17" s="42">
        <f t="shared" si="3"/>
        <v>26</v>
      </c>
      <c r="E17" s="42">
        <f t="shared" si="3"/>
        <v>27</v>
      </c>
      <c r="F17" s="42">
        <f t="shared" si="3"/>
        <v>28</v>
      </c>
      <c r="G17" s="42">
        <f t="shared" si="3"/>
        <v>29</v>
      </c>
      <c r="H17" s="42">
        <f t="shared" ref="H17" si="4">G17+1</f>
        <v>30</v>
      </c>
    </row>
    <row r="18" spans="2:8" ht="55.5" customHeight="1" x14ac:dyDescent="0.35">
      <c r="B18" s="17"/>
      <c r="C18" s="18"/>
      <c r="D18" s="45"/>
      <c r="E18" s="45"/>
      <c r="F18" s="45"/>
      <c r="G18" s="45"/>
      <c r="H18" s="45"/>
    </row>
    <row r="19" spans="2:8" ht="15" customHeight="1" x14ac:dyDescent="0.35">
      <c r="B19" s="42">
        <f>A19+31</f>
        <v>31</v>
      </c>
      <c r="C19" s="48"/>
      <c r="D19" s="48"/>
      <c r="E19" s="48"/>
      <c r="F19" s="48"/>
      <c r="G19" s="48"/>
      <c r="H19" s="48"/>
    </row>
    <row r="20" spans="2:8" ht="60" customHeight="1" x14ac:dyDescent="0.35">
      <c r="B20" s="45"/>
      <c r="C20" s="48"/>
      <c r="D20" s="48"/>
      <c r="E20" s="48"/>
      <c r="F20" s="48"/>
      <c r="G20" s="48"/>
      <c r="H20" s="48"/>
    </row>
    <row r="21" spans="2:8" ht="59.25" customHeight="1" x14ac:dyDescent="0.35">
      <c r="B21" s="19" t="s">
        <v>24</v>
      </c>
      <c r="C21" s="38"/>
      <c r="D21" s="38"/>
      <c r="E21" s="38"/>
      <c r="F21" s="38"/>
      <c r="G21" s="38"/>
      <c r="H21" s="38"/>
    </row>
  </sheetData>
  <mergeCells count="1">
    <mergeCell ref="B1:H7"/>
  </mergeCells>
  <printOptions horizontalCentered="1" verticalCentered="1"/>
  <pageMargins left="0.3" right="0.3" top="0.3" bottom="0.3"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05b5a8-dfff-4896-b5a7-f9d6e31fcad5">
      <Terms xmlns="http://schemas.microsoft.com/office/infopath/2007/PartnerControls"/>
    </lcf76f155ced4ddcb4097134ff3c332f>
    <TaxCatchAll xmlns="8d95c7b7-dbea-4c08-9245-f549862c45a8" xsi:nil="true"/>
    <DescriptionofFolder xmlns="b205b5a8-dfff-4896-b5a7-f9d6e31fcad5">225</DescriptionofFolde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42869E02B8C5439394B5D2B8AB2A04" ma:contentTypeVersion="14" ma:contentTypeDescription="Create a new document." ma:contentTypeScope="" ma:versionID="e4437a2eccb48e51b0ced3fdea04e3d3">
  <xsd:schema xmlns:xsd="http://www.w3.org/2001/XMLSchema" xmlns:xs="http://www.w3.org/2001/XMLSchema" xmlns:p="http://schemas.microsoft.com/office/2006/metadata/properties" xmlns:ns2="b205b5a8-dfff-4896-b5a7-f9d6e31fcad5" xmlns:ns3="8d95c7b7-dbea-4c08-9245-f549862c45a8" targetNamespace="http://schemas.microsoft.com/office/2006/metadata/properties" ma:root="true" ma:fieldsID="0b1ef2714556835c69c82c99b5f2e3fe" ns2:_="" ns3:_="">
    <xsd:import namespace="b205b5a8-dfff-4896-b5a7-f9d6e31fcad5"/>
    <xsd:import namespace="8d95c7b7-dbea-4c08-9245-f549862c45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DescriptionofFol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05b5a8-dfff-4896-b5a7-f9d6e31fca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f99c727-3acf-4c25-8995-31529a2543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DescriptionofFolder" ma:index="21" nillable="true" ma:displayName="Description of Folder" ma:default="225" ma:format="Dropdown" ma:internalName="DescriptionofFolde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95c7b7-dbea-4c08-9245-f549862c45a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ae7dc55-a171-4856-8a41-444a297568c2}" ma:internalName="TaxCatchAll" ma:showField="CatchAllData" ma:web="8d95c7b7-dbea-4c08-9245-f549862c45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BF16EA-50B1-4A70-A3D4-6AFA2BE052BC}">
  <ds:schemaRefs>
    <ds:schemaRef ds:uri="http://schemas.microsoft.com/sharepoint/v3/contenttype/forms"/>
  </ds:schemaRefs>
</ds:datastoreItem>
</file>

<file path=customXml/itemProps2.xml><?xml version="1.0" encoding="utf-8"?>
<ds:datastoreItem xmlns:ds="http://schemas.openxmlformats.org/officeDocument/2006/customXml" ds:itemID="{E520B310-E07A-412A-98C6-BEFFA11A2853}">
  <ds:schemaRefs>
    <ds:schemaRef ds:uri="http://schemas.microsoft.com/office/2006/documentManagement/types"/>
    <ds:schemaRef ds:uri="http://purl.org/dc/dcmitype/"/>
    <ds:schemaRef ds:uri="http://schemas.microsoft.com/office/2006/metadata/properties"/>
    <ds:schemaRef ds:uri="http://purl.org/dc/terms/"/>
    <ds:schemaRef ds:uri="http://purl.org/dc/elements/1.1/"/>
    <ds:schemaRef ds:uri="http://www.w3.org/XML/1998/namespace"/>
    <ds:schemaRef ds:uri="b205b5a8-dfff-4896-b5a7-f9d6e31fcad5"/>
    <ds:schemaRef ds:uri="8d95c7b7-dbea-4c08-9245-f549862c45a8"/>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F435DD4A-1DD8-40BD-89F1-CAB7963459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05b5a8-dfff-4896-b5a7-f9d6e31fcad5"/>
    <ds:schemaRef ds:uri="8d95c7b7-dbea-4c08-9245-f549862c45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June 2025</vt:lpstr>
      <vt:lpstr>July 2025</vt:lpstr>
      <vt:lpstr>Aug 2025</vt:lpstr>
      <vt:lpstr>Sept 2025</vt:lpstr>
      <vt:lpstr>Oct 2025</vt:lpstr>
      <vt:lpstr>Nov 2025</vt:lpstr>
      <vt:lpstr>Dec 2025</vt:lpstr>
      <vt:lpstr>Jan 2026</vt:lpstr>
      <vt:lpstr>Feb 2026</vt:lpstr>
      <vt:lpstr>March 2026</vt:lpstr>
      <vt:lpstr>April 2026</vt:lpstr>
      <vt:lpstr>May 2026</vt:lpstr>
      <vt:lpstr>June 2026</vt:lpstr>
      <vt:lpstr>July 2026</vt:lpstr>
      <vt:lpstr>August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Burnett-Balbier, Emma</dc:creator>
  <cp:keywords/>
  <dc:description/>
  <cp:lastModifiedBy>Peyton Touma</cp:lastModifiedBy>
  <cp:revision/>
  <dcterms:created xsi:type="dcterms:W3CDTF">2022-07-28T04:48:24Z</dcterms:created>
  <dcterms:modified xsi:type="dcterms:W3CDTF">2026-06-19T15:44:15Z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0x0101001442869E02B8C5439394B5D2B8AB2A04</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