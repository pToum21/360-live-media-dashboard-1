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9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1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2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3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4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5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6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7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8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9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50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1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2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3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4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5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56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3.xml" ContentType="application/vnd.openxmlformats-officedocument.drawing+xml"/>
  <Override PartName="/xl/charts/chart57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58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9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60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1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2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3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4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5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6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7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8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9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70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1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2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3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4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5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6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5.xml" ContentType="application/vnd.openxmlformats-officedocument.drawing+xml"/>
  <Override PartName="/xl/charts/chart77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8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drawings/drawing6.xml" ContentType="application/vnd.openxmlformats-officedocument.drawing+xml"/>
  <Override PartName="/xl/charts/chart79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7.xml" ContentType="application/vnd.openxmlformats-officedocument.drawing+xml"/>
  <Override PartName="/xl/charts/chart80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1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harts/chart82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3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4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5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6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7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8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drawings/drawing9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harts/chart89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90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1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drawings/drawing10.xml" ContentType="application/vnd.openxmlformats-officedocument.drawing+xml"/>
  <Override PartName="/xl/charts/chart92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drawings/drawing11.xml" ContentType="application/vnd.openxmlformats-officedocument.drawing+xml"/>
  <Override PartName="/xl/charts/chart93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4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drawings/drawing12.xml" ContentType="application/vnd.openxmlformats-officedocument.drawing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harts/chart95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6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7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8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9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100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1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ThisWorkbook"/>
  <xr:revisionPtr revIDLastSave="0" documentId="8_{D10B1351-BAB6-46A1-B488-C70DDCD20EBD}" xr6:coauthVersionLast="47" xr6:coauthVersionMax="47" xr10:uidLastSave="{00000000-0000-0000-0000-000000000000}"/>
  <bookViews>
    <workbookView xWindow="2900" yWindow="1140" windowWidth="14400" windowHeight="8170" tabRatio="906" firstSheet="16" activeTab="2" xr2:uid="{00000000-000D-0000-FFFF-FFFF00000000}"/>
  </bookViews>
  <sheets>
    <sheet name="DASHBOARD" sheetId="31" r:id="rId1"/>
    <sheet name="MARKETING DATA --&gt;" sheetId="22" r:id="rId2"/>
    <sheet name="Emails" sheetId="39" r:id="rId3"/>
    <sheet name="Emails (Sponsored)" sheetId="61" r:id="rId4"/>
    <sheet name="Emails (2)" sheetId="47" r:id="rId5"/>
    <sheet name="Heatmap" sheetId="45" r:id="rId6"/>
    <sheet name="Organic Social Media (Weekly)" sheetId="32" r:id="rId7"/>
    <sheet name="Organic Social (Monthly)" sheetId="46" r:id="rId8"/>
    <sheet name="Website (Weekly)" sheetId="48" r:id="rId9"/>
    <sheet name="Website (Monthly)" sheetId="49" r:id="rId10"/>
    <sheet name="Website (Monthly by Channel)" sheetId="50" r:id="rId11"/>
    <sheet name="PR DATA" sheetId="44" r:id="rId12"/>
    <sheet name="Paid Media" sheetId="43" r:id="rId13"/>
    <sheet name="Sheet1" sheetId="55" r:id="rId14"/>
    <sheet name="EVENT DATA --&gt;" sheetId="36" r:id="rId15"/>
    <sheet name="Total Registrations" sheetId="57" r:id="rId16"/>
    <sheet name="GA4 Registrations" sheetId="51" r:id="rId17"/>
    <sheet name="Abstracts" sheetId="52" r:id="rId18"/>
    <sheet name="PROJECTIONS --&gt;" sheetId="60" r:id="rId19"/>
    <sheet name="5.12 Projections" sheetId="54" r:id="rId20"/>
    <sheet name="Actuals 5.12" sheetId="58" r:id="rId21"/>
    <sheet name="Projections" sheetId="53" r:id="rId22"/>
    <sheet name="OPERATIONS --&gt;" sheetId="40" r:id="rId23"/>
    <sheet name="Pass Types" sheetId="42" r:id="rId24"/>
    <sheet name="Optimizations" sheetId="34" r:id="rId25"/>
    <sheet name="ARCHIVE --&gt;" sheetId="59" r:id="rId26"/>
    <sheet name="OLD Total Registrations" sheetId="37" r:id="rId27"/>
  </sheets>
  <externalReferences>
    <externalReference r:id="rId28"/>
    <externalReference r:id="rId29"/>
  </externalReferences>
  <definedNames>
    <definedName name="_xlnm._FilterDatabase" localSheetId="2" hidden="1">Emails!$A$2:$P$61</definedName>
    <definedName name="_xlnm._FilterDatabase" localSheetId="4" hidden="1">'Emails (2)'!$A$2:$G$2</definedName>
    <definedName name="_xlnm._FilterDatabase" localSheetId="3" hidden="1">'Emails (Sponsored)'!$A$2:$P$61</definedName>
    <definedName name="_xlnm._FilterDatabase" localSheetId="5" hidden="1">Heatmap!$A$2:$T$2</definedName>
    <definedName name="_xlnm._FilterDatabase" localSheetId="24" hidden="1">Optimizations!$A$1:$F$15</definedName>
    <definedName name="_xlnm._FilterDatabase" localSheetId="6" hidden="1">'Organic Social Media (Weekly)'!$B$4:$T$4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61" l="1"/>
  <c r="K4" i="61"/>
  <c r="O3" i="61"/>
  <c r="M3" i="61"/>
  <c r="K3" i="61"/>
  <c r="Q27" i="43"/>
  <c r="P27" i="43"/>
  <c r="P26" i="43"/>
  <c r="F45" i="48"/>
  <c r="C45" i="48"/>
  <c r="F46" i="48"/>
  <c r="C46" i="48"/>
  <c r="O85" i="39"/>
  <c r="M85" i="39"/>
  <c r="K85" i="39"/>
  <c r="O84" i="39"/>
  <c r="M84" i="39"/>
  <c r="K84" i="39"/>
  <c r="M83" i="39"/>
  <c r="K83" i="39"/>
  <c r="O82" i="39"/>
  <c r="M82" i="39"/>
  <c r="K82" i="39"/>
  <c r="Q26" i="43"/>
  <c r="Q24" i="43"/>
  <c r="Q25" i="43"/>
  <c r="P25" i="43"/>
  <c r="F21" i="46"/>
  <c r="F260" i="47"/>
  <c r="F259" i="47"/>
  <c r="F236" i="47"/>
  <c r="F235" i="47"/>
  <c r="F234" i="47"/>
  <c r="F233" i="47"/>
  <c r="F232" i="47"/>
  <c r="F231" i="47"/>
  <c r="F230" i="47"/>
  <c r="F229" i="47"/>
  <c r="F228" i="47"/>
  <c r="F227" i="47"/>
  <c r="F226" i="47"/>
  <c r="D29" i="55"/>
  <c r="E28" i="55"/>
  <c r="E27" i="55"/>
  <c r="E25" i="55"/>
  <c r="E33" i="55"/>
  <c r="L34" i="43"/>
  <c r="M34" i="43" s="1"/>
  <c r="J34" i="43"/>
  <c r="K34" i="43"/>
  <c r="M81" i="39"/>
  <c r="K81" i="39"/>
  <c r="M80" i="39"/>
  <c r="K80" i="39"/>
  <c r="O79" i="39"/>
  <c r="M79" i="39"/>
  <c r="K79" i="39"/>
  <c r="O77" i="39"/>
  <c r="O78" i="39"/>
  <c r="M78" i="39"/>
  <c r="K78" i="39"/>
  <c r="M77" i="39"/>
  <c r="K77" i="39"/>
  <c r="O76" i="39"/>
  <c r="M76" i="39"/>
  <c r="K76" i="39"/>
  <c r="O75" i="39"/>
  <c r="M75" i="39"/>
  <c r="K75" i="39"/>
  <c r="O74" i="39"/>
  <c r="M74" i="39"/>
  <c r="K74" i="39"/>
  <c r="O73" i="39"/>
  <c r="M73" i="39"/>
  <c r="K73" i="39"/>
  <c r="O72" i="39"/>
  <c r="M72" i="39"/>
  <c r="K72" i="39"/>
  <c r="M71" i="39"/>
  <c r="K71" i="39"/>
  <c r="M70" i="39"/>
  <c r="K70" i="39"/>
  <c r="K69" i="39"/>
  <c r="AN9" i="43"/>
  <c r="AN10" i="43"/>
  <c r="AN11" i="43"/>
  <c r="AN12" i="43"/>
  <c r="AN13" i="43"/>
  <c r="AN14" i="43"/>
  <c r="AN15" i="43"/>
  <c r="AN16" i="43"/>
  <c r="AN17" i="43"/>
  <c r="AN18" i="43"/>
  <c r="AN19" i="43"/>
  <c r="AN20" i="43"/>
  <c r="AN21" i="43"/>
  <c r="AN22" i="43"/>
  <c r="AN23" i="43"/>
  <c r="AN24" i="43"/>
  <c r="AN8" i="43"/>
  <c r="AO9" i="43"/>
  <c r="AO10" i="43"/>
  <c r="AO11" i="43"/>
  <c r="AO12" i="43"/>
  <c r="AO13" i="43"/>
  <c r="AO14" i="43"/>
  <c r="AO15" i="43"/>
  <c r="AO16" i="43"/>
  <c r="AO17" i="43"/>
  <c r="AO18" i="43"/>
  <c r="AO19" i="43"/>
  <c r="AO20" i="43"/>
  <c r="AO21" i="43"/>
  <c r="AO22" i="43"/>
  <c r="AO23" i="43"/>
  <c r="AO24" i="43"/>
  <c r="AO8" i="43"/>
  <c r="AM9" i="43"/>
  <c r="AM10" i="43"/>
  <c r="AM11" i="43"/>
  <c r="AM12" i="43"/>
  <c r="AM13" i="43"/>
  <c r="AM14" i="43"/>
  <c r="AM15" i="43"/>
  <c r="AM16" i="43"/>
  <c r="AM17" i="43"/>
  <c r="AM18" i="43"/>
  <c r="AM19" i="43"/>
  <c r="AM20" i="43"/>
  <c r="AM21" i="43"/>
  <c r="AM22" i="43"/>
  <c r="AM23" i="43"/>
  <c r="AM24" i="43"/>
  <c r="AH9" i="43"/>
  <c r="AI9" i="43"/>
  <c r="AH10" i="43"/>
  <c r="AI10" i="43"/>
  <c r="AH11" i="43"/>
  <c r="AI11" i="43"/>
  <c r="AH12" i="43"/>
  <c r="AI12" i="43"/>
  <c r="AH13" i="43"/>
  <c r="AI13" i="43"/>
  <c r="AH14" i="43"/>
  <c r="AI14" i="43"/>
  <c r="AH15" i="43"/>
  <c r="AI15" i="43"/>
  <c r="AH16" i="43"/>
  <c r="AI16" i="43"/>
  <c r="AH17" i="43"/>
  <c r="AI17" i="43"/>
  <c r="AH18" i="43"/>
  <c r="AI18" i="43"/>
  <c r="AH19" i="43"/>
  <c r="AI19" i="43"/>
  <c r="AH20" i="43"/>
  <c r="AI20" i="43"/>
  <c r="AH21" i="43"/>
  <c r="AI21" i="43"/>
  <c r="AH22" i="43"/>
  <c r="AI22" i="43"/>
  <c r="AH23" i="43"/>
  <c r="AI23" i="43"/>
  <c r="AH24" i="43"/>
  <c r="AI24" i="43"/>
  <c r="AJ21" i="43"/>
  <c r="AJ22" i="43"/>
  <c r="AJ23" i="43"/>
  <c r="AJ24" i="43"/>
  <c r="Y23" i="43"/>
  <c r="Y24" i="43"/>
  <c r="Y25" i="43"/>
  <c r="Y26" i="43"/>
  <c r="Y27" i="43"/>
  <c r="Y28" i="43"/>
  <c r="Y29" i="43"/>
  <c r="Y30" i="43"/>
  <c r="Y31" i="43"/>
  <c r="P14" i="43"/>
  <c r="P23" i="43"/>
  <c r="P24" i="43"/>
  <c r="P22" i="43"/>
  <c r="H18" i="43"/>
  <c r="U12" i="57"/>
  <c r="V12" i="57"/>
  <c r="T12" i="57"/>
  <c r="T20" i="57"/>
  <c r="U20" i="57"/>
  <c r="V20" i="57"/>
  <c r="S20" i="57"/>
  <c r="U27" i="57"/>
  <c r="V27" i="57"/>
  <c r="T27" i="57"/>
  <c r="W36" i="57"/>
  <c r="Y36" i="57"/>
  <c r="Z36" i="57"/>
  <c r="U36" i="57"/>
  <c r="V36" i="57"/>
  <c r="U49" i="57"/>
  <c r="T36" i="57"/>
  <c r="V49" i="57"/>
  <c r="L12" i="57"/>
  <c r="M12" i="57"/>
  <c r="N12" i="57"/>
  <c r="O12" i="57"/>
  <c r="P12" i="57"/>
  <c r="Q12" i="57"/>
  <c r="R12" i="57"/>
  <c r="S12" i="57"/>
  <c r="K12" i="57"/>
  <c r="T49" i="57"/>
  <c r="S49" i="57"/>
  <c r="R49" i="57"/>
  <c r="Q22" i="43"/>
  <c r="Y22" i="43"/>
  <c r="X22" i="43"/>
  <c r="O69" i="39"/>
  <c r="O68" i="39"/>
  <c r="K68" i="39"/>
  <c r="R29" i="37"/>
  <c r="R22" i="37"/>
  <c r="H4" i="54"/>
  <c r="E7" i="58"/>
  <c r="E4" i="58"/>
  <c r="E6" i="58"/>
  <c r="E5" i="58"/>
  <c r="E3" i="58"/>
  <c r="H6" i="54"/>
  <c r="D35" i="54"/>
  <c r="F35" i="54"/>
  <c r="F34" i="54"/>
  <c r="D34" i="54"/>
  <c r="H42" i="54"/>
  <c r="H43" i="54"/>
  <c r="H44" i="54"/>
  <c r="H41" i="54"/>
  <c r="H5" i="54" s="1"/>
  <c r="G39" i="54"/>
  <c r="F39" i="54"/>
  <c r="E39" i="54"/>
  <c r="F47" i="54"/>
  <c r="H37" i="54"/>
  <c r="H36" i="54"/>
  <c r="H35" i="54"/>
  <c r="H34" i="54"/>
  <c r="H39" i="54"/>
  <c r="H33" i="54"/>
  <c r="H3" i="54" s="1"/>
  <c r="H31" i="54"/>
  <c r="H30" i="54"/>
  <c r="H29" i="54"/>
  <c r="H28" i="54"/>
  <c r="H27" i="54"/>
  <c r="H25" i="54"/>
  <c r="H24" i="54"/>
  <c r="H23" i="54"/>
  <c r="H22" i="54"/>
  <c r="H21" i="54"/>
  <c r="H18" i="54"/>
  <c r="H17" i="54"/>
  <c r="H16" i="54"/>
  <c r="H15" i="54" s="1"/>
  <c r="H11" i="54"/>
  <c r="H10" i="54"/>
  <c r="H9" i="54" s="1"/>
  <c r="H2" i="54" s="1"/>
  <c r="Y21" i="43"/>
  <c r="X21" i="43"/>
  <c r="Q21" i="43"/>
  <c r="P21" i="43"/>
  <c r="I21" i="43"/>
  <c r="H21" i="43"/>
  <c r="H49" i="57"/>
  <c r="G49" i="57"/>
  <c r="F49" i="57"/>
  <c r="E49" i="57"/>
  <c r="D49" i="57"/>
  <c r="C49" i="57"/>
  <c r="I48" i="57"/>
  <c r="H48" i="57"/>
  <c r="G48" i="57"/>
  <c r="F48" i="57"/>
  <c r="E48" i="57"/>
  <c r="D48" i="57"/>
  <c r="C48" i="57"/>
  <c r="I47" i="57"/>
  <c r="H47" i="57"/>
  <c r="G47" i="57"/>
  <c r="F47" i="57"/>
  <c r="E47" i="57"/>
  <c r="D47" i="57"/>
  <c r="C47" i="57"/>
  <c r="J47" i="57"/>
  <c r="J48" i="57"/>
  <c r="J49" i="57"/>
  <c r="Q49" i="57"/>
  <c r="P49" i="57"/>
  <c r="O49" i="57"/>
  <c r="N49" i="57"/>
  <c r="M49" i="57"/>
  <c r="L49" i="57"/>
  <c r="K49" i="57"/>
  <c r="D57" i="57"/>
  <c r="D56" i="57"/>
  <c r="D55" i="57"/>
  <c r="Z48" i="57"/>
  <c r="Y48" i="57"/>
  <c r="X48" i="57"/>
  <c r="W48" i="57"/>
  <c r="V48" i="57"/>
  <c r="U48" i="57"/>
  <c r="T48" i="57"/>
  <c r="S48" i="57"/>
  <c r="R48" i="57"/>
  <c r="Q48" i="57"/>
  <c r="P48" i="57"/>
  <c r="O48" i="57"/>
  <c r="N48" i="57"/>
  <c r="M48" i="57"/>
  <c r="L48" i="57"/>
  <c r="K48" i="57"/>
  <c r="Z47" i="57"/>
  <c r="Y47" i="57"/>
  <c r="X47" i="57"/>
  <c r="W47" i="57"/>
  <c r="V47" i="57"/>
  <c r="U47" i="57"/>
  <c r="T47" i="57"/>
  <c r="S47" i="57"/>
  <c r="R47" i="57"/>
  <c r="Q47" i="57"/>
  <c r="P47" i="57"/>
  <c r="O47" i="57"/>
  <c r="N47" i="57"/>
  <c r="M47" i="57"/>
  <c r="L47" i="57"/>
  <c r="K47" i="57"/>
  <c r="N35" i="57"/>
  <c r="M35" i="57"/>
  <c r="L35" i="57"/>
  <c r="K35" i="57"/>
  <c r="J35" i="57"/>
  <c r="I35" i="57"/>
  <c r="H35" i="57"/>
  <c r="G35" i="57"/>
  <c r="F35" i="57"/>
  <c r="E35" i="57"/>
  <c r="D35" i="57"/>
  <c r="C35" i="57"/>
  <c r="Z34" i="57"/>
  <c r="Y34" i="57"/>
  <c r="X34" i="57"/>
  <c r="W34" i="57"/>
  <c r="V34" i="57"/>
  <c r="U34" i="57"/>
  <c r="T34" i="57"/>
  <c r="S34" i="57"/>
  <c r="R34" i="57"/>
  <c r="Q34" i="57"/>
  <c r="P34" i="57"/>
  <c r="O34" i="57"/>
  <c r="N34" i="57"/>
  <c r="M34" i="57"/>
  <c r="L34" i="57"/>
  <c r="K34" i="57"/>
  <c r="J34" i="57"/>
  <c r="I34" i="57"/>
  <c r="H34" i="57"/>
  <c r="G34" i="57"/>
  <c r="F34" i="57"/>
  <c r="E34" i="57"/>
  <c r="D34" i="57"/>
  <c r="C34" i="57"/>
  <c r="Z33" i="57"/>
  <c r="Y33" i="57"/>
  <c r="X33" i="57"/>
  <c r="W33" i="57"/>
  <c r="V33" i="57"/>
  <c r="U33" i="57"/>
  <c r="T33" i="57"/>
  <c r="S33" i="57"/>
  <c r="R33" i="57"/>
  <c r="Q33" i="57"/>
  <c r="P33" i="57"/>
  <c r="O33" i="57"/>
  <c r="N33" i="57"/>
  <c r="M33" i="57"/>
  <c r="L33" i="57"/>
  <c r="K33" i="57"/>
  <c r="J33" i="57"/>
  <c r="I33" i="57"/>
  <c r="H33" i="57"/>
  <c r="G33" i="57"/>
  <c r="F33" i="57"/>
  <c r="E33" i="57"/>
  <c r="D33" i="57"/>
  <c r="C33" i="57"/>
  <c r="J26" i="57"/>
  <c r="D26" i="57"/>
  <c r="Z25" i="57"/>
  <c r="Y25" i="57"/>
  <c r="X25" i="57"/>
  <c r="W25" i="57"/>
  <c r="V25" i="57"/>
  <c r="U25" i="57"/>
  <c r="T25" i="57"/>
  <c r="S25" i="57"/>
  <c r="R25" i="57"/>
  <c r="Q25" i="57"/>
  <c r="P25" i="57"/>
  <c r="O25" i="57"/>
  <c r="N25" i="57"/>
  <c r="M25" i="57"/>
  <c r="L25" i="57"/>
  <c r="K25" i="57"/>
  <c r="J25" i="57"/>
  <c r="I25" i="57"/>
  <c r="H25" i="57"/>
  <c r="G25" i="57"/>
  <c r="F25" i="57"/>
  <c r="E25" i="57"/>
  <c r="D25" i="57"/>
  <c r="C25" i="57"/>
  <c r="B25" i="57"/>
  <c r="Z24" i="57"/>
  <c r="Y24" i="57"/>
  <c r="X24" i="57"/>
  <c r="W24" i="57"/>
  <c r="V24" i="57"/>
  <c r="U24" i="57"/>
  <c r="T24" i="57"/>
  <c r="S24" i="57"/>
  <c r="R24" i="57"/>
  <c r="Q24" i="57"/>
  <c r="P24" i="57"/>
  <c r="O24" i="57"/>
  <c r="N24" i="57"/>
  <c r="M24" i="57"/>
  <c r="L24" i="57"/>
  <c r="K24" i="57"/>
  <c r="J24" i="57"/>
  <c r="I24" i="57"/>
  <c r="H24" i="57"/>
  <c r="G24" i="57"/>
  <c r="F24" i="57"/>
  <c r="E24" i="57"/>
  <c r="D24" i="57"/>
  <c r="C24" i="57"/>
  <c r="B24" i="57"/>
  <c r="H45" i="54" l="1"/>
  <c r="H47" i="54"/>
  <c r="W41" i="57"/>
  <c r="Z40" i="57"/>
  <c r="K41" i="57"/>
  <c r="W40" i="57"/>
  <c r="C41" i="57"/>
  <c r="H41" i="57"/>
  <c r="Q40" i="57"/>
  <c r="X40" i="57"/>
  <c r="X41" i="57"/>
  <c r="Y40" i="57"/>
  <c r="Y41" i="57"/>
  <c r="J40" i="57"/>
  <c r="S41" i="57"/>
  <c r="H40" i="57"/>
  <c r="P40" i="57"/>
  <c r="P41" i="57"/>
  <c r="I40" i="57"/>
  <c r="I41" i="57"/>
  <c r="Q41" i="57"/>
  <c r="R40" i="57"/>
  <c r="J41" i="57"/>
  <c r="R41" i="57"/>
  <c r="Z41" i="57"/>
  <c r="C40" i="57"/>
  <c r="K40" i="57"/>
  <c r="S40" i="57"/>
  <c r="D40" i="57"/>
  <c r="L40" i="57"/>
  <c r="T40" i="57"/>
  <c r="D41" i="57"/>
  <c r="L41" i="57"/>
  <c r="T41" i="57"/>
  <c r="E40" i="57"/>
  <c r="M40" i="57"/>
  <c r="U40" i="57"/>
  <c r="E41" i="57"/>
  <c r="M41" i="57"/>
  <c r="U41" i="57"/>
  <c r="F40" i="57"/>
  <c r="N40" i="57"/>
  <c r="V40" i="57"/>
  <c r="F41" i="57"/>
  <c r="N41" i="57"/>
  <c r="V41" i="57"/>
  <c r="G40" i="57"/>
  <c r="O40" i="57"/>
  <c r="G41" i="57"/>
  <c r="O41" i="57"/>
  <c r="AJ9" i="43"/>
  <c r="AJ10" i="43"/>
  <c r="AJ11" i="43"/>
  <c r="AJ12" i="43"/>
  <c r="AJ13" i="43"/>
  <c r="AJ14" i="43"/>
  <c r="AJ15" i="43"/>
  <c r="AJ16" i="43"/>
  <c r="AJ17" i="43"/>
  <c r="AJ18" i="43"/>
  <c r="AJ19" i="43"/>
  <c r="AJ20" i="43"/>
  <c r="F258" i="47"/>
  <c r="F225" i="47"/>
  <c r="F224" i="47"/>
  <c r="F223" i="47"/>
  <c r="F222" i="47"/>
  <c r="F221" i="47"/>
  <c r="F220" i="47"/>
  <c r="F219" i="47"/>
  <c r="F218" i="47"/>
  <c r="F217" i="47"/>
  <c r="K58" i="39"/>
  <c r="K59" i="39"/>
  <c r="K61" i="39"/>
  <c r="K60" i="39"/>
  <c r="K62" i="39"/>
  <c r="O67" i="39"/>
  <c r="M67" i="39"/>
  <c r="K67" i="39"/>
  <c r="O66" i="39"/>
  <c r="M66" i="39"/>
  <c r="K66" i="39"/>
  <c r="O65" i="39"/>
  <c r="M65" i="39"/>
  <c r="K65" i="39"/>
  <c r="M64" i="39"/>
  <c r="K64" i="39"/>
  <c r="M63" i="39"/>
  <c r="K63" i="39"/>
  <c r="I20" i="43"/>
  <c r="H20" i="43"/>
  <c r="Q20" i="43"/>
  <c r="P20" i="43"/>
  <c r="Y20" i="43"/>
  <c r="X20" i="43"/>
  <c r="Y19" i="43"/>
  <c r="X19" i="43"/>
  <c r="Q19" i="43"/>
  <c r="P19" i="43"/>
  <c r="I15" i="43"/>
  <c r="I17" i="43"/>
  <c r="I18" i="43"/>
  <c r="I19" i="43"/>
  <c r="H9" i="43"/>
  <c r="H10" i="43"/>
  <c r="H11" i="43"/>
  <c r="H12" i="43"/>
  <c r="H13" i="43"/>
  <c r="H14" i="43"/>
  <c r="H15" i="43"/>
  <c r="H16" i="43"/>
  <c r="H17" i="43"/>
  <c r="H19" i="43"/>
  <c r="F20" i="46"/>
  <c r="R45" i="37"/>
  <c r="Q45" i="37"/>
  <c r="P45" i="37"/>
  <c r="O45" i="37"/>
  <c r="N45" i="37"/>
  <c r="M45" i="37"/>
  <c r="L45" i="37"/>
  <c r="K45" i="37"/>
  <c r="J45" i="37"/>
  <c r="O62" i="39"/>
  <c r="M62" i="39"/>
  <c r="M61" i="39"/>
  <c r="O60" i="39"/>
  <c r="M60" i="39"/>
  <c r="AF18" i="43"/>
  <c r="P18" i="43"/>
  <c r="P17" i="43"/>
  <c r="O59" i="39"/>
  <c r="M59" i="39"/>
  <c r="O58" i="39"/>
  <c r="Q17" i="43"/>
  <c r="R45" i="32"/>
  <c r="N30" i="37"/>
  <c r="M30" i="37"/>
  <c r="L30" i="37"/>
  <c r="K30" i="37"/>
  <c r="J44" i="37"/>
  <c r="J30" i="37"/>
  <c r="J23" i="37"/>
  <c r="F257" i="47"/>
  <c r="H288" i="47"/>
  <c r="F288" i="47"/>
  <c r="F216" i="47"/>
  <c r="F215" i="47"/>
  <c r="F214" i="47"/>
  <c r="F213" i="47"/>
  <c r="F212" i="47"/>
  <c r="F211" i="47"/>
  <c r="D211" i="47"/>
  <c r="O57" i="39"/>
  <c r="M57" i="39"/>
  <c r="K57" i="39"/>
  <c r="M56" i="39"/>
  <c r="K56" i="39"/>
  <c r="M55" i="39"/>
  <c r="K55" i="39"/>
  <c r="O54" i="39"/>
  <c r="M54" i="39"/>
  <c r="K54" i="39"/>
  <c r="M53" i="39" l="1"/>
  <c r="K53" i="39"/>
  <c r="AA7" i="51"/>
  <c r="P16" i="43"/>
  <c r="F19" i="46"/>
  <c r="P15" i="43"/>
  <c r="O52" i="39"/>
  <c r="M52" i="39"/>
  <c r="K52" i="39"/>
  <c r="N21" i="37"/>
  <c r="C21" i="37"/>
  <c r="D21" i="37"/>
  <c r="E21" i="37"/>
  <c r="F21" i="37"/>
  <c r="G21" i="37"/>
  <c r="H21" i="37"/>
  <c r="I21" i="37"/>
  <c r="J21" i="37"/>
  <c r="K21" i="37"/>
  <c r="L21" i="37"/>
  <c r="M21" i="37"/>
  <c r="O21" i="37"/>
  <c r="P21" i="37"/>
  <c r="Q21" i="37"/>
  <c r="R21" i="37"/>
  <c r="S21" i="37"/>
  <c r="T21" i="37"/>
  <c r="U21" i="37"/>
  <c r="V21" i="37"/>
  <c r="W21" i="37"/>
  <c r="X21" i="37"/>
  <c r="Y21" i="37"/>
  <c r="Z21" i="37"/>
  <c r="C22" i="37"/>
  <c r="D22" i="37"/>
  <c r="E22" i="37"/>
  <c r="E36" i="37" s="1"/>
  <c r="F22" i="37"/>
  <c r="G22" i="37"/>
  <c r="H22" i="37"/>
  <c r="I22" i="37"/>
  <c r="J22" i="37"/>
  <c r="K22" i="37"/>
  <c r="L22" i="37"/>
  <c r="M22" i="37"/>
  <c r="N22" i="37"/>
  <c r="O22" i="37"/>
  <c r="P22" i="37"/>
  <c r="Q22" i="37"/>
  <c r="S22" i="37"/>
  <c r="T22" i="37"/>
  <c r="U22" i="37"/>
  <c r="V22" i="37"/>
  <c r="W22" i="37"/>
  <c r="X22" i="37"/>
  <c r="Y22" i="37"/>
  <c r="Z22" i="37"/>
  <c r="B21" i="37"/>
  <c r="B22" i="37"/>
  <c r="P13" i="43"/>
  <c r="P12" i="43"/>
  <c r="O51" i="39"/>
  <c r="M51" i="39"/>
  <c r="K51" i="39"/>
  <c r="I51" i="39"/>
  <c r="G10" i="54"/>
  <c r="G9" i="54" s="1"/>
  <c r="G16" i="54"/>
  <c r="G22" i="54"/>
  <c r="G28" i="54"/>
  <c r="V49" i="54"/>
  <c r="T49" i="54"/>
  <c r="R49" i="54"/>
  <c r="Q49" i="54"/>
  <c r="F205" i="47"/>
  <c r="F207" i="47"/>
  <c r="G27" i="54"/>
  <c r="G21" i="54"/>
  <c r="G15" i="54"/>
  <c r="G33" i="54"/>
  <c r="G45" i="54" s="1"/>
  <c r="F44" i="37"/>
  <c r="D44" i="37"/>
  <c r="E44" i="37"/>
  <c r="G44" i="37"/>
  <c r="H44" i="37"/>
  <c r="C44" i="37"/>
  <c r="C30" i="37"/>
  <c r="D23" i="37"/>
  <c r="D20" i="47"/>
  <c r="F20" i="47"/>
  <c r="J20" i="47"/>
  <c r="I30" i="37"/>
  <c r="F19" i="47"/>
  <c r="F18" i="47"/>
  <c r="F17" i="47"/>
  <c r="D17" i="47"/>
  <c r="F16" i="47"/>
  <c r="D16" i="47"/>
  <c r="D248" i="47"/>
  <c r="F248" i="47"/>
  <c r="D249" i="47"/>
  <c r="F249" i="47"/>
  <c r="F250" i="47"/>
  <c r="F251" i="47"/>
  <c r="F204" i="47"/>
  <c r="F210" i="47"/>
  <c r="F209" i="47"/>
  <c r="F208" i="47"/>
  <c r="F206" i="47"/>
  <c r="U19" i="50"/>
  <c r="P19" i="50"/>
  <c r="F18" i="46"/>
  <c r="O50" i="39"/>
  <c r="M50" i="39"/>
  <c r="K50" i="39"/>
  <c r="M49" i="39"/>
  <c r="K49" i="39"/>
  <c r="O48" i="39"/>
  <c r="M48" i="39"/>
  <c r="K48" i="39"/>
  <c r="V11" i="43"/>
  <c r="Q11" i="43"/>
  <c r="Q8" i="43"/>
  <c r="P11" i="43"/>
  <c r="P8" i="43"/>
  <c r="M47" i="39"/>
  <c r="K47" i="39"/>
  <c r="M46" i="39"/>
  <c r="K46" i="39"/>
  <c r="M45" i="39"/>
  <c r="K45" i="39"/>
  <c r="G30" i="37"/>
  <c r="H30" i="37"/>
  <c r="F30" i="37"/>
  <c r="D53" i="37"/>
  <c r="D52" i="37"/>
  <c r="D51" i="37"/>
  <c r="O43" i="39"/>
  <c r="M43" i="39"/>
  <c r="K43" i="39"/>
  <c r="J46" i="37"/>
  <c r="H46" i="37"/>
  <c r="G46" i="37"/>
  <c r="H8" i="53"/>
  <c r="I8" i="53"/>
  <c r="Z8" i="53"/>
  <c r="V8" i="53"/>
  <c r="W8" i="53"/>
  <c r="X8" i="53" s="1"/>
  <c r="Y8" i="53" s="1"/>
  <c r="T8" i="53"/>
  <c r="S8" i="53"/>
  <c r="R8" i="53"/>
  <c r="Q8" i="53"/>
  <c r="P8" i="53"/>
  <c r="O8" i="53"/>
  <c r="N8" i="53"/>
  <c r="M8" i="53"/>
  <c r="L8" i="53"/>
  <c r="U8" i="53"/>
  <c r="K8" i="53"/>
  <c r="M29" i="37"/>
  <c r="O40" i="39"/>
  <c r="M40" i="39"/>
  <c r="K40" i="39"/>
  <c r="I40" i="39"/>
  <c r="D43" i="37"/>
  <c r="E43" i="37"/>
  <c r="F43" i="37"/>
  <c r="G43" i="37"/>
  <c r="H43" i="37"/>
  <c r="I43" i="37"/>
  <c r="J43" i="37"/>
  <c r="K43" i="37"/>
  <c r="L43" i="37"/>
  <c r="M43" i="37"/>
  <c r="N43" i="37"/>
  <c r="O43" i="37"/>
  <c r="P43" i="37"/>
  <c r="Q43" i="37"/>
  <c r="R43" i="37"/>
  <c r="S43" i="37"/>
  <c r="T43" i="37"/>
  <c r="U43" i="37"/>
  <c r="V43" i="37"/>
  <c r="W43" i="37"/>
  <c r="X43" i="37"/>
  <c r="Y43" i="37"/>
  <c r="Z43" i="37"/>
  <c r="C43" i="37"/>
  <c r="Z42" i="37"/>
  <c r="D42" i="37"/>
  <c r="E42" i="37"/>
  <c r="F42" i="37"/>
  <c r="G42" i="37"/>
  <c r="H42" i="37"/>
  <c r="I42" i="37"/>
  <c r="J42" i="37"/>
  <c r="K42" i="37"/>
  <c r="L42" i="37"/>
  <c r="M42" i="37"/>
  <c r="N42" i="37"/>
  <c r="O42" i="37"/>
  <c r="P42" i="37"/>
  <c r="Q42" i="37"/>
  <c r="R42" i="37"/>
  <c r="S42" i="37"/>
  <c r="T42" i="37"/>
  <c r="U42" i="37"/>
  <c r="V42" i="37"/>
  <c r="W42" i="37"/>
  <c r="X42" i="37"/>
  <c r="Y42" i="37"/>
  <c r="C42" i="37"/>
  <c r="D36" i="37"/>
  <c r="C36" i="37"/>
  <c r="D35" i="37"/>
  <c r="C35" i="37"/>
  <c r="I28" i="37"/>
  <c r="AA8" i="51"/>
  <c r="AA9" i="51"/>
  <c r="AA10" i="51"/>
  <c r="AA11" i="51"/>
  <c r="AA12" i="51"/>
  <c r="AA13" i="51"/>
  <c r="AA14" i="51"/>
  <c r="AA15" i="51"/>
  <c r="F168" i="47"/>
  <c r="F203" i="47"/>
  <c r="F202" i="47"/>
  <c r="P18" i="50"/>
  <c r="AB18" i="50"/>
  <c r="U18" i="50"/>
  <c r="AG18" i="50"/>
  <c r="AI18" i="50"/>
  <c r="W18" i="50"/>
  <c r="Y18" i="50"/>
  <c r="AK18" i="50"/>
  <c r="AM8" i="43"/>
  <c r="AJ8" i="43"/>
  <c r="AI8" i="43"/>
  <c r="AH8" i="43"/>
  <c r="K8" i="43"/>
  <c r="L8" i="43"/>
  <c r="J8" i="43"/>
  <c r="O42" i="39"/>
  <c r="M42" i="39"/>
  <c r="K42" i="39"/>
  <c r="O41" i="39"/>
  <c r="M41" i="39"/>
  <c r="K41" i="39"/>
  <c r="O39" i="39"/>
  <c r="M39" i="39"/>
  <c r="K39" i="39"/>
  <c r="D30" i="37"/>
  <c r="E30" i="37"/>
  <c r="D29" i="37"/>
  <c r="E29" i="37"/>
  <c r="F29" i="37"/>
  <c r="G29" i="37"/>
  <c r="H29" i="37"/>
  <c r="I29" i="37"/>
  <c r="J29" i="37"/>
  <c r="K29" i="37"/>
  <c r="L29" i="37"/>
  <c r="N29" i="37"/>
  <c r="O29" i="37"/>
  <c r="P29" i="37"/>
  <c r="Q29" i="37"/>
  <c r="S29" i="37"/>
  <c r="T29" i="37"/>
  <c r="U29" i="37"/>
  <c r="V29" i="37"/>
  <c r="W29" i="37"/>
  <c r="X29" i="37"/>
  <c r="Y29" i="37"/>
  <c r="Z29" i="37"/>
  <c r="C29" i="37"/>
  <c r="N28" i="37"/>
  <c r="O28" i="37"/>
  <c r="P28" i="37"/>
  <c r="Q28" i="37"/>
  <c r="R28" i="37"/>
  <c r="S28" i="37"/>
  <c r="T28" i="37"/>
  <c r="U28" i="37"/>
  <c r="V28" i="37"/>
  <c r="W28" i="37"/>
  <c r="X28" i="37"/>
  <c r="Y28" i="37"/>
  <c r="Z28" i="37"/>
  <c r="D28" i="37"/>
  <c r="E28" i="37"/>
  <c r="F28" i="37"/>
  <c r="G28" i="37"/>
  <c r="H28" i="37"/>
  <c r="J28" i="37"/>
  <c r="K28" i="37"/>
  <c r="L28" i="37"/>
  <c r="M28" i="37"/>
  <c r="C28" i="37"/>
  <c r="M38" i="39"/>
  <c r="K38" i="39"/>
  <c r="M37" i="39"/>
  <c r="K37" i="39"/>
  <c r="O36" i="39"/>
  <c r="M36" i="39"/>
  <c r="K36" i="39"/>
  <c r="O35" i="39"/>
  <c r="M35" i="39"/>
  <c r="K35" i="39"/>
  <c r="I35" i="39"/>
  <c r="O34" i="39"/>
  <c r="M34" i="39"/>
  <c r="K34" i="39"/>
  <c r="I34" i="39"/>
  <c r="AI17" i="50"/>
  <c r="W17" i="50"/>
  <c r="AG17" i="50"/>
  <c r="U17" i="50"/>
  <c r="J167" i="47"/>
  <c r="H167" i="47"/>
  <c r="F167" i="47"/>
  <c r="J166" i="47"/>
  <c r="H166" i="47"/>
  <c r="F166" i="47"/>
  <c r="J165" i="47"/>
  <c r="H165" i="47"/>
  <c r="F165" i="47"/>
  <c r="J164" i="47"/>
  <c r="H164" i="47"/>
  <c r="F164" i="47"/>
  <c r="D164" i="47"/>
  <c r="J163" i="47"/>
  <c r="H163" i="47"/>
  <c r="J162" i="47"/>
  <c r="H162" i="47"/>
  <c r="D162" i="47"/>
  <c r="B136" i="47"/>
  <c r="B135" i="47"/>
  <c r="B134" i="47"/>
  <c r="F109" i="47"/>
  <c r="F108" i="47"/>
  <c r="F107" i="47"/>
  <c r="O33" i="39"/>
  <c r="M33" i="39"/>
  <c r="K33" i="39"/>
  <c r="O32" i="39"/>
  <c r="M32" i="39"/>
  <c r="K32" i="39"/>
  <c r="O31" i="39"/>
  <c r="M31" i="39"/>
  <c r="M30" i="39"/>
  <c r="K31" i="39"/>
  <c r="F15" i="47"/>
  <c r="F13" i="47"/>
  <c r="F12" i="47"/>
  <c r="AI16" i="50"/>
  <c r="W16" i="50"/>
  <c r="O30" i="39"/>
  <c r="K30" i="39"/>
  <c r="O29" i="39"/>
  <c r="M29" i="39"/>
  <c r="O28" i="39"/>
  <c r="M28" i="39"/>
  <c r="K28" i="39"/>
  <c r="K27" i="39"/>
  <c r="U15" i="50"/>
  <c r="W15" i="50"/>
  <c r="AI15" i="50"/>
  <c r="AG15" i="50"/>
  <c r="U14" i="50"/>
  <c r="AG14" i="50"/>
  <c r="W14" i="50"/>
  <c r="AI14" i="50"/>
  <c r="C23" i="48"/>
  <c r="F23" i="48"/>
  <c r="C24" i="48"/>
  <c r="F24" i="48"/>
  <c r="C25" i="48"/>
  <c r="F25" i="48"/>
  <c r="C26" i="48"/>
  <c r="F26" i="48"/>
  <c r="C27" i="48"/>
  <c r="F27" i="48"/>
  <c r="C28" i="48"/>
  <c r="F28" i="48"/>
  <c r="C29" i="48"/>
  <c r="F29" i="48"/>
  <c r="C30" i="48"/>
  <c r="F30" i="48"/>
  <c r="C31" i="48"/>
  <c r="F31" i="48"/>
  <c r="C32" i="48"/>
  <c r="F32" i="48"/>
  <c r="C33" i="48"/>
  <c r="F33" i="48"/>
  <c r="C34" i="48"/>
  <c r="F34" i="48"/>
  <c r="C35" i="48"/>
  <c r="F35" i="48"/>
  <c r="C36" i="48"/>
  <c r="F36" i="48"/>
  <c r="C37" i="48"/>
  <c r="F37" i="48"/>
  <c r="C38" i="48"/>
  <c r="F38" i="48"/>
  <c r="C39" i="48"/>
  <c r="F39" i="48"/>
  <c r="C40" i="48"/>
  <c r="F40" i="48"/>
  <c r="C41" i="48"/>
  <c r="F41" i="48"/>
  <c r="C42" i="48"/>
  <c r="F42" i="48"/>
  <c r="C43" i="48"/>
  <c r="F43" i="48"/>
  <c r="C44" i="48"/>
  <c r="F44" i="48"/>
  <c r="C47" i="48"/>
  <c r="F47" i="48"/>
  <c r="C48" i="48"/>
  <c r="F48" i="48"/>
  <c r="C49" i="48"/>
  <c r="F49" i="48"/>
  <c r="C50" i="48"/>
  <c r="F50" i="48"/>
  <c r="E6" i="49"/>
  <c r="E7" i="49"/>
  <c r="E8" i="49"/>
  <c r="E9" i="49"/>
  <c r="E10" i="49"/>
  <c r="E11" i="49"/>
  <c r="E12" i="49"/>
  <c r="E13" i="49"/>
  <c r="E14" i="49"/>
  <c r="E15" i="49"/>
  <c r="E16" i="49"/>
  <c r="E17" i="49"/>
  <c r="E18" i="49"/>
  <c r="E19" i="49"/>
  <c r="E20" i="49"/>
  <c r="E21" i="49"/>
  <c r="E22" i="49"/>
  <c r="E23" i="49"/>
  <c r="E24" i="49"/>
  <c r="E25" i="49"/>
  <c r="C6" i="48"/>
  <c r="F6" i="48"/>
  <c r="C7" i="48"/>
  <c r="F7" i="48"/>
  <c r="C8" i="48"/>
  <c r="F8" i="48"/>
  <c r="C9" i="48"/>
  <c r="F9" i="48"/>
  <c r="C10" i="48"/>
  <c r="F10" i="48"/>
  <c r="C11" i="48"/>
  <c r="F11" i="48"/>
  <c r="C12" i="48"/>
  <c r="F12" i="48"/>
  <c r="C13" i="48"/>
  <c r="C14" i="48"/>
  <c r="F14" i="48"/>
  <c r="C15" i="48"/>
  <c r="F15" i="48"/>
  <c r="C16" i="48"/>
  <c r="F16" i="48"/>
  <c r="C17" i="48"/>
  <c r="F17" i="48"/>
  <c r="C18" i="48"/>
  <c r="F18" i="48"/>
  <c r="C19" i="48"/>
  <c r="F19" i="48"/>
  <c r="C20" i="48"/>
  <c r="F20" i="48"/>
  <c r="C21" i="48"/>
  <c r="C22" i="48"/>
  <c r="F22" i="48"/>
  <c r="O27" i="39"/>
  <c r="M27" i="39"/>
  <c r="F41" i="47"/>
  <c r="D41" i="47"/>
  <c r="D39" i="47"/>
  <c r="F11" i="47"/>
  <c r="D11" i="47"/>
  <c r="F10" i="47"/>
  <c r="D10" i="47"/>
  <c r="F9" i="47"/>
  <c r="F8" i="47"/>
  <c r="F7" i="47"/>
  <c r="F6" i="47"/>
  <c r="D6" i="47"/>
  <c r="F5" i="47"/>
  <c r="F4" i="47"/>
  <c r="D4" i="47"/>
  <c r="F3" i="47"/>
  <c r="D3" i="47"/>
  <c r="S49" i="54" l="1"/>
  <c r="Y36" i="37"/>
  <c r="Q36" i="37"/>
  <c r="P35" i="37"/>
  <c r="L36" i="37"/>
  <c r="F35" i="37"/>
  <c r="I35" i="37"/>
  <c r="W35" i="37"/>
  <c r="K35" i="37"/>
  <c r="T36" i="37"/>
  <c r="K36" i="37"/>
  <c r="T35" i="37"/>
  <c r="H35" i="37"/>
  <c r="V35" i="37"/>
  <c r="S36" i="37"/>
  <c r="H36" i="37"/>
  <c r="G35" i="37"/>
  <c r="U35" i="37"/>
  <c r="Z36" i="37"/>
  <c r="R36" i="37"/>
  <c r="F36" i="37"/>
  <c r="P36" i="37"/>
  <c r="G36" i="37"/>
  <c r="N35" i="37"/>
  <c r="S35" i="37"/>
  <c r="X36" i="37"/>
  <c r="O36" i="37"/>
  <c r="O35" i="37"/>
  <c r="M35" i="37"/>
  <c r="Z35" i="37"/>
  <c r="R35" i="37"/>
  <c r="W36" i="37"/>
  <c r="N36" i="37"/>
  <c r="E35" i="37"/>
  <c r="I36" i="37"/>
  <c r="L35" i="37"/>
  <c r="Y35" i="37"/>
  <c r="Q35" i="37"/>
  <c r="V36" i="37"/>
  <c r="M36" i="37"/>
  <c r="J35" i="37"/>
  <c r="X35" i="37"/>
  <c r="U36" i="37"/>
  <c r="J36" i="37"/>
  <c r="T46" i="37"/>
  <c r="U46" i="37" s="1"/>
  <c r="V46" i="37" s="1"/>
  <c r="W46" i="37" s="1"/>
  <c r="X46" i="37" s="1"/>
  <c r="Y46" i="37" s="1"/>
  <c r="K46" i="37"/>
  <c r="F21" i="48"/>
  <c r="F13" i="48"/>
  <c r="O26" i="39"/>
  <c r="M26" i="39"/>
  <c r="K26" i="39"/>
  <c r="I26" i="39"/>
  <c r="O25" i="39"/>
  <c r="M25" i="39"/>
  <c r="K25" i="39"/>
  <c r="I25" i="39"/>
  <c r="O24" i="39"/>
  <c r="M24" i="39"/>
  <c r="K24" i="39"/>
  <c r="I24" i="39"/>
  <c r="O23" i="39"/>
  <c r="M23" i="39"/>
  <c r="K23" i="39"/>
  <c r="K22" i="45"/>
  <c r="K23" i="45"/>
  <c r="I22" i="45"/>
  <c r="I23" i="45"/>
  <c r="G22" i="45"/>
  <c r="G23" i="45"/>
  <c r="E22" i="45"/>
  <c r="E23" i="45"/>
  <c r="E24" i="45"/>
  <c r="C22" i="45"/>
  <c r="K21" i="45"/>
  <c r="I21" i="45"/>
  <c r="G21" i="45"/>
  <c r="E21" i="45"/>
  <c r="F12" i="46"/>
  <c r="K6" i="46"/>
  <c r="K7" i="46"/>
  <c r="K8" i="46"/>
  <c r="K9" i="46"/>
  <c r="K10" i="46"/>
  <c r="K11" i="46"/>
  <c r="K12" i="46"/>
  <c r="K13" i="46"/>
  <c r="K14" i="46"/>
  <c r="K15" i="46"/>
  <c r="K16" i="46"/>
  <c r="K17" i="46"/>
  <c r="K18" i="46"/>
  <c r="K19" i="46"/>
  <c r="K20" i="46"/>
  <c r="K21" i="46"/>
  <c r="K22" i="46"/>
  <c r="K23" i="46"/>
  <c r="K24" i="46"/>
  <c r="K25" i="46"/>
  <c r="K26" i="46"/>
  <c r="K5" i="46"/>
  <c r="P6" i="46"/>
  <c r="P7" i="46"/>
  <c r="P8" i="46"/>
  <c r="P9" i="46"/>
  <c r="P10" i="46"/>
  <c r="P11" i="46"/>
  <c r="P12" i="46"/>
  <c r="P13" i="46"/>
  <c r="P14" i="46"/>
  <c r="P15" i="46"/>
  <c r="P16" i="46"/>
  <c r="P17" i="46"/>
  <c r="P18" i="46"/>
  <c r="P19" i="46"/>
  <c r="P20" i="46"/>
  <c r="P21" i="46"/>
  <c r="P22" i="46"/>
  <c r="P23" i="46"/>
  <c r="P24" i="46"/>
  <c r="P25" i="46"/>
  <c r="P26" i="46"/>
  <c r="P27" i="46"/>
  <c r="P28" i="46"/>
  <c r="P29" i="46"/>
  <c r="P30" i="46"/>
  <c r="P5" i="46"/>
  <c r="P49" i="46"/>
  <c r="P51" i="46" s="1"/>
  <c r="O49" i="46"/>
  <c r="L49" i="46"/>
  <c r="F5" i="46"/>
  <c r="J49" i="46"/>
  <c r="G49" i="46"/>
  <c r="E49" i="46"/>
  <c r="B49" i="46"/>
  <c r="F17" i="46"/>
  <c r="F16" i="46"/>
  <c r="F15" i="46"/>
  <c r="F14" i="46"/>
  <c r="F49" i="46" s="1"/>
  <c r="F13" i="46"/>
  <c r="F11" i="46"/>
  <c r="F10" i="46"/>
  <c r="F9" i="46"/>
  <c r="F8" i="46"/>
  <c r="F7" i="46"/>
  <c r="F6" i="46"/>
  <c r="K49" i="46"/>
  <c r="K51" i="46" s="1"/>
  <c r="O22" i="39"/>
  <c r="M22" i="39"/>
  <c r="K22" i="39"/>
  <c r="O21" i="39"/>
  <c r="M21" i="39"/>
  <c r="K21" i="39"/>
  <c r="K13" i="45"/>
  <c r="I13" i="45"/>
  <c r="G13" i="45"/>
  <c r="E6" i="45"/>
  <c r="G6" i="45"/>
  <c r="I6" i="45"/>
  <c r="K6" i="45"/>
  <c r="E7" i="45"/>
  <c r="G7" i="45"/>
  <c r="I7" i="45"/>
  <c r="K7" i="45"/>
  <c r="D5" i="45"/>
  <c r="E5" i="45"/>
  <c r="F5" i="45"/>
  <c r="G5" i="45"/>
  <c r="H5" i="45"/>
  <c r="I5" i="45"/>
  <c r="J5" i="45"/>
  <c r="K5" i="45"/>
  <c r="E20" i="45"/>
  <c r="C27" i="45"/>
  <c r="J10" i="45"/>
  <c r="H10" i="45"/>
  <c r="F10" i="45"/>
  <c r="D10" i="45"/>
  <c r="J9" i="45"/>
  <c r="H9" i="45"/>
  <c r="F9" i="45"/>
  <c r="D9" i="45"/>
  <c r="K8" i="45"/>
  <c r="K9" i="45"/>
  <c r="K10" i="45"/>
  <c r="K11" i="45"/>
  <c r="K12" i="45"/>
  <c r="K14" i="45"/>
  <c r="K15" i="45"/>
  <c r="K16" i="45"/>
  <c r="K17" i="45"/>
  <c r="K18" i="45"/>
  <c r="K19" i="45"/>
  <c r="K20" i="45"/>
  <c r="I8" i="45"/>
  <c r="I9" i="45"/>
  <c r="I10" i="45"/>
  <c r="I11" i="45"/>
  <c r="I12" i="45"/>
  <c r="I14" i="45"/>
  <c r="I15" i="45"/>
  <c r="I16" i="45"/>
  <c r="I17" i="45"/>
  <c r="I18" i="45"/>
  <c r="I19" i="45"/>
  <c r="I20" i="45"/>
  <c r="G8" i="45"/>
  <c r="G9" i="45"/>
  <c r="G10" i="45"/>
  <c r="G11" i="45"/>
  <c r="G12" i="45"/>
  <c r="G14" i="45"/>
  <c r="G15" i="45"/>
  <c r="G16" i="45"/>
  <c r="G17" i="45"/>
  <c r="G18" i="45"/>
  <c r="G19" i="45"/>
  <c r="G20" i="45"/>
  <c r="E8" i="45"/>
  <c r="E9" i="45"/>
  <c r="E10" i="45"/>
  <c r="E11" i="45"/>
  <c r="E12" i="45"/>
  <c r="E13" i="45"/>
  <c r="E14" i="45"/>
  <c r="E15" i="45"/>
  <c r="E16" i="45"/>
  <c r="E17" i="45"/>
  <c r="E18" i="45"/>
  <c r="E19" i="45"/>
  <c r="J27" i="45"/>
  <c r="F27" i="45"/>
  <c r="D27" i="45"/>
  <c r="K4" i="45"/>
  <c r="I4" i="45"/>
  <c r="G4" i="45"/>
  <c r="E4" i="45"/>
  <c r="K3" i="45"/>
  <c r="K27" i="45" s="1"/>
  <c r="I3" i="45"/>
  <c r="G3" i="45"/>
  <c r="G27" i="45" s="1"/>
  <c r="E3" i="45"/>
  <c r="O19" i="39"/>
  <c r="M19" i="39"/>
  <c r="K19" i="39"/>
  <c r="O20" i="39"/>
  <c r="M20" i="39"/>
  <c r="K20" i="39"/>
  <c r="I20" i="39"/>
  <c r="O18" i="39"/>
  <c r="M18" i="39"/>
  <c r="O17" i="39"/>
  <c r="M17" i="39"/>
  <c r="I17" i="39"/>
  <c r="K3" i="39"/>
  <c r="O16" i="39"/>
  <c r="O15" i="39"/>
  <c r="M16" i="39"/>
  <c r="K16" i="39"/>
  <c r="K15" i="39"/>
  <c r="I16" i="39"/>
  <c r="M15" i="39"/>
  <c r="I15" i="39"/>
  <c r="O14" i="39"/>
  <c r="M14" i="39"/>
  <c r="K14" i="39"/>
  <c r="I14" i="39"/>
  <c r="O13" i="39"/>
  <c r="M13" i="39"/>
  <c r="K13" i="39"/>
  <c r="O12" i="39"/>
  <c r="M12" i="39"/>
  <c r="K12" i="39"/>
  <c r="I12" i="39"/>
  <c r="O11" i="39"/>
  <c r="M11" i="39"/>
  <c r="K11" i="39"/>
  <c r="I11" i="39"/>
  <c r="O10" i="39"/>
  <c r="M10" i="39"/>
  <c r="K10" i="39"/>
  <c r="O9" i="39"/>
  <c r="M9" i="39"/>
  <c r="K9" i="39"/>
  <c r="O8" i="39"/>
  <c r="M8" i="39"/>
  <c r="K8" i="39"/>
  <c r="I8" i="39"/>
  <c r="O7" i="39"/>
  <c r="M7" i="39"/>
  <c r="K7" i="39"/>
  <c r="M6" i="39"/>
  <c r="I6" i="39"/>
  <c r="K6" i="39"/>
  <c r="W34" i="43"/>
  <c r="L46" i="37" l="1"/>
  <c r="M46" i="37" s="1"/>
  <c r="N46" i="37" s="1"/>
  <c r="O46" i="37" s="1"/>
  <c r="P46" i="37" s="1"/>
  <c r="Q46" i="37" s="1"/>
  <c r="R46" i="37" s="1"/>
  <c r="S46" i="37" s="1"/>
  <c r="F51" i="46"/>
  <c r="E27" i="45"/>
  <c r="H27" i="45"/>
  <c r="I27" i="45"/>
  <c r="R34" i="43"/>
  <c r="V153" i="31" s="1"/>
  <c r="D34" i="43"/>
  <c r="D153" i="31" s="1"/>
  <c r="C34" i="43"/>
  <c r="C153" i="31" s="1"/>
  <c r="B34" i="43"/>
  <c r="B153" i="31" s="1"/>
  <c r="I153" i="31"/>
  <c r="K18" i="31"/>
  <c r="K19" i="31"/>
  <c r="K20" i="31"/>
  <c r="K21" i="31"/>
  <c r="K22" i="31"/>
  <c r="K23" i="31"/>
  <c r="K24" i="31"/>
  <c r="K17" i="31"/>
  <c r="H18" i="31"/>
  <c r="H19" i="31"/>
  <c r="H20" i="31"/>
  <c r="H21" i="31"/>
  <c r="H22" i="31"/>
  <c r="H23" i="31"/>
  <c r="H24" i="31"/>
  <c r="H17" i="31"/>
  <c r="O4" i="39"/>
  <c r="O5" i="39"/>
  <c r="O3" i="39"/>
  <c r="M5" i="39"/>
  <c r="K5" i="39"/>
  <c r="M4" i="39"/>
  <c r="K4" i="39"/>
  <c r="I4" i="39"/>
  <c r="M3" i="39"/>
  <c r="I3" i="39"/>
  <c r="G34" i="43"/>
  <c r="G153" i="31"/>
  <c r="J153" i="31"/>
  <c r="O34" i="43"/>
  <c r="H156" i="31" s="1"/>
  <c r="S34" i="43"/>
  <c r="T34" i="43"/>
  <c r="Z34" i="43"/>
  <c r="AA153" i="31" s="1"/>
  <c r="AA34" i="43"/>
  <c r="AB153" i="31" s="1"/>
  <c r="AB34" i="43"/>
  <c r="AE34" i="43"/>
  <c r="AB156" i="31" s="1"/>
  <c r="AH34" i="43"/>
  <c r="AI34" i="43"/>
  <c r="AJ34" i="43"/>
  <c r="AM34" i="43"/>
  <c r="AN34" i="43"/>
  <c r="L36" i="43"/>
  <c r="AR59" i="32"/>
  <c r="AQ59" i="32"/>
  <c r="AP59" i="32"/>
  <c r="AO59" i="32"/>
  <c r="AS59" i="32" s="1"/>
  <c r="AM59" i="32"/>
  <c r="AL59" i="32"/>
  <c r="AK59" i="32"/>
  <c r="AJ59" i="32"/>
  <c r="AN59" i="32" s="1"/>
  <c r="AI59" i="32"/>
  <c r="AH59" i="32"/>
  <c r="AG59" i="32"/>
  <c r="AF59" i="32"/>
  <c r="Y59" i="32"/>
  <c r="X59" i="32"/>
  <c r="W59" i="32"/>
  <c r="V59" i="32"/>
  <c r="Z59" i="32" s="1"/>
  <c r="R59" i="32"/>
  <c r="AE59" i="32" s="1"/>
  <c r="M59" i="32"/>
  <c r="AD59" i="32" s="1"/>
  <c r="H59" i="32"/>
  <c r="AC59" i="32" s="1"/>
  <c r="C59" i="32"/>
  <c r="AB59" i="32" s="1"/>
  <c r="AR58" i="32"/>
  <c r="AQ58" i="32"/>
  <c r="AP58" i="32"/>
  <c r="AO58" i="32"/>
  <c r="AS58" i="32" s="1"/>
  <c r="AM58" i="32"/>
  <c r="AL58" i="32"/>
  <c r="AK58" i="32"/>
  <c r="AJ58" i="32"/>
  <c r="AN58" i="32" s="1"/>
  <c r="AI58" i="32"/>
  <c r="AH58" i="32"/>
  <c r="AG58" i="32"/>
  <c r="AF58" i="32"/>
  <c r="Y58" i="32"/>
  <c r="X58" i="32"/>
  <c r="W58" i="32"/>
  <c r="V58" i="32"/>
  <c r="Z58" i="32" s="1"/>
  <c r="R58" i="32"/>
  <c r="AE58" i="32" s="1"/>
  <c r="M58" i="32"/>
  <c r="AD58" i="32" s="1"/>
  <c r="H58" i="32"/>
  <c r="AC58" i="32" s="1"/>
  <c r="C58" i="32"/>
  <c r="AB58" i="32" s="1"/>
  <c r="AA5" i="32"/>
  <c r="H34" i="43" l="1"/>
  <c r="D156" i="31" s="1"/>
  <c r="AK34" i="43"/>
  <c r="AL34" i="43"/>
  <c r="Y34" i="43"/>
  <c r="Y156" i="31" s="1"/>
  <c r="X153" i="31"/>
  <c r="V34" i="43"/>
  <c r="V156" i="31" s="1"/>
  <c r="X34" i="43"/>
  <c r="X156" i="31" s="1"/>
  <c r="N34" i="43"/>
  <c r="G156" i="31" s="1"/>
  <c r="H153" i="31"/>
  <c r="AF34" i="43"/>
  <c r="AC156" i="31" s="1"/>
  <c r="E34" i="43"/>
  <c r="E153" i="31" s="1"/>
  <c r="AD34" i="43"/>
  <c r="AA156" i="31" s="1"/>
  <c r="AC34" i="43"/>
  <c r="AD153" i="31" s="1"/>
  <c r="F34" i="43"/>
  <c r="B156" i="31" s="1"/>
  <c r="AG34" i="43"/>
  <c r="AD156" i="31" s="1"/>
  <c r="C156" i="31"/>
  <c r="W153" i="31"/>
  <c r="U34" i="43"/>
  <c r="Y153" i="31" s="1"/>
  <c r="AO34" i="43"/>
  <c r="P34" i="43"/>
  <c r="I156" i="31" s="1"/>
  <c r="AC153" i="31"/>
  <c r="I34" i="43"/>
  <c r="E156" i="31" s="1"/>
  <c r="Q34" i="43"/>
  <c r="J156" i="31" s="1"/>
  <c r="Z60" i="32"/>
  <c r="Z61" i="32"/>
  <c r="Z62" i="32"/>
  <c r="Z63" i="32"/>
  <c r="Z64" i="32"/>
  <c r="Z65" i="32"/>
  <c r="Z66" i="32"/>
  <c r="Z67" i="32"/>
  <c r="Z68" i="32"/>
  <c r="Z69" i="32"/>
  <c r="Z70" i="32"/>
  <c r="Z71" i="32"/>
  <c r="Z72" i="32"/>
  <c r="Z73" i="32"/>
  <c r="Z74" i="32"/>
  <c r="Z75" i="32"/>
  <c r="Z76" i="32"/>
  <c r="Z77" i="32"/>
  <c r="Z78" i="32"/>
  <c r="Z79" i="32"/>
  <c r="Z80" i="32"/>
  <c r="Z81" i="32"/>
  <c r="Z82" i="32"/>
  <c r="Z83" i="32"/>
  <c r="Z84" i="32"/>
  <c r="Z85" i="32"/>
  <c r="Z86" i="32"/>
  <c r="Z87" i="32"/>
  <c r="C7" i="32"/>
  <c r="C8" i="32"/>
  <c r="C9" i="32"/>
  <c r="C10" i="32"/>
  <c r="C11" i="32"/>
  <c r="C12" i="32"/>
  <c r="C13" i="32"/>
  <c r="AB13" i="32" s="1"/>
  <c r="C14" i="32"/>
  <c r="C15" i="32"/>
  <c r="C6" i="32"/>
  <c r="AB6" i="32" s="1"/>
  <c r="AH56" i="32"/>
  <c r="AI56" i="32"/>
  <c r="AJ56" i="32"/>
  <c r="AK56" i="32"/>
  <c r="AL56" i="32"/>
  <c r="AM56" i="32"/>
  <c r="AO56" i="32"/>
  <c r="AP56" i="32"/>
  <c r="AQ56" i="32"/>
  <c r="AR56" i="32"/>
  <c r="AH57" i="32"/>
  <c r="AI57" i="32"/>
  <c r="AJ57" i="32"/>
  <c r="AK57" i="32"/>
  <c r="AL57" i="32"/>
  <c r="AM57" i="32"/>
  <c r="AO57" i="32"/>
  <c r="AP57" i="32"/>
  <c r="AQ57" i="32"/>
  <c r="AR57" i="32"/>
  <c r="AH60" i="32"/>
  <c r="AI60" i="32"/>
  <c r="AJ60" i="32"/>
  <c r="AK60" i="32"/>
  <c r="AL60" i="32"/>
  <c r="AM60" i="32"/>
  <c r="AO60" i="32"/>
  <c r="AP60" i="32"/>
  <c r="AQ60" i="32"/>
  <c r="AR60" i="32"/>
  <c r="AH61" i="32"/>
  <c r="AI61" i="32"/>
  <c r="AJ61" i="32"/>
  <c r="AK61" i="32"/>
  <c r="AL61" i="32"/>
  <c r="AM61" i="32"/>
  <c r="AO61" i="32"/>
  <c r="AP61" i="32"/>
  <c r="AQ61" i="32"/>
  <c r="AR61" i="32"/>
  <c r="AH62" i="32"/>
  <c r="AI62" i="32"/>
  <c r="AJ62" i="32"/>
  <c r="AK62" i="32"/>
  <c r="AL62" i="32"/>
  <c r="AM62" i="32"/>
  <c r="AO62" i="32"/>
  <c r="AP62" i="32"/>
  <c r="AQ62" i="32"/>
  <c r="AR62" i="32"/>
  <c r="AH63" i="32"/>
  <c r="AI63" i="32"/>
  <c r="AJ63" i="32"/>
  <c r="AK63" i="32"/>
  <c r="AL63" i="32"/>
  <c r="AM63" i="32"/>
  <c r="AO63" i="32"/>
  <c r="AP63" i="32"/>
  <c r="AQ63" i="32"/>
  <c r="AR63" i="32"/>
  <c r="AH64" i="32"/>
  <c r="AI64" i="32"/>
  <c r="AJ64" i="32"/>
  <c r="AK64" i="32"/>
  <c r="AL64" i="32"/>
  <c r="AM64" i="32"/>
  <c r="AO64" i="32"/>
  <c r="AP64" i="32"/>
  <c r="AQ64" i="32"/>
  <c r="AR64" i="32"/>
  <c r="AH65" i="32"/>
  <c r="AI65" i="32"/>
  <c r="AJ65" i="32"/>
  <c r="AK65" i="32"/>
  <c r="AL65" i="32"/>
  <c r="AM65" i="32"/>
  <c r="AO65" i="32"/>
  <c r="AP65" i="32"/>
  <c r="AQ65" i="32"/>
  <c r="AR65" i="32"/>
  <c r="AH66" i="32"/>
  <c r="AI66" i="32"/>
  <c r="AJ66" i="32"/>
  <c r="AK66" i="32"/>
  <c r="AL66" i="32"/>
  <c r="AM66" i="32"/>
  <c r="AO66" i="32"/>
  <c r="AP66" i="32"/>
  <c r="AQ66" i="32"/>
  <c r="AR66" i="32"/>
  <c r="AH67" i="32"/>
  <c r="AI67" i="32"/>
  <c r="AJ67" i="32"/>
  <c r="AK67" i="32"/>
  <c r="AL67" i="32"/>
  <c r="AM67" i="32"/>
  <c r="AO67" i="32"/>
  <c r="AP67" i="32"/>
  <c r="AQ67" i="32"/>
  <c r="AR67" i="32"/>
  <c r="AH68" i="32"/>
  <c r="AI68" i="32"/>
  <c r="AJ68" i="32"/>
  <c r="AK68" i="32"/>
  <c r="AL68" i="32"/>
  <c r="AM68" i="32"/>
  <c r="AO68" i="32"/>
  <c r="AP68" i="32"/>
  <c r="AQ68" i="32"/>
  <c r="AR68" i="32"/>
  <c r="AH69" i="32"/>
  <c r="AI69" i="32"/>
  <c r="AJ69" i="32"/>
  <c r="AK69" i="32"/>
  <c r="AL69" i="32"/>
  <c r="AM69" i="32"/>
  <c r="AO69" i="32"/>
  <c r="AP69" i="32"/>
  <c r="AQ69" i="32"/>
  <c r="AR69" i="32"/>
  <c r="AH70" i="32"/>
  <c r="AI70" i="32"/>
  <c r="AJ70" i="32"/>
  <c r="AK70" i="32"/>
  <c r="AL70" i="32"/>
  <c r="AM70" i="32"/>
  <c r="AO70" i="32"/>
  <c r="AP70" i="32"/>
  <c r="AQ70" i="32"/>
  <c r="AR70" i="32"/>
  <c r="AH71" i="32"/>
  <c r="AI71" i="32"/>
  <c r="AJ71" i="32"/>
  <c r="AK71" i="32"/>
  <c r="AL71" i="32"/>
  <c r="AM71" i="32"/>
  <c r="AO71" i="32"/>
  <c r="AP71" i="32"/>
  <c r="AQ71" i="32"/>
  <c r="AR71" i="32"/>
  <c r="AH72" i="32"/>
  <c r="AI72" i="32"/>
  <c r="AJ72" i="32"/>
  <c r="AK72" i="32"/>
  <c r="AL72" i="32"/>
  <c r="AM72" i="32"/>
  <c r="AO72" i="32"/>
  <c r="AP72" i="32"/>
  <c r="AQ72" i="32"/>
  <c r="AR72" i="32"/>
  <c r="AH73" i="32"/>
  <c r="AI73" i="32"/>
  <c r="AJ73" i="32"/>
  <c r="AK73" i="32"/>
  <c r="AL73" i="32"/>
  <c r="AM73" i="32"/>
  <c r="AO73" i="32"/>
  <c r="AP73" i="32"/>
  <c r="AQ73" i="32"/>
  <c r="AR73" i="32"/>
  <c r="AH74" i="32"/>
  <c r="AI74" i="32"/>
  <c r="AJ74" i="32"/>
  <c r="AK74" i="32"/>
  <c r="AL74" i="32"/>
  <c r="AM74" i="32"/>
  <c r="AO74" i="32"/>
  <c r="AP74" i="32"/>
  <c r="AQ74" i="32"/>
  <c r="AR74" i="32"/>
  <c r="AH75" i="32"/>
  <c r="AI75" i="32"/>
  <c r="AJ75" i="32"/>
  <c r="AK75" i="32"/>
  <c r="AL75" i="32"/>
  <c r="AM75" i="32"/>
  <c r="AO75" i="32"/>
  <c r="AP75" i="32"/>
  <c r="AQ75" i="32"/>
  <c r="AR75" i="32"/>
  <c r="AH76" i="32"/>
  <c r="AI76" i="32"/>
  <c r="AJ76" i="32"/>
  <c r="AK76" i="32"/>
  <c r="AL76" i="32"/>
  <c r="AM76" i="32"/>
  <c r="AO76" i="32"/>
  <c r="AP76" i="32"/>
  <c r="AQ76" i="32"/>
  <c r="AR76" i="32"/>
  <c r="AH77" i="32"/>
  <c r="AI77" i="32"/>
  <c r="AJ77" i="32"/>
  <c r="AK77" i="32"/>
  <c r="AL77" i="32"/>
  <c r="AM77" i="32"/>
  <c r="AO77" i="32"/>
  <c r="AP77" i="32"/>
  <c r="AQ77" i="32"/>
  <c r="AR77" i="32"/>
  <c r="AH78" i="32"/>
  <c r="AI78" i="32"/>
  <c r="AJ78" i="32"/>
  <c r="AK78" i="32"/>
  <c r="AL78" i="32"/>
  <c r="AM78" i="32"/>
  <c r="AO78" i="32"/>
  <c r="AP78" i="32"/>
  <c r="AQ78" i="32"/>
  <c r="AR78" i="32"/>
  <c r="AH79" i="32"/>
  <c r="AI79" i="32"/>
  <c r="AJ79" i="32"/>
  <c r="AK79" i="32"/>
  <c r="AL79" i="32"/>
  <c r="AM79" i="32"/>
  <c r="AO79" i="32"/>
  <c r="AP79" i="32"/>
  <c r="AQ79" i="32"/>
  <c r="AR79" i="32"/>
  <c r="AH80" i="32"/>
  <c r="AI80" i="32"/>
  <c r="AJ80" i="32"/>
  <c r="AK80" i="32"/>
  <c r="AL80" i="32"/>
  <c r="AM80" i="32"/>
  <c r="AO80" i="32"/>
  <c r="AP80" i="32"/>
  <c r="AQ80" i="32"/>
  <c r="AR80" i="32"/>
  <c r="AH81" i="32"/>
  <c r="AI81" i="32"/>
  <c r="AJ81" i="32"/>
  <c r="AK81" i="32"/>
  <c r="AL81" i="32"/>
  <c r="AM81" i="32"/>
  <c r="AO81" i="32"/>
  <c r="AP81" i="32"/>
  <c r="AQ81" i="32"/>
  <c r="AR81" i="32"/>
  <c r="AH82" i="32"/>
  <c r="AI82" i="32"/>
  <c r="AJ82" i="32"/>
  <c r="AK82" i="32"/>
  <c r="AL82" i="32"/>
  <c r="AM82" i="32"/>
  <c r="AO82" i="32"/>
  <c r="AP82" i="32"/>
  <c r="AQ82" i="32"/>
  <c r="AR82" i="32"/>
  <c r="AH83" i="32"/>
  <c r="AI83" i="32"/>
  <c r="AJ83" i="32"/>
  <c r="AK83" i="32"/>
  <c r="AL83" i="32"/>
  <c r="AM83" i="32"/>
  <c r="AO83" i="32"/>
  <c r="AP83" i="32"/>
  <c r="AQ83" i="32"/>
  <c r="AR83" i="32"/>
  <c r="AH84" i="32"/>
  <c r="AI84" i="32"/>
  <c r="AJ84" i="32"/>
  <c r="AK84" i="32"/>
  <c r="AL84" i="32"/>
  <c r="AM84" i="32"/>
  <c r="AO84" i="32"/>
  <c r="AP84" i="32"/>
  <c r="AQ84" i="32"/>
  <c r="AR84" i="32"/>
  <c r="AH85" i="32"/>
  <c r="AI85" i="32"/>
  <c r="AJ85" i="32"/>
  <c r="AK85" i="32"/>
  <c r="AL85" i="32"/>
  <c r="AM85" i="32"/>
  <c r="AO85" i="32"/>
  <c r="AP85" i="32"/>
  <c r="AQ85" i="32"/>
  <c r="AR85" i="32"/>
  <c r="AH86" i="32"/>
  <c r="AI86" i="32"/>
  <c r="AJ86" i="32"/>
  <c r="AK86" i="32"/>
  <c r="AL86" i="32"/>
  <c r="AM86" i="32"/>
  <c r="AO86" i="32"/>
  <c r="AP86" i="32"/>
  <c r="AQ86" i="32"/>
  <c r="AR86" i="32"/>
  <c r="AH87" i="32"/>
  <c r="AI87" i="32"/>
  <c r="AJ87" i="32"/>
  <c r="AK87" i="32"/>
  <c r="AL87" i="32"/>
  <c r="AM87" i="32"/>
  <c r="AO87" i="32"/>
  <c r="AP87" i="32"/>
  <c r="AQ87" i="32"/>
  <c r="AR87" i="32"/>
  <c r="R18" i="32"/>
  <c r="R19" i="32"/>
  <c r="R20" i="32"/>
  <c r="AE20" i="32" s="1"/>
  <c r="R21" i="32"/>
  <c r="R22" i="32"/>
  <c r="R23" i="32"/>
  <c r="AE23" i="32" s="1"/>
  <c r="R24" i="32"/>
  <c r="R25" i="32"/>
  <c r="R26" i="32"/>
  <c r="R27" i="32"/>
  <c r="R28" i="32"/>
  <c r="AE28" i="32" s="1"/>
  <c r="R29" i="32"/>
  <c r="R30" i="32"/>
  <c r="R31" i="32"/>
  <c r="R32" i="32"/>
  <c r="R33" i="32"/>
  <c r="R34" i="32"/>
  <c r="R35" i="32"/>
  <c r="R36" i="32"/>
  <c r="R37" i="32"/>
  <c r="R38" i="32"/>
  <c r="AE38" i="32" s="1"/>
  <c r="R39" i="32"/>
  <c r="R40" i="32"/>
  <c r="R41" i="32"/>
  <c r="R42" i="32"/>
  <c r="R43" i="32"/>
  <c r="R44" i="32"/>
  <c r="R46" i="32"/>
  <c r="R47" i="32"/>
  <c r="R48" i="32"/>
  <c r="R49" i="32"/>
  <c r="AE49" i="32" s="1"/>
  <c r="R50" i="32"/>
  <c r="R51" i="32"/>
  <c r="R52" i="32"/>
  <c r="AE52" i="32" s="1"/>
  <c r="R53" i="32"/>
  <c r="R54" i="32"/>
  <c r="R55" i="32"/>
  <c r="R56" i="32"/>
  <c r="R57" i="32"/>
  <c r="AE57" i="32" s="1"/>
  <c r="R17" i="32"/>
  <c r="R13" i="32"/>
  <c r="R14" i="32"/>
  <c r="R15" i="32"/>
  <c r="R16" i="32"/>
  <c r="R12" i="32"/>
  <c r="R11" i="32"/>
  <c r="M12" i="32"/>
  <c r="M13" i="32"/>
  <c r="M14" i="32"/>
  <c r="M15" i="32"/>
  <c r="M16" i="32"/>
  <c r="M17" i="32"/>
  <c r="M18" i="32"/>
  <c r="M19" i="32"/>
  <c r="AD19" i="32" s="1"/>
  <c r="M20" i="32"/>
  <c r="M21" i="32"/>
  <c r="M22" i="32"/>
  <c r="M23" i="32"/>
  <c r="AD23" i="32" s="1"/>
  <c r="M24" i="32"/>
  <c r="AD24" i="32" s="1"/>
  <c r="M25" i="32"/>
  <c r="AD25" i="32" s="1"/>
  <c r="M26" i="32"/>
  <c r="M27" i="32"/>
  <c r="M28" i="32"/>
  <c r="M29" i="32"/>
  <c r="M30" i="32"/>
  <c r="AD30" i="32" s="1"/>
  <c r="M31" i="32"/>
  <c r="M32" i="32"/>
  <c r="M33" i="32"/>
  <c r="M34" i="32"/>
  <c r="M35" i="32"/>
  <c r="M36" i="32"/>
  <c r="M37" i="32"/>
  <c r="AD37" i="32" s="1"/>
  <c r="M38" i="32"/>
  <c r="AD38" i="32" s="1"/>
  <c r="M39" i="32"/>
  <c r="M40" i="32"/>
  <c r="M41" i="32"/>
  <c r="M42" i="32"/>
  <c r="M43" i="32"/>
  <c r="M44" i="32"/>
  <c r="M45" i="32"/>
  <c r="M46" i="32"/>
  <c r="M47" i="32"/>
  <c r="M48" i="32"/>
  <c r="M49" i="32"/>
  <c r="AD49" i="32" s="1"/>
  <c r="M50" i="32"/>
  <c r="AD50" i="32" s="1"/>
  <c r="M51" i="32"/>
  <c r="M52" i="32"/>
  <c r="M53" i="32"/>
  <c r="M54" i="32"/>
  <c r="M55" i="32"/>
  <c r="M56" i="32"/>
  <c r="M57" i="32"/>
  <c r="M11" i="32"/>
  <c r="M10" i="32"/>
  <c r="C17" i="32"/>
  <c r="C18" i="32"/>
  <c r="C19" i="32"/>
  <c r="AB19" i="32" s="1"/>
  <c r="C20" i="32"/>
  <c r="C21" i="32"/>
  <c r="C22" i="32"/>
  <c r="C23" i="32"/>
  <c r="AB23" i="32" s="1"/>
  <c r="C24" i="32"/>
  <c r="AB24" i="32" s="1"/>
  <c r="C25" i="32"/>
  <c r="AB25" i="32" s="1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AB38" i="32" s="1"/>
  <c r="C39" i="32"/>
  <c r="C40" i="32"/>
  <c r="C41" i="32"/>
  <c r="C42" i="32"/>
  <c r="C43" i="32"/>
  <c r="C44" i="32"/>
  <c r="C45" i="32"/>
  <c r="AB45" i="32" s="1"/>
  <c r="C46" i="32"/>
  <c r="AB46" i="32" s="1"/>
  <c r="C47" i="32"/>
  <c r="C48" i="32"/>
  <c r="C49" i="32"/>
  <c r="AB49" i="32" s="1"/>
  <c r="C50" i="32"/>
  <c r="AB50" i="32" s="1"/>
  <c r="C51" i="32"/>
  <c r="C52" i="32"/>
  <c r="C53" i="32"/>
  <c r="C54" i="32"/>
  <c r="C55" i="32"/>
  <c r="C56" i="32"/>
  <c r="C57" i="32"/>
  <c r="C16" i="32"/>
  <c r="H11" i="32"/>
  <c r="H12" i="32"/>
  <c r="H13" i="32"/>
  <c r="H14" i="32"/>
  <c r="H15" i="32"/>
  <c r="H16" i="32"/>
  <c r="H17" i="32"/>
  <c r="AC17" i="32" s="1"/>
  <c r="H18" i="32"/>
  <c r="H19" i="32"/>
  <c r="AC19" i="32" s="1"/>
  <c r="H20" i="32"/>
  <c r="AC20" i="32" s="1"/>
  <c r="H21" i="32"/>
  <c r="H22" i="32"/>
  <c r="H23" i="32"/>
  <c r="H24" i="32"/>
  <c r="H25" i="32"/>
  <c r="AC25" i="32" s="1"/>
  <c r="H26" i="32"/>
  <c r="H27" i="32"/>
  <c r="H28" i="32"/>
  <c r="H29" i="32"/>
  <c r="H30" i="32"/>
  <c r="H31" i="32"/>
  <c r="H32" i="32"/>
  <c r="H33" i="32"/>
  <c r="H34" i="32"/>
  <c r="H35" i="32"/>
  <c r="H36" i="32"/>
  <c r="H37" i="32"/>
  <c r="H38" i="32"/>
  <c r="H39" i="32"/>
  <c r="H40" i="32"/>
  <c r="H41" i="32"/>
  <c r="H42" i="32"/>
  <c r="H43" i="32"/>
  <c r="H44" i="32"/>
  <c r="H45" i="32"/>
  <c r="AC45" i="32" s="1"/>
  <c r="H46" i="32"/>
  <c r="AC46" i="32" s="1"/>
  <c r="H47" i="32"/>
  <c r="H48" i="32"/>
  <c r="H49" i="32"/>
  <c r="AC49" i="32" s="1"/>
  <c r="H50" i="32"/>
  <c r="H51" i="32"/>
  <c r="H52" i="32"/>
  <c r="H53" i="32"/>
  <c r="H54" i="32"/>
  <c r="H55" i="32"/>
  <c r="H56" i="32"/>
  <c r="H57" i="32"/>
  <c r="H10" i="32"/>
  <c r="AH31" i="32"/>
  <c r="AH32" i="32"/>
  <c r="AH33" i="32"/>
  <c r="C15" i="42"/>
  <c r="E37" i="42"/>
  <c r="C53" i="42"/>
  <c r="C50" i="42"/>
  <c r="D14" i="42"/>
  <c r="D5" i="42"/>
  <c r="D6" i="42"/>
  <c r="D7" i="42"/>
  <c r="D8" i="42"/>
  <c r="D9" i="42"/>
  <c r="D10" i="42"/>
  <c r="D11" i="42"/>
  <c r="D12" i="42"/>
  <c r="D13" i="42"/>
  <c r="AD160" i="31"/>
  <c r="AJ6" i="32"/>
  <c r="AK6" i="32"/>
  <c r="AL6" i="32"/>
  <c r="AM6" i="32"/>
  <c r="AJ7" i="32"/>
  <c r="AK7" i="32"/>
  <c r="AL7" i="32"/>
  <c r="AM7" i="32"/>
  <c r="AJ8" i="32"/>
  <c r="AK8" i="32"/>
  <c r="AL8" i="32"/>
  <c r="AM8" i="32"/>
  <c r="AJ9" i="32"/>
  <c r="AK9" i="32"/>
  <c r="AL9" i="32"/>
  <c r="AM9" i="32"/>
  <c r="AJ10" i="32"/>
  <c r="AK10" i="32"/>
  <c r="AL10" i="32"/>
  <c r="AM10" i="32"/>
  <c r="AJ11" i="32"/>
  <c r="AK11" i="32"/>
  <c r="AL11" i="32"/>
  <c r="AM11" i="32"/>
  <c r="AJ12" i="32"/>
  <c r="AK12" i="32"/>
  <c r="AL12" i="32"/>
  <c r="AM12" i="32"/>
  <c r="AJ13" i="32"/>
  <c r="AK13" i="32"/>
  <c r="AL13" i="32"/>
  <c r="AM13" i="32"/>
  <c r="AJ14" i="32"/>
  <c r="AK14" i="32"/>
  <c r="AL14" i="32"/>
  <c r="AM14" i="32"/>
  <c r="AJ15" i="32"/>
  <c r="AK15" i="32"/>
  <c r="AL15" i="32"/>
  <c r="AM15" i="32"/>
  <c r="AJ16" i="32"/>
  <c r="AK16" i="32"/>
  <c r="AL16" i="32"/>
  <c r="AM16" i="32"/>
  <c r="AJ17" i="32"/>
  <c r="AK17" i="32"/>
  <c r="AL17" i="32"/>
  <c r="AM17" i="32"/>
  <c r="AJ18" i="32"/>
  <c r="AK18" i="32"/>
  <c r="AL18" i="32"/>
  <c r="AM18" i="32"/>
  <c r="AJ19" i="32"/>
  <c r="AK19" i="32"/>
  <c r="AL19" i="32"/>
  <c r="AM19" i="32"/>
  <c r="AJ20" i="32"/>
  <c r="AK20" i="32"/>
  <c r="AL20" i="32"/>
  <c r="AM20" i="32"/>
  <c r="AJ21" i="32"/>
  <c r="AK21" i="32"/>
  <c r="AL21" i="32"/>
  <c r="AM21" i="32"/>
  <c r="AJ22" i="32"/>
  <c r="AK22" i="32"/>
  <c r="AL22" i="32"/>
  <c r="AM22" i="32"/>
  <c r="AJ23" i="32"/>
  <c r="AK23" i="32"/>
  <c r="AL23" i="32"/>
  <c r="AM23" i="32"/>
  <c r="AJ24" i="32"/>
  <c r="AK24" i="32"/>
  <c r="AL24" i="32"/>
  <c r="AM24" i="32"/>
  <c r="AJ25" i="32"/>
  <c r="AK25" i="32"/>
  <c r="AL25" i="32"/>
  <c r="AM25" i="32"/>
  <c r="AJ26" i="32"/>
  <c r="AK26" i="32"/>
  <c r="AL26" i="32"/>
  <c r="AM26" i="32"/>
  <c r="AJ27" i="32"/>
  <c r="AK27" i="32"/>
  <c r="AL27" i="32"/>
  <c r="AM27" i="32"/>
  <c r="AJ28" i="32"/>
  <c r="AK28" i="32"/>
  <c r="AL28" i="32"/>
  <c r="AM28" i="32"/>
  <c r="AJ29" i="32"/>
  <c r="AK29" i="32"/>
  <c r="AL29" i="32"/>
  <c r="AM29" i="32"/>
  <c r="AJ30" i="32"/>
  <c r="AK30" i="32"/>
  <c r="AL30" i="32"/>
  <c r="AM30" i="32"/>
  <c r="AJ31" i="32"/>
  <c r="AK31" i="32"/>
  <c r="AL31" i="32"/>
  <c r="AM31" i="32"/>
  <c r="AJ32" i="32"/>
  <c r="AK32" i="32"/>
  <c r="AL32" i="32"/>
  <c r="AM32" i="32"/>
  <c r="AJ33" i="32"/>
  <c r="AK33" i="32"/>
  <c r="AL33" i="32"/>
  <c r="AM33" i="32"/>
  <c r="AJ34" i="32"/>
  <c r="AK34" i="32"/>
  <c r="AL34" i="32"/>
  <c r="AM34" i="32"/>
  <c r="AJ35" i="32"/>
  <c r="AK35" i="32"/>
  <c r="AL35" i="32"/>
  <c r="AM35" i="32"/>
  <c r="AJ36" i="32"/>
  <c r="AK36" i="32"/>
  <c r="AL36" i="32"/>
  <c r="AM36" i="32"/>
  <c r="AJ37" i="32"/>
  <c r="AK37" i="32"/>
  <c r="AL37" i="32"/>
  <c r="AM37" i="32"/>
  <c r="AJ38" i="32"/>
  <c r="AK38" i="32"/>
  <c r="AL38" i="32"/>
  <c r="AM38" i="32"/>
  <c r="AJ39" i="32"/>
  <c r="AK39" i="32"/>
  <c r="AL39" i="32"/>
  <c r="AM39" i="32"/>
  <c r="AJ40" i="32"/>
  <c r="AK40" i="32"/>
  <c r="AL40" i="32"/>
  <c r="AM40" i="32"/>
  <c r="AJ41" i="32"/>
  <c r="AK41" i="32"/>
  <c r="AL41" i="32"/>
  <c r="AM41" i="32"/>
  <c r="AJ42" i="32"/>
  <c r="AK42" i="32"/>
  <c r="AL42" i="32"/>
  <c r="AM42" i="32"/>
  <c r="AJ43" i="32"/>
  <c r="AK43" i="32"/>
  <c r="AL43" i="32"/>
  <c r="AM43" i="32"/>
  <c r="AJ44" i="32"/>
  <c r="AK44" i="32"/>
  <c r="AL44" i="32"/>
  <c r="AM44" i="32"/>
  <c r="AJ45" i="32"/>
  <c r="AK45" i="32"/>
  <c r="AL45" i="32"/>
  <c r="AM45" i="32"/>
  <c r="AJ46" i="32"/>
  <c r="AK46" i="32"/>
  <c r="AL46" i="32"/>
  <c r="AM46" i="32"/>
  <c r="AJ47" i="32"/>
  <c r="AK47" i="32"/>
  <c r="AL47" i="32"/>
  <c r="AM47" i="32"/>
  <c r="AJ48" i="32"/>
  <c r="AK48" i="32"/>
  <c r="AL48" i="32"/>
  <c r="AM48" i="32"/>
  <c r="AJ49" i="32"/>
  <c r="AK49" i="32"/>
  <c r="AL49" i="32"/>
  <c r="AM49" i="32"/>
  <c r="AJ50" i="32"/>
  <c r="AK50" i="32"/>
  <c r="AL50" i="32"/>
  <c r="AM50" i="32"/>
  <c r="AJ51" i="32"/>
  <c r="AK51" i="32"/>
  <c r="AL51" i="32"/>
  <c r="AM51" i="32"/>
  <c r="AJ52" i="32"/>
  <c r="AK52" i="32"/>
  <c r="AL52" i="32"/>
  <c r="AM52" i="32"/>
  <c r="AJ53" i="32"/>
  <c r="AK53" i="32"/>
  <c r="AL53" i="32"/>
  <c r="AM53" i="32"/>
  <c r="AJ54" i="32"/>
  <c r="AK54" i="32"/>
  <c r="AL54" i="32"/>
  <c r="AM54" i="32"/>
  <c r="AJ55" i="32"/>
  <c r="AK55" i="32"/>
  <c r="AL55" i="32"/>
  <c r="AM55" i="32"/>
  <c r="AM5" i="32"/>
  <c r="AL5" i="32"/>
  <c r="AK5" i="32"/>
  <c r="AJ5" i="32"/>
  <c r="AN5" i="32" s="1"/>
  <c r="W57" i="32"/>
  <c r="W56" i="32"/>
  <c r="W55" i="32"/>
  <c r="W54" i="32"/>
  <c r="W53" i="32"/>
  <c r="W52" i="32"/>
  <c r="W51" i="32"/>
  <c r="W50" i="32"/>
  <c r="W49" i="32"/>
  <c r="W48" i="32"/>
  <c r="W47" i="32"/>
  <c r="W46" i="32"/>
  <c r="W45" i="32"/>
  <c r="W44" i="32"/>
  <c r="W43" i="32"/>
  <c r="W42" i="32"/>
  <c r="W41" i="32"/>
  <c r="W40" i="32"/>
  <c r="W39" i="32"/>
  <c r="W38" i="32"/>
  <c r="W37" i="32"/>
  <c r="W36" i="32"/>
  <c r="W35" i="32"/>
  <c r="W34" i="32"/>
  <c r="W33" i="32"/>
  <c r="W32" i="32"/>
  <c r="W31" i="32"/>
  <c r="AE31" i="32"/>
  <c r="W30" i="32"/>
  <c r="W29" i="32"/>
  <c r="AE29" i="32"/>
  <c r="AD29" i="32"/>
  <c r="W28" i="32"/>
  <c r="W27" i="32"/>
  <c r="AC27" i="32"/>
  <c r="W26" i="32"/>
  <c r="AE26" i="32"/>
  <c r="AD26" i="32"/>
  <c r="AC26" i="32"/>
  <c r="W25" i="32"/>
  <c r="W24" i="32"/>
  <c r="W23" i="32"/>
  <c r="W22" i="32"/>
  <c r="W21" i="32"/>
  <c r="W20" i="32"/>
  <c r="W19" i="32"/>
  <c r="W18" i="32"/>
  <c r="W17" i="32"/>
  <c r="W16" i="32"/>
  <c r="W15" i="32"/>
  <c r="W14" i="32"/>
  <c r="W13" i="32"/>
  <c r="W12" i="32"/>
  <c r="W11" i="32"/>
  <c r="W10" i="32"/>
  <c r="R10" i="32"/>
  <c r="W9" i="32"/>
  <c r="R9" i="32"/>
  <c r="M9" i="32"/>
  <c r="H9" i="32"/>
  <c r="W8" i="32"/>
  <c r="R8" i="32"/>
  <c r="M8" i="32"/>
  <c r="H8" i="32"/>
  <c r="W7" i="32"/>
  <c r="R7" i="32"/>
  <c r="M7" i="32"/>
  <c r="H7" i="32"/>
  <c r="W6" i="32"/>
  <c r="R6" i="32"/>
  <c r="M6" i="32"/>
  <c r="H6" i="32"/>
  <c r="W5" i="32"/>
  <c r="R5" i="32"/>
  <c r="M5" i="32"/>
  <c r="H5" i="32"/>
  <c r="AF6" i="32"/>
  <c r="AG6" i="32"/>
  <c r="AH6" i="32"/>
  <c r="AI6" i="32"/>
  <c r="AF7" i="32"/>
  <c r="AG7" i="32"/>
  <c r="AH7" i="32"/>
  <c r="AI7" i="32"/>
  <c r="AF8" i="32"/>
  <c r="AG8" i="32"/>
  <c r="AH8" i="32"/>
  <c r="AI8" i="32"/>
  <c r="AF9" i="32"/>
  <c r="AG9" i="32"/>
  <c r="AH9" i="32"/>
  <c r="AI9" i="32"/>
  <c r="AF10" i="32"/>
  <c r="AG10" i="32"/>
  <c r="AH10" i="32"/>
  <c r="AI10" i="32"/>
  <c r="AF11" i="32"/>
  <c r="AG11" i="32"/>
  <c r="AH11" i="32"/>
  <c r="AI11" i="32"/>
  <c r="AF12" i="32"/>
  <c r="AG12" i="32"/>
  <c r="AH12" i="32"/>
  <c r="AI12" i="32"/>
  <c r="AF13" i="32"/>
  <c r="AG13" i="32"/>
  <c r="AH13" i="32"/>
  <c r="AI13" i="32"/>
  <c r="AF14" i="32"/>
  <c r="AG14" i="32"/>
  <c r="AH14" i="32"/>
  <c r="AI14" i="32"/>
  <c r="AF15" i="32"/>
  <c r="AG15" i="32"/>
  <c r="AH15" i="32"/>
  <c r="AI15" i="32"/>
  <c r="AF16" i="32"/>
  <c r="AG16" i="32"/>
  <c r="AH16" i="32"/>
  <c r="AI16" i="32"/>
  <c r="AF17" i="32"/>
  <c r="AG17" i="32"/>
  <c r="AH17" i="32"/>
  <c r="AI17" i="32"/>
  <c r="AF18" i="32"/>
  <c r="AG18" i="32"/>
  <c r="AH18" i="32"/>
  <c r="AI18" i="32"/>
  <c r="AF19" i="32"/>
  <c r="AG19" i="32"/>
  <c r="AH19" i="32"/>
  <c r="AI19" i="32"/>
  <c r="AF20" i="32"/>
  <c r="AG20" i="32"/>
  <c r="AH20" i="32"/>
  <c r="AI20" i="32"/>
  <c r="AF21" i="32"/>
  <c r="AG21" i="32"/>
  <c r="AH21" i="32"/>
  <c r="AI21" i="32"/>
  <c r="AF22" i="32"/>
  <c r="AG22" i="32"/>
  <c r="AH22" i="32"/>
  <c r="AI22" i="32"/>
  <c r="AF23" i="32"/>
  <c r="AG23" i="32"/>
  <c r="AH23" i="32"/>
  <c r="AI23" i="32"/>
  <c r="AF24" i="32"/>
  <c r="AG24" i="32"/>
  <c r="AH24" i="32"/>
  <c r="AI24" i="32"/>
  <c r="AF25" i="32"/>
  <c r="AG25" i="32"/>
  <c r="AH25" i="32"/>
  <c r="AI25" i="32"/>
  <c r="AF26" i="32"/>
  <c r="AG26" i="32"/>
  <c r="AH26" i="32"/>
  <c r="AI26" i="32"/>
  <c r="AF27" i="32"/>
  <c r="AG27" i="32"/>
  <c r="AH27" i="32"/>
  <c r="AI27" i="32"/>
  <c r="AF28" i="32"/>
  <c r="AG28" i="32"/>
  <c r="AH28" i="32"/>
  <c r="AI28" i="32"/>
  <c r="AF29" i="32"/>
  <c r="AG29" i="32"/>
  <c r="AH29" i="32"/>
  <c r="AI29" i="32"/>
  <c r="AF30" i="32"/>
  <c r="AG30" i="32"/>
  <c r="AH30" i="32"/>
  <c r="AI30" i="32"/>
  <c r="AF31" i="32"/>
  <c r="AG31" i="32"/>
  <c r="AI31" i="32"/>
  <c r="AF32" i="32"/>
  <c r="AG32" i="32"/>
  <c r="AI32" i="32"/>
  <c r="AF33" i="32"/>
  <c r="AG33" i="32"/>
  <c r="AI33" i="32"/>
  <c r="AF34" i="32"/>
  <c r="AG34" i="32"/>
  <c r="AH34" i="32"/>
  <c r="AI34" i="32"/>
  <c r="AF35" i="32"/>
  <c r="AG35" i="32"/>
  <c r="AH35" i="32"/>
  <c r="AI35" i="32"/>
  <c r="AF36" i="32"/>
  <c r="AG36" i="32"/>
  <c r="AH36" i="32"/>
  <c r="AI36" i="32"/>
  <c r="AF37" i="32"/>
  <c r="AG37" i="32"/>
  <c r="AH37" i="32"/>
  <c r="AI37" i="32"/>
  <c r="AF38" i="32"/>
  <c r="AG38" i="32"/>
  <c r="AH38" i="32"/>
  <c r="AI38" i="32"/>
  <c r="AF39" i="32"/>
  <c r="AG39" i="32"/>
  <c r="AH39" i="32"/>
  <c r="AI39" i="32"/>
  <c r="AF40" i="32"/>
  <c r="AG40" i="32"/>
  <c r="AH40" i="32"/>
  <c r="AI40" i="32"/>
  <c r="AF41" i="32"/>
  <c r="AG41" i="32"/>
  <c r="AH41" i="32"/>
  <c r="AI41" i="32"/>
  <c r="AF42" i="32"/>
  <c r="AG42" i="32"/>
  <c r="AH42" i="32"/>
  <c r="AI42" i="32"/>
  <c r="AF43" i="32"/>
  <c r="AG43" i="32"/>
  <c r="AH43" i="32"/>
  <c r="AI43" i="32"/>
  <c r="AF44" i="32"/>
  <c r="AG44" i="32"/>
  <c r="AH44" i="32"/>
  <c r="AI44" i="32"/>
  <c r="AF45" i="32"/>
  <c r="AG45" i="32"/>
  <c r="AH45" i="32"/>
  <c r="AI45" i="32"/>
  <c r="AF46" i="32"/>
  <c r="AG46" i="32"/>
  <c r="AH46" i="32"/>
  <c r="AI46" i="32"/>
  <c r="AF47" i="32"/>
  <c r="AG47" i="32"/>
  <c r="AH47" i="32"/>
  <c r="AI47" i="32"/>
  <c r="AF48" i="32"/>
  <c r="AG48" i="32"/>
  <c r="AH48" i="32"/>
  <c r="AI48" i="32"/>
  <c r="AF49" i="32"/>
  <c r="AG49" i="32"/>
  <c r="AH49" i="32"/>
  <c r="AI49" i="32"/>
  <c r="AF50" i="32"/>
  <c r="AG50" i="32"/>
  <c r="AH50" i="32"/>
  <c r="AI50" i="32"/>
  <c r="AF51" i="32"/>
  <c r="AG51" i="32"/>
  <c r="AH51" i="32"/>
  <c r="AI51" i="32"/>
  <c r="AF52" i="32"/>
  <c r="AG52" i="32"/>
  <c r="AH52" i="32"/>
  <c r="AI52" i="32"/>
  <c r="AF53" i="32"/>
  <c r="AG53" i="32"/>
  <c r="AH53" i="32"/>
  <c r="AI53" i="32"/>
  <c r="AF54" i="32"/>
  <c r="AG54" i="32"/>
  <c r="AH54" i="32"/>
  <c r="AI54" i="32"/>
  <c r="AF55" i="32"/>
  <c r="AG55" i="32"/>
  <c r="AH55" i="32"/>
  <c r="AI55" i="32"/>
  <c r="AF56" i="32"/>
  <c r="AG56" i="32"/>
  <c r="AF57" i="32"/>
  <c r="AG57" i="32"/>
  <c r="AI5" i="32"/>
  <c r="AH5" i="32"/>
  <c r="AG5" i="32"/>
  <c r="AF5" i="32"/>
  <c r="AO6" i="32"/>
  <c r="AP6" i="32"/>
  <c r="AQ6" i="32"/>
  <c r="AR6" i="32"/>
  <c r="AO7" i="32"/>
  <c r="AP7" i="32"/>
  <c r="AQ7" i="32"/>
  <c r="AR7" i="32"/>
  <c r="AO8" i="32"/>
  <c r="AP8" i="32"/>
  <c r="AQ8" i="32"/>
  <c r="AR8" i="32"/>
  <c r="AO9" i="32"/>
  <c r="AP9" i="32"/>
  <c r="AQ9" i="32"/>
  <c r="AR9" i="32"/>
  <c r="AO10" i="32"/>
  <c r="AP10" i="32"/>
  <c r="AQ10" i="32"/>
  <c r="AR10" i="32"/>
  <c r="AO11" i="32"/>
  <c r="AP11" i="32"/>
  <c r="AQ11" i="32"/>
  <c r="AR11" i="32"/>
  <c r="AO12" i="32"/>
  <c r="AP12" i="32"/>
  <c r="AQ12" i="32"/>
  <c r="AR12" i="32"/>
  <c r="AO13" i="32"/>
  <c r="AP13" i="32"/>
  <c r="AQ13" i="32"/>
  <c r="AR13" i="32"/>
  <c r="AO14" i="32"/>
  <c r="AP14" i="32"/>
  <c r="AQ14" i="32"/>
  <c r="AR14" i="32"/>
  <c r="AO15" i="32"/>
  <c r="AP15" i="32"/>
  <c r="AQ15" i="32"/>
  <c r="AR15" i="32"/>
  <c r="AO16" i="32"/>
  <c r="AP16" i="32"/>
  <c r="AQ16" i="32"/>
  <c r="AR16" i="32"/>
  <c r="AO17" i="32"/>
  <c r="AP17" i="32"/>
  <c r="AQ17" i="32"/>
  <c r="AR17" i="32"/>
  <c r="AO18" i="32"/>
  <c r="AP18" i="32"/>
  <c r="AQ18" i="32"/>
  <c r="AR18" i="32"/>
  <c r="AO19" i="32"/>
  <c r="AP19" i="32"/>
  <c r="AQ19" i="32"/>
  <c r="AR19" i="32"/>
  <c r="AO20" i="32"/>
  <c r="AP20" i="32"/>
  <c r="AQ20" i="32"/>
  <c r="AR20" i="32"/>
  <c r="AO21" i="32"/>
  <c r="AP21" i="32"/>
  <c r="AQ21" i="32"/>
  <c r="AR21" i="32"/>
  <c r="AO22" i="32"/>
  <c r="AP22" i="32"/>
  <c r="AQ22" i="32"/>
  <c r="AR22" i="32"/>
  <c r="AO23" i="32"/>
  <c r="AP23" i="32"/>
  <c r="AQ23" i="32"/>
  <c r="AR23" i="32"/>
  <c r="AO24" i="32"/>
  <c r="AP24" i="32"/>
  <c r="AQ24" i="32"/>
  <c r="AR24" i="32"/>
  <c r="AO25" i="32"/>
  <c r="AP25" i="32"/>
  <c r="AQ25" i="32"/>
  <c r="AR25" i="32"/>
  <c r="AO26" i="32"/>
  <c r="AP26" i="32"/>
  <c r="AQ26" i="32"/>
  <c r="AR26" i="32"/>
  <c r="AO27" i="32"/>
  <c r="AP27" i="32"/>
  <c r="AQ27" i="32"/>
  <c r="AR27" i="32"/>
  <c r="AO28" i="32"/>
  <c r="AP28" i="32"/>
  <c r="AQ28" i="32"/>
  <c r="AR28" i="32"/>
  <c r="AO29" i="32"/>
  <c r="AP29" i="32"/>
  <c r="AQ29" i="32"/>
  <c r="AR29" i="32"/>
  <c r="AO30" i="32"/>
  <c r="AP30" i="32"/>
  <c r="AQ30" i="32"/>
  <c r="AR30" i="32"/>
  <c r="AO31" i="32"/>
  <c r="AP31" i="32"/>
  <c r="AQ31" i="32"/>
  <c r="AR31" i="32"/>
  <c r="AO32" i="32"/>
  <c r="AP32" i="32"/>
  <c r="AQ32" i="32"/>
  <c r="AR32" i="32"/>
  <c r="AO33" i="32"/>
  <c r="AP33" i="32"/>
  <c r="AQ33" i="32"/>
  <c r="AR33" i="32"/>
  <c r="AO34" i="32"/>
  <c r="AP34" i="32"/>
  <c r="AQ34" i="32"/>
  <c r="AR34" i="32"/>
  <c r="AO35" i="32"/>
  <c r="AP35" i="32"/>
  <c r="AQ35" i="32"/>
  <c r="AR35" i="32"/>
  <c r="AO36" i="32"/>
  <c r="AP36" i="32"/>
  <c r="AQ36" i="32"/>
  <c r="AR36" i="32"/>
  <c r="AO37" i="32"/>
  <c r="AP37" i="32"/>
  <c r="AQ37" i="32"/>
  <c r="AR37" i="32"/>
  <c r="AO38" i="32"/>
  <c r="AP38" i="32"/>
  <c r="AQ38" i="32"/>
  <c r="AR38" i="32"/>
  <c r="AO39" i="32"/>
  <c r="AP39" i="32"/>
  <c r="AQ39" i="32"/>
  <c r="AR39" i="32"/>
  <c r="AO40" i="32"/>
  <c r="AP40" i="32"/>
  <c r="AQ40" i="32"/>
  <c r="AR40" i="32"/>
  <c r="AO41" i="32"/>
  <c r="AP41" i="32"/>
  <c r="AQ41" i="32"/>
  <c r="AR41" i="32"/>
  <c r="AO42" i="32"/>
  <c r="AP42" i="32"/>
  <c r="AQ42" i="32"/>
  <c r="AR42" i="32"/>
  <c r="AO43" i="32"/>
  <c r="AP43" i="32"/>
  <c r="AQ43" i="32"/>
  <c r="AR43" i="32"/>
  <c r="AO44" i="32"/>
  <c r="AP44" i="32"/>
  <c r="AQ44" i="32"/>
  <c r="AR44" i="32"/>
  <c r="AO45" i="32"/>
  <c r="AP45" i="32"/>
  <c r="AQ45" i="32"/>
  <c r="AR45" i="32"/>
  <c r="AO46" i="32"/>
  <c r="AP46" i="32"/>
  <c r="AQ46" i="32"/>
  <c r="AR46" i="32"/>
  <c r="AO47" i="32"/>
  <c r="AP47" i="32"/>
  <c r="AQ47" i="32"/>
  <c r="AR47" i="32"/>
  <c r="AO48" i="32"/>
  <c r="AP48" i="32"/>
  <c r="AQ48" i="32"/>
  <c r="AR48" i="32"/>
  <c r="AO49" i="32"/>
  <c r="AP49" i="32"/>
  <c r="AQ49" i="32"/>
  <c r="AR49" i="32"/>
  <c r="AO50" i="32"/>
  <c r="AP50" i="32"/>
  <c r="AQ50" i="32"/>
  <c r="AR50" i="32"/>
  <c r="AO51" i="32"/>
  <c r="AP51" i="32"/>
  <c r="AQ51" i="32"/>
  <c r="AR51" i="32"/>
  <c r="AO52" i="32"/>
  <c r="AP52" i="32"/>
  <c r="AQ52" i="32"/>
  <c r="AR52" i="32"/>
  <c r="AO53" i="32"/>
  <c r="AP53" i="32"/>
  <c r="AQ53" i="32"/>
  <c r="AR53" i="32"/>
  <c r="AO54" i="32"/>
  <c r="AP54" i="32"/>
  <c r="AQ54" i="32"/>
  <c r="AR54" i="32"/>
  <c r="AO55" i="32"/>
  <c r="AP55" i="32"/>
  <c r="AQ55" i="32"/>
  <c r="AR55" i="32"/>
  <c r="AR5" i="32"/>
  <c r="AQ5" i="32"/>
  <c r="AP5" i="32"/>
  <c r="AO5" i="32"/>
  <c r="D4" i="42"/>
  <c r="AE56" i="32"/>
  <c r="AE55" i="32"/>
  <c r="AE54" i="32"/>
  <c r="AE53" i="32"/>
  <c r="AE51" i="32"/>
  <c r="AE50" i="32"/>
  <c r="AE48" i="32"/>
  <c r="AE47" i="32"/>
  <c r="AE46" i="32"/>
  <c r="AE45" i="32"/>
  <c r="AE44" i="32"/>
  <c r="AE43" i="32"/>
  <c r="AE42" i="32"/>
  <c r="AE41" i="32"/>
  <c r="AE40" i="32"/>
  <c r="AE39" i="32"/>
  <c r="AE37" i="32"/>
  <c r="AE36" i="32"/>
  <c r="AE35" i="32"/>
  <c r="AE34" i="32"/>
  <c r="AE33" i="32"/>
  <c r="AE32" i="32"/>
  <c r="AE30" i="32"/>
  <c r="AE27" i="32"/>
  <c r="AE25" i="32"/>
  <c r="AE24" i="32"/>
  <c r="AE22" i="32"/>
  <c r="AE21" i="32"/>
  <c r="AE19" i="32"/>
  <c r="AE18" i="32"/>
  <c r="AE17" i="32"/>
  <c r="AE16" i="32"/>
  <c r="AE15" i="32"/>
  <c r="AE14" i="32"/>
  <c r="AE13" i="32"/>
  <c r="AE12" i="32"/>
  <c r="AE11" i="32"/>
  <c r="AE10" i="32"/>
  <c r="AE9" i="32"/>
  <c r="AE8" i="32"/>
  <c r="AE7" i="32"/>
  <c r="AE6" i="32"/>
  <c r="AE5" i="32"/>
  <c r="AD57" i="32"/>
  <c r="AD56" i="32"/>
  <c r="AD55" i="32"/>
  <c r="AD54" i="32"/>
  <c r="AD53" i="32"/>
  <c r="AD52" i="32"/>
  <c r="AD51" i="32"/>
  <c r="AD48" i="32"/>
  <c r="AD47" i="32"/>
  <c r="AD46" i="32"/>
  <c r="AD45" i="32"/>
  <c r="AD44" i="32"/>
  <c r="AD43" i="32"/>
  <c r="AD42" i="32"/>
  <c r="AD41" i="32"/>
  <c r="AD40" i="32"/>
  <c r="AD39" i="32"/>
  <c r="AD36" i="32"/>
  <c r="AD35" i="32"/>
  <c r="AD34" i="32"/>
  <c r="AD33" i="32"/>
  <c r="AD32" i="32"/>
  <c r="AD31" i="32"/>
  <c r="AD28" i="32"/>
  <c r="AD27" i="32"/>
  <c r="AD22" i="32"/>
  <c r="AD21" i="32"/>
  <c r="AD20" i="32"/>
  <c r="AD18" i="32"/>
  <c r="AD17" i="32"/>
  <c r="AD16" i="32"/>
  <c r="AD15" i="32"/>
  <c r="AD14" i="32"/>
  <c r="AD13" i="32"/>
  <c r="AD12" i="32"/>
  <c r="AD11" i="32"/>
  <c r="AD10" i="32"/>
  <c r="AD9" i="32"/>
  <c r="AD8" i="32"/>
  <c r="AD7" i="32"/>
  <c r="AD6" i="32"/>
  <c r="AD5" i="32"/>
  <c r="AC57" i="32"/>
  <c r="AC56" i="32"/>
  <c r="AC55" i="32"/>
  <c r="AC54" i="32"/>
  <c r="AC53" i="32"/>
  <c r="AC52" i="32"/>
  <c r="AC51" i="32"/>
  <c r="AC50" i="32"/>
  <c r="AC48" i="32"/>
  <c r="AC47" i="32"/>
  <c r="AC44" i="32"/>
  <c r="AC43" i="32"/>
  <c r="AC42" i="32"/>
  <c r="AC41" i="32"/>
  <c r="AC40" i="32"/>
  <c r="AC39" i="32"/>
  <c r="AC38" i="32"/>
  <c r="AC37" i="32"/>
  <c r="AC36" i="32"/>
  <c r="AC35" i="32"/>
  <c r="AC34" i="32"/>
  <c r="AC33" i="32"/>
  <c r="AC32" i="32"/>
  <c r="AC31" i="32"/>
  <c r="AC30" i="32"/>
  <c r="AC29" i="32"/>
  <c r="AC28" i="32"/>
  <c r="AC24" i="32"/>
  <c r="AC23" i="32"/>
  <c r="AC22" i="32"/>
  <c r="AC21" i="32"/>
  <c r="AC18" i="32"/>
  <c r="AC16" i="32"/>
  <c r="AC15" i="32"/>
  <c r="AC14" i="32"/>
  <c r="AC13" i="32"/>
  <c r="AC12" i="32"/>
  <c r="AC11" i="32"/>
  <c r="AC10" i="32"/>
  <c r="AC9" i="32"/>
  <c r="AC8" i="32"/>
  <c r="AC7" i="32"/>
  <c r="AC6" i="32"/>
  <c r="AC5" i="32"/>
  <c r="AB57" i="32"/>
  <c r="AB56" i="32"/>
  <c r="AB55" i="32"/>
  <c r="AB54" i="32"/>
  <c r="AB53" i="32"/>
  <c r="AB52" i="32"/>
  <c r="AB51" i="32"/>
  <c r="AB48" i="32"/>
  <c r="AB47" i="32"/>
  <c r="AB44" i="32"/>
  <c r="AB43" i="32"/>
  <c r="AB42" i="32"/>
  <c r="AB41" i="32"/>
  <c r="AB40" i="32"/>
  <c r="AB39" i="32"/>
  <c r="AB37" i="32"/>
  <c r="AB36" i="32"/>
  <c r="AB35" i="32"/>
  <c r="AB34" i="32"/>
  <c r="AB33" i="32"/>
  <c r="AB32" i="32"/>
  <c r="AB31" i="32"/>
  <c r="AB30" i="32"/>
  <c r="AB29" i="32"/>
  <c r="AB28" i="32"/>
  <c r="AB27" i="32"/>
  <c r="AB26" i="32"/>
  <c r="AB22" i="32"/>
  <c r="AB21" i="32"/>
  <c r="AB20" i="32"/>
  <c r="AB18" i="32"/>
  <c r="AB17" i="32"/>
  <c r="AB16" i="32"/>
  <c r="AB15" i="32"/>
  <c r="AB14" i="32"/>
  <c r="AB12" i="32"/>
  <c r="AB11" i="32"/>
  <c r="AB10" i="32"/>
  <c r="AB9" i="32"/>
  <c r="AB8" i="32"/>
  <c r="AB7" i="32"/>
  <c r="C5" i="32"/>
  <c r="AB5" i="32"/>
  <c r="Y57" i="32"/>
  <c r="Y56" i="32"/>
  <c r="Y55" i="32"/>
  <c r="Y54" i="32"/>
  <c r="Y53" i="32"/>
  <c r="Y52" i="32"/>
  <c r="Y51" i="32"/>
  <c r="Y50" i="32"/>
  <c r="Y49" i="32"/>
  <c r="Y48" i="32"/>
  <c r="Y47" i="32"/>
  <c r="Y46" i="32"/>
  <c r="Y45" i="32"/>
  <c r="Y44" i="32"/>
  <c r="Y43" i="32"/>
  <c r="Y42" i="32"/>
  <c r="Y41" i="32"/>
  <c r="Y40" i="32"/>
  <c r="Y39" i="32"/>
  <c r="Y38" i="32"/>
  <c r="Y37" i="32"/>
  <c r="Y36" i="32"/>
  <c r="Y35" i="32"/>
  <c r="Y34" i="32"/>
  <c r="Y33" i="32"/>
  <c r="Y32" i="32"/>
  <c r="Y31" i="32"/>
  <c r="Y30" i="32"/>
  <c r="Y29" i="32"/>
  <c r="Y28" i="32"/>
  <c r="Y27" i="32"/>
  <c r="Y26" i="32"/>
  <c r="Y25" i="32"/>
  <c r="Y24" i="32"/>
  <c r="Y23" i="32"/>
  <c r="Y22" i="32"/>
  <c r="Y21" i="32"/>
  <c r="Y20" i="32"/>
  <c r="Y19" i="32"/>
  <c r="Y18" i="32"/>
  <c r="Y17" i="32"/>
  <c r="Y16" i="32"/>
  <c r="Y15" i="32"/>
  <c r="Y14" i="32"/>
  <c r="Y13" i="32"/>
  <c r="Y12" i="32"/>
  <c r="Y11" i="32"/>
  <c r="Y10" i="32"/>
  <c r="Y9" i="32"/>
  <c r="Y8" i="32"/>
  <c r="Y7" i="32"/>
  <c r="Y6" i="32"/>
  <c r="Y5" i="32"/>
  <c r="X57" i="32"/>
  <c r="X56" i="32"/>
  <c r="X55" i="32"/>
  <c r="X54" i="32"/>
  <c r="X53" i="32"/>
  <c r="X52" i="32"/>
  <c r="X51" i="32"/>
  <c r="X50" i="32"/>
  <c r="X49" i="32"/>
  <c r="X48" i="32"/>
  <c r="X47" i="32"/>
  <c r="X46" i="32"/>
  <c r="X45" i="32"/>
  <c r="X44" i="32"/>
  <c r="X43" i="32"/>
  <c r="X42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9" i="32"/>
  <c r="X28" i="32"/>
  <c r="X27" i="32"/>
  <c r="X26" i="32"/>
  <c r="X25" i="32"/>
  <c r="X24" i="32"/>
  <c r="X23" i="32"/>
  <c r="X22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X7" i="32"/>
  <c r="X6" i="32"/>
  <c r="X5" i="32"/>
  <c r="V57" i="32"/>
  <c r="Z57" i="32" s="1"/>
  <c r="V56" i="32"/>
  <c r="Z56" i="32" s="1"/>
  <c r="V55" i="32"/>
  <c r="Z55" i="32" s="1"/>
  <c r="V54" i="32"/>
  <c r="Z54" i="32" s="1"/>
  <c r="V53" i="32"/>
  <c r="Z53" i="32" s="1"/>
  <c r="V52" i="32"/>
  <c r="Z52" i="32" s="1"/>
  <c r="V51" i="32"/>
  <c r="Z51" i="32" s="1"/>
  <c r="V50" i="32"/>
  <c r="Z50" i="32" s="1"/>
  <c r="V49" i="32"/>
  <c r="Z49" i="32" s="1"/>
  <c r="V48" i="32"/>
  <c r="Z48" i="32" s="1"/>
  <c r="V47" i="32"/>
  <c r="Z47" i="32" s="1"/>
  <c r="V46" i="32"/>
  <c r="Z46" i="32" s="1"/>
  <c r="V45" i="32"/>
  <c r="V44" i="32"/>
  <c r="Z44" i="32" s="1"/>
  <c r="V43" i="32"/>
  <c r="Z43" i="32" s="1"/>
  <c r="V42" i="32"/>
  <c r="Z42" i="32" s="1"/>
  <c r="V41" i="32"/>
  <c r="Z41" i="32" s="1"/>
  <c r="V40" i="32"/>
  <c r="Z40" i="32" s="1"/>
  <c r="V39" i="32"/>
  <c r="Z39" i="32" s="1"/>
  <c r="V38" i="32"/>
  <c r="Z38" i="32" s="1"/>
  <c r="V37" i="32"/>
  <c r="Z37" i="32" s="1"/>
  <c r="V36" i="32"/>
  <c r="Z36" i="32" s="1"/>
  <c r="V35" i="32"/>
  <c r="Z35" i="32" s="1"/>
  <c r="V34" i="32"/>
  <c r="Z34" i="32" s="1"/>
  <c r="V33" i="32"/>
  <c r="Z33" i="32" s="1"/>
  <c r="V32" i="32"/>
  <c r="Z32" i="32" s="1"/>
  <c r="V31" i="32"/>
  <c r="Z31" i="32" s="1"/>
  <c r="V30" i="32"/>
  <c r="Z30" i="32" s="1"/>
  <c r="V29" i="32"/>
  <c r="Z29" i="32" s="1"/>
  <c r="V28" i="32"/>
  <c r="Z28" i="32" s="1"/>
  <c r="V27" i="32"/>
  <c r="Z27" i="32" s="1"/>
  <c r="V26" i="32"/>
  <c r="Z26" i="32" s="1"/>
  <c r="V25" i="32"/>
  <c r="Z25" i="32" s="1"/>
  <c r="V24" i="32"/>
  <c r="Z24" i="32" s="1"/>
  <c r="V23" i="32"/>
  <c r="V22" i="32"/>
  <c r="Z22" i="32" s="1"/>
  <c r="V21" i="32"/>
  <c r="Z21" i="32" s="1"/>
  <c r="V20" i="32"/>
  <c r="Z20" i="32" s="1"/>
  <c r="V19" i="32"/>
  <c r="Z19" i="32" s="1"/>
  <c r="V18" i="32"/>
  <c r="V17" i="32"/>
  <c r="Z17" i="32" s="1"/>
  <c r="V16" i="32"/>
  <c r="Z16" i="32" s="1"/>
  <c r="AA16" i="32" s="1"/>
  <c r="V15" i="32"/>
  <c r="V14" i="32"/>
  <c r="V13" i="32"/>
  <c r="V12" i="32"/>
  <c r="V11" i="32"/>
  <c r="V10" i="32"/>
  <c r="V9" i="32"/>
  <c r="V8" i="32"/>
  <c r="V7" i="32"/>
  <c r="V6" i="32"/>
  <c r="V5" i="32"/>
  <c r="Z45" i="32" l="1"/>
  <c r="Z23" i="32"/>
  <c r="AS55" i="32"/>
  <c r="AS54" i="32"/>
  <c r="AS53" i="32"/>
  <c r="AS52" i="32"/>
  <c r="AS51" i="32"/>
  <c r="AS50" i="32"/>
  <c r="AS49" i="32"/>
  <c r="AS48" i="32"/>
  <c r="AS47" i="32"/>
  <c r="AS46" i="32"/>
  <c r="AS45" i="32"/>
  <c r="AS44" i="32"/>
  <c r="AS43" i="32"/>
  <c r="AS87" i="32"/>
  <c r="AS86" i="32"/>
  <c r="AS85" i="32"/>
  <c r="AS84" i="32"/>
  <c r="AS83" i="32"/>
  <c r="AS82" i="32"/>
  <c r="AS81" i="32"/>
  <c r="AS80" i="32"/>
  <c r="AS79" i="32"/>
  <c r="AS78" i="32"/>
  <c r="AS77" i="32"/>
  <c r="AS76" i="32"/>
  <c r="AS75" i="32"/>
  <c r="AS74" i="32"/>
  <c r="AS73" i="32"/>
  <c r="AS72" i="32"/>
  <c r="AS71" i="32"/>
  <c r="AS70" i="32"/>
  <c r="AS69" i="32"/>
  <c r="AS68" i="32"/>
  <c r="AS67" i="32"/>
  <c r="AS66" i="32"/>
  <c r="AS65" i="32"/>
  <c r="AS64" i="32"/>
  <c r="AS63" i="32"/>
  <c r="AS62" i="32"/>
  <c r="AS61" i="32"/>
  <c r="AS60" i="32"/>
  <c r="AS57" i="32"/>
  <c r="AS56" i="32"/>
  <c r="AS8" i="32"/>
  <c r="AS7" i="32"/>
  <c r="AS6" i="32"/>
  <c r="W156" i="31"/>
  <c r="AS5" i="32"/>
  <c r="AS15" i="32"/>
  <c r="AS14" i="32"/>
  <c r="AS13" i="32"/>
  <c r="AS12" i="32"/>
  <c r="AS11" i="32"/>
  <c r="AS10" i="32"/>
  <c r="AS9" i="32"/>
  <c r="AS42" i="32"/>
  <c r="AS41" i="32"/>
  <c r="AS40" i="32"/>
  <c r="AS39" i="32"/>
  <c r="AS38" i="32"/>
  <c r="AS37" i="32"/>
  <c r="AS36" i="32"/>
  <c r="AS35" i="32"/>
  <c r="AS34" i="32"/>
  <c r="AS33" i="32"/>
  <c r="AS32" i="32"/>
  <c r="AS31" i="32"/>
  <c r="AS30" i="32"/>
  <c r="AS29" i="32"/>
  <c r="AS28" i="32"/>
  <c r="AS27" i="32"/>
  <c r="AS26" i="32"/>
  <c r="AS25" i="32"/>
  <c r="AS24" i="32"/>
  <c r="AS23" i="32"/>
  <c r="AS22" i="32"/>
  <c r="AS21" i="32"/>
  <c r="AS20" i="32"/>
  <c r="AS19" i="32"/>
  <c r="AS18" i="32"/>
  <c r="AS17" i="32"/>
  <c r="AS16" i="32"/>
  <c r="AN55" i="32"/>
  <c r="AN54" i="32"/>
  <c r="AN53" i="32"/>
  <c r="AN52" i="32"/>
  <c r="AN51" i="32"/>
  <c r="AN50" i="32"/>
  <c r="AN49" i="32"/>
  <c r="AN48" i="32"/>
  <c r="AN47" i="32"/>
  <c r="AN46" i="32"/>
  <c r="AN45" i="32"/>
  <c r="AN44" i="32"/>
  <c r="AN43" i="32"/>
  <c r="AN42" i="32"/>
  <c r="AN41" i="32"/>
  <c r="AN40" i="32"/>
  <c r="AN39" i="32"/>
  <c r="AN38" i="32"/>
  <c r="AN37" i="32"/>
  <c r="AN36" i="32"/>
  <c r="AN35" i="32"/>
  <c r="AN34" i="32"/>
  <c r="AN33" i="32"/>
  <c r="AN32" i="32"/>
  <c r="AN31" i="32"/>
  <c r="AN30" i="32"/>
  <c r="AN29" i="32"/>
  <c r="AN28" i="32"/>
  <c r="AN27" i="32"/>
  <c r="AN26" i="32"/>
  <c r="AN25" i="32"/>
  <c r="AN24" i="32"/>
  <c r="AN23" i="32"/>
  <c r="AN22" i="32"/>
  <c r="AN21" i="32"/>
  <c r="AN20" i="32"/>
  <c r="AN19" i="32"/>
  <c r="AN18" i="32"/>
  <c r="AN17" i="32"/>
  <c r="AN16" i="32"/>
  <c r="AN15" i="32"/>
  <c r="AN14" i="32"/>
  <c r="AN13" i="32"/>
  <c r="AN12" i="32"/>
  <c r="AN11" i="32"/>
  <c r="AN10" i="32"/>
  <c r="AN9" i="32"/>
  <c r="AN8" i="32"/>
  <c r="AN7" i="32"/>
  <c r="AN6" i="32"/>
  <c r="AN87" i="32"/>
  <c r="AN86" i="32"/>
  <c r="AN85" i="32"/>
  <c r="AN84" i="32"/>
  <c r="AN83" i="32"/>
  <c r="AN82" i="32"/>
  <c r="AN81" i="32"/>
  <c r="AN80" i="32"/>
  <c r="AN79" i="32"/>
  <c r="AN78" i="32"/>
  <c r="AN77" i="32"/>
  <c r="AN76" i="32"/>
  <c r="AN75" i="32"/>
  <c r="AN74" i="32"/>
  <c r="AN73" i="32"/>
  <c r="AN72" i="32"/>
  <c r="AN71" i="32"/>
  <c r="AN70" i="32"/>
  <c r="AN69" i="32"/>
  <c r="AN68" i="32"/>
  <c r="AN67" i="32"/>
  <c r="AN66" i="32"/>
  <c r="AN65" i="32"/>
  <c r="AN64" i="32"/>
  <c r="AN63" i="32"/>
  <c r="AN62" i="32"/>
  <c r="AN61" i="32"/>
  <c r="AN60" i="32"/>
  <c r="AN57" i="32"/>
  <c r="AN56" i="32"/>
  <c r="AA17" i="32"/>
  <c r="AA18" i="32"/>
  <c r="AA19" i="32"/>
  <c r="AA20" i="32"/>
  <c r="AA21" i="32"/>
  <c r="AA22" i="32"/>
  <c r="AA23" i="32"/>
  <c r="AA24" i="32"/>
  <c r="AA25" i="32"/>
  <c r="AA26" i="32"/>
  <c r="AA27" i="32"/>
  <c r="AA28" i="32"/>
  <c r="AA29" i="32"/>
  <c r="AA30" i="32"/>
  <c r="AA31" i="32"/>
  <c r="AA32" i="32"/>
  <c r="AA33" i="32"/>
  <c r="AA34" i="32"/>
  <c r="AA35" i="32"/>
  <c r="AA36" i="32"/>
  <c r="AA37" i="32"/>
  <c r="AA38" i="32"/>
  <c r="AA39" i="32"/>
  <c r="AA40" i="32"/>
  <c r="AA41" i="32"/>
  <c r="D15" i="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tc={1080C551-CB07-4228-B6E5-08A7437DFDEA}</author>
    <author>tc={03BE564A-9714-4DBB-8D08-F824A09C72D2}</author>
  </authors>
  <commentList>
    <comment ref="G17" authorId="0" shapeId="0" xr:uid="{1080C551-CB07-4228-B6E5-08A7437DFDEA}">
      <text>
        <t>[Threaded comment]
Your version of Excel allows you to read this threaded comment; however, any edits to it will get removed if the file is opened in a newer version of Excel. Learn more: https://go.microsoft.com/fwlink/?linkid=870924
Comment:
    [Mention was removed] Reminder to fill in</t>
      </text>
    </comment>
    <comment ref="I251" authorId="1" shapeId="0" xr:uid="{03BE564A-9714-4DBB-8D08-F824A09C72D2}">
      <text>
        <t>[Threaded comment]
Your version of Excel allows you to read this threaded comment; however, any edits to it will get removed if the file is opened in a newer version of Excel. Learn more: https://go.microsoft.com/fwlink/?linkid=870924
Comment:
    [Mention was removed] The weekly conversion chart and totaly weekly impressions need a Y axis added in! Should be able to highlight the dates for that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tc={7C6B5D37-B0B9-47B7-80F3-93A1ADE7F7D7}</author>
  </authors>
  <commentList>
    <comment ref="K16" authorId="0" shapeId="0" xr:uid="{7C6B5D37-B0B9-47B7-80F3-93A1ADE7F7D7}">
      <text>
        <t>[Threaded comment]
Your version of Excel allows you to read this threaded comment; however, any edits to it will get removed if the file is opened in a newer version of Excel. Learn more: https://go.microsoft.com/fwlink/?linkid=870924
Comment:
    499 clicks, 499 opens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tc={4C921AA4-BCA5-4A4B-B7CE-121D59CB54B4}</author>
  </authors>
  <commentList>
    <comment ref="F4" authorId="0" shapeId="0" xr:uid="{4C921AA4-BCA5-4A4B-B7CE-121D59CB54B4}">
      <text>
        <t>[Threaded comment]
Your version of Excel allows you to read this threaded comment; however, any edits to it will get removed if the file is opened in a newer version of Excel. Learn more: https://go.microsoft.com/fwlink/?linkid=870924
Comment:
    499 clicks, 499 opens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tc={7639EFCF-F000-439B-8F49-4732BECAFE19}</author>
  </authors>
  <commentList>
    <comment ref="O16" authorId="0" shapeId="0" xr:uid="{7639EFCF-F000-439B-8F49-4732BECAFE19}">
      <text>
        <t>[Threaded comment]
Your version of Excel allows you to read this threaded comment; however, any edits to it will get removed if the file is opened in a newer version of Excel. Learn more: https://go.microsoft.com/fwlink/?linkid=870924
Comment:
    499 clicks, 499 opens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tc={8B7BD5BE-F8D8-48C5-856F-B616B4E43EC3}</author>
    <author>tc={A41D115A-ECD6-425C-A934-2A7E2E93045E}</author>
  </authors>
  <commentList>
    <comment ref="B13" authorId="0" shapeId="0" xr:uid="{8B7BD5BE-F8D8-48C5-856F-B616B4E43E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We accidentally suppressed unregistered users and targeted only registered </t>
      </text>
    </comment>
    <comment ref="A14" authorId="1" shapeId="0" xr:uid="{A41D115A-ECD6-425C-A934-2A7E2E93045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of Phase 2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tc={B733C35F-9FE4-1B4D-BB09-24C9DB0569C3}</author>
  </authors>
  <commentList>
    <comment ref="A30" authorId="0" shapeId="0" xr:uid="{B733C35F-9FE4-1B4D-BB09-24C9DB0569C3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in the comp reg to add to the monthly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tc={5A59319F-784E-4583-852F-DBB6B0C0C74D}</author>
  </authors>
  <commentList>
    <comment ref="A21" authorId="0" shapeId="0" xr:uid="{5A59319F-784E-4583-852F-DBB6B0C0C74D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in the comp reg to add to the monthly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tc={212A47F8-7DAE-42A1-8FD3-028420F80D71}</author>
  </authors>
  <commentList>
    <comment ref="A25" authorId="0" shapeId="0" xr:uid="{212A47F8-7DAE-42A1-8FD3-028420F80D71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in the comp reg to add to the monthly</t>
      </text>
    </comment>
  </commentList>
</comments>
</file>

<file path=xl/sharedStrings.xml><?xml version="1.0" encoding="utf-8"?>
<sst xmlns="http://schemas.openxmlformats.org/spreadsheetml/2006/main" count="1744" uniqueCount="636">
  <si>
    <t>Performance Dashboard</t>
  </si>
  <si>
    <t>Client Name: ATC</t>
  </si>
  <si>
    <t>Last updated: 2/5/2026</t>
  </si>
  <si>
    <t>6 Rs</t>
  </si>
  <si>
    <t>Success Factor</t>
  </si>
  <si>
    <t>Measurement</t>
  </si>
  <si>
    <t>Historic Average</t>
  </si>
  <si>
    <t>2026
Actual</t>
  </si>
  <si>
    <t>2026
Goal</t>
  </si>
  <si>
    <t>2026
Percent to Goal</t>
  </si>
  <si>
    <t>Goal</t>
  </si>
  <si>
    <r>
      <t>Reach</t>
    </r>
    <r>
      <rPr>
        <sz val="16"/>
        <color rgb="FF000000"/>
        <rFont val="Arial"/>
        <family val="2"/>
      </rPr>
      <t>​</t>
    </r>
  </si>
  <si>
    <t>Total Attendees</t>
  </si>
  <si>
    <t>Paid Attendees</t>
  </si>
  <si>
    <r>
      <t>Retention</t>
    </r>
    <r>
      <rPr>
        <sz val="16"/>
        <color rgb="FF000000"/>
        <rFont val="Arial"/>
        <family val="2"/>
      </rPr>
      <t>​</t>
    </r>
  </si>
  <si>
    <t>+40% Returning Attendees</t>
  </si>
  <si>
    <t>.</t>
  </si>
  <si>
    <r>
      <t>Relevance</t>
    </r>
    <r>
      <rPr>
        <sz val="16"/>
        <color rgb="FF000000"/>
        <rFont val="Arial"/>
        <family val="2"/>
      </rPr>
      <t>​</t>
    </r>
  </si>
  <si>
    <t>+20% of Addressable Audience</t>
  </si>
  <si>
    <r>
      <t>Reputation</t>
    </r>
    <r>
      <rPr>
        <sz val="16"/>
        <color rgb="FF000000"/>
        <rFont val="Arial"/>
        <family val="2"/>
      </rPr>
      <t>​</t>
    </r>
  </si>
  <si>
    <t>NPS of 60+</t>
  </si>
  <si>
    <r>
      <t>Revenue</t>
    </r>
    <r>
      <rPr>
        <sz val="16"/>
        <color rgb="FF000000"/>
        <rFont val="Arial"/>
        <family val="2"/>
      </rPr>
      <t>​</t>
    </r>
  </si>
  <si>
    <t>Gross Revenue</t>
  </si>
  <si>
    <r>
      <t>ROI</t>
    </r>
    <r>
      <rPr>
        <sz val="16"/>
        <color rgb="FF000000"/>
        <rFont val="Arial"/>
        <family val="2"/>
      </rPr>
      <t>​</t>
    </r>
  </si>
  <si>
    <t>Net Profit*</t>
  </si>
  <si>
    <t>+20% Margin</t>
  </si>
  <si>
    <t>Event Registrations</t>
  </si>
  <si>
    <t>Email</t>
  </si>
  <si>
    <t>Organic Social</t>
  </si>
  <si>
    <t>Paid Media</t>
  </si>
  <si>
    <t>Date Range: xxxx (Totals / Averages)</t>
  </si>
  <si>
    <t>LinkedIn</t>
  </si>
  <si>
    <t>Meta</t>
  </si>
  <si>
    <t>Google Search</t>
  </si>
  <si>
    <t>Google Display</t>
  </si>
  <si>
    <t>Impressions</t>
  </si>
  <si>
    <t>Clicks</t>
  </si>
  <si>
    <t>Cost</t>
  </si>
  <si>
    <t>CPC</t>
  </si>
  <si>
    <t>CTR</t>
  </si>
  <si>
    <t>Conversions</t>
  </si>
  <si>
    <t>Conversion Rate</t>
  </si>
  <si>
    <t>CPA</t>
  </si>
  <si>
    <t>Total Campaigns</t>
  </si>
  <si>
    <t>Total Budget</t>
  </si>
  <si>
    <t>Total Spent</t>
  </si>
  <si>
    <t>LI Total Remaining</t>
  </si>
  <si>
    <t>FB Total Remaining</t>
  </si>
  <si>
    <t>X Total Remaining</t>
  </si>
  <si>
    <t>ATC</t>
  </si>
  <si>
    <t>Email Name</t>
  </si>
  <si>
    <t>Audience 
(List)</t>
  </si>
  <si>
    <t>Deployment 
Date</t>
  </si>
  <si>
    <t>Deployment 
Day of Week</t>
  </si>
  <si>
    <t>Deployment 
Time of Day</t>
  </si>
  <si>
    <t>Total 
Emails Sent</t>
  </si>
  <si>
    <t>Open Rate</t>
  </si>
  <si>
    <t>Open Rate (Benchmark)</t>
  </si>
  <si>
    <t>Click-Through Rate
(clicks / devilieries)</t>
  </si>
  <si>
    <t>CTR 
(Benchmark)</t>
  </si>
  <si>
    <t>Click-To-Open Rate</t>
  </si>
  <si>
    <t>CTO 
(Benchmark)</t>
  </si>
  <si>
    <t>Delivery 
Rate</t>
  </si>
  <si>
    <t>Delivery Rate (Benchmark)</t>
  </si>
  <si>
    <t>Unsubscribe %</t>
  </si>
  <si>
    <t>Unsubscribe %
(Benchmark)</t>
  </si>
  <si>
    <t>Subject Line</t>
  </si>
  <si>
    <t>Notes</t>
  </si>
  <si>
    <t>Footer</t>
  </si>
  <si>
    <t>Call for Proposals Email #1 (All Prospects)</t>
  </si>
  <si>
    <t>All Prospects</t>
  </si>
  <si>
    <t>Friday</t>
  </si>
  <si>
    <t xml:space="preserve">	{NOW OPEN} ATC 2026 Call for Programs</t>
  </si>
  <si>
    <t>Call for Proposals Email #2 (All Prospects)</t>
  </si>
  <si>
    <t xml:space="preserve">	Your Voice. Your Ideas. Your Congress.</t>
  </si>
  <si>
    <t>Call for Proposals Email #3 (All Prospects)</t>
  </si>
  <si>
    <t>Thursday</t>
  </si>
  <si>
    <t>Tips to Strengthen Your ATC 2026 Session Proposal</t>
  </si>
  <si>
    <t>Call for Proposals Email #4a (Past Submitters)</t>
  </si>
  <si>
    <t>Past Submitters</t>
  </si>
  <si>
    <t>Wednesday</t>
  </si>
  <si>
    <t>You're Invited Back: Call for 2026 Proposals</t>
  </si>
  <si>
    <t xml:space="preserve">Call for Proposals Email #4b (All Prospects)
</t>
  </si>
  <si>
    <t xml:space="preserve">	Be Heard at ATC 2026: Submit Your Idea</t>
  </si>
  <si>
    <t>Call for Proposals Email #5 (All Prospects)</t>
  </si>
  <si>
    <t xml:space="preserve">	Final Weeks! Submit Your Proposal for ATC 2026</t>
  </si>
  <si>
    <t>INTL Email #1 - Survey (International Attendees)</t>
  </si>
  <si>
    <t>International Attendees</t>
  </si>
  <si>
    <t xml:space="preserve">	Your Input Is Needed</t>
  </si>
  <si>
    <t>Call for Proposals Email #6 (All Prospects)</t>
  </si>
  <si>
    <t>Tuesday</t>
  </si>
  <si>
    <t>Your Perspective Matters: Submit Your ATC 2026 Proposal</t>
  </si>
  <si>
    <t>Call for Proposals Email #7 (All Prospects)</t>
  </si>
  <si>
    <t>Deadline Approaching: Final Week to Submit for ATC 2026</t>
  </si>
  <si>
    <t>Call for Proposals Email #8 (All Prospects)</t>
  </si>
  <si>
    <t xml:space="preserve">	48 Hours Left</t>
  </si>
  <si>
    <t>Call for Proposals &amp; State-of-the-Art Speakers Email #9.5 Deadline Extended (All Prospects)</t>
  </si>
  <si>
    <t xml:space="preserve">	Deadline Extended for ATC 2026 Proposals</t>
  </si>
  <si>
    <t>Call for Abstracts Email #10 (All Prospects)</t>
  </si>
  <si>
    <t>Monday</t>
  </si>
  <si>
    <t xml:space="preserve">	Now Open: ATC 2026 Abstract Submissions</t>
  </si>
  <si>
    <t>Email #9 - Call for Proposals - 24 Hours Left 8/21 (All Prospects)</t>
  </si>
  <si>
    <t xml:space="preserve">	Ends Tonight: Your Last Chance to Submit</t>
  </si>
  <si>
    <t>Call for Abstracts Email #10.5</t>
  </si>
  <si>
    <t xml:space="preserve">	Past Abstract Submitters &amp; Past Attendees: ATC2026</t>
  </si>
  <si>
    <t>ATC 2026 Abstracts Deadline Is November 13</t>
  </si>
  <si>
    <t>Awareness Email #1 Save the Date</t>
  </si>
  <si>
    <t>WTC Attendees</t>
  </si>
  <si>
    <t>Learning Doesn't Have An Expiration Date</t>
  </si>
  <si>
    <t>Awareness Email #2 Save the Date</t>
  </si>
  <si>
    <t>All Prospects excluding WTC Attendees</t>
  </si>
  <si>
    <t xml:space="preserve">	Is Boston in Your Budget Yet?</t>
  </si>
  <si>
    <t>Call for Abstracts Email #11a</t>
  </si>
  <si>
    <t>All Prospects (11a Half)</t>
  </si>
  <si>
    <t xml:space="preserve">	Have You Submitted Your ATC 2026 Abstract?</t>
  </si>
  <si>
    <t>Call For Abstracts Email #11b</t>
  </si>
  <si>
    <t>All Prospects (11b Half)</t>
  </si>
  <si>
    <t>Call for Abstracts Email #12a Visa Focus (International)</t>
  </si>
  <si>
    <t xml:space="preserve">	International Attendees</t>
  </si>
  <si>
    <t xml:space="preserve">	Important - Abstract Submissions for ATC 2026</t>
  </si>
  <si>
    <t>Call for Abstracts Email
 #12b</t>
  </si>
  <si>
    <t xml:space="preserve">	2026 Attendee House Marketing List (excluding unsubs &amp; undeliverable &amp; INTL)</t>
  </si>
  <si>
    <t xml:space="preserve">	Be Part of the Breakthroughs at ATC 2026</t>
  </si>
  <si>
    <t>Call for Abstracts Email #13</t>
  </si>
  <si>
    <t xml:space="preserve">	Keep This In Mind Before Hitting Submit</t>
  </si>
  <si>
    <t>Awareness Email #3 Save the Date</t>
  </si>
  <si>
    <t xml:space="preserve">	2026 Attendee House Marketing List (excluding unsubs &amp; undeliverable)</t>
  </si>
  <si>
    <t>ATC 2026 is Close to Home!</t>
  </si>
  <si>
    <t xml:space="preserve">Call for Abstracts Email #14 </t>
  </si>
  <si>
    <t xml:space="preserve">	ATC 2026: Where Ambition Shapes the Future</t>
  </si>
  <si>
    <t>Call for Abstracts Email #15</t>
  </si>
  <si>
    <t>2026 Attendee House Marketing List (excluding unsubs &amp; undeliverable)</t>
  </si>
  <si>
    <t>Get Published in the American Journal of Transplantation</t>
  </si>
  <si>
    <t>Call for Abstracts Email #16</t>
  </si>
  <si>
    <t xml:space="preserve">	2026 Attendee House Marketing List (excluding unsub &amp; undeliverable &amp; INTL "no"</t>
  </si>
  <si>
    <t xml:space="preserve">	Submit your abstract before the Nov. 13 deadline and advance the science of transplantation</t>
  </si>
  <si>
    <t>Call for Abstracts Email #17</t>
  </si>
  <si>
    <t xml:space="preserve">	2026 Attendee House Marketing List (excluding unsub &amp; undeliverable &amp; INTL "no")</t>
  </si>
  <si>
    <t xml:space="preserve">	The Clock is Ticking</t>
  </si>
  <si>
    <t>AST</t>
  </si>
  <si>
    <t>Call for Abstracts Email #18</t>
  </si>
  <si>
    <t xml:space="preserve">	Important Update: Abstracts Deadline Extended</t>
  </si>
  <si>
    <t>ASTS</t>
  </si>
  <si>
    <t>Call for Abstracts Email #19 (+ resend)</t>
  </si>
  <si>
    <t xml:space="preserve">	Abstract Deadline is TOMORROW at 11:59 PM ET</t>
  </si>
  <si>
    <t>skip</t>
  </si>
  <si>
    <t>Awareness Email #4 Save the Date</t>
  </si>
  <si>
    <t xml:space="preserve">	ATC 2026: Where The Transplant Ecosystem Unites</t>
  </si>
  <si>
    <t>Awareness Email #5A Save the Date</t>
  </si>
  <si>
    <t>2026 Attendee House Marketing List (excluding unsubs &amp; undeliverable &amp; INTL))</t>
  </si>
  <si>
    <t xml:space="preserve">	Get Ready - Registration Opens Soon</t>
  </si>
  <si>
    <t>Awareness Email #5B Save the Date</t>
  </si>
  <si>
    <t>Call for Abstracts Email #19.5</t>
  </si>
  <si>
    <t>2026 Attendee House Marketing List (excluding unsub &amp; undeliverable &amp; INTL "no")</t>
  </si>
  <si>
    <t>How to Prepare: Late-Breaking Abstracts Open Next Week</t>
  </si>
  <si>
    <t>Call for Late-Breaking Abstracts Email #20</t>
  </si>
  <si>
    <t>Portal Open: Late-Breaking Abstracts</t>
  </si>
  <si>
    <t>Awareness Email #6 Save the Date</t>
  </si>
  <si>
    <t>Your ATC 2026 Guide: 5 Days of Breakthroughs</t>
  </si>
  <si>
    <t>Call for Late Breaking Abstracts Email #21a</t>
  </si>
  <si>
    <t>Submit Your Late-Breaking Abstract for ATC 2026</t>
  </si>
  <si>
    <t>skipped</t>
  </si>
  <si>
    <t>Call for Late Breaking Abstracts Email #21b</t>
  </si>
  <si>
    <t>Registration Email #1</t>
  </si>
  <si>
    <t>{NOW OPEN} Register for ATC 2026</t>
  </si>
  <si>
    <t>Call for Late Breaking Abstracts Email #22</t>
  </si>
  <si>
    <t>72 Hours Left: Late-Breaking Abstracts Due Feb. 9</t>
  </si>
  <si>
    <t>Registration Email #2</t>
  </si>
  <si>
    <t>ATC 2026 Is Taking Shape – Join Us!</t>
  </si>
  <si>
    <t>Registration Email #2 - Resend</t>
  </si>
  <si>
    <t>Registration Email #2.5</t>
  </si>
  <si>
    <t>2026 Main Prospecting Registration Send List</t>
  </si>
  <si>
    <t>Introducing the State-of-the-Art Speakers</t>
  </si>
  <si>
    <t>Registration Email #2.5 Send to Non-Openers</t>
  </si>
  <si>
    <t>Reg Email 2.5 Non-Openers Resend</t>
  </si>
  <si>
    <t>Registration Email #3c</t>
  </si>
  <si>
    <t>Boston Drive-In Audience</t>
  </si>
  <si>
    <t>ATC 2026 Is Heading to You</t>
  </si>
  <si>
    <t>Registration Email #3b</t>
  </si>
  <si>
    <t>ATC 2026: A Global Gathering in Boston</t>
  </si>
  <si>
    <t>Registration Email #3a</t>
  </si>
  <si>
    <t>ATC 2026 US Attendees</t>
  </si>
  <si>
    <t>ATC 2026 Is Heading to Boston</t>
  </si>
  <si>
    <t>Registration Email #4a</t>
  </si>
  <si>
    <t>Past Registrations: 2024</t>
  </si>
  <si>
    <t>New Experiences Await at ATC 2026</t>
  </si>
  <si>
    <t>Registration Email #4b</t>
  </si>
  <si>
    <t>Plan Your Trip &amp; Save by March 6</t>
  </si>
  <si>
    <t>Registration Email #4c</t>
  </si>
  <si>
    <t>Main Prospecting Send (Excluding International &amp; Past Attendees)</t>
  </si>
  <si>
    <t>Don’t Miss Early Bird Savings for ATC 2026</t>
  </si>
  <si>
    <t>Registration Email #5</t>
  </si>
  <si>
    <t>2026 Main Prospecting Registration</t>
  </si>
  <si>
    <t>{DEADLINE}: Early Bird Ends TONIGHT</t>
  </si>
  <si>
    <t>Registration Email #6</t>
  </si>
  <si>
    <t>Inside the ATC 2026 Education Program</t>
  </si>
  <si>
    <t>Nurture Email #1</t>
  </si>
  <si>
    <t>2026 Registered Attendees</t>
  </si>
  <si>
    <t>Plan Ahead: Secure Your Hotel + See What’s Ahead</t>
  </si>
  <si>
    <t>Registration Email #7a</t>
  </si>
  <si>
    <t>US Prospects ATC 2026</t>
  </si>
  <si>
    <t>REMINDER} Register For ATC 2026 Today</t>
  </si>
  <si>
    <t>Registration Email #7b</t>
  </si>
  <si>
    <t>England &amp; Ghana - Scotland &amp; Morocco</t>
  </si>
  <si>
    <t>{REMINDER} Register For ATC 2026 Today</t>
  </si>
  <si>
    <t>Registration Email #7d</t>
  </si>
  <si>
    <t>Norway vs. France</t>
  </si>
  <si>
    <t>Registration Email #7e</t>
  </si>
  <si>
    <t>International Excluding Ghana, UK, Morocco, Scotland, France, Norway</t>
  </si>
  <si>
    <t xml:space="preserve">Plan Your Trip &amp; Save </t>
  </si>
  <si>
    <t>Registration Email #8</t>
  </si>
  <si>
    <t>Honor Donate Life Month and Advance Transplantation</t>
  </si>
  <si>
    <t>Registration Email #9</t>
  </si>
  <si>
    <t>Don't Miss the Opportunity to Learn from Nobel Laureates</t>
  </si>
  <si>
    <t>Registration Email #10a</t>
  </si>
  <si>
    <t>2026 Main Prospecting Registration Send Excluding International</t>
  </si>
  <si>
    <t>Register Now | Hotels Are Nearly Full for ATC</t>
  </si>
  <si>
    <t>Registration Email #10b</t>
  </si>
  <si>
    <t>Registration Email #11</t>
  </si>
  <si>
    <t>Your Questions About ATC, Answered</t>
  </si>
  <si>
    <t>Nurture Email #2</t>
  </si>
  <si>
    <t>We were wondering...</t>
  </si>
  <si>
    <t>Registration Email #12a</t>
  </si>
  <si>
    <t>AST &amp; ASTS Members</t>
  </si>
  <si>
    <t>Saturday</t>
  </si>
  <si>
    <t>{MEMBER RATE} Advance Pricing Ends April 30</t>
  </si>
  <si>
    <t>Registration Email #12b</t>
  </si>
  <si>
    <t>2026 Main Prospecting Send (Excluding Members)</t>
  </si>
  <si>
    <t>Advance Pricing Ends April 30 (Members Pay Less)</t>
  </si>
  <si>
    <t>Registration Email #13</t>
  </si>
  <si>
    <t>JUST RELEASED: ATC 2026 Program</t>
  </si>
  <si>
    <t>Registration Email #14</t>
  </si>
  <si>
    <t>24 Hours Left to Save $200</t>
  </si>
  <si>
    <t>Registration Email #15a</t>
  </si>
  <si>
    <t>Reconnecting at ATC</t>
  </si>
  <si>
    <t>Registration Email #15b</t>
  </si>
  <si>
    <t>ATC Propsects with no Prior Attendance</t>
  </si>
  <si>
    <t>Who could you meet at ATC?</t>
  </si>
  <si>
    <t>Registration Email #16a</t>
  </si>
  <si>
    <t>NP / Advanced Practice</t>
  </si>
  <si>
    <t>The AI Sessions at ATC 2026 Are Built for Your Practice</t>
  </si>
  <si>
    <t>Registration Email #16b</t>
  </si>
  <si>
    <t xml:space="preserve">Transplant Program Directors </t>
  </si>
  <si>
    <t>What AI Means for Your Program: Sessions at ATC 2026</t>
  </si>
  <si>
    <t>Registration Email #16c</t>
  </si>
  <si>
    <t>Trainees</t>
  </si>
  <si>
    <t>The Career You’re Entering Runs on AI. These ATC Sessions Show You How.</t>
  </si>
  <si>
    <t>Registration Email #16d</t>
  </si>
  <si>
    <t>All Other Prospects</t>
  </si>
  <si>
    <t>ATC 2026 Goes Deep on AI. Here’s What’s on the Program.</t>
  </si>
  <si>
    <t>Registration Email #17</t>
  </si>
  <si>
    <t>Registration Email #18a</t>
  </si>
  <si>
    <t>Past Registrations: 2024 (who have not registered for ATC 2026)</t>
  </si>
  <si>
    <t>You know the value of ATC. Don’t miss these Immunology Sessions.</t>
  </si>
  <si>
    <t>Registration Email #18b</t>
  </si>
  <si>
    <t>2026 Main Prospecting Registration Send List (excluding past attendees)</t>
  </si>
  <si>
    <t>Explore the latest advances in Immunology at ATC 2026</t>
  </si>
  <si>
    <t>Registration Email #19a</t>
  </si>
  <si>
    <t>2026 Boston Drive-In Audience</t>
  </si>
  <si>
    <t>Check this off your list before the Memorial Day Weekend</t>
  </si>
  <si>
    <t>Registration Email #19b</t>
  </si>
  <si>
    <t>2026 Main Prospecting Registration Send List (excluding Drive-In)</t>
  </si>
  <si>
    <t>Book Your Flight Before Memorial Day Weekend</t>
  </si>
  <si>
    <t>Nurture Email #3</t>
  </si>
  <si>
    <t>Nurture Emails: 2026 ATC Registrants</t>
  </si>
  <si>
    <t>Get More From Your ATC Experience</t>
  </si>
  <si>
    <t>Nurture Email #4</t>
  </si>
  <si>
    <t>Live Event: Sneak Peek at ATC 2026</t>
  </si>
  <si>
    <t>Registration Email #20</t>
  </si>
  <si>
    <t>What Impact Could Robotics Have On Your Practice?</t>
  </si>
  <si>
    <t>Nurture Email #5</t>
  </si>
  <si>
    <t>Plan Your Breakfast and Lunch Symposia at ATC</t>
  </si>
  <si>
    <t>Registration Email #21a</t>
  </si>
  <si>
    <t>ATC Is This Month. See You Around the Corner.</t>
  </si>
  <si>
    <t>Registration Email #21b</t>
  </si>
  <si>
    <t>ATC Is This Month. Be Part Of What Comes Next.</t>
  </si>
  <si>
    <t>Registration Email #22</t>
  </si>
  <si>
    <t>Less Than 2 Weeks Until ATC. Don't Miss What's Next.</t>
  </si>
  <si>
    <t>Eurofins Sponsored EBlast 6/9/26</t>
  </si>
  <si>
    <t>ATC Registrations</t>
  </si>
  <si>
    <t>ATC Attendees: Exclusive Invites + Meet the Scientists</t>
  </si>
  <si>
    <t>Apellis Sponsored Eblast</t>
  </si>
  <si>
    <t>6.11.26 Apellis Sponsor Email List</t>
  </si>
  <si>
    <t>Attending ATC? Discover an option for your patients</t>
  </si>
  <si>
    <t xml:space="preserve">Click-Through Rate
</t>
  </si>
  <si>
    <t xml:space="preserve">Call for Abstracts Email #10 </t>
  </si>
  <si>
    <t>Call for Abstracts Email #12a</t>
  </si>
  <si>
    <t>Save the Date Email #1</t>
  </si>
  <si>
    <t>Save the Date Email #2</t>
  </si>
  <si>
    <t>Save the Date Email #3</t>
  </si>
  <si>
    <t>Answer</t>
  </si>
  <si>
    <t>Responses</t>
  </si>
  <si>
    <t>Scientific Sessions &amp; Latest Research</t>
  </si>
  <si>
    <t>Networking &amp; Reconnecting With Colleagues</t>
  </si>
  <si>
    <t>Meet-the-Expert Sessions</t>
  </si>
  <si>
    <t>Exploring the Exhibit Hall</t>
  </si>
  <si>
    <t>Career Development Opportunities</t>
  </si>
  <si>
    <t>Total Clicks</t>
  </si>
  <si>
    <t>Top Button Clicks</t>
  </si>
  <si>
    <t>% Total Clicked Top Button</t>
  </si>
  <si>
    <t>Top Logo Clicks</t>
  </si>
  <si>
    <t>% Total Clicked Top Logo</t>
  </si>
  <si>
    <t>Header Image Clicks</t>
  </si>
  <si>
    <t>% Total Clicked Header Image</t>
  </si>
  <si>
    <t>First Button Clicks</t>
  </si>
  <si>
    <t>% Total Clicked First Button</t>
  </si>
  <si>
    <t>Call for Abstracts - Email #10 (All Prospects)</t>
  </si>
  <si>
    <t>Email #10.5 - Call for Abstracts - Past Attendees &amp; Past Abstract Submitters (Past Abstract Submitters &amp; Attendees)</t>
  </si>
  <si>
    <t>Email #11a Call for Abstracts Button Test</t>
  </si>
  <si>
    <t xml:space="preserve">Email #11b Call For Abstracts Button Test </t>
  </si>
  <si>
    <t>Email #12a Visa Focus</t>
  </si>
  <si>
    <t>Email #12b</t>
  </si>
  <si>
    <t xml:space="preserve">Average: </t>
  </si>
  <si>
    <t>Social Media</t>
  </si>
  <si>
    <t>LinkedIn (LI)</t>
  </si>
  <si>
    <t>Facebook (FB)</t>
  </si>
  <si>
    <t>Instagram (IG)</t>
  </si>
  <si>
    <t>Twitter (X)</t>
  </si>
  <si>
    <t>Totals</t>
  </si>
  <si>
    <t>Notes &gt;</t>
  </si>
  <si>
    <t>Total followers to start the week.</t>
  </si>
  <si>
    <t>Percentage change in followers over time.</t>
  </si>
  <si>
    <t>Every time someone sees our post, even if they just scroll past</t>
  </si>
  <si>
    <t>When someone actually interacts with our post, like commenting, liking, or sharing, that's an engagement.</t>
  </si>
  <si>
    <t>How many times we posted this week about the event</t>
  </si>
  <si>
    <t>Every time someone sees our post, even if they just scroll past (view)</t>
  </si>
  <si>
    <t>Followers</t>
  </si>
  <si>
    <t>Follower Growth Rate</t>
  </si>
  <si>
    <t>Engagements</t>
  </si>
  <si>
    <t>Posts Per Week</t>
  </si>
  <si>
    <t>Week Starting</t>
  </si>
  <si>
    <t>LI Followers</t>
  </si>
  <si>
    <t>LI Follower 
Growth Rate</t>
  </si>
  <si>
    <t>LI Impressions</t>
  </si>
  <si>
    <t>LI Engagements</t>
  </si>
  <si>
    <t>LI Posts Per Week</t>
  </si>
  <si>
    <t>FB Followers</t>
  </si>
  <si>
    <t>FB Follower 
Growth Rate</t>
  </si>
  <si>
    <t>FB Impressions</t>
  </si>
  <si>
    <t>FB Engagements</t>
  </si>
  <si>
    <t>FB Posts Per Week</t>
  </si>
  <si>
    <t>IG Followers</t>
  </si>
  <si>
    <t>IG Follower 
Growth Rate</t>
  </si>
  <si>
    <t>IG Impressions</t>
  </si>
  <si>
    <t>IG Engagements</t>
  </si>
  <si>
    <t>IG Posts Per Week</t>
  </si>
  <si>
    <t>X Followers</t>
  </si>
  <si>
    <t>X Follower 
Growth Rate</t>
  </si>
  <si>
    <t>X Impressions</t>
  </si>
  <si>
    <t>X Engagements</t>
  </si>
  <si>
    <t>X Posts Per Week</t>
  </si>
  <si>
    <t>Total Followers</t>
  </si>
  <si>
    <t>LI Growth Rate</t>
  </si>
  <si>
    <t>FB Growth Rate</t>
  </si>
  <si>
    <t>IG Growth Rate</t>
  </si>
  <si>
    <t>X Growth Rate</t>
  </si>
  <si>
    <t>Total Engagements</t>
  </si>
  <si>
    <t>Total posts per week</t>
  </si>
  <si>
    <t>e</t>
  </si>
  <si>
    <t>Instagram</t>
  </si>
  <si>
    <t>Facebook</t>
  </si>
  <si>
    <t>X</t>
  </si>
  <si>
    <t>TOTAL</t>
  </si>
  <si>
    <t xml:space="preserve">LinkedIn </t>
  </si>
  <si>
    <t>Month</t>
  </si>
  <si>
    <t>TOTALS</t>
  </si>
  <si>
    <t>BUDGET</t>
  </si>
  <si>
    <t>REMAINING</t>
  </si>
  <si>
    <t xml:space="preserve">Website </t>
  </si>
  <si>
    <t>New User Primary Channel</t>
  </si>
  <si>
    <t>New Users</t>
  </si>
  <si>
    <t>%change</t>
  </si>
  <si>
    <t>Total Users</t>
  </si>
  <si>
    <t>Returning Users</t>
  </si>
  <si>
    <t>Avg Engagement Time Per Active User (seconds)</t>
  </si>
  <si>
    <t>Referral</t>
  </si>
  <si>
    <t>Organic Search</t>
  </si>
  <si>
    <t>Direct</t>
  </si>
  <si>
    <t>Unassigned</t>
  </si>
  <si>
    <t xml:space="preserve">Paid Social  </t>
  </si>
  <si>
    <t xml:space="preserve">Paid Search  </t>
  </si>
  <si>
    <t>2024 Average</t>
  </si>
  <si>
    <t>Avg Engagement Time Per Session</t>
  </si>
  <si>
    <t>Avg Users</t>
  </si>
  <si>
    <t>Time on entire site</t>
  </si>
  <si>
    <t>New Website Users</t>
  </si>
  <si>
    <t>Total Website Users</t>
  </si>
  <si>
    <t>% new users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</si>
  <si>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</si>
  <si>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</si>
  <si>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</si>
  <si>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</si>
  <si>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</si>
  <si>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</si>
  <si>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</si>
  <si>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</si>
  <si>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</si>
  <si>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</si>
  <si>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</si>
  <si>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</si>
  <si>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Paid LinkedIn</t>
  </si>
  <si>
    <t>Paid Facebook</t>
  </si>
  <si>
    <t>Paid Search</t>
  </si>
  <si>
    <t>Organic Twitter</t>
  </si>
  <si>
    <t>Organic Instagram</t>
  </si>
  <si>
    <t>Organic LinkedIn</t>
  </si>
  <si>
    <t>Organic Facebook</t>
  </si>
  <si>
    <t>Display</t>
  </si>
  <si>
    <t>-</t>
  </si>
  <si>
    <t>LINK TO FULL PR DASHBOARD</t>
  </si>
  <si>
    <t>ATC 2026 PR Tracker.xlsx</t>
  </si>
  <si>
    <t>Times someone sees our ads</t>
  </si>
  <si>
    <t>Times someone clicks our ads</t>
  </si>
  <si>
    <t>Amount spent on ads for this channel</t>
  </si>
  <si>
    <t>Cost divided by Clicks</t>
  </si>
  <si>
    <t>Clicks divided by Impressions</t>
  </si>
  <si>
    <t>Registrations attributed to  ads on this channel</t>
  </si>
  <si>
    <t>Conversions divided by clicks</t>
  </si>
  <si>
    <t>Cost divided by Conversions</t>
  </si>
  <si>
    <t>LI Clicks</t>
  </si>
  <si>
    <t>LI Cost</t>
  </si>
  <si>
    <t>LI Cost Per Click</t>
  </si>
  <si>
    <t>LI Click-Through-Rate</t>
  </si>
  <si>
    <t>LI Registrations</t>
  </si>
  <si>
    <t>LI Conversion Rate</t>
  </si>
  <si>
    <t>LI Cost Per Acquisition</t>
  </si>
  <si>
    <t>FB Clicks</t>
  </si>
  <si>
    <t>FB Cost</t>
  </si>
  <si>
    <t>FB Cost Per Click</t>
  </si>
  <si>
    <t>FB Click-Through-Rate</t>
  </si>
  <si>
    <t>FB Registrations</t>
  </si>
  <si>
    <t>FB Conversion Rate</t>
  </si>
  <si>
    <t>FB Cost Per Acquisition</t>
  </si>
  <si>
    <t>GS Impressions</t>
  </si>
  <si>
    <t>GS Clicks</t>
  </si>
  <si>
    <t>GS Cost</t>
  </si>
  <si>
    <t>GS Cost Per Click</t>
  </si>
  <si>
    <t>GS Click-Through-Rate</t>
  </si>
  <si>
    <t>GS Registrations</t>
  </si>
  <si>
    <t>GS Conversion Rate</t>
  </si>
  <si>
    <t>GS Cost Per Acquisition</t>
  </si>
  <si>
    <t>GD Impressions</t>
  </si>
  <si>
    <t>GD Clicks</t>
  </si>
  <si>
    <t>GD Cost</t>
  </si>
  <si>
    <t>GD Cost Per Click</t>
  </si>
  <si>
    <t>GD Click-Through-Rate</t>
  </si>
  <si>
    <t>GD Registrations</t>
  </si>
  <si>
    <t>GD Conversion Rate</t>
  </si>
  <si>
    <t>GD Cost Per Acquisition</t>
  </si>
  <si>
    <t>Total Cost</t>
  </si>
  <si>
    <t>Avg Cost Per Click</t>
  </si>
  <si>
    <t>Avg Click-Through-Rate</t>
  </si>
  <si>
    <t>Registrations</t>
  </si>
  <si>
    <t>Cost Per Acquisition</t>
  </si>
  <si>
    <t>6681`</t>
  </si>
  <si>
    <t>1,11%</t>
  </si>
  <si>
    <t>Paid Advertising Revenue</t>
  </si>
  <si>
    <t>Ad Spend</t>
  </si>
  <si>
    <t>Spend</t>
  </si>
  <si>
    <t>Budget Left</t>
  </si>
  <si>
    <t>Budget</t>
  </si>
  <si>
    <t>Search</t>
  </si>
  <si>
    <t>Excludes cancelled, duplicate, main contact, problem resolution, post cancellation, training, cancelled exhibitor, unapproved press, denied press, problem payment, membership problem, denied student, group key, pending student, staff, vendor</t>
  </si>
  <si>
    <t>Includes exhibitor, patient, non-member, member doctoral, member non-doctoral, member trainee, medical student, member senior emeritus, speaker in-person, VIP</t>
  </si>
  <si>
    <t>PAID</t>
  </si>
  <si>
    <t>Includes non-member, member doctoral, member non-doctoral, member trainee, patient</t>
  </si>
  <si>
    <t>American Transplant Congress</t>
  </si>
  <si>
    <t>REGISTRATIONS</t>
  </si>
  <si>
    <t>WEEKLY ATTENDEES</t>
  </si>
  <si>
    <t>2026 EARLY BIRD ENDS</t>
  </si>
  <si>
    <t>2024 early bird</t>
  </si>
  <si>
    <t>ADVANCE ENDS</t>
  </si>
  <si>
    <t>ATC is</t>
  </si>
  <si>
    <t>Weekly Total Attendees</t>
  </si>
  <si>
    <t>2024 DATES -&gt;&gt;&gt;</t>
  </si>
  <si>
    <t>12/25-12/31</t>
  </si>
  <si>
    <t>1/1-1/7</t>
  </si>
  <si>
    <t>1/8-1/14</t>
  </si>
  <si>
    <t>1/15-1/21</t>
  </si>
  <si>
    <t>1/22-1/28</t>
  </si>
  <si>
    <t>1/29-2/4</t>
  </si>
  <si>
    <t>2/5-2/11</t>
  </si>
  <si>
    <t>2/12-2/18</t>
  </si>
  <si>
    <t>2/19-2/25</t>
  </si>
  <si>
    <t>2/26-3/3</t>
  </si>
  <si>
    <t>3/4 - 3/10</t>
  </si>
  <si>
    <t>3/11-3/17</t>
  </si>
  <si>
    <t>3/18-3/24</t>
  </si>
  <si>
    <t>3/25-3/31</t>
  </si>
  <si>
    <t>4/1-4/7</t>
  </si>
  <si>
    <t>4/8-4/14</t>
  </si>
  <si>
    <t>4/15-4/21</t>
  </si>
  <si>
    <t>4/22-4/28</t>
  </si>
  <si>
    <t>4/29-5/5</t>
  </si>
  <si>
    <t>5/6-5/12</t>
  </si>
  <si>
    <t>5/13-5/19</t>
  </si>
  <si>
    <t>5/20-5/26</t>
  </si>
  <si>
    <t>5/27-6/2</t>
  </si>
  <si>
    <t>6/3-6/9</t>
  </si>
  <si>
    <t>2026 DATES -&gt;&gt;&gt;</t>
  </si>
  <si>
    <t>1/5 - 1/11</t>
  </si>
  <si>
    <t>1/12 - 1/18</t>
  </si>
  <si>
    <t>1/19 - 1/25</t>
  </si>
  <si>
    <t>1/26 - 2/1</t>
  </si>
  <si>
    <t>2/2 - 2/8</t>
  </si>
  <si>
    <t>2/9 - 2/15</t>
  </si>
  <si>
    <t>2/16 - 2/22</t>
  </si>
  <si>
    <t>2/23 - 3/1</t>
  </si>
  <si>
    <t>3/2 - 3/8</t>
  </si>
  <si>
    <t>3/9 - 3/15</t>
  </si>
  <si>
    <t>3/16 - 3/22</t>
  </si>
  <si>
    <t>3/23 - 3/29</t>
  </si>
  <si>
    <t>3/30 - 4/5</t>
  </si>
  <si>
    <t>4/6 - 4/12</t>
  </si>
  <si>
    <t>4/13 - 4/19</t>
  </si>
  <si>
    <t>4/20 - 4/26</t>
  </si>
  <si>
    <t>4/27 - 4/3</t>
  </si>
  <si>
    <t>5/4 - 5/10</t>
  </si>
  <si>
    <t>5/11 - 5/17</t>
  </si>
  <si>
    <t>5/18 - 5/24</t>
  </si>
  <si>
    <t>5/25 - 5/31</t>
  </si>
  <si>
    <t>6/1 - 6/7</t>
  </si>
  <si>
    <t>6/8 - 6/14</t>
  </si>
  <si>
    <t>6/15 - 6/21</t>
  </si>
  <si>
    <t>6/22 - 6/28</t>
  </si>
  <si>
    <t>Post-event registrations</t>
  </si>
  <si>
    <t>Weeks Out</t>
  </si>
  <si>
    <t>Weekly Paid Attendees</t>
  </si>
  <si>
    <t>2026 REG TEAM NUMBERS</t>
  </si>
  <si>
    <t>Weekly Comp Attendees</t>
  </si>
  <si>
    <t>CUMULATIVE ATTENDEES</t>
  </si>
  <si>
    <t>Cumulative Total Attendees</t>
  </si>
  <si>
    <t>Cumulative Comp Attendees</t>
  </si>
  <si>
    <t>Cumulative Paid Attendees</t>
  </si>
  <si>
    <t>PROJECTED PAID 2026</t>
  </si>
  <si>
    <t>2026 Objectives</t>
  </si>
  <si>
    <t>Cumulative Attendees</t>
  </si>
  <si>
    <t>Actual</t>
  </si>
  <si>
    <t>% to Goal</t>
  </si>
  <si>
    <t>Comp Attendees</t>
  </si>
  <si>
    <t>TRAFFIC ACQUISITION</t>
  </si>
  <si>
    <t>EARLY BIRD ENDS</t>
  </si>
  <si>
    <t>Advance Ends</t>
  </si>
  <si>
    <t>Weekly Total Attendees (2026)</t>
  </si>
  <si>
    <t>4/27 - 5/3</t>
  </si>
  <si>
    <t>Total Registrations</t>
  </si>
  <si>
    <t xml:space="preserve">Paid Social </t>
  </si>
  <si>
    <t>Cross-network</t>
  </si>
  <si>
    <t>Total Registrations to Date by Source</t>
  </si>
  <si>
    <t>Source</t>
  </si>
  <si>
    <t>Cross Network</t>
  </si>
  <si>
    <t>Email #3b</t>
  </si>
  <si>
    <t>Email #4b</t>
  </si>
  <si>
    <t>Late-Breaking Submissions</t>
  </si>
  <si>
    <t>Year</t>
  </si>
  <si>
    <t>Submissions</t>
  </si>
  <si>
    <t>Members</t>
  </si>
  <si>
    <t>Nonmembers</t>
  </si>
  <si>
    <t>Student/trainee/emeritus/patient</t>
  </si>
  <si>
    <t>Exhibitor</t>
  </si>
  <si>
    <t>Discounts</t>
  </si>
  <si>
    <t>USA: 100% 
Canada: 50%
Other Intl: 50%</t>
  </si>
  <si>
    <t>Total Paid Attendees</t>
  </si>
  <si>
    <t>US - Projected</t>
  </si>
  <si>
    <t>US - Actual</t>
  </si>
  <si>
    <t>Canada - Projected</t>
  </si>
  <si>
    <t>Canada - Actual</t>
  </si>
  <si>
    <t>Other - Projected</t>
  </si>
  <si>
    <t>Other - Actual</t>
  </si>
  <si>
    <t>Projected Paid Attendees</t>
  </si>
  <si>
    <t>Actual Paid Attendees</t>
  </si>
  <si>
    <t>MODEL REVENUE</t>
  </si>
  <si>
    <t>Actual Revenue</t>
  </si>
  <si>
    <t>New Projection as of 3.9</t>
  </si>
  <si>
    <t>New Projection as of 5/12</t>
  </si>
  <si>
    <t>Member Doctoral</t>
  </si>
  <si>
    <t>Member Doctoral Early</t>
  </si>
  <si>
    <t>Member Doctoral Advance</t>
  </si>
  <si>
    <t>Member Doctoral Regular</t>
  </si>
  <si>
    <t>Member Doctoral On-Site</t>
  </si>
  <si>
    <t>Member Non-Medical Doctoral</t>
  </si>
  <si>
    <t>Member Non-Medical Doctoral Early</t>
  </si>
  <si>
    <t>Member Non-Medical Doctoral Advance</t>
  </si>
  <si>
    <t>Member Non-Medical Doctoral Regular</t>
  </si>
  <si>
    <t>Member Non-Medical Doctoral On-Site</t>
  </si>
  <si>
    <t>Member Non-Doctoral</t>
  </si>
  <si>
    <t>Member Non-Doctoral Early</t>
  </si>
  <si>
    <t>Member Non-Doctoral Advance</t>
  </si>
  <si>
    <t>Member Non-Doctoral Regular</t>
  </si>
  <si>
    <t>Member Non-Doctoral On-Site</t>
  </si>
  <si>
    <t>Member Trainee</t>
  </si>
  <si>
    <t>Member Trainee Early</t>
  </si>
  <si>
    <t>Member Trainee Advance</t>
  </si>
  <si>
    <t>Member Trainee Regular</t>
  </si>
  <si>
    <t>Member Trainee On-Site</t>
  </si>
  <si>
    <t>Non-Member</t>
  </si>
  <si>
    <t>Non-Member (+ industry partner/transplant community new category)</t>
  </si>
  <si>
    <t>Non-Member Early</t>
  </si>
  <si>
    <t>Non-Member Advance</t>
  </si>
  <si>
    <t>Non-Member Regular</t>
  </si>
  <si>
    <t>Non-Member On-Site</t>
  </si>
  <si>
    <t>Other</t>
  </si>
  <si>
    <t>Patient</t>
  </si>
  <si>
    <t>Additional Exhibitor Badge</t>
  </si>
  <si>
    <t>Member Affiliate</t>
  </si>
  <si>
    <t>Member Senior Emeritus</t>
  </si>
  <si>
    <t>Member Medical Student</t>
  </si>
  <si>
    <t>Paid Meeting Registration</t>
  </si>
  <si>
    <t>DISCOUNTS</t>
  </si>
  <si>
    <t>Actuals 5/12</t>
  </si>
  <si>
    <t>Non-Members</t>
  </si>
  <si>
    <t>Student/Trainee/Emeritus/Patient</t>
  </si>
  <si>
    <t>Projected Total</t>
  </si>
  <si>
    <t>Projected Paid</t>
  </si>
  <si>
    <t>Projected Comp</t>
  </si>
  <si>
    <t>Pass Types: ATC 2024</t>
  </si>
  <si>
    <t>Pass Type</t>
  </si>
  <si>
    <t>2023 Registrations</t>
  </si>
  <si>
    <t>2024 Registrations</t>
  </si>
  <si>
    <t>Percent</t>
  </si>
  <si>
    <t>Member Non-MD Doctoral</t>
  </si>
  <si>
    <t>Member trainee</t>
  </si>
  <si>
    <t xml:space="preserve">Speaker In-Person </t>
  </si>
  <si>
    <t>Medical Student</t>
  </si>
  <si>
    <t>Media</t>
  </si>
  <si>
    <t>Total</t>
  </si>
  <si>
    <t>Member</t>
  </si>
  <si>
    <t>Press</t>
  </si>
  <si>
    <t>Unknown</t>
  </si>
  <si>
    <t>Dual</t>
  </si>
  <si>
    <t>ATC staff</t>
  </si>
  <si>
    <t>Channel</t>
  </si>
  <si>
    <t>Control (the "A")</t>
  </si>
  <si>
    <t>Test (the "B")</t>
  </si>
  <si>
    <t>Results</t>
  </si>
  <si>
    <t>Conclusions / 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</si>
</sst>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_);\(#,##0\);&quot;–&quot;_)"/>
    <numFmt numFmtId="165" formatCode="m/d/yy;@"/>
    <numFmt numFmtId="166" formatCode="dddd"/>
    <numFmt numFmtId="167" formatCode="[$-409]h:mm\ AM/PM;@"/>
    <numFmt numFmtId="168" formatCode="&quot;$&quot;#,##0.00"/>
    <numFmt numFmtId="169" formatCode="0.0%"/>
    <numFmt numFmtId="170" formatCode="&quot;$&quot;#,##0.00;[Red]&quot;$&quot;#,##0.00"/>
    <numFmt numFmtId="171" formatCode="&quot;$&quot;#,##0"/>
    <numFmt numFmtId="172" formatCode="_([$$-409]* #,##0.00_);_([$$-409]* \(#,##0.00\);_([$$-409]* &quot;-&quot;??_);_(@_)"/>
    <numFmt numFmtId="173" formatCode="0.0"/>
    <numFmt numFmtId="174" formatCode="0.000%"/>
    <numFmt numFmtId="175" formatCode="[$-F800]dddd\,\ mmmm\ dd\,\ yyyy"/>
  </numFmts>
  <fonts count="62">
    <font>
      <sz val="11"/>
      <color theme="1"/>
      <name val="Arial"/>
      <family val="2"/>
    </font>
    <font>
      <u/>
      <sz val="9"/>
      <color theme="10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10"/>
      <color rgb="FFFFFFFF"/>
      <name val="Arial"/>
      <family val="2"/>
    </font>
    <font>
      <sz val="10"/>
      <color rgb="FF33475B"/>
      <name val="Arial"/>
      <family val="2"/>
    </font>
    <font>
      <sz val="9"/>
      <color rgb="FF33475B"/>
      <name val="Arial"/>
      <family val="2"/>
    </font>
    <font>
      <sz val="10"/>
      <name val="Arial"/>
      <family val="2"/>
    </font>
    <font>
      <b/>
      <sz val="24"/>
      <color rgb="FF33475B"/>
      <name val="Arial"/>
      <family val="2"/>
    </font>
    <font>
      <sz val="11"/>
      <color rgb="FF33475B"/>
      <name val="Arial"/>
      <family val="2"/>
    </font>
    <font>
      <b/>
      <sz val="11"/>
      <color rgb="FF33475B"/>
      <name val="Arial"/>
      <family val="2"/>
    </font>
    <font>
      <sz val="24"/>
      <color rgb="FF33475B"/>
      <name val="Arial"/>
      <family val="2"/>
    </font>
    <font>
      <b/>
      <sz val="10"/>
      <color rgb="FF33475B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0"/>
      <name val="Arial"/>
      <family val="2"/>
    </font>
    <font>
      <b/>
      <sz val="36"/>
      <color theme="0"/>
      <name val="Arial"/>
      <family val="2"/>
    </font>
    <font>
      <b/>
      <u/>
      <sz val="36"/>
      <color theme="0"/>
      <name val="Arial"/>
      <family val="2"/>
    </font>
    <font>
      <b/>
      <sz val="16"/>
      <color rgb="FFFFFFFF"/>
      <name val="Arial"/>
      <family val="2"/>
    </font>
    <font>
      <sz val="16"/>
      <name val="Arial"/>
      <family val="2"/>
    </font>
    <font>
      <b/>
      <sz val="12"/>
      <color rgb="FFFFFFFF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z val="16"/>
      <color rgb="FFFFFFFF"/>
      <name val="Arial"/>
      <family val="2"/>
    </font>
    <font>
      <sz val="16"/>
      <color theme="1"/>
      <name val="Arial"/>
      <family val="2"/>
    </font>
    <font>
      <b/>
      <sz val="16"/>
      <color rgb="FF33475B"/>
      <name val="Arial"/>
      <family val="2"/>
    </font>
    <font>
      <b/>
      <i/>
      <sz val="16"/>
      <color rgb="FF33475B"/>
      <name val="Arial"/>
      <family val="2"/>
    </font>
    <font>
      <i/>
      <sz val="16"/>
      <color rgb="FF33475B"/>
      <name val="Arial"/>
      <family val="2"/>
    </font>
    <font>
      <sz val="16"/>
      <color rgb="FF33475B"/>
      <name val="Arial"/>
      <family val="2"/>
    </font>
    <font>
      <b/>
      <sz val="16"/>
      <color theme="0"/>
      <name val="Arial"/>
      <family val="2"/>
    </font>
    <font>
      <b/>
      <sz val="48"/>
      <color rgb="FF33475B"/>
      <name val="Arial"/>
      <family val="2"/>
    </font>
    <font>
      <sz val="48"/>
      <color theme="1"/>
      <name val="Arial"/>
      <family val="2"/>
    </font>
    <font>
      <b/>
      <sz val="48"/>
      <color theme="0"/>
      <name val="Arial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b/>
      <sz val="28"/>
      <color rgb="FF33475B"/>
      <name val="Arial"/>
      <family val="2"/>
    </font>
    <font>
      <b/>
      <sz val="26"/>
      <color rgb="FF33475B"/>
      <name val="Arial"/>
      <family val="2"/>
    </font>
    <font>
      <b/>
      <sz val="48"/>
      <color theme="1"/>
      <name val="Arial"/>
      <family val="2"/>
    </font>
    <font>
      <b/>
      <sz val="22"/>
      <color theme="1"/>
      <name val="Arial"/>
      <family val="2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b/>
      <sz val="16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color theme="1"/>
      <name val="Arial"/>
      <family val="2"/>
    </font>
    <font>
      <b/>
      <u/>
      <sz val="18"/>
      <color theme="1" tint="4.9989318521683403E-2"/>
      <name val="Arial"/>
      <family val="2"/>
    </font>
    <font>
      <sz val="11"/>
      <color theme="1" tint="4.9989318521683403E-2"/>
      <name val="Arial"/>
      <family val="2"/>
    </font>
    <font>
      <b/>
      <i/>
      <sz val="16"/>
      <color theme="0"/>
      <name val="Arial"/>
      <family val="2"/>
    </font>
    <font>
      <b/>
      <u/>
      <sz val="18"/>
      <color theme="0"/>
      <name val="Arial"/>
      <family val="2"/>
    </font>
    <font>
      <sz val="8"/>
      <name val="Arial"/>
      <family val="2"/>
    </font>
    <font>
      <b/>
      <sz val="20"/>
      <color theme="0"/>
      <name val="Arial"/>
      <family val="2"/>
    </font>
    <font>
      <b/>
      <i/>
      <sz val="16"/>
      <color theme="1"/>
      <name val="Arial"/>
      <family val="2"/>
    </font>
    <font>
      <sz val="11"/>
      <color rgb="FF333333"/>
      <name val="CTSans"/>
      <charset val="1"/>
    </font>
    <font>
      <b/>
      <sz val="14"/>
      <color rgb="FFFFFFFF"/>
      <name val="Arial"/>
      <family val="2"/>
    </font>
    <font>
      <u/>
      <sz val="11"/>
      <color theme="10"/>
      <name val="Arial"/>
      <family val="2"/>
    </font>
    <font>
      <sz val="11"/>
      <color rgb="FFFF0000"/>
      <name val="Arial"/>
      <family val="2"/>
    </font>
    <font>
      <sz val="11"/>
      <color rgb="FF000000"/>
      <name val="-webkit-standard"/>
    </font>
    <font>
      <b/>
      <sz val="18"/>
      <color theme="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33475B"/>
        <bgColor rgb="FF33475B"/>
      </patternFill>
    </fill>
    <fill>
      <patternFill patternType="solid">
        <fgColor rgb="FFEAF0F6"/>
        <bgColor rgb="FFEAF0F6"/>
      </patternFill>
    </fill>
    <fill>
      <patternFill patternType="solid">
        <fgColor rgb="FFF2F2F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7E8FF"/>
        <bgColor indexed="64"/>
      </patternFill>
    </fill>
    <fill>
      <patternFill patternType="solid">
        <fgColor rgb="FF33475B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3475B"/>
        <bgColor rgb="FF000000"/>
      </patternFill>
    </fill>
    <fill>
      <patternFill patternType="solid">
        <fgColor rgb="FFEAF0F6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6FF9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E4F"/>
        <bgColor indexed="64"/>
      </patternFill>
    </fill>
    <fill>
      <patternFill patternType="solid">
        <fgColor theme="9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3204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8999908444471571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3475B"/>
      </left>
      <right/>
      <top style="thin">
        <color rgb="FF33475B"/>
      </top>
      <bottom/>
      <diagonal/>
    </border>
    <border>
      <left/>
      <right/>
      <top style="thin">
        <color rgb="FF33475B"/>
      </top>
      <bottom/>
      <diagonal/>
    </border>
    <border>
      <left/>
      <right style="thin">
        <color rgb="FF33475B"/>
      </right>
      <top style="thin">
        <color rgb="FF33475B"/>
      </top>
      <bottom/>
      <diagonal/>
    </border>
    <border>
      <left style="thin">
        <color rgb="FF33475B"/>
      </left>
      <right style="thin">
        <color rgb="FF33475B"/>
      </right>
      <top style="thin">
        <color rgb="FF33475B"/>
      </top>
      <bottom style="thin">
        <color rgb="FF33475B"/>
      </bottom>
      <diagonal/>
    </border>
    <border>
      <left/>
      <right/>
      <top/>
      <bottom style="thin">
        <color rgb="FF33475B"/>
      </bottom>
      <diagonal/>
    </border>
    <border>
      <left/>
      <right/>
      <top/>
      <bottom style="thin">
        <color indexed="64"/>
      </bottom>
      <diagonal/>
    </border>
    <border>
      <left style="thin">
        <color rgb="FF33475B"/>
      </left>
      <right style="thin">
        <color rgb="FF33475B"/>
      </right>
      <top style="thin">
        <color rgb="FF33475B"/>
      </top>
      <bottom/>
      <diagonal/>
    </border>
    <border>
      <left style="thin">
        <color rgb="FF33475B"/>
      </left>
      <right style="thin">
        <color rgb="FF33475B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33475B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33475B"/>
      </bottom>
      <diagonal/>
    </border>
    <border>
      <left/>
      <right/>
      <top style="medium">
        <color indexed="64"/>
      </top>
      <bottom style="thin">
        <color rgb="FF33475B"/>
      </bottom>
      <diagonal/>
    </border>
    <border>
      <left/>
      <right style="medium">
        <color indexed="64"/>
      </right>
      <top style="medium">
        <color indexed="64"/>
      </top>
      <bottom style="thin">
        <color rgb="FF33475B"/>
      </bottom>
      <diagonal/>
    </border>
    <border>
      <left style="medium">
        <color indexed="64"/>
      </left>
      <right style="thin">
        <color rgb="FF33475B"/>
      </right>
      <top style="thin">
        <color rgb="FF33475B"/>
      </top>
      <bottom style="thin">
        <color rgb="FF33475B"/>
      </bottom>
      <diagonal/>
    </border>
    <border>
      <left style="thin">
        <color rgb="FF33475B"/>
      </left>
      <right style="medium">
        <color indexed="64"/>
      </right>
      <top style="thin">
        <color rgb="FF33475B"/>
      </top>
      <bottom style="thin">
        <color rgb="FF33475B"/>
      </bottom>
      <diagonal/>
    </border>
    <border>
      <left style="medium">
        <color indexed="64"/>
      </left>
      <right style="thin">
        <color rgb="FF33475B"/>
      </right>
      <top style="thin">
        <color rgb="FF33475B"/>
      </top>
      <bottom style="medium">
        <color indexed="64"/>
      </bottom>
      <diagonal/>
    </border>
    <border>
      <left style="thin">
        <color rgb="FF33475B"/>
      </left>
      <right style="thin">
        <color rgb="FF33475B"/>
      </right>
      <top style="thin">
        <color rgb="FF33475B"/>
      </top>
      <bottom style="medium">
        <color indexed="64"/>
      </bottom>
      <diagonal/>
    </border>
    <border>
      <left style="thin">
        <color rgb="FF33475B"/>
      </left>
      <right style="medium">
        <color indexed="64"/>
      </right>
      <top style="thin">
        <color rgb="FF33475B"/>
      </top>
      <bottom style="medium">
        <color indexed="64"/>
      </bottom>
      <diagonal/>
    </border>
    <border>
      <left style="medium">
        <color indexed="64"/>
      </left>
      <right style="thin">
        <color rgb="FF33475B"/>
      </right>
      <top/>
      <bottom/>
      <diagonal/>
    </border>
    <border>
      <left style="thin">
        <color rgb="FF33475B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33475B"/>
      </right>
      <top style="thin">
        <color rgb="FF33475B"/>
      </top>
      <bottom/>
      <diagonal/>
    </border>
    <border>
      <left style="thin">
        <color rgb="FF33475B"/>
      </left>
      <right style="medium">
        <color indexed="64"/>
      </right>
      <top style="thin">
        <color rgb="FF33475B"/>
      </top>
      <bottom/>
      <diagonal/>
    </border>
    <border>
      <left style="medium">
        <color indexed="64"/>
      </left>
      <right/>
      <top/>
      <bottom style="thin">
        <color rgb="FF33475B"/>
      </bottom>
      <diagonal/>
    </border>
    <border>
      <left/>
      <right style="medium">
        <color indexed="64"/>
      </right>
      <top/>
      <bottom style="thin">
        <color rgb="FF33475B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3475B"/>
      </left>
      <right/>
      <top style="thin">
        <color rgb="FF33475B"/>
      </top>
      <bottom style="thin">
        <color rgb="FF33475B"/>
      </bottom>
      <diagonal/>
    </border>
    <border>
      <left/>
      <right style="thin">
        <color rgb="FF33475B"/>
      </right>
      <top style="thin">
        <color rgb="FF33475B"/>
      </top>
      <bottom style="thin">
        <color rgb="FF33475B"/>
      </bottom>
      <diagonal/>
    </border>
    <border>
      <left/>
      <right/>
      <top style="thin">
        <color rgb="FF33475B"/>
      </top>
      <bottom style="thin">
        <color rgb="FF33475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33475B"/>
      </top>
      <bottom style="thin">
        <color rgb="FF33475B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33475B"/>
      </right>
      <top style="thin">
        <color rgb="FF33475B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33475B"/>
      </bottom>
      <diagonal/>
    </border>
    <border>
      <left style="thin">
        <color rgb="FF000000"/>
      </left>
      <right/>
      <top style="medium">
        <color indexed="64"/>
      </top>
      <bottom style="thin">
        <color rgb="FF33475B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33475B"/>
      </bottom>
      <diagonal/>
    </border>
    <border>
      <left style="thin">
        <color rgb="FF33475B"/>
      </left>
      <right style="thin">
        <color rgb="FF000000"/>
      </right>
      <top style="thin">
        <color rgb="FF33475B"/>
      </top>
      <bottom style="thin">
        <color rgb="FF33475B"/>
      </bottom>
      <diagonal/>
    </border>
    <border>
      <left style="thin">
        <color rgb="FF33475B"/>
      </left>
      <right style="thin">
        <color rgb="FF000000"/>
      </right>
      <top style="thin">
        <color rgb="FF33475B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8" fillId="0" borderId="0" applyNumberFormat="0" applyFill="0" applyBorder="0" applyAlignment="0" applyProtection="0"/>
  </cellStyleXfs>
  <cellXfs count="683">
    <xf numFmtId="0" fontId="0" fillId="0" borderId="0" xfId="0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14" fontId="15" fillId="4" borderId="1" xfId="0" applyNumberFormat="1" applyFont="1" applyFill="1" applyBorder="1" applyAlignment="1">
      <alignment horizontal="center"/>
    </xf>
    <xf numFmtId="165" fontId="15" fillId="4" borderId="1" xfId="0" applyNumberFormat="1" applyFont="1" applyFill="1" applyBorder="1" applyAlignment="1">
      <alignment horizontal="center"/>
    </xf>
    <xf numFmtId="0" fontId="16" fillId="0" borderId="1" xfId="0" applyFont="1" applyBorder="1" applyAlignment="1">
      <alignment horizontal="right"/>
    </xf>
    <xf numFmtId="2" fontId="19" fillId="7" borderId="8" xfId="3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wrapText="1"/>
    </xf>
    <xf numFmtId="0" fontId="3" fillId="0" borderId="0" xfId="0" applyFont="1" applyAlignment="1">
      <alignment horizontal="center" vertical="center"/>
    </xf>
    <xf numFmtId="2" fontId="3" fillId="0" borderId="0" xfId="3" applyNumberFormat="1" applyFont="1"/>
    <xf numFmtId="44" fontId="3" fillId="0" borderId="0" xfId="3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24" fillId="2" borderId="2" xfId="0" applyFont="1" applyFill="1" applyBorder="1" applyAlignment="1">
      <alignment vertical="center" wrapText="1"/>
    </xf>
    <xf numFmtId="0" fontId="24" fillId="2" borderId="2" xfId="0" applyFont="1" applyFill="1" applyBorder="1" applyAlignment="1">
      <alignment vertical="center"/>
    </xf>
    <xf numFmtId="0" fontId="12" fillId="6" borderId="5" xfId="0" applyFont="1" applyFill="1" applyBorder="1" applyAlignment="1">
      <alignment vertical="center" wrapText="1"/>
    </xf>
    <xf numFmtId="0" fontId="12" fillId="6" borderId="5" xfId="0" applyFont="1" applyFill="1" applyBorder="1" applyAlignment="1">
      <alignment horizontal="center" vertical="center" wrapText="1"/>
    </xf>
    <xf numFmtId="167" fontId="11" fillId="0" borderId="5" xfId="0" applyNumberFormat="1" applyFont="1" applyBorder="1" applyAlignment="1">
      <alignment horizontal="center" vertical="center" wrapText="1"/>
    </xf>
    <xf numFmtId="0" fontId="25" fillId="0" borderId="0" xfId="0" applyFont="1"/>
    <xf numFmtId="0" fontId="4" fillId="0" borderId="0" xfId="0" applyFont="1"/>
    <xf numFmtId="14" fontId="19" fillId="7" borderId="6" xfId="0" applyNumberFormat="1" applyFont="1" applyFill="1" applyBorder="1" applyAlignment="1">
      <alignment horizontal="center" vertical="center"/>
    </xf>
    <xf numFmtId="165" fontId="26" fillId="7" borderId="0" xfId="0" applyNumberFormat="1" applyFont="1" applyFill="1" applyAlignment="1">
      <alignment horizontal="center"/>
    </xf>
    <xf numFmtId="1" fontId="11" fillId="0" borderId="5" xfId="3" applyNumberFormat="1" applyFont="1" applyFill="1" applyBorder="1" applyAlignment="1">
      <alignment horizontal="center" vertical="center"/>
    </xf>
    <xf numFmtId="9" fontId="11" fillId="3" borderId="5" xfId="2" applyFont="1" applyFill="1" applyBorder="1" applyAlignment="1">
      <alignment horizontal="center" vertical="center"/>
    </xf>
    <xf numFmtId="1" fontId="11" fillId="3" borderId="5" xfId="3" applyNumberFormat="1" applyFont="1" applyFill="1" applyBorder="1" applyAlignment="1">
      <alignment horizontal="center" vertical="center"/>
    </xf>
    <xf numFmtId="2" fontId="19" fillId="7" borderId="5" xfId="3" applyNumberFormat="1" applyFont="1" applyFill="1" applyBorder="1" applyAlignment="1">
      <alignment horizontal="center" vertical="center" wrapText="1"/>
    </xf>
    <xf numFmtId="2" fontId="19" fillId="7" borderId="5" xfId="3" applyNumberFormat="1" applyFont="1" applyFill="1" applyBorder="1" applyAlignment="1">
      <alignment horizontal="center" vertical="center"/>
    </xf>
    <xf numFmtId="44" fontId="19" fillId="7" borderId="5" xfId="3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8" fillId="9" borderId="0" xfId="0" applyFont="1" applyFill="1" applyAlignment="1">
      <alignment vertical="center"/>
    </xf>
    <xf numFmtId="2" fontId="19" fillId="7" borderId="9" xfId="3" applyNumberFormat="1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vertical="center"/>
    </xf>
    <xf numFmtId="10" fontId="12" fillId="3" borderId="5" xfId="2" applyNumberFormat="1" applyFont="1" applyFill="1" applyBorder="1" applyAlignment="1">
      <alignment horizontal="center" vertical="center" wrapText="1"/>
    </xf>
    <xf numFmtId="2" fontId="7" fillId="11" borderId="5" xfId="3" applyNumberFormat="1" applyFont="1" applyFill="1" applyBorder="1" applyAlignment="1">
      <alignment horizontal="left" vertical="top" wrapText="1"/>
    </xf>
    <xf numFmtId="44" fontId="7" fillId="11" borderId="5" xfId="3" applyFont="1" applyFill="1" applyBorder="1" applyAlignment="1">
      <alignment horizontal="left" vertical="top" wrapText="1"/>
    </xf>
    <xf numFmtId="14" fontId="14" fillId="11" borderId="0" xfId="0" applyNumberFormat="1" applyFont="1" applyFill="1" applyAlignment="1">
      <alignment horizontal="center" vertical="center" wrapText="1"/>
    </xf>
    <xf numFmtId="14" fontId="33" fillId="6" borderId="0" xfId="0" applyNumberFormat="1" applyFont="1" applyFill="1" applyAlignment="1">
      <alignment horizontal="left" vertical="center"/>
    </xf>
    <xf numFmtId="0" fontId="5" fillId="12" borderId="1" xfId="0" applyFont="1" applyFill="1" applyBorder="1" applyAlignment="1">
      <alignment horizontal="right"/>
    </xf>
    <xf numFmtId="0" fontId="5" fillId="12" borderId="1" xfId="0" applyFont="1" applyFill="1" applyBorder="1" applyAlignment="1">
      <alignment horizontal="center"/>
    </xf>
    <xf numFmtId="0" fontId="3" fillId="9" borderId="0" xfId="0" applyFont="1" applyFill="1"/>
    <xf numFmtId="0" fontId="12" fillId="0" borderId="0" xfId="0" applyFont="1" applyAlignment="1">
      <alignment horizontal="center" vertical="center" wrapText="1"/>
    </xf>
    <xf numFmtId="0" fontId="12" fillId="6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right"/>
    </xf>
    <xf numFmtId="165" fontId="15" fillId="0" borderId="1" xfId="0" applyNumberFormat="1" applyFont="1" applyBorder="1" applyAlignment="1">
      <alignment horizontal="center"/>
    </xf>
    <xf numFmtId="0" fontId="3" fillId="5" borderId="14" xfId="0" applyFont="1" applyFill="1" applyBorder="1" applyAlignment="1">
      <alignment horizontal="center" vertical="center"/>
    </xf>
    <xf numFmtId="9" fontId="0" fillId="10" borderId="1" xfId="2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26" fillId="16" borderId="15" xfId="0" applyFont="1" applyFill="1" applyBorder="1" applyAlignment="1">
      <alignment horizontal="center"/>
    </xf>
    <xf numFmtId="0" fontId="26" fillId="16" borderId="0" xfId="0" applyFont="1" applyFill="1" applyAlignment="1">
      <alignment horizontal="center"/>
    </xf>
    <xf numFmtId="1" fontId="3" fillId="10" borderId="1" xfId="0" applyNumberFormat="1" applyFont="1" applyFill="1" applyBorder="1" applyAlignment="1">
      <alignment horizontal="center"/>
    </xf>
    <xf numFmtId="0" fontId="28" fillId="9" borderId="11" xfId="0" applyFont="1" applyFill="1" applyBorder="1" applyAlignment="1">
      <alignment vertical="center"/>
    </xf>
    <xf numFmtId="0" fontId="28" fillId="9" borderId="12" xfId="0" applyFont="1" applyFill="1" applyBorder="1" applyAlignment="1">
      <alignment vertical="center"/>
    </xf>
    <xf numFmtId="0" fontId="27" fillId="2" borderId="11" xfId="0" applyFont="1" applyFill="1" applyBorder="1" applyAlignment="1">
      <alignment horizontal="center" vertical="center" wrapText="1"/>
    </xf>
    <xf numFmtId="0" fontId="27" fillId="2" borderId="16" xfId="0" applyFont="1" applyFill="1" applyBorder="1" applyAlignment="1">
      <alignment horizontal="center" vertical="center" wrapText="1"/>
    </xf>
    <xf numFmtId="2" fontId="30" fillId="6" borderId="17" xfId="3" applyNumberFormat="1" applyFont="1" applyFill="1" applyBorder="1" applyAlignment="1">
      <alignment vertical="center"/>
    </xf>
    <xf numFmtId="2" fontId="30" fillId="6" borderId="18" xfId="3" applyNumberFormat="1" applyFont="1" applyFill="1" applyBorder="1" applyAlignment="1">
      <alignment vertical="center"/>
    </xf>
    <xf numFmtId="44" fontId="31" fillId="6" borderId="18" xfId="3" applyFont="1" applyFill="1" applyBorder="1" applyAlignment="1">
      <alignment vertical="center"/>
    </xf>
    <xf numFmtId="44" fontId="31" fillId="6" borderId="19" xfId="3" applyFont="1" applyFill="1" applyBorder="1" applyAlignment="1">
      <alignment vertical="center"/>
    </xf>
    <xf numFmtId="2" fontId="7" fillId="11" borderId="20" xfId="3" applyNumberFormat="1" applyFont="1" applyFill="1" applyBorder="1" applyAlignment="1">
      <alignment horizontal="left" vertical="top" wrapText="1"/>
    </xf>
    <xf numFmtId="44" fontId="7" fillId="11" borderId="21" xfId="3" applyFont="1" applyFill="1" applyBorder="1" applyAlignment="1">
      <alignment horizontal="left" vertical="top" wrapText="1"/>
    </xf>
    <xf numFmtId="2" fontId="19" fillId="7" borderId="20" xfId="3" applyNumberFormat="1" applyFont="1" applyFill="1" applyBorder="1" applyAlignment="1">
      <alignment horizontal="center" vertical="center" wrapText="1"/>
    </xf>
    <xf numFmtId="44" fontId="19" fillId="7" borderId="21" xfId="3" applyFont="1" applyFill="1" applyBorder="1" applyAlignment="1">
      <alignment horizontal="center" vertical="center"/>
    </xf>
    <xf numFmtId="1" fontId="11" fillId="0" borderId="20" xfId="3" applyNumberFormat="1" applyFont="1" applyFill="1" applyBorder="1" applyAlignment="1">
      <alignment horizontal="center" vertical="center"/>
    </xf>
    <xf numFmtId="1" fontId="11" fillId="0" borderId="21" xfId="3" applyNumberFormat="1" applyFont="1" applyFill="1" applyBorder="1" applyAlignment="1">
      <alignment horizontal="center" vertical="center"/>
    </xf>
    <xf numFmtId="1" fontId="11" fillId="0" borderId="22" xfId="3" applyNumberFormat="1" applyFont="1" applyFill="1" applyBorder="1" applyAlignment="1">
      <alignment horizontal="center" vertical="center"/>
    </xf>
    <xf numFmtId="1" fontId="11" fillId="0" borderId="23" xfId="3" applyNumberFormat="1" applyFont="1" applyFill="1" applyBorder="1" applyAlignment="1">
      <alignment horizontal="center" vertical="center"/>
    </xf>
    <xf numFmtId="1" fontId="11" fillId="0" borderId="24" xfId="3" applyNumberFormat="1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vertical="center" wrapText="1"/>
    </xf>
    <xf numFmtId="2" fontId="19" fillId="7" borderId="20" xfId="3" applyNumberFormat="1" applyFont="1" applyFill="1" applyBorder="1" applyAlignment="1">
      <alignment horizontal="center" vertical="center"/>
    </xf>
    <xf numFmtId="2" fontId="19" fillId="7" borderId="21" xfId="3" applyNumberFormat="1" applyFont="1" applyFill="1" applyBorder="1" applyAlignment="1">
      <alignment horizontal="center" vertical="center"/>
    </xf>
    <xf numFmtId="1" fontId="11" fillId="3" borderId="20" xfId="3" applyNumberFormat="1" applyFont="1" applyFill="1" applyBorder="1" applyAlignment="1">
      <alignment horizontal="center" vertical="center"/>
    </xf>
    <xf numFmtId="1" fontId="11" fillId="3" borderId="21" xfId="3" applyNumberFormat="1" applyFont="1" applyFill="1" applyBorder="1" applyAlignment="1">
      <alignment horizontal="center" vertical="center"/>
    </xf>
    <xf numFmtId="1" fontId="11" fillId="3" borderId="22" xfId="3" applyNumberFormat="1" applyFont="1" applyFill="1" applyBorder="1" applyAlignment="1">
      <alignment horizontal="center" vertical="center"/>
    </xf>
    <xf numFmtId="1" fontId="11" fillId="3" borderId="23" xfId="3" applyNumberFormat="1" applyFont="1" applyFill="1" applyBorder="1" applyAlignment="1">
      <alignment horizontal="center" vertical="center"/>
    </xf>
    <xf numFmtId="1" fontId="11" fillId="3" borderId="24" xfId="3" applyNumberFormat="1" applyFont="1" applyFill="1" applyBorder="1" applyAlignment="1">
      <alignment horizontal="center" vertical="center"/>
    </xf>
    <xf numFmtId="2" fontId="19" fillId="7" borderId="25" xfId="3" applyNumberFormat="1" applyFont="1" applyFill="1" applyBorder="1" applyAlignment="1">
      <alignment horizontal="center" vertical="center"/>
    </xf>
    <xf numFmtId="2" fontId="19" fillId="7" borderId="26" xfId="3" applyNumberFormat="1" applyFont="1" applyFill="1" applyBorder="1" applyAlignment="1">
      <alignment horizontal="center" vertical="center"/>
    </xf>
    <xf numFmtId="2" fontId="19" fillId="7" borderId="32" xfId="3" applyNumberFormat="1" applyFont="1" applyFill="1" applyBorder="1" applyAlignment="1">
      <alignment horizontal="center" vertical="center"/>
    </xf>
    <xf numFmtId="2" fontId="19" fillId="7" borderId="33" xfId="3" applyNumberFormat="1" applyFont="1" applyFill="1" applyBorder="1" applyAlignment="1">
      <alignment horizontal="center" vertical="center"/>
    </xf>
    <xf numFmtId="1" fontId="3" fillId="10" borderId="27" xfId="0" applyNumberFormat="1" applyFont="1" applyFill="1" applyBorder="1" applyAlignment="1">
      <alignment horizontal="center"/>
    </xf>
    <xf numFmtId="1" fontId="3" fillId="10" borderId="28" xfId="0" applyNumberFormat="1" applyFont="1" applyFill="1" applyBorder="1" applyAlignment="1">
      <alignment horizontal="center"/>
    </xf>
    <xf numFmtId="1" fontId="3" fillId="10" borderId="29" xfId="0" applyNumberFormat="1" applyFont="1" applyFill="1" applyBorder="1" applyAlignment="1">
      <alignment horizontal="center"/>
    </xf>
    <xf numFmtId="1" fontId="3" fillId="10" borderId="30" xfId="0" applyNumberFormat="1" applyFont="1" applyFill="1" applyBorder="1" applyAlignment="1">
      <alignment horizontal="center"/>
    </xf>
    <xf numFmtId="2" fontId="30" fillId="8" borderId="38" xfId="3" applyNumberFormat="1" applyFont="1" applyFill="1" applyBorder="1" applyAlignment="1">
      <alignment vertical="center"/>
    </xf>
    <xf numFmtId="14" fontId="32" fillId="8" borderId="39" xfId="0" applyNumberFormat="1" applyFont="1" applyFill="1" applyBorder="1" applyAlignment="1">
      <alignment horizontal="left" vertical="center"/>
    </xf>
    <xf numFmtId="0" fontId="28" fillId="8" borderId="39" xfId="0" applyFont="1" applyFill="1" applyBorder="1" applyAlignment="1">
      <alignment horizontal="center" vertical="center"/>
    </xf>
    <xf numFmtId="0" fontId="28" fillId="8" borderId="39" xfId="0" applyFont="1" applyFill="1" applyBorder="1" applyAlignment="1">
      <alignment vertical="center"/>
    </xf>
    <xf numFmtId="0" fontId="28" fillId="8" borderId="40" xfId="0" applyFont="1" applyFill="1" applyBorder="1" applyAlignment="1">
      <alignment vertical="center"/>
    </xf>
    <xf numFmtId="1" fontId="15" fillId="17" borderId="1" xfId="0" applyNumberFormat="1" applyFont="1" applyFill="1" applyBorder="1"/>
    <xf numFmtId="0" fontId="0" fillId="17" borderId="1" xfId="0" applyFill="1" applyBorder="1" applyAlignment="1">
      <alignment horizontal="center"/>
    </xf>
    <xf numFmtId="166" fontId="11" fillId="0" borderId="5" xfId="0" applyNumberFormat="1" applyFont="1" applyBorder="1" applyAlignment="1">
      <alignment horizontal="center" vertical="center" wrapText="1"/>
    </xf>
    <xf numFmtId="164" fontId="11" fillId="0" borderId="42" xfId="0" applyNumberFormat="1" applyFont="1" applyBorder="1" applyAlignment="1">
      <alignment vertical="center" wrapText="1"/>
    </xf>
    <xf numFmtId="0" fontId="12" fillId="6" borderId="8" xfId="0" applyFont="1" applyFill="1" applyBorder="1" applyAlignment="1">
      <alignment horizontal="center" vertical="center" wrapText="1"/>
    </xf>
    <xf numFmtId="37" fontId="11" fillId="0" borderId="42" xfId="4" applyNumberFormat="1" applyFont="1" applyFill="1" applyBorder="1" applyAlignment="1">
      <alignment horizontal="center" vertical="center" wrapText="1"/>
    </xf>
    <xf numFmtId="9" fontId="12" fillId="3" borderId="42" xfId="2" applyFont="1" applyFill="1" applyBorder="1" applyAlignment="1">
      <alignment horizontal="center" vertical="center" wrapText="1"/>
    </xf>
    <xf numFmtId="9" fontId="12" fillId="10" borderId="43" xfId="2" applyFont="1" applyFill="1" applyBorder="1" applyAlignment="1">
      <alignment horizontal="center" vertical="center" wrapText="1"/>
    </xf>
    <xf numFmtId="9" fontId="11" fillId="0" borderId="5" xfId="2" applyFont="1" applyFill="1" applyBorder="1" applyAlignment="1">
      <alignment horizontal="center" vertical="center" wrapText="1"/>
    </xf>
    <xf numFmtId="0" fontId="11" fillId="0" borderId="41" xfId="0" applyFont="1" applyBorder="1" applyAlignment="1">
      <alignment wrapText="1"/>
    </xf>
    <xf numFmtId="165" fontId="11" fillId="0" borderId="41" xfId="0" applyNumberFormat="1" applyFont="1" applyBorder="1" applyAlignment="1">
      <alignment horizontal="center" vertical="center" wrapText="1"/>
    </xf>
    <xf numFmtId="10" fontId="11" fillId="0" borderId="41" xfId="0" applyNumberFormat="1" applyFont="1" applyBorder="1" applyAlignment="1">
      <alignment horizontal="center" vertical="center" wrapText="1"/>
    </xf>
    <xf numFmtId="0" fontId="7" fillId="11" borderId="0" xfId="0" applyFont="1" applyFill="1" applyAlignment="1">
      <alignment vertical="center"/>
    </xf>
    <xf numFmtId="0" fontId="10" fillId="11" borderId="0" xfId="0" applyFont="1" applyFill="1" applyAlignment="1">
      <alignment vertical="center"/>
    </xf>
    <xf numFmtId="0" fontId="3" fillId="11" borderId="0" xfId="0" applyFont="1" applyFill="1"/>
    <xf numFmtId="0" fontId="34" fillId="11" borderId="7" xfId="0" applyFont="1" applyFill="1" applyBorder="1" applyAlignment="1">
      <alignment vertical="center"/>
    </xf>
    <xf numFmtId="0" fontId="11" fillId="11" borderId="7" xfId="0" applyFont="1" applyFill="1" applyBorder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0" fontId="11" fillId="11" borderId="7" xfId="0" applyFont="1" applyFill="1" applyBorder="1" applyAlignment="1">
      <alignment horizontal="left" vertical="center"/>
    </xf>
    <xf numFmtId="0" fontId="3" fillId="11" borderId="7" xfId="0" applyFont="1" applyFill="1" applyBorder="1"/>
    <xf numFmtId="0" fontId="13" fillId="11" borderId="7" xfId="0" applyFont="1" applyFill="1" applyBorder="1" applyAlignment="1">
      <alignment vertical="center"/>
    </xf>
    <xf numFmtId="0" fontId="13" fillId="11" borderId="7" xfId="0" applyFont="1" applyFill="1" applyBorder="1" applyAlignment="1">
      <alignment horizontal="left" vertical="center"/>
    </xf>
    <xf numFmtId="0" fontId="11" fillId="11" borderId="0" xfId="0" applyFont="1" applyFill="1" applyAlignment="1">
      <alignment horizontal="left" vertical="center"/>
    </xf>
    <xf numFmtId="0" fontId="11" fillId="11" borderId="0" xfId="0" applyFont="1" applyFill="1" applyAlignment="1">
      <alignment vertical="center"/>
    </xf>
    <xf numFmtId="0" fontId="12" fillId="11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left" vertical="center"/>
    </xf>
    <xf numFmtId="0" fontId="13" fillId="11" borderId="0" xfId="0" applyFont="1" applyFill="1" applyAlignment="1">
      <alignment vertical="center"/>
    </xf>
    <xf numFmtId="0" fontId="14" fillId="11" borderId="0" xfId="0" applyFont="1" applyFill="1" applyAlignment="1">
      <alignment horizontal="center" vertical="center"/>
    </xf>
    <xf numFmtId="0" fontId="8" fillId="11" borderId="0" xfId="0" applyFont="1" applyFill="1" applyAlignment="1">
      <alignment vertical="center"/>
    </xf>
    <xf numFmtId="0" fontId="20" fillId="11" borderId="0" xfId="0" applyFont="1" applyFill="1" applyAlignment="1">
      <alignment vertical="center" wrapText="1"/>
    </xf>
    <xf numFmtId="0" fontId="20" fillId="11" borderId="0" xfId="0" applyFont="1" applyFill="1" applyAlignment="1">
      <alignment vertical="center"/>
    </xf>
    <xf numFmtId="0" fontId="21" fillId="11" borderId="0" xfId="0" applyFont="1" applyFill="1" applyAlignment="1">
      <alignment vertical="center"/>
    </xf>
    <xf numFmtId="0" fontId="22" fillId="11" borderId="0" xfId="0" applyFont="1" applyFill="1" applyAlignment="1">
      <alignment vertical="top"/>
    </xf>
    <xf numFmtId="0" fontId="23" fillId="11" borderId="0" xfId="0" applyFont="1" applyFill="1"/>
    <xf numFmtId="0" fontId="6" fillId="11" borderId="0" xfId="0" applyFont="1" applyFill="1" applyAlignment="1">
      <alignment vertical="center"/>
    </xf>
    <xf numFmtId="0" fontId="9" fillId="11" borderId="0" xfId="0" applyFont="1" applyFill="1"/>
    <xf numFmtId="0" fontId="35" fillId="11" borderId="0" xfId="0" applyFont="1" applyFill="1" applyAlignment="1">
      <alignment horizontal="left" vertical="center"/>
    </xf>
    <xf numFmtId="0" fontId="36" fillId="11" borderId="0" xfId="0" applyFont="1" applyFill="1" applyAlignment="1">
      <alignment horizontal="left" vertical="center"/>
    </xf>
    <xf numFmtId="0" fontId="34" fillId="11" borderId="0" xfId="0" applyFont="1" applyFill="1" applyAlignment="1">
      <alignment horizontal="left" vertical="center"/>
    </xf>
    <xf numFmtId="0" fontId="34" fillId="11" borderId="0" xfId="0" applyFont="1" applyFill="1" applyAlignment="1">
      <alignment horizontal="left" vertical="center" wrapText="1"/>
    </xf>
    <xf numFmtId="0" fontId="3" fillId="11" borderId="0" xfId="0" applyFont="1" applyFill="1" applyAlignment="1">
      <alignment horizontal="left"/>
    </xf>
    <xf numFmtId="0" fontId="39" fillId="11" borderId="0" xfId="0" applyFont="1" applyFill="1" applyAlignment="1">
      <alignment horizontal="left" vertical="center" wrapText="1"/>
    </xf>
    <xf numFmtId="0" fontId="10" fillId="11" borderId="0" xfId="0" applyFont="1" applyFill="1" applyAlignment="1">
      <alignment horizontal="left" vertical="center"/>
    </xf>
    <xf numFmtId="0" fontId="7" fillId="11" borderId="0" xfId="0" applyFont="1" applyFill="1" applyAlignment="1">
      <alignment horizontal="left" vertical="center"/>
    </xf>
    <xf numFmtId="0" fontId="38" fillId="11" borderId="0" xfId="0" applyFont="1" applyFill="1" applyAlignment="1">
      <alignment horizontal="left" vertical="center"/>
    </xf>
    <xf numFmtId="0" fontId="37" fillId="11" borderId="0" xfId="0" applyFont="1" applyFill="1" applyAlignment="1">
      <alignment horizontal="left" vertical="center"/>
    </xf>
    <xf numFmtId="0" fontId="41" fillId="11" borderId="0" xfId="0" applyFont="1" applyFill="1" applyAlignment="1">
      <alignment horizontal="left" vertical="center"/>
    </xf>
    <xf numFmtId="0" fontId="40" fillId="17" borderId="0" xfId="0" applyFont="1" applyFill="1" applyAlignment="1">
      <alignment horizontal="center" vertical="center" wrapText="1"/>
    </xf>
    <xf numFmtId="2" fontId="7" fillId="11" borderId="43" xfId="3" applyNumberFormat="1" applyFont="1" applyFill="1" applyBorder="1" applyAlignment="1">
      <alignment horizontal="left" vertical="top" wrapText="1"/>
    </xf>
    <xf numFmtId="2" fontId="19" fillId="7" borderId="43" xfId="3" applyNumberFormat="1" applyFont="1" applyFill="1" applyBorder="1" applyAlignment="1">
      <alignment horizontal="center" vertical="center" wrapText="1"/>
    </xf>
    <xf numFmtId="1" fontId="11" fillId="0" borderId="43" xfId="3" applyNumberFormat="1" applyFont="1" applyFill="1" applyBorder="1" applyAlignment="1">
      <alignment horizontal="center" vertical="center"/>
    </xf>
    <xf numFmtId="2" fontId="19" fillId="7" borderId="44" xfId="3" applyNumberFormat="1" applyFont="1" applyFill="1" applyBorder="1" applyAlignment="1">
      <alignment horizontal="center" vertical="center" wrapText="1"/>
    </xf>
    <xf numFmtId="2" fontId="7" fillId="11" borderId="4" xfId="3" applyNumberFormat="1" applyFont="1" applyFill="1" applyBorder="1" applyAlignment="1">
      <alignment horizontal="left" vertical="top" wrapText="1"/>
    </xf>
    <xf numFmtId="2" fontId="19" fillId="7" borderId="1" xfId="3" applyNumberFormat="1" applyFont="1" applyFill="1" applyBorder="1" applyAlignment="1">
      <alignment horizontal="center" vertical="center" wrapText="1"/>
    </xf>
    <xf numFmtId="0" fontId="43" fillId="15" borderId="13" xfId="0" applyFont="1" applyFill="1" applyBorder="1" applyAlignment="1">
      <alignment horizontal="center" vertical="center" wrapText="1" readingOrder="1"/>
    </xf>
    <xf numFmtId="0" fontId="44" fillId="15" borderId="50" xfId="0" applyFont="1" applyFill="1" applyBorder="1" applyAlignment="1">
      <alignment horizontal="center" vertical="center" wrapText="1" readingOrder="1"/>
    </xf>
    <xf numFmtId="0" fontId="43" fillId="15" borderId="54" xfId="0" applyFont="1" applyFill="1" applyBorder="1" applyAlignment="1">
      <alignment horizontal="center" vertical="center" wrapText="1" readingOrder="1"/>
    </xf>
    <xf numFmtId="0" fontId="48" fillId="8" borderId="0" xfId="0" applyFont="1" applyFill="1" applyAlignment="1">
      <alignment horizontal="left" vertical="center"/>
    </xf>
    <xf numFmtId="0" fontId="7" fillId="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/>
    </xf>
    <xf numFmtId="0" fontId="4" fillId="8" borderId="0" xfId="0" applyFont="1" applyFill="1" applyAlignment="1">
      <alignment horizontal="center"/>
    </xf>
    <xf numFmtId="44" fontId="3" fillId="8" borderId="0" xfId="3" applyFont="1" applyFill="1"/>
    <xf numFmtId="9" fontId="3" fillId="8" borderId="0" xfId="2" applyFont="1" applyFill="1"/>
    <xf numFmtId="1" fontId="3" fillId="8" borderId="0" xfId="3" applyNumberFormat="1" applyFont="1" applyFill="1"/>
    <xf numFmtId="1" fontId="42" fillId="0" borderId="46" xfId="0" applyNumberFormat="1" applyFont="1" applyBorder="1" applyAlignment="1">
      <alignment horizontal="center" vertical="center"/>
    </xf>
    <xf numFmtId="0" fontId="4" fillId="11" borderId="0" xfId="0" applyFont="1" applyFill="1"/>
    <xf numFmtId="0" fontId="49" fillId="0" borderId="45" xfId="0" applyFont="1" applyBorder="1" applyAlignment="1">
      <alignment horizontal="center"/>
    </xf>
    <xf numFmtId="0" fontId="50" fillId="11" borderId="0" xfId="0" applyFont="1" applyFill="1"/>
    <xf numFmtId="169" fontId="42" fillId="0" borderId="46" xfId="2" applyNumberFormat="1" applyFont="1" applyBorder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2" fontId="30" fillId="21" borderId="17" xfId="3" applyNumberFormat="1" applyFont="1" applyFill="1" applyBorder="1" applyAlignment="1">
      <alignment vertical="center"/>
    </xf>
    <xf numFmtId="2" fontId="30" fillId="21" borderId="18" xfId="3" applyNumberFormat="1" applyFont="1" applyFill="1" applyBorder="1" applyAlignment="1">
      <alignment vertical="center"/>
    </xf>
    <xf numFmtId="2" fontId="51" fillId="20" borderId="17" xfId="3" applyNumberFormat="1" applyFont="1" applyFill="1" applyBorder="1" applyAlignment="1">
      <alignment vertical="center"/>
    </xf>
    <xf numFmtId="2" fontId="51" fillId="20" borderId="18" xfId="3" applyNumberFormat="1" applyFont="1" applyFill="1" applyBorder="1" applyAlignment="1">
      <alignment vertical="center"/>
    </xf>
    <xf numFmtId="0" fontId="52" fillId="19" borderId="45" xfId="0" applyFont="1" applyFill="1" applyBorder="1" applyAlignment="1">
      <alignment horizontal="center" vertical="center"/>
    </xf>
    <xf numFmtId="170" fontId="42" fillId="0" borderId="46" xfId="3" applyNumberFormat="1" applyFont="1" applyFill="1" applyBorder="1" applyAlignment="1">
      <alignment horizontal="center" vertical="center"/>
    </xf>
    <xf numFmtId="0" fontId="52" fillId="20" borderId="45" xfId="0" applyFont="1" applyFill="1" applyBorder="1" applyAlignment="1">
      <alignment horizontal="center" vertical="center"/>
    </xf>
    <xf numFmtId="0" fontId="46" fillId="11" borderId="0" xfId="0" applyFont="1" applyFill="1"/>
    <xf numFmtId="0" fontId="54" fillId="9" borderId="47" xfId="0" applyFont="1" applyFill="1" applyBorder="1" applyAlignment="1">
      <alignment horizontal="center" vertical="center" wrapText="1" readingOrder="1"/>
    </xf>
    <xf numFmtId="0" fontId="54" fillId="9" borderId="48" xfId="0" applyFont="1" applyFill="1" applyBorder="1" applyAlignment="1">
      <alignment horizontal="center" vertical="center" wrapText="1" readingOrder="1"/>
    </xf>
    <xf numFmtId="0" fontId="54" fillId="9" borderId="49" xfId="0" applyFont="1" applyFill="1" applyBorder="1" applyAlignment="1">
      <alignment horizontal="center" vertical="center" wrapText="1" readingOrder="1"/>
    </xf>
    <xf numFmtId="0" fontId="52" fillId="22" borderId="45" xfId="0" applyFont="1" applyFill="1" applyBorder="1" applyAlignment="1">
      <alignment horizontal="center" vertical="center"/>
    </xf>
    <xf numFmtId="14" fontId="33" fillId="9" borderId="0" xfId="0" applyNumberFormat="1" applyFont="1" applyFill="1" applyAlignment="1">
      <alignment horizontal="left" vertical="center"/>
    </xf>
    <xf numFmtId="2" fontId="30" fillId="21" borderId="19" xfId="3" applyNumberFormat="1" applyFont="1" applyFill="1" applyBorder="1" applyAlignment="1">
      <alignment vertical="center"/>
    </xf>
    <xf numFmtId="2" fontId="7" fillId="11" borderId="55" xfId="3" applyNumberFormat="1" applyFont="1" applyFill="1" applyBorder="1" applyAlignment="1">
      <alignment horizontal="left" vertical="top" wrapText="1"/>
    </xf>
    <xf numFmtId="2" fontId="19" fillId="7" borderId="55" xfId="3" applyNumberFormat="1" applyFont="1" applyFill="1" applyBorder="1" applyAlignment="1">
      <alignment horizontal="center" vertical="center" wrapText="1"/>
    </xf>
    <xf numFmtId="1" fontId="11" fillId="0" borderId="55" xfId="3" applyNumberFormat="1" applyFont="1" applyFill="1" applyBorder="1" applyAlignment="1">
      <alignment horizontal="center" vertical="center"/>
    </xf>
    <xf numFmtId="2" fontId="51" fillId="20" borderId="19" xfId="3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0" fontId="18" fillId="5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18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9" fontId="26" fillId="16" borderId="0" xfId="0" applyNumberFormat="1" applyFont="1" applyFill="1" applyAlignment="1">
      <alignment horizontal="center"/>
    </xf>
    <xf numFmtId="9" fontId="12" fillId="10" borderId="42" xfId="2" applyFont="1" applyFill="1" applyBorder="1" applyAlignment="1">
      <alignment horizontal="center" vertical="center" wrapText="1"/>
    </xf>
    <xf numFmtId="9" fontId="12" fillId="10" borderId="5" xfId="2" applyFont="1" applyFill="1" applyBorder="1" applyAlignment="1">
      <alignment horizontal="center" vertical="center" wrapText="1"/>
    </xf>
    <xf numFmtId="10" fontId="12" fillId="10" borderId="5" xfId="2" applyNumberFormat="1" applyFont="1" applyFill="1" applyBorder="1" applyAlignment="1">
      <alignment horizontal="center" vertical="center" wrapText="1"/>
    </xf>
    <xf numFmtId="9" fontId="11" fillId="0" borderId="1" xfId="2" applyFont="1" applyFill="1" applyBorder="1" applyAlignment="1">
      <alignment horizontal="center" vertical="center" wrapText="1"/>
    </xf>
    <xf numFmtId="2" fontId="55" fillId="24" borderId="17" xfId="3" applyNumberFormat="1" applyFont="1" applyFill="1" applyBorder="1" applyAlignment="1">
      <alignment vertical="center"/>
    </xf>
    <xf numFmtId="2" fontId="55" fillId="24" borderId="18" xfId="3" applyNumberFormat="1" applyFont="1" applyFill="1" applyBorder="1" applyAlignment="1">
      <alignment vertical="center"/>
    </xf>
    <xf numFmtId="2" fontId="55" fillId="25" borderId="17" xfId="3" applyNumberFormat="1" applyFont="1" applyFill="1" applyBorder="1" applyAlignment="1">
      <alignment vertical="center"/>
    </xf>
    <xf numFmtId="2" fontId="55" fillId="25" borderId="18" xfId="3" applyNumberFormat="1" applyFont="1" applyFill="1" applyBorder="1" applyAlignment="1">
      <alignment vertical="center"/>
    </xf>
    <xf numFmtId="0" fontId="46" fillId="0" borderId="13" xfId="0" applyFont="1" applyBorder="1" applyAlignment="1">
      <alignment horizontal="center" vertical="center" wrapText="1" readingOrder="1"/>
    </xf>
    <xf numFmtId="0" fontId="46" fillId="17" borderId="13" xfId="0" applyFont="1" applyFill="1" applyBorder="1" applyAlignment="1">
      <alignment horizontal="center" vertical="center" wrapText="1"/>
    </xf>
    <xf numFmtId="9" fontId="47" fillId="8" borderId="51" xfId="2" applyFont="1" applyFill="1" applyBorder="1" applyAlignment="1">
      <alignment horizontal="center" vertical="center" wrapText="1"/>
    </xf>
    <xf numFmtId="9" fontId="46" fillId="0" borderId="13" xfId="2" applyFont="1" applyBorder="1" applyAlignment="1">
      <alignment horizontal="center" vertical="center" wrapText="1" readingOrder="1"/>
    </xf>
    <xf numFmtId="171" fontId="46" fillId="0" borderId="13" xfId="3" applyNumberFormat="1" applyFont="1" applyBorder="1" applyAlignment="1">
      <alignment horizontal="center" vertical="center" wrapText="1" readingOrder="1"/>
    </xf>
    <xf numFmtId="171" fontId="46" fillId="17" borderId="13" xfId="3" applyNumberFormat="1" applyFont="1" applyFill="1" applyBorder="1" applyAlignment="1">
      <alignment horizontal="center" vertical="center" wrapText="1"/>
    </xf>
    <xf numFmtId="171" fontId="46" fillId="17" borderId="13" xfId="0" applyNumberFormat="1" applyFont="1" applyFill="1" applyBorder="1" applyAlignment="1">
      <alignment horizontal="center" vertical="center" wrapText="1"/>
    </xf>
    <xf numFmtId="9" fontId="46" fillId="0" borderId="54" xfId="2" applyFont="1" applyBorder="1" applyAlignment="1">
      <alignment horizontal="center" vertical="center" wrapText="1" readingOrder="1"/>
    </xf>
    <xf numFmtId="0" fontId="54" fillId="9" borderId="56" xfId="0" applyFont="1" applyFill="1" applyBorder="1" applyAlignment="1">
      <alignment horizontal="center" vertical="center" wrapText="1" readingOrder="1"/>
    </xf>
    <xf numFmtId="9" fontId="45" fillId="27" borderId="57" xfId="2" applyFont="1" applyFill="1" applyBorder="1" applyAlignment="1">
      <alignment horizontal="center" vertical="center" wrapText="1"/>
    </xf>
    <xf numFmtId="9" fontId="45" fillId="27" borderId="58" xfId="2" applyFont="1" applyFill="1" applyBorder="1" applyAlignment="1">
      <alignment horizontal="center" vertical="center" wrapText="1"/>
    </xf>
    <xf numFmtId="0" fontId="54" fillId="11" borderId="0" xfId="0" applyFont="1" applyFill="1" applyAlignment="1">
      <alignment horizontal="center" vertical="center" wrapText="1" readingOrder="1"/>
    </xf>
    <xf numFmtId="0" fontId="43" fillId="11" borderId="0" xfId="0" applyFont="1" applyFill="1" applyAlignment="1">
      <alignment horizontal="center" vertical="center" wrapText="1" readingOrder="1"/>
    </xf>
    <xf numFmtId="9" fontId="45" fillId="11" borderId="0" xfId="2" applyFont="1" applyFill="1" applyBorder="1" applyAlignment="1">
      <alignment horizontal="center" vertical="center" wrapText="1"/>
    </xf>
    <xf numFmtId="9" fontId="46" fillId="17" borderId="54" xfId="2" applyFont="1" applyFill="1" applyBorder="1" applyAlignment="1">
      <alignment horizontal="center" vertical="center" wrapText="1"/>
    </xf>
    <xf numFmtId="9" fontId="46" fillId="17" borderId="13" xfId="2" applyFont="1" applyFill="1" applyBorder="1" applyAlignment="1">
      <alignment horizontal="center" vertical="center" wrapText="1"/>
    </xf>
    <xf numFmtId="0" fontId="36" fillId="26" borderId="0" xfId="0" applyFont="1" applyFill="1" applyAlignment="1">
      <alignment vertical="center"/>
    </xf>
    <xf numFmtId="0" fontId="36" fillId="19" borderId="0" xfId="0" applyFont="1" applyFill="1" applyAlignment="1">
      <alignment vertical="center"/>
    </xf>
    <xf numFmtId="0" fontId="36" fillId="20" borderId="0" xfId="0" applyFont="1" applyFill="1" applyAlignment="1">
      <alignment vertical="center"/>
    </xf>
    <xf numFmtId="0" fontId="36" fillId="18" borderId="0" xfId="0" applyFont="1" applyFill="1" applyAlignment="1">
      <alignment vertical="center"/>
    </xf>
    <xf numFmtId="0" fontId="36" fillId="11" borderId="0" xfId="0" applyFont="1" applyFill="1" applyAlignment="1">
      <alignment vertical="center"/>
    </xf>
    <xf numFmtId="0" fontId="49" fillId="11" borderId="0" xfId="0" applyFont="1" applyFill="1" applyAlignment="1">
      <alignment horizontal="center"/>
    </xf>
    <xf numFmtId="168" fontId="42" fillId="11" borderId="0" xfId="3" applyNumberFormat="1" applyFont="1" applyFill="1" applyBorder="1" applyAlignment="1">
      <alignment horizontal="center" vertical="center"/>
    </xf>
    <xf numFmtId="169" fontId="42" fillId="11" borderId="0" xfId="2" applyNumberFormat="1" applyFont="1" applyFill="1" applyBorder="1" applyAlignment="1">
      <alignment horizontal="center" vertical="center"/>
    </xf>
    <xf numFmtId="0" fontId="52" fillId="11" borderId="0" xfId="0" applyFont="1" applyFill="1" applyAlignment="1">
      <alignment horizontal="center" vertical="center"/>
    </xf>
    <xf numFmtId="170" fontId="42" fillId="11" borderId="0" xfId="3" applyNumberFormat="1" applyFont="1" applyFill="1" applyBorder="1" applyAlignment="1">
      <alignment horizontal="center" vertical="center"/>
    </xf>
    <xf numFmtId="0" fontId="36" fillId="19" borderId="0" xfId="0" applyFont="1" applyFill="1" applyAlignment="1">
      <alignment horizontal="left" vertical="center"/>
    </xf>
    <xf numFmtId="0" fontId="4" fillId="28" borderId="0" xfId="0" applyFont="1" applyFill="1" applyAlignment="1">
      <alignment horizontal="center"/>
    </xf>
    <xf numFmtId="1" fontId="3" fillId="28" borderId="0" xfId="3" applyNumberFormat="1" applyFont="1" applyFill="1"/>
    <xf numFmtId="44" fontId="3" fillId="28" borderId="0" xfId="3" applyFont="1" applyFill="1"/>
    <xf numFmtId="9" fontId="3" fillId="28" borderId="0" xfId="2" applyFont="1" applyFill="1"/>
    <xf numFmtId="0" fontId="4" fillId="25" borderId="0" xfId="0" applyFont="1" applyFill="1" applyAlignment="1">
      <alignment horizontal="center"/>
    </xf>
    <xf numFmtId="1" fontId="3" fillId="25" borderId="0" xfId="3" applyNumberFormat="1" applyFont="1" applyFill="1"/>
    <xf numFmtId="44" fontId="3" fillId="25" borderId="0" xfId="3" applyFont="1" applyFill="1"/>
    <xf numFmtId="9" fontId="3" fillId="25" borderId="0" xfId="2" applyFont="1" applyFill="1"/>
    <xf numFmtId="168" fontId="42" fillId="0" borderId="46" xfId="0" applyNumberFormat="1" applyFont="1" applyBorder="1" applyAlignment="1">
      <alignment horizontal="center" vertical="center"/>
    </xf>
    <xf numFmtId="1" fontId="42" fillId="0" borderId="46" xfId="2" applyNumberFormat="1" applyFont="1" applyBorder="1" applyAlignment="1">
      <alignment horizontal="center" vertical="center"/>
    </xf>
    <xf numFmtId="168" fontId="42" fillId="0" borderId="46" xfId="2" applyNumberFormat="1" applyFont="1" applyBorder="1" applyAlignment="1">
      <alignment horizontal="center" vertical="center"/>
    </xf>
    <xf numFmtId="0" fontId="3" fillId="8" borderId="0" xfId="0" applyFont="1" applyFill="1"/>
    <xf numFmtId="0" fontId="36" fillId="29" borderId="0" xfId="0" applyFont="1" applyFill="1" applyAlignment="1">
      <alignment vertical="center"/>
    </xf>
    <xf numFmtId="0" fontId="52" fillId="26" borderId="45" xfId="0" applyFont="1" applyFill="1" applyBorder="1" applyAlignment="1">
      <alignment horizontal="center" vertical="center"/>
    </xf>
    <xf numFmtId="0" fontId="52" fillId="29" borderId="45" xfId="0" applyFont="1" applyFill="1" applyBorder="1" applyAlignment="1">
      <alignment horizontal="center" vertical="center"/>
    </xf>
    <xf numFmtId="164" fontId="11" fillId="0" borderId="2" xfId="0" applyNumberFormat="1" applyFont="1" applyBorder="1" applyAlignment="1">
      <alignment vertical="center" wrapText="1"/>
    </xf>
    <xf numFmtId="0" fontId="11" fillId="0" borderId="59" xfId="0" applyFont="1" applyBorder="1" applyAlignment="1">
      <alignment wrapText="1"/>
    </xf>
    <xf numFmtId="165" fontId="11" fillId="0" borderId="59" xfId="0" applyNumberFormat="1" applyFont="1" applyBorder="1" applyAlignment="1">
      <alignment horizontal="center" vertical="center" wrapText="1"/>
    </xf>
    <xf numFmtId="166" fontId="11" fillId="0" borderId="8" xfId="0" applyNumberFormat="1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37" fontId="11" fillId="0" borderId="2" xfId="4" applyNumberFormat="1" applyFont="1" applyFill="1" applyBorder="1" applyAlignment="1">
      <alignment horizontal="center" vertical="center" wrapText="1"/>
    </xf>
    <xf numFmtId="9" fontId="12" fillId="10" borderId="4" xfId="2" applyFont="1" applyFill="1" applyBorder="1" applyAlignment="1">
      <alignment horizontal="center" vertical="center" wrapText="1"/>
    </xf>
    <xf numFmtId="9" fontId="12" fillId="10" borderId="2" xfId="2" applyFont="1" applyFill="1" applyBorder="1" applyAlignment="1">
      <alignment horizontal="center" vertical="center" wrapText="1"/>
    </xf>
    <xf numFmtId="10" fontId="11" fillId="0" borderId="59" xfId="0" applyNumberFormat="1" applyFont="1" applyBorder="1" applyAlignment="1">
      <alignment horizontal="center" vertical="center" wrapText="1"/>
    </xf>
    <xf numFmtId="9" fontId="11" fillId="0" borderId="8" xfId="2" applyFont="1" applyFill="1" applyBorder="1" applyAlignment="1">
      <alignment horizontal="center" vertical="center" wrapText="1"/>
    </xf>
    <xf numFmtId="9" fontId="12" fillId="10" borderId="8" xfId="2" applyFont="1" applyFill="1" applyBorder="1" applyAlignment="1">
      <alignment horizontal="center" vertical="center" wrapText="1"/>
    </xf>
    <xf numFmtId="10" fontId="12" fillId="10" borderId="8" xfId="2" applyNumberFormat="1" applyFont="1" applyFill="1" applyBorder="1" applyAlignment="1">
      <alignment horizontal="center" vertical="center" wrapText="1"/>
    </xf>
    <xf numFmtId="169" fontId="11" fillId="0" borderId="59" xfId="2" applyNumberFormat="1" applyFont="1" applyBorder="1" applyAlignment="1">
      <alignment horizontal="center" vertical="center" wrapText="1"/>
    </xf>
    <xf numFmtId="1" fontId="15" fillId="0" borderId="1" xfId="0" applyNumberFormat="1" applyFont="1" applyBorder="1"/>
    <xf numFmtId="0" fontId="4" fillId="14" borderId="41" xfId="0" applyFont="1" applyFill="1" applyBorder="1" applyAlignment="1">
      <alignment horizontal="center"/>
    </xf>
    <xf numFmtId="0" fontId="0" fillId="17" borderId="41" xfId="0" applyFill="1" applyBorder="1" applyAlignment="1">
      <alignment horizontal="center"/>
    </xf>
    <xf numFmtId="0" fontId="4" fillId="14" borderId="45" xfId="0" applyFont="1" applyFill="1" applyBorder="1" applyAlignment="1">
      <alignment horizontal="center"/>
    </xf>
    <xf numFmtId="0" fontId="3" fillId="0" borderId="60" xfId="0" applyFont="1" applyBorder="1"/>
    <xf numFmtId="169" fontId="11" fillId="0" borderId="41" xfId="2" applyNumberFormat="1" applyFont="1" applyBorder="1" applyAlignment="1">
      <alignment horizontal="center" vertical="center" wrapText="1"/>
    </xf>
    <xf numFmtId="166" fontId="11" fillId="0" borderId="41" xfId="0" applyNumberFormat="1" applyFont="1" applyBorder="1" applyAlignment="1">
      <alignment horizontal="center" vertical="center" wrapText="1"/>
    </xf>
    <xf numFmtId="37" fontId="11" fillId="0" borderId="41" xfId="4" applyNumberFormat="1" applyFont="1" applyFill="1" applyBorder="1" applyAlignment="1">
      <alignment horizontal="center" vertical="center" wrapText="1"/>
    </xf>
    <xf numFmtId="9" fontId="11" fillId="0" borderId="41" xfId="2" applyFont="1" applyFill="1" applyBorder="1" applyAlignment="1">
      <alignment horizontal="center" vertical="center" wrapText="1"/>
    </xf>
    <xf numFmtId="9" fontId="12" fillId="10" borderId="41" xfId="2" applyFont="1" applyFill="1" applyBorder="1" applyAlignment="1">
      <alignment horizontal="center" vertical="center" wrapText="1"/>
    </xf>
    <xf numFmtId="10" fontId="12" fillId="10" borderId="41" xfId="2" applyNumberFormat="1" applyFont="1" applyFill="1" applyBorder="1" applyAlignment="1">
      <alignment horizontal="center" vertical="center" wrapText="1"/>
    </xf>
    <xf numFmtId="10" fontId="11" fillId="3" borderId="5" xfId="2" applyNumberFormat="1" applyFont="1" applyFill="1" applyBorder="1" applyAlignment="1">
      <alignment horizontal="center" vertical="center"/>
    </xf>
    <xf numFmtId="10" fontId="3" fillId="10" borderId="27" xfId="0" applyNumberFormat="1" applyFont="1" applyFill="1" applyBorder="1" applyAlignment="1">
      <alignment horizontal="center" vertical="center"/>
    </xf>
    <xf numFmtId="10" fontId="3" fillId="10" borderId="1" xfId="0" applyNumberFormat="1" applyFont="1" applyFill="1" applyBorder="1" applyAlignment="1">
      <alignment horizontal="center" vertical="center"/>
    </xf>
    <xf numFmtId="10" fontId="3" fillId="10" borderId="28" xfId="0" applyNumberFormat="1" applyFont="1" applyFill="1" applyBorder="1" applyAlignment="1">
      <alignment horizontal="center" vertical="center"/>
    </xf>
    <xf numFmtId="10" fontId="11" fillId="0" borderId="43" xfId="3" applyNumberFormat="1" applyFont="1" applyFill="1" applyBorder="1" applyAlignment="1">
      <alignment horizontal="center" vertical="center"/>
    </xf>
    <xf numFmtId="0" fontId="4" fillId="14" borderId="15" xfId="0" applyFont="1" applyFill="1" applyBorder="1" applyAlignment="1">
      <alignment horizontal="center"/>
    </xf>
    <xf numFmtId="0" fontId="0" fillId="17" borderId="0" xfId="0" applyFill="1" applyAlignment="1">
      <alignment horizontal="center"/>
    </xf>
    <xf numFmtId="0" fontId="12" fillId="6" borderId="10" xfId="0" applyFont="1" applyFill="1" applyBorder="1" applyAlignment="1">
      <alignment horizontal="center" vertical="center" wrapText="1"/>
    </xf>
    <xf numFmtId="0" fontId="0" fillId="17" borderId="10" xfId="0" applyFill="1" applyBorder="1" applyAlignment="1">
      <alignment horizontal="center" vertical="center"/>
    </xf>
    <xf numFmtId="0" fontId="0" fillId="17" borderId="62" xfId="0" applyFill="1" applyBorder="1" applyAlignment="1">
      <alignment horizontal="center" vertical="center"/>
    </xf>
    <xf numFmtId="0" fontId="0" fillId="17" borderId="6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0" borderId="0" xfId="0" applyFont="1" applyAlignment="1">
      <alignment horizontal="center"/>
    </xf>
    <xf numFmtId="0" fontId="4" fillId="14" borderId="10" xfId="0" applyFont="1" applyFill="1" applyBorder="1" applyAlignment="1">
      <alignment horizontal="center"/>
    </xf>
    <xf numFmtId="0" fontId="4" fillId="14" borderId="64" xfId="0" applyFont="1" applyFill="1" applyBorder="1" applyAlignment="1">
      <alignment horizontal="center"/>
    </xf>
    <xf numFmtId="0" fontId="12" fillId="6" borderId="62" xfId="0" applyFont="1" applyFill="1" applyBorder="1" applyAlignment="1">
      <alignment horizontal="center" vertical="center" wrapText="1"/>
    </xf>
    <xf numFmtId="172" fontId="11" fillId="0" borderId="55" xfId="3" applyNumberFormat="1" applyFont="1" applyFill="1" applyBorder="1" applyAlignment="1">
      <alignment horizontal="center" vertical="center"/>
    </xf>
    <xf numFmtId="172" fontId="11" fillId="0" borderId="43" xfId="3" applyNumberFormat="1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49" fillId="0" borderId="0" xfId="0" applyFont="1" applyAlignment="1">
      <alignment horizontal="center"/>
    </xf>
    <xf numFmtId="1" fontId="42" fillId="0" borderId="0" xfId="0" applyNumberFormat="1" applyFont="1" applyAlignment="1">
      <alignment horizontal="center" vertical="center"/>
    </xf>
    <xf numFmtId="168" fontId="42" fillId="0" borderId="0" xfId="0" applyNumberFormat="1" applyFont="1" applyAlignment="1">
      <alignment horizontal="center" vertical="center"/>
    </xf>
    <xf numFmtId="169" fontId="42" fillId="0" borderId="0" xfId="2" applyNumberFormat="1" applyFont="1" applyFill="1" applyBorder="1" applyAlignment="1">
      <alignment horizontal="center" vertical="center"/>
    </xf>
    <xf numFmtId="1" fontId="42" fillId="0" borderId="0" xfId="2" applyNumberFormat="1" applyFont="1" applyFill="1" applyBorder="1" applyAlignment="1">
      <alignment horizontal="center" vertical="center"/>
    </xf>
    <xf numFmtId="168" fontId="42" fillId="0" borderId="0" xfId="2" applyNumberFormat="1" applyFont="1" applyFill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170" fontId="42" fillId="0" borderId="0" xfId="3" applyNumberFormat="1" applyFont="1" applyFill="1" applyBorder="1" applyAlignment="1">
      <alignment horizontal="center" vertical="center"/>
    </xf>
    <xf numFmtId="9" fontId="12" fillId="10" borderId="59" xfId="2" applyFont="1" applyFill="1" applyBorder="1" applyAlignment="1">
      <alignment horizontal="center" vertical="center" wrapText="1"/>
    </xf>
    <xf numFmtId="10" fontId="12" fillId="10" borderId="59" xfId="2" applyNumberFormat="1" applyFont="1" applyFill="1" applyBorder="1" applyAlignment="1">
      <alignment horizontal="center" vertical="center" wrapText="1"/>
    </xf>
    <xf numFmtId="9" fontId="12" fillId="10" borderId="65" xfId="2" applyFont="1" applyFill="1" applyBorder="1" applyAlignment="1">
      <alignment horizontal="center" vertical="center" wrapText="1"/>
    </xf>
    <xf numFmtId="9" fontId="12" fillId="10" borderId="1" xfId="2" applyFont="1" applyFill="1" applyBorder="1" applyAlignment="1">
      <alignment horizontal="center" vertical="center" wrapText="1"/>
    </xf>
    <xf numFmtId="1" fontId="15" fillId="17" borderId="41" xfId="0" applyNumberFormat="1" applyFont="1" applyFill="1" applyBorder="1"/>
    <xf numFmtId="1" fontId="0" fillId="17" borderId="1" xfId="0" applyNumberFormat="1" applyFill="1" applyBorder="1" applyAlignment="1">
      <alignment horizontal="center"/>
    </xf>
    <xf numFmtId="0" fontId="5" fillId="12" borderId="10" xfId="0" applyFont="1" applyFill="1" applyBorder="1" applyAlignment="1">
      <alignment horizontal="center"/>
    </xf>
    <xf numFmtId="165" fontId="15" fillId="4" borderId="10" xfId="0" applyNumberFormat="1" applyFont="1" applyFill="1" applyBorder="1" applyAlignment="1">
      <alignment horizontal="center"/>
    </xf>
    <xf numFmtId="0" fontId="5" fillId="12" borderId="66" xfId="0" applyFont="1" applyFill="1" applyBorder="1" applyAlignment="1">
      <alignment horizontal="center"/>
    </xf>
    <xf numFmtId="9" fontId="12" fillId="6" borderId="5" xfId="2" applyFont="1" applyFill="1" applyBorder="1" applyAlignment="1">
      <alignment horizontal="center" vertical="center" wrapText="1"/>
    </xf>
    <xf numFmtId="9" fontId="6" fillId="2" borderId="3" xfId="2" applyFont="1" applyFill="1" applyBorder="1" applyAlignment="1">
      <alignment horizontal="center" vertical="center" wrapText="1"/>
    </xf>
    <xf numFmtId="9" fontId="3" fillId="0" borderId="0" xfId="2" applyFont="1" applyAlignment="1">
      <alignment horizontal="center" vertical="center" wrapText="1"/>
    </xf>
    <xf numFmtId="0" fontId="11" fillId="0" borderId="61" xfId="0" applyFont="1" applyBorder="1" applyAlignment="1">
      <alignment wrapText="1"/>
    </xf>
    <xf numFmtId="0" fontId="11" fillId="0" borderId="59" xfId="0" applyFont="1" applyBorder="1" applyAlignment="1">
      <alignment horizontal="center" wrapText="1"/>
    </xf>
    <xf numFmtId="14" fontId="11" fillId="0" borderId="59" xfId="0" applyNumberFormat="1" applyFont="1" applyBorder="1" applyAlignment="1">
      <alignment horizontal="center" vertical="center" wrapText="1"/>
    </xf>
    <xf numFmtId="167" fontId="11" fillId="0" borderId="59" xfId="0" applyNumberFormat="1" applyFont="1" applyBorder="1" applyAlignment="1">
      <alignment horizontal="center" vertical="center" wrapText="1"/>
    </xf>
    <xf numFmtId="37" fontId="11" fillId="0" borderId="59" xfId="4" applyNumberFormat="1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wrapText="1"/>
    </xf>
    <xf numFmtId="14" fontId="11" fillId="0" borderId="41" xfId="0" applyNumberFormat="1" applyFont="1" applyBorder="1" applyAlignment="1">
      <alignment horizontal="center" vertical="center" wrapText="1"/>
    </xf>
    <xf numFmtId="167" fontId="11" fillId="0" borderId="41" xfId="0" applyNumberFormat="1" applyFont="1" applyBorder="1" applyAlignment="1">
      <alignment horizontal="center" vertical="center" wrapText="1"/>
    </xf>
    <xf numFmtId="0" fontId="11" fillId="0" borderId="59" xfId="0" applyFont="1" applyBorder="1" applyAlignment="1">
      <alignment horizontal="center" vertical="center" wrapText="1"/>
    </xf>
    <xf numFmtId="9" fontId="11" fillId="0" borderId="59" xfId="0" applyNumberFormat="1" applyFont="1" applyBorder="1" applyAlignment="1">
      <alignment horizontal="center" vertical="center" wrapText="1"/>
    </xf>
    <xf numFmtId="169" fontId="11" fillId="0" borderId="59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8" fontId="11" fillId="0" borderId="1" xfId="0" applyNumberFormat="1" applyFont="1" applyBorder="1" applyAlignment="1">
      <alignment horizontal="center" vertical="center" wrapText="1"/>
    </xf>
    <xf numFmtId="37" fontId="11" fillId="0" borderId="1" xfId="4" applyNumberFormat="1" applyFont="1" applyBorder="1" applyAlignment="1">
      <alignment horizontal="center" vertical="center" wrapText="1"/>
    </xf>
    <xf numFmtId="9" fontId="11" fillId="0" borderId="1" xfId="2" applyFont="1" applyBorder="1" applyAlignment="1">
      <alignment horizontal="center" vertical="center" wrapText="1"/>
    </xf>
    <xf numFmtId="10" fontId="11" fillId="0" borderId="1" xfId="2" applyNumberFormat="1" applyFont="1" applyBorder="1" applyAlignment="1">
      <alignment horizontal="center" vertical="center" wrapText="1"/>
    </xf>
    <xf numFmtId="169" fontId="11" fillId="0" borderId="1" xfId="2" applyNumberFormat="1" applyFont="1" applyBorder="1" applyAlignment="1">
      <alignment horizontal="center" vertical="center" wrapText="1"/>
    </xf>
    <xf numFmtId="0" fontId="11" fillId="0" borderId="45" xfId="0" applyFont="1" applyBorder="1" applyAlignment="1">
      <alignment wrapText="1"/>
    </xf>
    <xf numFmtId="0" fontId="11" fillId="0" borderId="45" xfId="0" applyFont="1" applyBorder="1" applyAlignment="1">
      <alignment horizontal="center" wrapText="1"/>
    </xf>
    <xf numFmtId="0" fontId="11" fillId="0" borderId="45" xfId="0" applyFont="1" applyBorder="1" applyAlignment="1">
      <alignment horizontal="center" vertical="center" wrapText="1"/>
    </xf>
    <xf numFmtId="18" fontId="11" fillId="0" borderId="45" xfId="0" applyNumberFormat="1" applyFont="1" applyBorder="1" applyAlignment="1">
      <alignment horizontal="center" vertical="center" wrapText="1"/>
    </xf>
    <xf numFmtId="37" fontId="11" fillId="0" borderId="45" xfId="4" applyNumberFormat="1" applyFont="1" applyBorder="1" applyAlignment="1">
      <alignment horizontal="center" vertical="center" wrapText="1"/>
    </xf>
    <xf numFmtId="9" fontId="11" fillId="0" borderId="45" xfId="2" applyFont="1" applyBorder="1" applyAlignment="1">
      <alignment horizontal="center" vertical="center" wrapText="1"/>
    </xf>
    <xf numFmtId="10" fontId="11" fillId="0" borderId="45" xfId="2" applyNumberFormat="1" applyFont="1" applyBorder="1" applyAlignment="1">
      <alignment horizontal="center" vertical="center" wrapText="1"/>
    </xf>
    <xf numFmtId="2" fontId="55" fillId="30" borderId="17" xfId="3" applyNumberFormat="1" applyFont="1" applyFill="1" applyBorder="1" applyAlignment="1">
      <alignment vertical="center"/>
    </xf>
    <xf numFmtId="2" fontId="55" fillId="30" borderId="18" xfId="3" applyNumberFormat="1" applyFont="1" applyFill="1" applyBorder="1" applyAlignment="1">
      <alignment vertical="center"/>
    </xf>
    <xf numFmtId="44" fontId="11" fillId="0" borderId="43" xfId="3" applyFont="1" applyFill="1" applyBorder="1" applyAlignment="1">
      <alignment horizontal="center" vertical="center"/>
    </xf>
    <xf numFmtId="10" fontId="3" fillId="8" borderId="0" xfId="2" applyNumberFormat="1" applyFont="1" applyFill="1"/>
    <xf numFmtId="0" fontId="11" fillId="0" borderId="43" xfId="3" applyNumberFormat="1" applyFont="1" applyFill="1" applyBorder="1" applyAlignment="1">
      <alignment horizontal="center" vertical="center"/>
    </xf>
    <xf numFmtId="1" fontId="11" fillId="0" borderId="20" xfId="3" applyNumberFormat="1" applyFont="1" applyBorder="1" applyAlignment="1">
      <alignment horizontal="center" vertical="center"/>
    </xf>
    <xf numFmtId="169" fontId="11" fillId="0" borderId="45" xfId="2" applyNumberFormat="1" applyFont="1" applyBorder="1" applyAlignment="1">
      <alignment horizontal="center" vertical="center" wrapText="1"/>
    </xf>
    <xf numFmtId="173" fontId="46" fillId="0" borderId="13" xfId="0" applyNumberFormat="1" applyFont="1" applyBorder="1" applyAlignment="1">
      <alignment horizontal="center" vertical="center" wrapText="1" readingOrder="1"/>
    </xf>
    <xf numFmtId="9" fontId="11" fillId="0" borderId="1" xfId="0" applyNumberFormat="1" applyFont="1" applyBorder="1" applyAlignment="1">
      <alignment horizontal="center" vertical="center" wrapText="1"/>
    </xf>
    <xf numFmtId="0" fontId="3" fillId="0" borderId="41" xfId="0" applyFont="1" applyBorder="1" applyAlignment="1">
      <alignment wrapText="1"/>
    </xf>
    <xf numFmtId="0" fontId="3" fillId="0" borderId="41" xfId="0" applyFont="1" applyBorder="1" applyAlignment="1">
      <alignment horizontal="center" vertical="center" wrapText="1"/>
    </xf>
    <xf numFmtId="14" fontId="11" fillId="0" borderId="45" xfId="0" applyNumberFormat="1" applyFont="1" applyBorder="1" applyAlignment="1">
      <alignment horizontal="center" vertical="center" wrapText="1"/>
    </xf>
    <xf numFmtId="9" fontId="12" fillId="10" borderId="45" xfId="2" applyFont="1" applyFill="1" applyBorder="1" applyAlignment="1">
      <alignment horizontal="center" vertical="center" wrapText="1"/>
    </xf>
    <xf numFmtId="9" fontId="11" fillId="0" borderId="45" xfId="0" applyNumberFormat="1" applyFont="1" applyBorder="1" applyAlignment="1">
      <alignment horizontal="center" vertical="center" wrapText="1"/>
    </xf>
    <xf numFmtId="10" fontId="12" fillId="10" borderId="61" xfId="2" applyNumberFormat="1" applyFont="1" applyFill="1" applyBorder="1" applyAlignment="1">
      <alignment horizontal="center" vertical="center" wrapText="1"/>
    </xf>
    <xf numFmtId="14" fontId="3" fillId="0" borderId="41" xfId="0" applyNumberFormat="1" applyFont="1" applyBorder="1" applyAlignment="1">
      <alignment horizontal="center" vertical="center" wrapText="1"/>
    </xf>
    <xf numFmtId="10" fontId="3" fillId="0" borderId="41" xfId="0" applyNumberFormat="1" applyFont="1" applyBorder="1" applyAlignment="1">
      <alignment horizontal="center" wrapText="1"/>
    </xf>
    <xf numFmtId="10" fontId="3" fillId="0" borderId="41" xfId="2" applyNumberFormat="1" applyFont="1" applyBorder="1" applyAlignment="1">
      <alignment horizontal="center" vertical="center" wrapText="1"/>
    </xf>
    <xf numFmtId="9" fontId="12" fillId="10" borderId="12" xfId="2" applyFont="1" applyFill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37" fontId="3" fillId="0" borderId="61" xfId="4" applyNumberFormat="1" applyFont="1" applyBorder="1" applyAlignment="1">
      <alignment horizontal="center" vertical="center" wrapText="1"/>
    </xf>
    <xf numFmtId="0" fontId="57" fillId="12" borderId="1" xfId="0" applyFont="1" applyFill="1" applyBorder="1" applyAlignment="1">
      <alignment horizontal="right"/>
    </xf>
    <xf numFmtId="1" fontId="15" fillId="17" borderId="10" xfId="0" applyNumberFormat="1" applyFont="1" applyFill="1" applyBorder="1"/>
    <xf numFmtId="0" fontId="5" fillId="12" borderId="70" xfId="0" applyFont="1" applyFill="1" applyBorder="1" applyAlignment="1">
      <alignment horizontal="center"/>
    </xf>
    <xf numFmtId="165" fontId="15" fillId="4" borderId="70" xfId="0" applyNumberFormat="1" applyFont="1" applyFill="1" applyBorder="1" applyAlignment="1">
      <alignment horizontal="center"/>
    </xf>
    <xf numFmtId="1" fontId="15" fillId="17" borderId="70" xfId="0" applyNumberFormat="1" applyFont="1" applyFill="1" applyBorder="1"/>
    <xf numFmtId="165" fontId="15" fillId="4" borderId="66" xfId="0" applyNumberFormat="1" applyFont="1" applyFill="1" applyBorder="1" applyAlignment="1">
      <alignment horizontal="center"/>
    </xf>
    <xf numFmtId="1" fontId="15" fillId="17" borderId="66" xfId="0" applyNumberFormat="1" applyFont="1" applyFill="1" applyBorder="1"/>
    <xf numFmtId="0" fontId="0" fillId="0" borderId="67" xfId="0" applyBorder="1"/>
    <xf numFmtId="1" fontId="15" fillId="17" borderId="68" xfId="0" applyNumberFormat="1" applyFont="1" applyFill="1" applyBorder="1"/>
    <xf numFmtId="0" fontId="0" fillId="23" borderId="14" xfId="0" applyFill="1" applyBorder="1"/>
    <xf numFmtId="0" fontId="3" fillId="0" borderId="41" xfId="0" applyFont="1" applyBorder="1" applyAlignment="1">
      <alignment horizontal="center" wrapText="1"/>
    </xf>
    <xf numFmtId="167" fontId="3" fillId="0" borderId="41" xfId="0" applyNumberFormat="1" applyFont="1" applyBorder="1" applyAlignment="1">
      <alignment horizontal="center" vertical="center" wrapText="1"/>
    </xf>
    <xf numFmtId="37" fontId="3" fillId="0" borderId="41" xfId="4" applyNumberFormat="1" applyFont="1" applyBorder="1" applyAlignment="1">
      <alignment horizontal="center" vertical="center" wrapText="1"/>
    </xf>
    <xf numFmtId="0" fontId="3" fillId="0" borderId="59" xfId="0" applyFont="1" applyBorder="1" applyAlignment="1">
      <alignment wrapText="1"/>
    </xf>
    <xf numFmtId="14" fontId="3" fillId="0" borderId="61" xfId="0" applyNumberFormat="1" applyFont="1" applyBorder="1" applyAlignment="1">
      <alignment horizontal="center" vertical="center" wrapText="1"/>
    </xf>
    <xf numFmtId="18" fontId="11" fillId="0" borderId="59" xfId="0" applyNumberFormat="1" applyFont="1" applyBorder="1" applyAlignment="1">
      <alignment horizontal="center" vertical="center" wrapText="1"/>
    </xf>
    <xf numFmtId="10" fontId="3" fillId="0" borderId="59" xfId="0" applyNumberFormat="1" applyFont="1" applyBorder="1" applyAlignment="1">
      <alignment horizontal="center" wrapText="1"/>
    </xf>
    <xf numFmtId="10" fontId="3" fillId="0" borderId="59" xfId="2" applyNumberFormat="1" applyFont="1" applyBorder="1" applyAlignment="1">
      <alignment horizontal="center" vertical="center" wrapText="1"/>
    </xf>
    <xf numFmtId="9" fontId="3" fillId="0" borderId="41" xfId="0" applyNumberFormat="1" applyFont="1" applyBorder="1" applyAlignment="1">
      <alignment horizontal="center" wrapText="1"/>
    </xf>
    <xf numFmtId="9" fontId="3" fillId="0" borderId="41" xfId="0" applyNumberFormat="1" applyFont="1" applyBorder="1" applyAlignment="1">
      <alignment horizontal="center" vertical="center" wrapText="1"/>
    </xf>
    <xf numFmtId="169" fontId="3" fillId="0" borderId="41" xfId="0" applyNumberFormat="1" applyFont="1" applyBorder="1" applyAlignment="1">
      <alignment horizontal="center" wrapText="1"/>
    </xf>
    <xf numFmtId="10" fontId="3" fillId="0" borderId="41" xfId="0" applyNumberFormat="1" applyFont="1" applyBorder="1" applyAlignment="1">
      <alignment horizontal="center" vertical="center" wrapText="1"/>
    </xf>
    <xf numFmtId="0" fontId="0" fillId="0" borderId="41" xfId="0" applyBorder="1" applyAlignment="1">
      <alignment wrapText="1"/>
    </xf>
    <xf numFmtId="0" fontId="0" fillId="0" borderId="41" xfId="0" applyBorder="1" applyAlignment="1">
      <alignment horizontal="center" wrapText="1"/>
    </xf>
    <xf numFmtId="14" fontId="0" fillId="0" borderId="41" xfId="0" applyNumberForma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167" fontId="0" fillId="0" borderId="41" xfId="0" applyNumberFormat="1" applyBorder="1" applyAlignment="1">
      <alignment horizontal="center" vertical="center" wrapText="1"/>
    </xf>
    <xf numFmtId="169" fontId="0" fillId="0" borderId="41" xfId="0" applyNumberFormat="1" applyBorder="1" applyAlignment="1">
      <alignment horizontal="center" wrapText="1"/>
    </xf>
    <xf numFmtId="10" fontId="0" fillId="0" borderId="41" xfId="0" applyNumberFormat="1" applyBorder="1" applyAlignment="1">
      <alignment horizontal="center" wrapText="1"/>
    </xf>
    <xf numFmtId="9" fontId="0" fillId="0" borderId="41" xfId="0" applyNumberFormat="1" applyBorder="1" applyAlignment="1">
      <alignment horizontal="center" wrapText="1"/>
    </xf>
    <xf numFmtId="1" fontId="11" fillId="0" borderId="5" xfId="3" applyNumberFormat="1" applyFont="1" applyBorder="1" applyAlignment="1">
      <alignment horizontal="center" vertical="center"/>
    </xf>
    <xf numFmtId="1" fontId="11" fillId="0" borderId="43" xfId="3" applyNumberFormat="1" applyFont="1" applyBorder="1" applyAlignment="1">
      <alignment horizontal="center" vertical="center"/>
    </xf>
    <xf numFmtId="0" fontId="12" fillId="0" borderId="0" xfId="0" applyFont="1"/>
    <xf numFmtId="10" fontId="12" fillId="10" borderId="63" xfId="2" applyNumberFormat="1" applyFont="1" applyFill="1" applyBorder="1" applyAlignment="1">
      <alignment horizontal="center" vertical="center" wrapText="1"/>
    </xf>
    <xf numFmtId="1" fontId="11" fillId="0" borderId="21" xfId="3" applyNumberFormat="1" applyFont="1" applyBorder="1" applyAlignment="1">
      <alignment horizontal="center" vertical="center"/>
    </xf>
    <xf numFmtId="10" fontId="3" fillId="10" borderId="29" xfId="0" applyNumberFormat="1" applyFont="1" applyFill="1" applyBorder="1" applyAlignment="1">
      <alignment horizontal="center" vertical="center"/>
    </xf>
    <xf numFmtId="10" fontId="3" fillId="10" borderId="30" xfId="0" applyNumberFormat="1" applyFont="1" applyFill="1" applyBorder="1" applyAlignment="1">
      <alignment horizontal="center" vertical="center"/>
    </xf>
    <xf numFmtId="10" fontId="3" fillId="10" borderId="31" xfId="0" applyNumberFormat="1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41" xfId="0" applyFont="1" applyBorder="1" applyAlignment="1">
      <alignment horizontal="left" wrapText="1"/>
    </xf>
    <xf numFmtId="18" fontId="3" fillId="0" borderId="41" xfId="0" applyNumberFormat="1" applyFont="1" applyBorder="1" applyAlignment="1">
      <alignment horizontal="center" vertical="center" wrapText="1"/>
    </xf>
    <xf numFmtId="0" fontId="0" fillId="0" borderId="59" xfId="0" applyBorder="1" applyAlignment="1">
      <alignment wrapText="1"/>
    </xf>
    <xf numFmtId="0" fontId="0" fillId="0" borderId="59" xfId="0" applyBorder="1" applyAlignment="1">
      <alignment horizontal="center" wrapText="1"/>
    </xf>
    <xf numFmtId="14" fontId="0" fillId="0" borderId="59" xfId="0" applyNumberForma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167" fontId="0" fillId="0" borderId="59" xfId="0" applyNumberFormat="1" applyBorder="1" applyAlignment="1">
      <alignment horizontal="center" vertical="center" wrapText="1"/>
    </xf>
    <xf numFmtId="37" fontId="3" fillId="0" borderId="59" xfId="4" applyNumberFormat="1" applyFont="1" applyBorder="1" applyAlignment="1">
      <alignment horizontal="center" vertical="center" wrapText="1"/>
    </xf>
    <xf numFmtId="169" fontId="0" fillId="0" borderId="59" xfId="0" applyNumberFormat="1" applyBorder="1" applyAlignment="1">
      <alignment horizontal="center" wrapText="1"/>
    </xf>
    <xf numFmtId="10" fontId="0" fillId="0" borderId="59" xfId="0" applyNumberFormat="1" applyBorder="1" applyAlignment="1">
      <alignment horizontal="center" wrapText="1"/>
    </xf>
    <xf numFmtId="9" fontId="0" fillId="0" borderId="59" xfId="0" applyNumberFormat="1" applyBorder="1" applyAlignment="1">
      <alignment horizontal="center" wrapText="1"/>
    </xf>
    <xf numFmtId="0" fontId="24" fillId="2" borderId="3" xfId="0" applyFont="1" applyFill="1" applyBorder="1" applyAlignment="1">
      <alignment vertical="center"/>
    </xf>
    <xf numFmtId="0" fontId="4" fillId="14" borderId="0" xfId="0" applyFont="1" applyFill="1" applyAlignment="1">
      <alignment horizontal="center"/>
    </xf>
    <xf numFmtId="0" fontId="4" fillId="14" borderId="62" xfId="0" applyFont="1" applyFill="1" applyBorder="1" applyAlignment="1">
      <alignment horizontal="center"/>
    </xf>
    <xf numFmtId="0" fontId="4" fillId="14" borderId="63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2" fillId="6" borderId="41" xfId="0" applyFont="1" applyFill="1" applyBorder="1" applyAlignment="1">
      <alignment horizontal="left" vertical="center" wrapText="1"/>
    </xf>
    <xf numFmtId="0" fontId="3" fillId="0" borderId="41" xfId="0" applyFont="1" applyBorder="1" applyAlignment="1">
      <alignment horizontal="center" vertical="center"/>
    </xf>
    <xf numFmtId="0" fontId="3" fillId="0" borderId="41" xfId="0" applyFont="1" applyBorder="1"/>
    <xf numFmtId="0" fontId="3" fillId="0" borderId="41" xfId="0" applyFont="1" applyBorder="1" applyAlignment="1">
      <alignment horizontal="center"/>
    </xf>
    <xf numFmtId="0" fontId="12" fillId="6" borderId="42" xfId="0" applyFont="1" applyFill="1" applyBorder="1" applyAlignment="1">
      <alignment horizontal="left" vertical="center" wrapText="1"/>
    </xf>
    <xf numFmtId="0" fontId="12" fillId="0" borderId="42" xfId="2" applyNumberFormat="1" applyFont="1" applyFill="1" applyBorder="1" applyAlignment="1">
      <alignment horizontal="left" vertical="center" wrapText="1"/>
    </xf>
    <xf numFmtId="0" fontId="12" fillId="0" borderId="2" xfId="2" applyNumberFormat="1" applyFont="1" applyFill="1" applyBorder="1" applyAlignment="1">
      <alignment horizontal="left" vertical="center" wrapText="1"/>
    </xf>
    <xf numFmtId="0" fontId="12" fillId="0" borderId="61" xfId="0" applyFont="1" applyBorder="1" applyAlignment="1">
      <alignment wrapText="1"/>
    </xf>
    <xf numFmtId="0" fontId="12" fillId="0" borderId="63" xfId="0" applyFont="1" applyBorder="1"/>
    <xf numFmtId="0" fontId="12" fillId="0" borderId="63" xfId="0" applyFont="1" applyBorder="1" applyAlignment="1">
      <alignment wrapText="1"/>
    </xf>
    <xf numFmtId="0" fontId="56" fillId="0" borderId="63" xfId="0" applyFont="1" applyBorder="1"/>
    <xf numFmtId="0" fontId="56" fillId="0" borderId="61" xfId="0" applyFont="1" applyBorder="1"/>
    <xf numFmtId="0" fontId="56" fillId="31" borderId="63" xfId="0" applyFont="1" applyFill="1" applyBorder="1" applyAlignment="1">
      <alignment wrapText="1"/>
    </xf>
    <xf numFmtId="0" fontId="3" fillId="0" borderId="63" xfId="0" applyFont="1" applyBorder="1" applyAlignment="1">
      <alignment wrapText="1"/>
    </xf>
    <xf numFmtId="0" fontId="56" fillId="31" borderId="61" xfId="0" applyFont="1" applyFill="1" applyBorder="1" applyAlignment="1">
      <alignment wrapText="1"/>
    </xf>
    <xf numFmtId="0" fontId="3" fillId="0" borderId="63" xfId="0" applyFont="1" applyBorder="1" applyAlignment="1">
      <alignment horizontal="left" wrapText="1"/>
    </xf>
    <xf numFmtId="0" fontId="3" fillId="0" borderId="59" xfId="0" applyFont="1" applyBorder="1" applyAlignment="1">
      <alignment horizontal="left" wrapText="1"/>
    </xf>
    <xf numFmtId="0" fontId="3" fillId="0" borderId="59" xfId="0" applyFont="1" applyBorder="1" applyAlignment="1">
      <alignment horizontal="center" wrapText="1"/>
    </xf>
    <xf numFmtId="14" fontId="3" fillId="0" borderId="59" xfId="0" applyNumberFormat="1" applyFont="1" applyBorder="1" applyAlignment="1">
      <alignment horizontal="center" vertical="center" wrapText="1"/>
    </xf>
    <xf numFmtId="18" fontId="3" fillId="0" borderId="61" xfId="0" applyNumberFormat="1" applyFont="1" applyBorder="1" applyAlignment="1">
      <alignment horizontal="center" vertical="center" wrapText="1"/>
    </xf>
    <xf numFmtId="169" fontId="3" fillId="0" borderId="65" xfId="0" applyNumberFormat="1" applyFont="1" applyBorder="1" applyAlignment="1">
      <alignment horizontal="center" wrapText="1"/>
    </xf>
    <xf numFmtId="0" fontId="3" fillId="0" borderId="61" xfId="0" applyFont="1" applyBorder="1" applyAlignment="1">
      <alignment horizontal="left" wrapText="1"/>
    </xf>
    <xf numFmtId="0" fontId="56" fillId="0" borderId="0" xfId="0" applyFont="1"/>
    <xf numFmtId="0" fontId="3" fillId="0" borderId="59" xfId="0" applyFont="1" applyBorder="1"/>
    <xf numFmtId="1" fontId="0" fillId="0" borderId="0" xfId="0" applyNumberFormat="1"/>
    <xf numFmtId="14" fontId="29" fillId="11" borderId="0" xfId="0" applyNumberFormat="1" applyFont="1" applyFill="1" applyAlignment="1">
      <alignment horizontal="left" vertical="center" wrapText="1"/>
    </xf>
    <xf numFmtId="2" fontId="19" fillId="7" borderId="0" xfId="3" applyNumberFormat="1" applyFont="1" applyFill="1" applyBorder="1" applyAlignment="1">
      <alignment horizontal="center" vertical="center"/>
    </xf>
    <xf numFmtId="1" fontId="11" fillId="3" borderId="0" xfId="3" applyNumberFormat="1" applyFont="1" applyFill="1" applyBorder="1" applyAlignment="1">
      <alignment horizontal="center" vertical="center"/>
    </xf>
    <xf numFmtId="14" fontId="29" fillId="11" borderId="7" xfId="0" applyNumberFormat="1" applyFont="1" applyFill="1" applyBorder="1" applyAlignment="1">
      <alignment horizontal="left" vertical="center" wrapText="1"/>
    </xf>
    <xf numFmtId="2" fontId="19" fillId="7" borderId="3" xfId="3" applyNumberFormat="1" applyFont="1" applyFill="1" applyBorder="1" applyAlignment="1">
      <alignment horizontal="center" vertical="center"/>
    </xf>
    <xf numFmtId="1" fontId="3" fillId="10" borderId="71" xfId="0" applyNumberFormat="1" applyFont="1" applyFill="1" applyBorder="1" applyAlignment="1">
      <alignment horizontal="center"/>
    </xf>
    <xf numFmtId="0" fontId="28" fillId="8" borderId="0" xfId="0" applyFont="1" applyFill="1" applyAlignment="1">
      <alignment vertical="center"/>
    </xf>
    <xf numFmtId="1" fontId="3" fillId="10" borderId="0" xfId="0" applyNumberFormat="1" applyFont="1" applyFill="1" applyAlignment="1">
      <alignment horizontal="center"/>
    </xf>
    <xf numFmtId="165" fontId="5" fillId="32" borderId="0" xfId="0" applyNumberFormat="1" applyFont="1" applyFill="1" applyAlignment="1">
      <alignment horizontal="center"/>
    </xf>
    <xf numFmtId="169" fontId="11" fillId="0" borderId="1" xfId="2" applyNumberFormat="1" applyFont="1" applyFill="1" applyBorder="1" applyAlignment="1">
      <alignment horizontal="center" vertical="center" wrapText="1"/>
    </xf>
    <xf numFmtId="174" fontId="11" fillId="0" borderId="5" xfId="2" applyNumberFormat="1" applyFont="1" applyFill="1" applyBorder="1" applyAlignment="1">
      <alignment horizontal="center" vertical="center" wrapText="1"/>
    </xf>
    <xf numFmtId="0" fontId="16" fillId="33" borderId="0" xfId="0" applyFont="1" applyFill="1" applyAlignment="1">
      <alignment horizontal="right"/>
    </xf>
    <xf numFmtId="1" fontId="15" fillId="33" borderId="0" xfId="0" applyNumberFormat="1" applyFont="1" applyFill="1"/>
    <xf numFmtId="0" fontId="0" fillId="33" borderId="0" xfId="0" applyFill="1"/>
    <xf numFmtId="0" fontId="4" fillId="33" borderId="0" xfId="0" applyFont="1" applyFill="1"/>
    <xf numFmtId="0" fontId="3" fillId="33" borderId="0" xfId="0" applyFont="1" applyFill="1"/>
    <xf numFmtId="0" fontId="54" fillId="9" borderId="0" xfId="0" applyFont="1" applyFill="1" applyAlignment="1">
      <alignment horizontal="center" vertical="center" wrapText="1" readingOrder="1"/>
    </xf>
    <xf numFmtId="173" fontId="46" fillId="0" borderId="0" xfId="0" applyNumberFormat="1" applyFont="1" applyAlignment="1">
      <alignment horizontal="center" vertical="center" wrapText="1" readingOrder="1"/>
    </xf>
    <xf numFmtId="9" fontId="46" fillId="0" borderId="0" xfId="2" applyFont="1" applyBorder="1" applyAlignment="1">
      <alignment horizontal="center" vertical="center" wrapText="1" readingOrder="1"/>
    </xf>
    <xf numFmtId="1" fontId="46" fillId="0" borderId="0" xfId="0" applyNumberFormat="1" applyFont="1" applyAlignment="1">
      <alignment horizontal="center" vertical="center" wrapText="1" readingOrder="1"/>
    </xf>
    <xf numFmtId="171" fontId="46" fillId="0" borderId="0" xfId="3" applyNumberFormat="1" applyFont="1" applyBorder="1" applyAlignment="1">
      <alignment horizontal="center" vertical="center" wrapText="1" readingOrder="1"/>
    </xf>
    <xf numFmtId="171" fontId="46" fillId="0" borderId="0" xfId="0" applyNumberFormat="1" applyFont="1" applyAlignment="1">
      <alignment horizontal="center" vertical="center" wrapText="1" readingOrder="1"/>
    </xf>
    <xf numFmtId="1" fontId="46" fillId="0" borderId="13" xfId="0" applyNumberFormat="1" applyFont="1" applyBorder="1" applyAlignment="1">
      <alignment horizontal="center" vertical="center" wrapText="1"/>
    </xf>
    <xf numFmtId="9" fontId="46" fillId="0" borderId="13" xfId="2" applyFont="1" applyFill="1" applyBorder="1" applyAlignment="1">
      <alignment horizontal="center" vertical="center" wrapText="1"/>
    </xf>
    <xf numFmtId="0" fontId="46" fillId="0" borderId="13" xfId="0" applyFont="1" applyBorder="1" applyAlignment="1">
      <alignment horizontal="center" vertical="center" wrapText="1"/>
    </xf>
    <xf numFmtId="171" fontId="46" fillId="0" borderId="13" xfId="3" applyNumberFormat="1" applyFont="1" applyFill="1" applyBorder="1" applyAlignment="1">
      <alignment horizontal="center" vertical="center" wrapText="1"/>
    </xf>
    <xf numFmtId="171" fontId="46" fillId="0" borderId="13" xfId="0" applyNumberFormat="1" applyFont="1" applyBorder="1" applyAlignment="1">
      <alignment horizontal="center" vertical="center" wrapText="1"/>
    </xf>
    <xf numFmtId="9" fontId="46" fillId="0" borderId="54" xfId="2" applyFont="1" applyFill="1" applyBorder="1" applyAlignment="1">
      <alignment horizontal="center" vertical="center" wrapText="1"/>
    </xf>
    <xf numFmtId="9" fontId="46" fillId="0" borderId="13" xfId="0" applyNumberFormat="1" applyFont="1" applyBorder="1" applyAlignment="1">
      <alignment horizontal="center" vertical="center" wrapText="1" readingOrder="1"/>
    </xf>
    <xf numFmtId="168" fontId="46" fillId="0" borderId="13" xfId="0" applyNumberFormat="1" applyFont="1" applyBorder="1" applyAlignment="1">
      <alignment horizontal="center" vertical="center" wrapText="1" readingOrder="1"/>
    </xf>
    <xf numFmtId="0" fontId="3" fillId="8" borderId="0" xfId="3" applyNumberFormat="1" applyFont="1" applyFill="1"/>
    <xf numFmtId="0" fontId="3" fillId="8" borderId="0" xfId="2" applyNumberFormat="1" applyFont="1" applyFill="1"/>
    <xf numFmtId="10" fontId="11" fillId="0" borderId="5" xfId="2" applyNumberFormat="1" applyFont="1" applyFill="1" applyBorder="1" applyAlignment="1">
      <alignment horizontal="center" vertical="center" wrapText="1"/>
    </xf>
    <xf numFmtId="10" fontId="11" fillId="0" borderId="41" xfId="2" applyNumberFormat="1" applyFont="1" applyBorder="1" applyAlignment="1">
      <alignment horizontal="center" vertical="center" wrapText="1"/>
    </xf>
    <xf numFmtId="0" fontId="0" fillId="34" borderId="0" xfId="0" applyFill="1"/>
    <xf numFmtId="0" fontId="58" fillId="34" borderId="0" xfId="5" applyFill="1"/>
    <xf numFmtId="10" fontId="11" fillId="0" borderId="1" xfId="2" applyNumberFormat="1" applyFont="1" applyFill="1" applyBorder="1" applyAlignment="1">
      <alignment horizontal="center" vertical="center" wrapText="1"/>
    </xf>
    <xf numFmtId="10" fontId="11" fillId="0" borderId="45" xfId="2" applyNumberFormat="1" applyFont="1" applyFill="1" applyBorder="1" applyAlignment="1">
      <alignment horizontal="center" vertical="center" wrapText="1"/>
    </xf>
    <xf numFmtId="10" fontId="11" fillId="0" borderId="41" xfId="2" applyNumberFormat="1" applyFont="1" applyFill="1" applyBorder="1" applyAlignment="1">
      <alignment horizontal="center" vertical="center" wrapText="1"/>
    </xf>
    <xf numFmtId="10" fontId="11" fillId="0" borderId="59" xfId="2" applyNumberFormat="1" applyFont="1" applyBorder="1" applyAlignment="1">
      <alignment horizontal="center" vertical="center" wrapText="1"/>
    </xf>
    <xf numFmtId="10" fontId="11" fillId="0" borderId="8" xfId="2" applyNumberFormat="1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1" fontId="11" fillId="0" borderId="41" xfId="0" applyNumberFormat="1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 wrapText="1"/>
    </xf>
    <xf numFmtId="9" fontId="6" fillId="2" borderId="3" xfId="0" applyNumberFormat="1" applyFont="1" applyFill="1" applyBorder="1" applyAlignment="1">
      <alignment horizontal="center" vertical="center" wrapText="1"/>
    </xf>
    <xf numFmtId="9" fontId="12" fillId="6" borderId="5" xfId="0" applyNumberFormat="1" applyFont="1" applyFill="1" applyBorder="1" applyAlignment="1">
      <alignment horizontal="center" vertical="center" wrapText="1"/>
    </xf>
    <xf numFmtId="9" fontId="11" fillId="0" borderId="5" xfId="0" applyNumberFormat="1" applyFont="1" applyBorder="1" applyAlignment="1">
      <alignment horizontal="center" vertical="center" wrapText="1"/>
    </xf>
    <xf numFmtId="9" fontId="11" fillId="0" borderId="0" xfId="0" applyNumberFormat="1" applyFont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9" fontId="3" fillId="0" borderId="59" xfId="0" applyNumberFormat="1" applyFont="1" applyBorder="1" applyAlignment="1">
      <alignment horizontal="center" vertical="center" wrapText="1"/>
    </xf>
    <xf numFmtId="9" fontId="0" fillId="0" borderId="41" xfId="0" applyNumberFormat="1" applyBorder="1" applyAlignment="1">
      <alignment horizontal="center" vertical="center" wrapText="1"/>
    </xf>
    <xf numFmtId="9" fontId="0" fillId="0" borderId="59" xfId="0" applyNumberFormat="1" applyBorder="1" applyAlignment="1">
      <alignment horizontal="center" vertical="center" wrapText="1"/>
    </xf>
    <xf numFmtId="9" fontId="3" fillId="0" borderId="61" xfId="0" applyNumberFormat="1" applyFont="1" applyBorder="1" applyAlignment="1">
      <alignment horizontal="center" vertical="center" wrapText="1"/>
    </xf>
    <xf numFmtId="9" fontId="11" fillId="0" borderId="42" xfId="0" applyNumberFormat="1" applyFont="1" applyBorder="1" applyAlignment="1">
      <alignment horizontal="center" vertical="center" wrapText="1"/>
    </xf>
    <xf numFmtId="9" fontId="11" fillId="0" borderId="61" xfId="0" applyNumberFormat="1" applyFont="1" applyBorder="1" applyAlignment="1">
      <alignment horizontal="center" vertical="center" wrapText="1"/>
    </xf>
    <xf numFmtId="37" fontId="11" fillId="0" borderId="41" xfId="4" applyNumberFormat="1" applyFont="1" applyBorder="1" applyAlignment="1">
      <alignment horizontal="center" vertical="center" wrapText="1"/>
    </xf>
    <xf numFmtId="37" fontId="3" fillId="0" borderId="63" xfId="4" applyNumberFormat="1" applyFont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12" fillId="6" borderId="41" xfId="0" applyFont="1" applyFill="1" applyBorder="1" applyAlignment="1">
      <alignment horizontal="center" vertical="center" wrapText="1"/>
    </xf>
    <xf numFmtId="0" fontId="12" fillId="6" borderId="42" xfId="0" applyFont="1" applyFill="1" applyBorder="1" applyAlignment="1">
      <alignment horizontal="center" vertical="center" wrapText="1"/>
    </xf>
    <xf numFmtId="37" fontId="11" fillId="0" borderId="10" xfId="4" applyNumberFormat="1" applyFont="1" applyBorder="1" applyAlignment="1">
      <alignment horizontal="center" vertical="center" wrapText="1"/>
    </xf>
    <xf numFmtId="37" fontId="11" fillId="0" borderId="62" xfId="4" applyNumberFormat="1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wrapText="1"/>
    </xf>
    <xf numFmtId="9" fontId="11" fillId="0" borderId="41" xfId="4" applyNumberFormat="1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1" fontId="11" fillId="0" borderId="71" xfId="2" applyNumberFormat="1" applyFont="1" applyFill="1" applyBorder="1" applyAlignment="1">
      <alignment horizontal="center" vertical="center" wrapText="1"/>
    </xf>
    <xf numFmtId="10" fontId="11" fillId="0" borderId="71" xfId="2" applyNumberFormat="1" applyFont="1" applyBorder="1" applyAlignment="1">
      <alignment horizontal="center" vertical="center" wrapText="1"/>
    </xf>
    <xf numFmtId="9" fontId="11" fillId="0" borderId="11" xfId="2" applyFont="1" applyBorder="1" applyAlignment="1">
      <alignment horizontal="center" vertical="center" wrapText="1"/>
    </xf>
    <xf numFmtId="169" fontId="11" fillId="0" borderId="71" xfId="2" applyNumberFormat="1" applyFont="1" applyBorder="1" applyAlignment="1">
      <alignment horizontal="center" vertical="center" wrapText="1"/>
    </xf>
    <xf numFmtId="169" fontId="11" fillId="0" borderId="11" xfId="2" applyNumberFormat="1" applyFont="1" applyBorder="1" applyAlignment="1">
      <alignment horizontal="center" vertical="center" wrapText="1"/>
    </xf>
    <xf numFmtId="169" fontId="11" fillId="0" borderId="72" xfId="2" applyNumberFormat="1" applyFont="1" applyBorder="1" applyAlignment="1">
      <alignment horizontal="center" vertical="center" wrapText="1"/>
    </xf>
    <xf numFmtId="169" fontId="11" fillId="0" borderId="74" xfId="2" applyNumberFormat="1" applyFont="1" applyBorder="1" applyAlignment="1">
      <alignment horizontal="center" vertical="center" wrapText="1"/>
    </xf>
    <xf numFmtId="169" fontId="3" fillId="0" borderId="72" xfId="0" applyNumberFormat="1" applyFont="1" applyBorder="1" applyAlignment="1">
      <alignment horizontal="center" wrapText="1"/>
    </xf>
    <xf numFmtId="169" fontId="0" fillId="0" borderId="72" xfId="0" applyNumberFormat="1" applyBorder="1" applyAlignment="1">
      <alignment horizontal="center" wrapText="1"/>
    </xf>
    <xf numFmtId="169" fontId="0" fillId="0" borderId="74" xfId="0" applyNumberFormat="1" applyBorder="1" applyAlignment="1">
      <alignment horizontal="center" wrapText="1"/>
    </xf>
    <xf numFmtId="169" fontId="3" fillId="0" borderId="74" xfId="0" applyNumberFormat="1" applyFont="1" applyBorder="1" applyAlignment="1">
      <alignment horizontal="center" wrapText="1"/>
    </xf>
    <xf numFmtId="10" fontId="3" fillId="0" borderId="72" xfId="0" applyNumberFormat="1" applyFont="1" applyBorder="1" applyAlignment="1">
      <alignment horizontal="center" wrapText="1"/>
    </xf>
    <xf numFmtId="10" fontId="3" fillId="0" borderId="74" xfId="0" applyNumberFormat="1" applyFont="1" applyBorder="1" applyAlignment="1">
      <alignment horizontal="center" wrapText="1"/>
    </xf>
    <xf numFmtId="0" fontId="12" fillId="6" borderId="43" xfId="0" applyFont="1" applyFill="1" applyBorder="1" applyAlignment="1">
      <alignment horizontal="center" vertical="center" wrapText="1"/>
    </xf>
    <xf numFmtId="9" fontId="12" fillId="10" borderId="73" xfId="2" applyFont="1" applyFill="1" applyBorder="1" applyAlignment="1">
      <alignment horizontal="center" vertical="center" wrapText="1"/>
    </xf>
    <xf numFmtId="9" fontId="12" fillId="10" borderId="70" xfId="2" applyFont="1" applyFill="1" applyBorder="1" applyAlignment="1">
      <alignment horizontal="center" vertical="center" wrapText="1"/>
    </xf>
    <xf numFmtId="1" fontId="6" fillId="2" borderId="4" xfId="0" applyNumberFormat="1" applyFont="1" applyFill="1" applyBorder="1" applyAlignment="1">
      <alignment horizontal="center" vertical="center" wrapText="1"/>
    </xf>
    <xf numFmtId="1" fontId="12" fillId="6" borderId="5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1" fontId="11" fillId="0" borderId="45" xfId="0" applyNumberFormat="1" applyFont="1" applyBorder="1" applyAlignment="1">
      <alignment horizontal="center" vertical="center" wrapText="1"/>
    </xf>
    <xf numFmtId="1" fontId="3" fillId="0" borderId="41" xfId="0" applyNumberFormat="1" applyFont="1" applyBorder="1" applyAlignment="1">
      <alignment horizontal="center" vertical="center" wrapText="1"/>
    </xf>
    <xf numFmtId="1" fontId="3" fillId="0" borderId="61" xfId="0" applyNumberFormat="1" applyFont="1" applyBorder="1" applyAlignment="1">
      <alignment horizontal="center" vertical="center" wrapText="1"/>
    </xf>
    <xf numFmtId="1" fontId="0" fillId="0" borderId="41" xfId="0" applyNumberFormat="1" applyBorder="1" applyAlignment="1">
      <alignment horizontal="center" vertical="center" wrapText="1"/>
    </xf>
    <xf numFmtId="1" fontId="0" fillId="0" borderId="59" xfId="0" applyNumberFormat="1" applyBorder="1" applyAlignment="1">
      <alignment horizontal="center" vertical="center" wrapText="1"/>
    </xf>
    <xf numFmtId="1" fontId="3" fillId="0" borderId="59" xfId="0" applyNumberFormat="1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11" fillId="0" borderId="71" xfId="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center" wrapText="1"/>
    </xf>
    <xf numFmtId="1" fontId="12" fillId="0" borderId="1" xfId="0" applyNumberFormat="1" applyFont="1" applyBorder="1" applyAlignment="1">
      <alignment horizontal="center" vertical="center" wrapText="1"/>
    </xf>
    <xf numFmtId="9" fontId="12" fillId="0" borderId="1" xfId="0" applyNumberFormat="1" applyFont="1" applyBorder="1" applyAlignment="1">
      <alignment horizontal="center" vertical="center" wrapText="1"/>
    </xf>
    <xf numFmtId="10" fontId="12" fillId="0" borderId="1" xfId="2" applyNumberFormat="1" applyFont="1" applyBorder="1" applyAlignment="1">
      <alignment horizontal="center" vertical="center" wrapText="1"/>
    </xf>
    <xf numFmtId="0" fontId="4" fillId="0" borderId="41" xfId="0" applyFont="1" applyBorder="1"/>
    <xf numFmtId="2" fontId="12" fillId="0" borderId="1" xfId="0" applyNumberFormat="1" applyFont="1" applyBorder="1" applyAlignment="1">
      <alignment horizontal="center" vertical="center" wrapText="1"/>
    </xf>
    <xf numFmtId="17" fontId="26" fillId="7" borderId="0" xfId="0" applyNumberFormat="1" applyFont="1" applyFill="1" applyAlignment="1">
      <alignment horizontal="center"/>
    </xf>
    <xf numFmtId="0" fontId="26" fillId="7" borderId="0" xfId="0" applyFont="1" applyFill="1" applyAlignment="1">
      <alignment horizontal="center"/>
    </xf>
    <xf numFmtId="3" fontId="11" fillId="0" borderId="43" xfId="3" applyNumberFormat="1" applyFont="1" applyFill="1" applyBorder="1" applyAlignment="1">
      <alignment horizontal="center" vertical="center"/>
    </xf>
    <xf numFmtId="2" fontId="7" fillId="33" borderId="4" xfId="3" applyNumberFormat="1" applyFont="1" applyFill="1" applyBorder="1" applyAlignment="1">
      <alignment horizontal="left" vertical="top" wrapText="1"/>
    </xf>
    <xf numFmtId="2" fontId="3" fillId="8" borderId="0" xfId="3" applyNumberFormat="1" applyFont="1" applyFill="1"/>
    <xf numFmtId="2" fontId="3" fillId="28" borderId="0" xfId="3" applyNumberFormat="1" applyFont="1" applyFill="1"/>
    <xf numFmtId="2" fontId="3" fillId="25" borderId="0" xfId="3" applyNumberFormat="1" applyFont="1" applyFill="1"/>
    <xf numFmtId="0" fontId="11" fillId="10" borderId="1" xfId="3" applyNumberFormat="1" applyFont="1" applyFill="1" applyBorder="1" applyAlignment="1">
      <alignment horizontal="center" vertical="center"/>
    </xf>
    <xf numFmtId="0" fontId="11" fillId="10" borderId="43" xfId="3" applyNumberFormat="1" applyFont="1" applyFill="1" applyBorder="1" applyAlignment="1">
      <alignment horizontal="center" vertical="center"/>
    </xf>
    <xf numFmtId="44" fontId="11" fillId="10" borderId="43" xfId="3" applyFont="1" applyFill="1" applyBorder="1" applyAlignment="1">
      <alignment horizontal="center" vertical="center"/>
    </xf>
    <xf numFmtId="1" fontId="11" fillId="10" borderId="43" xfId="3" applyNumberFormat="1" applyFont="1" applyFill="1" applyBorder="1" applyAlignment="1">
      <alignment horizontal="center" vertical="center"/>
    </xf>
    <xf numFmtId="3" fontId="11" fillId="10" borderId="1" xfId="3" applyNumberFormat="1" applyFont="1" applyFill="1" applyBorder="1" applyAlignment="1">
      <alignment horizontal="center" vertical="center"/>
    </xf>
    <xf numFmtId="10" fontId="11" fillId="0" borderId="0" xfId="0" applyNumberFormat="1" applyFont="1" applyAlignment="1">
      <alignment horizontal="center" vertical="center" wrapText="1"/>
    </xf>
    <xf numFmtId="169" fontId="11" fillId="0" borderId="0" xfId="0" applyNumberFormat="1" applyFont="1" applyAlignment="1">
      <alignment horizontal="center" vertical="center" wrapText="1"/>
    </xf>
    <xf numFmtId="10" fontId="11" fillId="0" borderId="0" xfId="2" applyNumberFormat="1" applyFont="1" applyBorder="1" applyAlignment="1">
      <alignment horizontal="center" vertical="center" wrapText="1"/>
    </xf>
    <xf numFmtId="1" fontId="11" fillId="0" borderId="4" xfId="3" applyNumberFormat="1" applyFont="1" applyBorder="1" applyAlignment="1">
      <alignment horizontal="center" vertical="center"/>
    </xf>
    <xf numFmtId="1" fontId="11" fillId="0" borderId="8" xfId="3" applyNumberFormat="1" applyFont="1" applyBorder="1" applyAlignment="1">
      <alignment horizontal="center" vertical="center"/>
    </xf>
    <xf numFmtId="1" fontId="11" fillId="0" borderId="41" xfId="3" applyNumberFormat="1" applyFont="1" applyBorder="1" applyAlignment="1">
      <alignment horizontal="center" vertical="center"/>
    </xf>
    <xf numFmtId="10" fontId="11" fillId="3" borderId="44" xfId="2" applyNumberFormat="1" applyFont="1" applyFill="1" applyBorder="1" applyAlignment="1">
      <alignment horizontal="center" vertical="center"/>
    </xf>
    <xf numFmtId="0" fontId="33" fillId="6" borderId="0" xfId="0" applyFont="1" applyFill="1" applyAlignment="1">
      <alignment horizontal="left" vertical="center"/>
    </xf>
    <xf numFmtId="0" fontId="14" fillId="11" borderId="0" xfId="0" applyFont="1" applyFill="1" applyAlignment="1">
      <alignment horizontal="center" vertical="center" wrapText="1"/>
    </xf>
    <xf numFmtId="0" fontId="19" fillId="7" borderId="6" xfId="0" applyFont="1" applyFill="1" applyBorder="1" applyAlignment="1">
      <alignment horizontal="center" vertical="center"/>
    </xf>
    <xf numFmtId="169" fontId="11" fillId="0" borderId="20" xfId="2" applyNumberFormat="1" applyFont="1" applyBorder="1" applyAlignment="1">
      <alignment horizontal="center" vertical="center"/>
    </xf>
    <xf numFmtId="10" fontId="11" fillId="0" borderId="20" xfId="3" applyNumberFormat="1" applyFont="1" applyBorder="1" applyAlignment="1">
      <alignment horizontal="center" vertical="center"/>
    </xf>
    <xf numFmtId="16" fontId="26" fillId="7" borderId="0" xfId="0" applyNumberFormat="1" applyFont="1" applyFill="1" applyAlignment="1">
      <alignment horizontal="center"/>
    </xf>
    <xf numFmtId="10" fontId="11" fillId="0" borderId="20" xfId="2" applyNumberFormat="1" applyFont="1" applyBorder="1" applyAlignment="1">
      <alignment horizontal="center" vertical="center"/>
    </xf>
    <xf numFmtId="1" fontId="11" fillId="0" borderId="22" xfId="3" applyNumberFormat="1" applyFont="1" applyBorder="1" applyAlignment="1">
      <alignment horizontal="center" vertical="center"/>
    </xf>
    <xf numFmtId="1" fontId="59" fillId="0" borderId="43" xfId="3" applyNumberFormat="1" applyFont="1" applyBorder="1" applyAlignment="1">
      <alignment horizontal="center" vertical="center"/>
    </xf>
    <xf numFmtId="1" fontId="59" fillId="0" borderId="20" xfId="3" applyNumberFormat="1" applyFont="1" applyBorder="1" applyAlignment="1">
      <alignment horizontal="center" vertical="center"/>
    </xf>
    <xf numFmtId="1" fontId="59" fillId="0" borderId="5" xfId="3" applyNumberFormat="1" applyFont="1" applyBorder="1" applyAlignment="1">
      <alignment horizontal="center" vertical="center"/>
    </xf>
    <xf numFmtId="1" fontId="11" fillId="33" borderId="20" xfId="3" applyNumberFormat="1" applyFont="1" applyFill="1" applyBorder="1" applyAlignment="1">
      <alignment horizontal="center" vertical="center"/>
    </xf>
    <xf numFmtId="1" fontId="11" fillId="33" borderId="43" xfId="3" applyNumberFormat="1" applyFont="1" applyFill="1" applyBorder="1" applyAlignment="1">
      <alignment horizontal="center" vertical="center"/>
    </xf>
    <xf numFmtId="1" fontId="11" fillId="33" borderId="5" xfId="3" applyNumberFormat="1" applyFont="1" applyFill="1" applyBorder="1" applyAlignment="1">
      <alignment horizontal="center" vertical="center"/>
    </xf>
    <xf numFmtId="1" fontId="0" fillId="0" borderId="5" xfId="3" applyNumberFormat="1" applyFont="1" applyBorder="1" applyAlignment="1">
      <alignment horizontal="center" vertical="center"/>
    </xf>
    <xf numFmtId="1" fontId="11" fillId="0" borderId="9" xfId="3" applyNumberFormat="1" applyFont="1" applyBorder="1" applyAlignment="1">
      <alignment horizontal="center" vertical="center"/>
    </xf>
    <xf numFmtId="1" fontId="11" fillId="0" borderId="75" xfId="3" applyNumberFormat="1" applyFont="1" applyBorder="1" applyAlignment="1">
      <alignment horizontal="center" vertical="center"/>
    </xf>
    <xf numFmtId="1" fontId="11" fillId="0" borderId="23" xfId="3" applyNumberFormat="1" applyFont="1" applyBorder="1" applyAlignment="1">
      <alignment horizontal="center" vertical="center"/>
    </xf>
    <xf numFmtId="0" fontId="22" fillId="2" borderId="77" xfId="0" applyFont="1" applyFill="1" applyBorder="1" applyAlignment="1">
      <alignment vertical="center"/>
    </xf>
    <xf numFmtId="14" fontId="33" fillId="6" borderId="76" xfId="0" applyNumberFormat="1" applyFont="1" applyFill="1" applyBorder="1" applyAlignment="1">
      <alignment horizontal="left" vertical="center"/>
    </xf>
    <xf numFmtId="14" fontId="14" fillId="11" borderId="76" xfId="0" applyNumberFormat="1" applyFont="1" applyFill="1" applyBorder="1" applyAlignment="1">
      <alignment horizontal="center" vertical="center" wrapText="1"/>
    </xf>
    <xf numFmtId="14" fontId="19" fillId="7" borderId="78" xfId="0" applyNumberFormat="1" applyFont="1" applyFill="1" applyBorder="1" applyAlignment="1">
      <alignment horizontal="center" vertical="center"/>
    </xf>
    <xf numFmtId="165" fontId="26" fillId="7" borderId="76" xfId="0" applyNumberFormat="1" applyFont="1" applyFill="1" applyBorder="1" applyAlignment="1">
      <alignment horizontal="center"/>
    </xf>
    <xf numFmtId="0" fontId="4" fillId="0" borderId="76" xfId="0" applyFont="1" applyBorder="1"/>
    <xf numFmtId="0" fontId="0" fillId="0" borderId="76" xfId="0" applyBorder="1"/>
    <xf numFmtId="44" fontId="29" fillId="6" borderId="79" xfId="3" applyFont="1" applyFill="1" applyBorder="1" applyAlignment="1">
      <alignment vertical="center"/>
    </xf>
    <xf numFmtId="44" fontId="19" fillId="7" borderId="42" xfId="3" applyFont="1" applyFill="1" applyBorder="1" applyAlignment="1">
      <alignment horizontal="center" vertical="center"/>
    </xf>
    <xf numFmtId="1" fontId="11" fillId="0" borderId="42" xfId="3" applyNumberFormat="1" applyFont="1" applyBorder="1" applyAlignment="1">
      <alignment horizontal="center" vertical="center"/>
    </xf>
    <xf numFmtId="1" fontId="11" fillId="0" borderId="2" xfId="3" applyNumberFormat="1" applyFont="1" applyBorder="1" applyAlignment="1">
      <alignment horizontal="center" vertical="center"/>
    </xf>
    <xf numFmtId="1" fontId="11" fillId="0" borderId="63" xfId="3" applyNumberFormat="1" applyFont="1" applyBorder="1" applyAlignment="1">
      <alignment horizontal="center" vertical="center"/>
    </xf>
    <xf numFmtId="1" fontId="11" fillId="0" borderId="73" xfId="3" applyNumberFormat="1" applyFont="1" applyBorder="1" applyAlignment="1">
      <alignment horizontal="center" vertical="center"/>
    </xf>
    <xf numFmtId="0" fontId="27" fillId="2" borderId="80" xfId="0" applyFont="1" applyFill="1" applyBorder="1" applyAlignment="1">
      <alignment horizontal="center" vertical="center" wrapText="1"/>
    </xf>
    <xf numFmtId="44" fontId="31" fillId="6" borderId="81" xfId="3" applyFont="1" applyFill="1" applyBorder="1" applyAlignment="1">
      <alignment vertical="center"/>
    </xf>
    <xf numFmtId="44" fontId="19" fillId="7" borderId="82" xfId="3" applyFont="1" applyFill="1" applyBorder="1" applyAlignment="1">
      <alignment horizontal="center" vertical="center"/>
    </xf>
    <xf numFmtId="1" fontId="11" fillId="0" borderId="82" xfId="3" applyNumberFormat="1" applyFont="1" applyBorder="1" applyAlignment="1">
      <alignment horizontal="center" vertical="center"/>
    </xf>
    <xf numFmtId="1" fontId="11" fillId="0" borderId="83" xfId="3" applyNumberFormat="1" applyFont="1" applyBorder="1" applyAlignment="1">
      <alignment horizontal="center" vertical="center"/>
    </xf>
    <xf numFmtId="44" fontId="3" fillId="0" borderId="76" xfId="3" applyFont="1" applyBorder="1"/>
    <xf numFmtId="37" fontId="11" fillId="0" borderId="42" xfId="4" applyNumberFormat="1" applyFont="1" applyBorder="1" applyAlignment="1">
      <alignment horizontal="center" vertical="center" wrapText="1"/>
    </xf>
    <xf numFmtId="9" fontId="12" fillId="10" borderId="63" xfId="2" applyFont="1" applyFill="1" applyBorder="1" applyAlignment="1">
      <alignment horizontal="center" vertical="center" wrapText="1"/>
    </xf>
    <xf numFmtId="9" fontId="3" fillId="0" borderId="59" xfId="0" applyNumberFormat="1" applyFont="1" applyBorder="1" applyAlignment="1">
      <alignment horizontal="center" wrapText="1"/>
    </xf>
    <xf numFmtId="9" fontId="0" fillId="0" borderId="84" xfId="0" applyNumberFormat="1" applyBorder="1" applyAlignment="1">
      <alignment horizontal="center" wrapText="1"/>
    </xf>
    <xf numFmtId="0" fontId="24" fillId="2" borderId="3" xfId="0" applyFont="1" applyFill="1" applyBorder="1" applyAlignment="1">
      <alignment vertical="center" wrapText="1"/>
    </xf>
    <xf numFmtId="0" fontId="12" fillId="6" borderId="0" xfId="0" applyFont="1" applyFill="1" applyAlignment="1">
      <alignment vertical="center"/>
    </xf>
    <xf numFmtId="0" fontId="12" fillId="13" borderId="0" xfId="0" applyFont="1" applyFill="1" applyAlignment="1">
      <alignment horizontal="right"/>
    </xf>
    <xf numFmtId="1" fontId="11" fillId="0" borderId="20" xfId="3" applyNumberFormat="1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vertical="center" wrapText="1"/>
    </xf>
    <xf numFmtId="0" fontId="0" fillId="0" borderId="85" xfId="0" applyBorder="1" applyAlignment="1">
      <alignment wrapText="1"/>
    </xf>
    <xf numFmtId="169" fontId="0" fillId="0" borderId="86" xfId="0" applyNumberFormat="1" applyBorder="1" applyAlignment="1">
      <alignment horizontal="center" wrapText="1"/>
    </xf>
    <xf numFmtId="9" fontId="12" fillId="10" borderId="86" xfId="2" applyFont="1" applyFill="1" applyBorder="1" applyAlignment="1">
      <alignment horizontal="center" vertical="center" wrapText="1"/>
    </xf>
    <xf numFmtId="10" fontId="0" fillId="0" borderId="86" xfId="0" applyNumberFormat="1" applyBorder="1" applyAlignment="1">
      <alignment horizontal="center" wrapText="1"/>
    </xf>
    <xf numFmtId="10" fontId="0" fillId="0" borderId="87" xfId="0" applyNumberFormat="1" applyBorder="1" applyAlignment="1">
      <alignment horizontal="center" wrapText="1"/>
    </xf>
    <xf numFmtId="0" fontId="0" fillId="0" borderId="88" xfId="0" applyBorder="1" applyAlignment="1">
      <alignment wrapText="1"/>
    </xf>
    <xf numFmtId="10" fontId="0" fillId="0" borderId="89" xfId="0" applyNumberFormat="1" applyBorder="1" applyAlignment="1">
      <alignment horizontal="center" wrapText="1"/>
    </xf>
    <xf numFmtId="0" fontId="16" fillId="0" borderId="0" xfId="0" applyFont="1" applyAlignment="1">
      <alignment horizontal="right"/>
    </xf>
    <xf numFmtId="1" fontId="15" fillId="17" borderId="0" xfId="0" applyNumberFormat="1" applyFont="1" applyFill="1"/>
    <xf numFmtId="1" fontId="0" fillId="17" borderId="1" xfId="0" applyNumberFormat="1" applyFill="1" applyBorder="1"/>
    <xf numFmtId="172" fontId="11" fillId="0" borderId="43" xfId="3" applyNumberFormat="1" applyFont="1" applyBorder="1" applyAlignment="1">
      <alignment horizontal="center" vertical="center"/>
    </xf>
    <xf numFmtId="10" fontId="11" fillId="0" borderId="43" xfId="3" applyNumberFormat="1" applyFont="1" applyBorder="1" applyAlignment="1">
      <alignment horizontal="center" vertical="center"/>
    </xf>
    <xf numFmtId="0" fontId="5" fillId="12" borderId="90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14" fontId="15" fillId="4" borderId="10" xfId="0" applyNumberFormat="1" applyFont="1" applyFill="1" applyBorder="1" applyAlignment="1">
      <alignment horizontal="center"/>
    </xf>
    <xf numFmtId="169" fontId="0" fillId="17" borderId="10" xfId="2" applyNumberFormat="1" applyFont="1" applyFill="1" applyBorder="1" applyAlignment="1">
      <alignment horizontal="center"/>
    </xf>
    <xf numFmtId="14" fontId="15" fillId="0" borderId="0" xfId="0" applyNumberFormat="1" applyFont="1" applyAlignment="1">
      <alignment horizontal="center"/>
    </xf>
    <xf numFmtId="169" fontId="0" fillId="0" borderId="0" xfId="2" applyNumberFormat="1" applyFont="1" applyFill="1" applyBorder="1" applyAlignment="1">
      <alignment horizontal="center"/>
    </xf>
    <xf numFmtId="3" fontId="3" fillId="0" borderId="41" xfId="0" applyNumberFormat="1" applyFont="1" applyBorder="1" applyAlignment="1">
      <alignment horizontal="center" vertical="center" wrapText="1"/>
    </xf>
    <xf numFmtId="14" fontId="0" fillId="0" borderId="0" xfId="0" applyNumberFormat="1"/>
    <xf numFmtId="18" fontId="0" fillId="0" borderId="0" xfId="0" applyNumberFormat="1"/>
    <xf numFmtId="3" fontId="0" fillId="0" borderId="0" xfId="0" applyNumberFormat="1"/>
    <xf numFmtId="10" fontId="0" fillId="0" borderId="0" xfId="0" applyNumberFormat="1"/>
    <xf numFmtId="9" fontId="0" fillId="0" borderId="0" xfId="0" applyNumberFormat="1"/>
    <xf numFmtId="172" fontId="11" fillId="0" borderId="55" xfId="3" applyNumberFormat="1" applyFont="1" applyBorder="1" applyAlignment="1">
      <alignment horizontal="center" vertical="center"/>
    </xf>
    <xf numFmtId="0" fontId="0" fillId="0" borderId="41" xfId="0" applyBorder="1"/>
    <xf numFmtId="0" fontId="0" fillId="35" borderId="0" xfId="0" applyFill="1"/>
    <xf numFmtId="0" fontId="0" fillId="28" borderId="0" xfId="0" applyFill="1"/>
    <xf numFmtId="1" fontId="0" fillId="28" borderId="0" xfId="0" applyNumberFormat="1" applyFill="1"/>
    <xf numFmtId="1" fontId="0" fillId="35" borderId="0" xfId="0" applyNumberFormat="1" applyFill="1"/>
    <xf numFmtId="172" fontId="0" fillId="28" borderId="0" xfId="0" applyNumberFormat="1" applyFill="1"/>
    <xf numFmtId="172" fontId="0" fillId="0" borderId="0" xfId="0" applyNumberFormat="1"/>
    <xf numFmtId="172" fontId="0" fillId="35" borderId="0" xfId="0" applyNumberFormat="1" applyFill="1"/>
    <xf numFmtId="172" fontId="4" fillId="0" borderId="0" xfId="0" applyNumberFormat="1" applyFont="1"/>
    <xf numFmtId="0" fontId="0" fillId="36" borderId="0" xfId="0" applyFill="1"/>
    <xf numFmtId="1" fontId="0" fillId="36" borderId="0" xfId="0" applyNumberFormat="1" applyFill="1"/>
    <xf numFmtId="0" fontId="0" fillId="0" borderId="14" xfId="0" applyBorder="1"/>
    <xf numFmtId="3" fontId="3" fillId="0" borderId="59" xfId="0" applyNumberFormat="1" applyFont="1" applyBorder="1" applyAlignment="1">
      <alignment horizontal="center" vertical="center" wrapText="1"/>
    </xf>
    <xf numFmtId="175" fontId="3" fillId="0" borderId="41" xfId="0" applyNumberFormat="1" applyFont="1" applyBorder="1" applyAlignment="1">
      <alignment horizontal="center" vertical="center" wrapText="1"/>
    </xf>
    <xf numFmtId="165" fontId="15" fillId="37" borderId="1" xfId="0" applyNumberFormat="1" applyFont="1" applyFill="1" applyBorder="1" applyAlignment="1">
      <alignment horizontal="center"/>
    </xf>
    <xf numFmtId="165" fontId="15" fillId="37" borderId="10" xfId="0" applyNumberFormat="1" applyFont="1" applyFill="1" applyBorder="1" applyAlignment="1">
      <alignment horizontal="center"/>
    </xf>
    <xf numFmtId="165" fontId="15" fillId="37" borderId="66" xfId="0" applyNumberFormat="1" applyFont="1" applyFill="1" applyBorder="1" applyAlignment="1">
      <alignment horizontal="center"/>
    </xf>
    <xf numFmtId="165" fontId="15" fillId="37" borderId="70" xfId="0" applyNumberFormat="1" applyFont="1" applyFill="1" applyBorder="1" applyAlignment="1">
      <alignment horizontal="center"/>
    </xf>
    <xf numFmtId="172" fontId="0" fillId="0" borderId="0" xfId="0" applyNumberFormat="1" applyAlignment="1">
      <alignment horizontal="right"/>
    </xf>
    <xf numFmtId="10" fontId="3" fillId="0" borderId="0" xfId="0" applyNumberFormat="1" applyFont="1" applyAlignment="1">
      <alignment horizontal="center" wrapText="1"/>
    </xf>
    <xf numFmtId="0" fontId="60" fillId="0" borderId="0" xfId="0" applyFont="1"/>
    <xf numFmtId="44" fontId="0" fillId="0" borderId="0" xfId="3" applyFont="1"/>
    <xf numFmtId="0" fontId="4" fillId="33" borderId="41" xfId="0" applyFont="1" applyFill="1" applyBorder="1"/>
    <xf numFmtId="1" fontId="15" fillId="38" borderId="1" xfId="0" applyNumberFormat="1" applyFont="1" applyFill="1" applyBorder="1"/>
    <xf numFmtId="0" fontId="0" fillId="39" borderId="0" xfId="0" applyFill="1"/>
    <xf numFmtId="172" fontId="0" fillId="39" borderId="0" xfId="0" applyNumberFormat="1" applyFill="1"/>
    <xf numFmtId="0" fontId="0" fillId="28" borderId="0" xfId="0" applyFill="1" applyAlignment="1">
      <alignment wrapText="1"/>
    </xf>
    <xf numFmtId="1" fontId="15" fillId="8" borderId="1" xfId="0" applyNumberFormat="1" applyFont="1" applyFill="1" applyBorder="1"/>
    <xf numFmtId="0" fontId="5" fillId="12" borderId="71" xfId="0" applyFont="1" applyFill="1" applyBorder="1" applyAlignment="1">
      <alignment horizontal="center"/>
    </xf>
    <xf numFmtId="0" fontId="16" fillId="0" borderId="45" xfId="0" applyFont="1" applyBorder="1" applyAlignment="1">
      <alignment horizontal="right"/>
    </xf>
    <xf numFmtId="1" fontId="15" fillId="17" borderId="45" xfId="0" applyNumberFormat="1" applyFont="1" applyFill="1" applyBorder="1"/>
    <xf numFmtId="1" fontId="15" fillId="17" borderId="62" xfId="0" applyNumberFormat="1" applyFont="1" applyFill="1" applyBorder="1"/>
    <xf numFmtId="1" fontId="15" fillId="17" borderId="91" xfId="0" applyNumberFormat="1" applyFont="1" applyFill="1" applyBorder="1"/>
    <xf numFmtId="1" fontId="15" fillId="17" borderId="12" xfId="0" applyNumberFormat="1" applyFont="1" applyFill="1" applyBorder="1"/>
    <xf numFmtId="1" fontId="15" fillId="17" borderId="59" xfId="0" applyNumberFormat="1" applyFont="1" applyFill="1" applyBorder="1"/>
    <xf numFmtId="0" fontId="12" fillId="0" borderId="0" xfId="0" applyFont="1" applyAlignment="1">
      <alignment vertical="center"/>
    </xf>
    <xf numFmtId="0" fontId="12" fillId="19" borderId="0" xfId="0" applyFont="1" applyFill="1" applyAlignment="1">
      <alignment vertical="center"/>
    </xf>
    <xf numFmtId="0" fontId="12" fillId="19" borderId="0" xfId="0" applyFont="1" applyFill="1" applyAlignment="1">
      <alignment horizontal="center" vertical="center" wrapText="1"/>
    </xf>
    <xf numFmtId="0" fontId="3" fillId="19" borderId="0" xfId="0" applyFont="1" applyFill="1" applyAlignment="1">
      <alignment horizontal="center" vertical="center"/>
    </xf>
    <xf numFmtId="0" fontId="61" fillId="19" borderId="0" xfId="0" applyFont="1" applyFill="1" applyAlignment="1">
      <alignment vertical="center"/>
    </xf>
    <xf numFmtId="0" fontId="0" fillId="17" borderId="41" xfId="0" applyFill="1" applyBorder="1"/>
    <xf numFmtId="0" fontId="4" fillId="17" borderId="41" xfId="0" applyFont="1" applyFill="1" applyBorder="1"/>
    <xf numFmtId="1" fontId="15" fillId="0" borderId="0" xfId="0" applyNumberFormat="1" applyFont="1"/>
    <xf numFmtId="0" fontId="16" fillId="17" borderId="45" xfId="0" applyFont="1" applyFill="1" applyBorder="1" applyAlignment="1">
      <alignment horizontal="right"/>
    </xf>
    <xf numFmtId="0" fontId="16" fillId="28" borderId="41" xfId="0" applyFont="1" applyFill="1" applyBorder="1" applyAlignment="1">
      <alignment horizontal="right"/>
    </xf>
    <xf numFmtId="1" fontId="0" fillId="28" borderId="41" xfId="0" applyNumberFormat="1" applyFill="1" applyBorder="1"/>
    <xf numFmtId="0" fontId="0" fillId="28" borderId="41" xfId="0" applyFill="1" applyBorder="1"/>
    <xf numFmtId="1" fontId="0" fillId="17" borderId="41" xfId="0" applyNumberFormat="1" applyFill="1" applyBorder="1"/>
    <xf numFmtId="44" fontId="0" fillId="0" borderId="0" xfId="0" applyNumberFormat="1"/>
    <xf numFmtId="0" fontId="11" fillId="0" borderId="42" xfId="2" applyNumberFormat="1" applyFont="1" applyFill="1" applyBorder="1" applyAlignment="1">
      <alignment horizontal="left" vertical="center" wrapText="1"/>
    </xf>
    <xf numFmtId="0" fontId="40" fillId="17" borderId="0" xfId="0" applyFont="1" applyFill="1" applyAlignment="1">
      <alignment horizontal="center" vertical="center" wrapText="1"/>
    </xf>
    <xf numFmtId="0" fontId="44" fillId="15" borderId="52" xfId="0" applyFont="1" applyFill="1" applyBorder="1" applyAlignment="1">
      <alignment horizontal="center" vertical="center" wrapText="1" readingOrder="1"/>
    </xf>
    <xf numFmtId="0" fontId="44" fillId="15" borderId="53" xfId="0" applyFont="1" applyFill="1" applyBorder="1" applyAlignment="1">
      <alignment horizontal="center" vertical="center" wrapText="1" readingOrder="1"/>
    </xf>
    <xf numFmtId="0" fontId="44" fillId="15" borderId="69" xfId="0" applyFont="1" applyFill="1" applyBorder="1" applyAlignment="1">
      <alignment horizontal="center" vertical="center" wrapText="1" readingOrder="1"/>
    </xf>
    <xf numFmtId="14" fontId="29" fillId="11" borderId="34" xfId="0" applyNumberFormat="1" applyFont="1" applyFill="1" applyBorder="1" applyAlignment="1">
      <alignment horizontal="left" vertical="center" wrapText="1"/>
    </xf>
    <xf numFmtId="14" fontId="29" fillId="11" borderId="6" xfId="0" applyNumberFormat="1" applyFont="1" applyFill="1" applyBorder="1" applyAlignment="1">
      <alignment horizontal="left" vertical="center" wrapText="1"/>
    </xf>
    <xf numFmtId="14" fontId="29" fillId="11" borderId="35" xfId="0" applyNumberFormat="1" applyFont="1" applyFill="1" applyBorder="1" applyAlignment="1">
      <alignment horizontal="left" vertical="center" wrapText="1"/>
    </xf>
    <xf numFmtId="14" fontId="29" fillId="11" borderId="36" xfId="0" applyNumberFormat="1" applyFont="1" applyFill="1" applyBorder="1" applyAlignment="1">
      <alignment horizontal="left" vertical="center" wrapText="1"/>
    </xf>
    <xf numFmtId="14" fontId="29" fillId="11" borderId="7" xfId="0" applyNumberFormat="1" applyFont="1" applyFill="1" applyBorder="1" applyAlignment="1">
      <alignment horizontal="left" vertical="center" wrapText="1"/>
    </xf>
    <xf numFmtId="14" fontId="29" fillId="11" borderId="37" xfId="0" applyNumberFormat="1" applyFont="1" applyFill="1" applyBorder="1" applyAlignment="1">
      <alignment horizontal="left" vertical="center" wrapText="1"/>
    </xf>
  </cellXfs>
  <cellStyles count="6">
    <cellStyle name="Comma" xfId="4" builtinId="3"/>
    <cellStyle name="Currency" xfId="3" builtinId="4"/>
    <cellStyle name="Hyperlink" xfId="5" builtinId="8"/>
    <cellStyle name="Hyperlink 2" xfId="1" xr:uid="{CA0B7358-FAB9-446E-B99C-BE692A5C3919}"/>
    <cellStyle name="Normal" xfId="0" builtinId="0" customBuiltin="1"/>
    <cellStyle name="Percent" xfId="2" builtinId="5"/>
  </cellStyles>
  <dxfs count="7"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/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/>
        <horizontal style="thin">
          <color theme="3"/>
        </horizontal>
      </border>
    </dxf>
  </dxfs>
  <tableStyles count="1" defaultTableStyle="TableStyleMedium2" defaultPivotStyle="PivotStyleLight16">
    <tableStyle name="Social Media" pivot="0" count="3" xr9:uid="{92204B73-EDEC-4118-B478-195E8E00AA9D}">
      <tableStyleElement type="wholeTable" dxfId="6"/>
      <tableStyleElement type="headerRow" dxfId="5"/>
      <tableStyleElement type="secondRowStripe" dxfId="4"/>
    </tableStyle>
  </tableStyles>
  <colors>
    <mruColors>
      <color rgb="FFF6FF9D"/>
      <color rgb="FFA7E8FF"/>
      <color rgb="FFFFFE4F"/>
      <color rgb="FFEAF0F6"/>
      <color rgb="FF009900"/>
      <color rgb="FF33475B"/>
      <color rgb="FFFF00A4"/>
      <color rgb="FF6993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Email: </a:t>
            </a:r>
          </a:p>
          <a:p>
            <a:pPr>
              <a:defRPr sz="2400" b="1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Click-Through-Rate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Emails!$I$2</c:f>
              <c:strCache>
                <c:ptCount val="1"/>
                <c:pt idx="0">
                  <c:v>Click-Through Rate
(clicks / devilieries)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Emails!$C$3:$C$22</c:f>
              <c:numCache>
                <c:formatCode>m/d/yy;@</c:formatCode>
                <c:ptCount val="20"/>
                <c:pt idx="0">
                  <c:v>45821</c:v>
                </c:pt>
                <c:pt idx="1">
                  <c:v>45828</c:v>
                </c:pt>
                <c:pt idx="2">
                  <c:v>45834</c:v>
                </c:pt>
                <c:pt idx="3">
                  <c:v>45847</c:v>
                </c:pt>
                <c:pt idx="4">
                  <c:v>45847</c:v>
                </c:pt>
                <c:pt idx="5">
                  <c:v>45855</c:v>
                </c:pt>
                <c:pt idx="6">
                  <c:v>45861</c:v>
                </c:pt>
                <c:pt idx="7">
                  <c:v>45860</c:v>
                </c:pt>
                <c:pt idx="8">
                  <c:v>45876</c:v>
                </c:pt>
                <c:pt idx="9">
                  <c:v>45881</c:v>
                </c:pt>
                <c:pt idx="10">
                  <c:v>45883</c:v>
                </c:pt>
                <c:pt idx="11">
                  <c:v>45887</c:v>
                </c:pt>
                <c:pt idx="12">
                  <c:v>45890</c:v>
                </c:pt>
                <c:pt idx="13">
                  <c:v>45904</c:v>
                </c:pt>
                <c:pt idx="14">
                  <c:v>45908</c:v>
                </c:pt>
                <c:pt idx="15" formatCode="m/d/yyyy">
                  <c:v>45908</c:v>
                </c:pt>
                <c:pt idx="16" formatCode="m/d/yyyy">
                  <c:v>45911</c:v>
                </c:pt>
                <c:pt idx="17" formatCode="m/d/yyyy">
                  <c:v>45911</c:v>
                </c:pt>
                <c:pt idx="18" formatCode="m/d/yyyy">
                  <c:v>45924</c:v>
                </c:pt>
                <c:pt idx="19" formatCode="m/d/yyyy">
                  <c:v>45930</c:v>
                </c:pt>
              </c:numCache>
            </c:numRef>
          </c:cat>
          <c:val>
            <c:numRef>
              <c:f>Emails!$I$3:$I$22</c:f>
              <c:numCache>
                <c:formatCode>0.0%</c:formatCode>
                <c:ptCount val="20"/>
                <c:pt idx="0">
                  <c:v>2.6563396442914514E-2</c:v>
                </c:pt>
                <c:pt idx="1">
                  <c:v>0.23454723841403591</c:v>
                </c:pt>
                <c:pt idx="2">
                  <c:v>9.2999999999999999E-2</c:v>
                </c:pt>
                <c:pt idx="3">
                  <c:v>0.15909090909090909</c:v>
                </c:pt>
                <c:pt idx="4">
                  <c:v>0.09</c:v>
                </c:pt>
                <c:pt idx="5">
                  <c:v>6.4221773029165458E-2</c:v>
                </c:pt>
                <c:pt idx="6" formatCode="0.00%">
                  <c:v>8.5999999999999993E-2</c:v>
                </c:pt>
                <c:pt idx="7">
                  <c:v>1.7000000000000001E-2</c:v>
                </c:pt>
                <c:pt idx="8" formatCode="0.00%">
                  <c:v>2.1838140838491182E-2</c:v>
                </c:pt>
                <c:pt idx="9" formatCode="0.00%">
                  <c:v>1.4324972227094663E-2</c:v>
                </c:pt>
                <c:pt idx="10" formatCode="0.00%">
                  <c:v>1.2E-2</c:v>
                </c:pt>
                <c:pt idx="11" formatCode="0.00%">
                  <c:v>1.2376651613982272E-2</c:v>
                </c:pt>
                <c:pt idx="12" formatCode="0.00%">
                  <c:v>7.5816115124027098E-2</c:v>
                </c:pt>
                <c:pt idx="13" formatCode="0.00%">
                  <c:v>9.5465850392194379E-2</c:v>
                </c:pt>
                <c:pt idx="14" formatCode="0.00%">
                  <c:v>1.5995958915642365E-2</c:v>
                </c:pt>
                <c:pt idx="15" formatCode="0.00%">
                  <c:v>0.01</c:v>
                </c:pt>
                <c:pt idx="16" formatCode="0.00%">
                  <c:v>5.0000000000000001E-3</c:v>
                </c:pt>
                <c:pt idx="17" formatCode="0.00%">
                  <c:v>7.9339202260623846E-3</c:v>
                </c:pt>
                <c:pt idx="18" formatCode="0.00%">
                  <c:v>2.7E-2</c:v>
                </c:pt>
                <c:pt idx="19" formatCode="0.00%">
                  <c:v>8.9999999999999998E-4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795-0442-B643-B2E081CB5700}"/>
            </c:ext>
          </c:extLst>
        </c:ser>
        <c:ser>
          <c:idx val="1"/>
          <c:order val="1"/>
          <c:tx>
            <c:strRef>
              <c:f>Emails!$J$2</c:f>
              <c:strCache>
                <c:ptCount val="1"/>
                <c:pt idx="0">
                  <c:v>CTR 
(Benchmark)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Emails!$C$3:$C$22</c:f>
              <c:numCache>
                <c:formatCode>m/d/yy;@</c:formatCode>
                <c:ptCount val="20"/>
                <c:pt idx="0">
                  <c:v>45821</c:v>
                </c:pt>
                <c:pt idx="1">
                  <c:v>45828</c:v>
                </c:pt>
                <c:pt idx="2">
                  <c:v>45834</c:v>
                </c:pt>
                <c:pt idx="3">
                  <c:v>45847</c:v>
                </c:pt>
                <c:pt idx="4">
                  <c:v>45847</c:v>
                </c:pt>
                <c:pt idx="5">
                  <c:v>45855</c:v>
                </c:pt>
                <c:pt idx="6">
                  <c:v>45861</c:v>
                </c:pt>
                <c:pt idx="7">
                  <c:v>45860</c:v>
                </c:pt>
                <c:pt idx="8">
                  <c:v>45876</c:v>
                </c:pt>
                <c:pt idx="9">
                  <c:v>45881</c:v>
                </c:pt>
                <c:pt idx="10">
                  <c:v>45883</c:v>
                </c:pt>
                <c:pt idx="11">
                  <c:v>45887</c:v>
                </c:pt>
                <c:pt idx="12">
                  <c:v>45890</c:v>
                </c:pt>
                <c:pt idx="13">
                  <c:v>45904</c:v>
                </c:pt>
                <c:pt idx="14">
                  <c:v>45908</c:v>
                </c:pt>
                <c:pt idx="15" formatCode="m/d/yyyy">
                  <c:v>45908</c:v>
                </c:pt>
                <c:pt idx="16" formatCode="m/d/yyyy">
                  <c:v>45911</c:v>
                </c:pt>
                <c:pt idx="17" formatCode="m/d/yyyy">
                  <c:v>45911</c:v>
                </c:pt>
                <c:pt idx="18" formatCode="m/d/yyyy">
                  <c:v>45924</c:v>
                </c:pt>
                <c:pt idx="19" formatCode="m/d/yyyy">
                  <c:v>45930</c:v>
                </c:pt>
              </c:numCache>
            </c:numRef>
          </c:cat>
          <c:val>
            <c:numRef>
              <c:f>Emails!$J$3:$J$22</c:f>
              <c:numCache>
                <c:formatCode>0%</c:formatCode>
                <c:ptCount val="20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95-0442-B643-B2E081CB5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8979312"/>
        <c:axId val="258106800"/>
      </c:lineChart>
      <c:dateAx>
        <c:axId val="638979312"/>
        <c:scaling>
          <c:orientation val="minMax"/>
        </c:scaling>
        <c:delete val="0"/>
        <c:axPos val="b"/>
        <c:numFmt formatCode="m/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58106800"/>
        <c:crosses val="autoZero"/>
        <c:auto val="1"/>
        <c:lblOffset val="100"/>
        <c:baseTimeUnit val="days"/>
        <c:majorUnit val="7"/>
        <c:majorTimeUnit val="days"/>
        <c:minorUnit val="7"/>
        <c:minorTimeUnit val="days"/>
      </c:dateAx>
      <c:valAx>
        <c:axId val="25810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3897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Email: </a:t>
            </a:r>
          </a:p>
          <a:p>
            <a:pPr>
              <a:defRPr sz="2400" b="1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Click-To-Open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Emails!$K$2</c:f>
              <c:strCache>
                <c:ptCount val="1"/>
                <c:pt idx="0">
                  <c:v>Click-To-Open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2"/>
              <c:layout>
                <c:manualLayout>
                  <c:x val="-3.1210031772522285E-2"/>
                  <c:y val="-7.751185201108780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90B-8942-B535-18CE1F4439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Emails!$C$3:$C$35</c:f>
              <c:numCache>
                <c:formatCode>m/d/yy;@</c:formatCode>
                <c:ptCount val="33"/>
                <c:pt idx="0">
                  <c:v>45821</c:v>
                </c:pt>
                <c:pt idx="1">
                  <c:v>45828</c:v>
                </c:pt>
                <c:pt idx="2">
                  <c:v>45834</c:v>
                </c:pt>
                <c:pt idx="3">
                  <c:v>45847</c:v>
                </c:pt>
                <c:pt idx="4">
                  <c:v>45847</c:v>
                </c:pt>
                <c:pt idx="5">
                  <c:v>45855</c:v>
                </c:pt>
                <c:pt idx="6">
                  <c:v>45861</c:v>
                </c:pt>
                <c:pt idx="7">
                  <c:v>45860</c:v>
                </c:pt>
                <c:pt idx="8">
                  <c:v>45876</c:v>
                </c:pt>
                <c:pt idx="9">
                  <c:v>45881</c:v>
                </c:pt>
                <c:pt idx="10">
                  <c:v>45883</c:v>
                </c:pt>
                <c:pt idx="11">
                  <c:v>45887</c:v>
                </c:pt>
                <c:pt idx="12">
                  <c:v>45890</c:v>
                </c:pt>
                <c:pt idx="13">
                  <c:v>45904</c:v>
                </c:pt>
                <c:pt idx="14">
                  <c:v>45908</c:v>
                </c:pt>
                <c:pt idx="15" formatCode="m/d/yyyy">
                  <c:v>45908</c:v>
                </c:pt>
                <c:pt idx="16" formatCode="m/d/yyyy">
                  <c:v>45911</c:v>
                </c:pt>
                <c:pt idx="17" formatCode="m/d/yyyy">
                  <c:v>45911</c:v>
                </c:pt>
                <c:pt idx="18" formatCode="m/d/yyyy">
                  <c:v>45924</c:v>
                </c:pt>
                <c:pt idx="19" formatCode="m/d/yyyy">
                  <c:v>45930</c:v>
                </c:pt>
                <c:pt idx="20" formatCode="m/d/yyyy">
                  <c:v>45938</c:v>
                </c:pt>
                <c:pt idx="21" formatCode="m/d/yyyy">
                  <c:v>45946</c:v>
                </c:pt>
                <c:pt idx="22" formatCode="m/d/yyyy">
                  <c:v>45953</c:v>
                </c:pt>
                <c:pt idx="23" formatCode="m/d/yyyy">
                  <c:v>45959</c:v>
                </c:pt>
                <c:pt idx="24" formatCode="m/d/yyyy">
                  <c:v>45967</c:v>
                </c:pt>
                <c:pt idx="25" formatCode="m/d/yyyy">
                  <c:v>45972</c:v>
                </c:pt>
                <c:pt idx="26" formatCode="m/d/yyyy">
                  <c:v>45974</c:v>
                </c:pt>
                <c:pt idx="27" formatCode="m/d/yyyy">
                  <c:v>45980</c:v>
                </c:pt>
                <c:pt idx="28" formatCode="m/d/yyyy">
                  <c:v>45993</c:v>
                </c:pt>
                <c:pt idx="29" formatCode="m/d/yyyy">
                  <c:v>46008</c:v>
                </c:pt>
                <c:pt idx="30" formatCode="m/d/yyyy">
                  <c:v>46008</c:v>
                </c:pt>
                <c:pt idx="31" formatCode="m/d/yyyy">
                  <c:v>46028</c:v>
                </c:pt>
                <c:pt idx="32" formatCode="m/d/yyyy">
                  <c:v>46034</c:v>
                </c:pt>
              </c:numCache>
            </c:numRef>
          </c:cat>
          <c:val>
            <c:numRef>
              <c:f>Emails!$K$3:$K$35</c:f>
              <c:numCache>
                <c:formatCode>0.00%</c:formatCode>
                <c:ptCount val="33"/>
                <c:pt idx="0">
                  <c:v>6.4891380518570421E-2</c:v>
                </c:pt>
                <c:pt idx="1">
                  <c:v>0.40721442885771542</c:v>
                </c:pt>
                <c:pt idx="2">
                  <c:v>0.1896712520401026</c:v>
                </c:pt>
                <c:pt idx="3">
                  <c:v>0.22580645161290322</c:v>
                </c:pt>
                <c:pt idx="4">
                  <c:v>0.20259533898305085</c:v>
                </c:pt>
                <c:pt idx="5">
                  <c:v>0.15491780440234049</c:v>
                </c:pt>
                <c:pt idx="6">
                  <c:v>0.1703056768558952</c:v>
                </c:pt>
                <c:pt idx="7">
                  <c:v>3.5225806451612905E-2</c:v>
                </c:pt>
                <c:pt idx="8">
                  <c:v>4.7492063492063495E-2</c:v>
                </c:pt>
                <c:pt idx="9">
                  <c:v>3.2334697109674015E-2</c:v>
                </c:pt>
                <c:pt idx="10">
                  <c:v>2.8527182329448203E-2</c:v>
                </c:pt>
                <c:pt idx="11">
                  <c:v>2.7959697732997481E-2</c:v>
                </c:pt>
                <c:pt idx="12">
                  <c:v>0.18034096963239213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1.200600300150075E-2</c:v>
                </c:pt>
                <c:pt idx="17" formatCode="0.0%">
                  <c:v>1.8042511122095897E-2</c:v>
                </c:pt>
                <c:pt idx="18">
                  <c:v>5.7211925866236905E-2</c:v>
                </c:pt>
                <c:pt idx="19">
                  <c:v>2.2195196108239588E-2</c:v>
                </c:pt>
                <c:pt idx="20">
                  <c:v>0.21267372179013133</c:v>
                </c:pt>
                <c:pt idx="21">
                  <c:v>0.25445568400770713</c:v>
                </c:pt>
                <c:pt idx="22">
                  <c:v>1.9995768091409225E-2</c:v>
                </c:pt>
                <c:pt idx="23">
                  <c:v>2.5152552463164161E-2</c:v>
                </c:pt>
                <c:pt idx="24">
                  <c:v>2.9057996903656069E-2</c:v>
                </c:pt>
                <c:pt idx="25">
                  <c:v>0.39366515837104071</c:v>
                </c:pt>
                <c:pt idx="26">
                  <c:v>1</c:v>
                </c:pt>
                <c:pt idx="27">
                  <c:v>3.3260306711810399E-2</c:v>
                </c:pt>
                <c:pt idx="28">
                  <c:v>3.5154707044107968E-2</c:v>
                </c:pt>
                <c:pt idx="29">
                  <c:v>5.2336448598130844E-2</c:v>
                </c:pt>
                <c:pt idx="30">
                  <c:v>4.8888888888888891E-2</c:v>
                </c:pt>
                <c:pt idx="31">
                  <c:v>2.4922918807810893E-2</c:v>
                </c:pt>
                <c:pt idx="32">
                  <c:v>7.9064587973273939E-2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7-E94C-8FB9-27C230272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46271424"/>
        <c:axId val="664107056"/>
      </c:barChart>
      <c:lineChart>
        <c:grouping val="standard"/>
        <c:varyColors val="0"/>
        <c:ser>
          <c:idx val="1"/>
          <c:order val="1"/>
          <c:tx>
            <c:strRef>
              <c:f>Emails!$L$2</c:f>
              <c:strCache>
                <c:ptCount val="1"/>
                <c:pt idx="0">
                  <c:v>CTO 
(Benchmark)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Emails!$C$3:$C$35</c:f>
              <c:numCache>
                <c:formatCode>m/d/yy;@</c:formatCode>
                <c:ptCount val="33"/>
                <c:pt idx="0">
                  <c:v>45821</c:v>
                </c:pt>
                <c:pt idx="1">
                  <c:v>45828</c:v>
                </c:pt>
                <c:pt idx="2">
                  <c:v>45834</c:v>
                </c:pt>
                <c:pt idx="3">
                  <c:v>45847</c:v>
                </c:pt>
                <c:pt idx="4">
                  <c:v>45847</c:v>
                </c:pt>
                <c:pt idx="5">
                  <c:v>45855</c:v>
                </c:pt>
                <c:pt idx="6">
                  <c:v>45861</c:v>
                </c:pt>
                <c:pt idx="7">
                  <c:v>45860</c:v>
                </c:pt>
                <c:pt idx="8">
                  <c:v>45876</c:v>
                </c:pt>
                <c:pt idx="9">
                  <c:v>45881</c:v>
                </c:pt>
                <c:pt idx="10">
                  <c:v>45883</c:v>
                </c:pt>
                <c:pt idx="11">
                  <c:v>45887</c:v>
                </c:pt>
                <c:pt idx="12">
                  <c:v>45890</c:v>
                </c:pt>
                <c:pt idx="13">
                  <c:v>45904</c:v>
                </c:pt>
                <c:pt idx="14">
                  <c:v>45908</c:v>
                </c:pt>
                <c:pt idx="15" formatCode="m/d/yyyy">
                  <c:v>45908</c:v>
                </c:pt>
                <c:pt idx="16" formatCode="m/d/yyyy">
                  <c:v>45911</c:v>
                </c:pt>
                <c:pt idx="17" formatCode="m/d/yyyy">
                  <c:v>45911</c:v>
                </c:pt>
                <c:pt idx="18" formatCode="m/d/yyyy">
                  <c:v>45924</c:v>
                </c:pt>
                <c:pt idx="19" formatCode="m/d/yyyy">
                  <c:v>45930</c:v>
                </c:pt>
                <c:pt idx="20" formatCode="m/d/yyyy">
                  <c:v>45938</c:v>
                </c:pt>
                <c:pt idx="21" formatCode="m/d/yyyy">
                  <c:v>45946</c:v>
                </c:pt>
                <c:pt idx="22" formatCode="m/d/yyyy">
                  <c:v>45953</c:v>
                </c:pt>
                <c:pt idx="23" formatCode="m/d/yyyy">
                  <c:v>45959</c:v>
                </c:pt>
                <c:pt idx="24" formatCode="m/d/yyyy">
                  <c:v>45967</c:v>
                </c:pt>
                <c:pt idx="25" formatCode="m/d/yyyy">
                  <c:v>45972</c:v>
                </c:pt>
                <c:pt idx="26" formatCode="m/d/yyyy">
                  <c:v>45974</c:v>
                </c:pt>
                <c:pt idx="27" formatCode="m/d/yyyy">
                  <c:v>45980</c:v>
                </c:pt>
                <c:pt idx="28" formatCode="m/d/yyyy">
                  <c:v>45993</c:v>
                </c:pt>
                <c:pt idx="29" formatCode="m/d/yyyy">
                  <c:v>46008</c:v>
                </c:pt>
                <c:pt idx="30" formatCode="m/d/yyyy">
                  <c:v>46008</c:v>
                </c:pt>
                <c:pt idx="31" formatCode="m/d/yyyy">
                  <c:v>46028</c:v>
                </c:pt>
                <c:pt idx="32" formatCode="m/d/yyyy">
                  <c:v>46034</c:v>
                </c:pt>
              </c:numCache>
            </c:numRef>
          </c:cat>
          <c:val>
            <c:numRef>
              <c:f>Emails!$L$3:$L$35</c:f>
              <c:numCache>
                <c:formatCode>0%</c:formatCode>
                <c:ptCount val="33"/>
                <c:pt idx="0">
                  <c:v>0.06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0.06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37-E94C-8FB9-27C230272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6271424"/>
        <c:axId val="664107056"/>
      </c:lineChart>
      <c:dateAx>
        <c:axId val="2046271424"/>
        <c:scaling>
          <c:orientation val="minMax"/>
        </c:scaling>
        <c:delete val="0"/>
        <c:axPos val="b"/>
        <c:numFmt formatCode="m/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64107056"/>
        <c:crosses val="autoZero"/>
        <c:auto val="1"/>
        <c:lblOffset val="100"/>
        <c:baseTimeUnit val="days"/>
      </c:dateAx>
      <c:valAx>
        <c:axId val="66410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627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Email: </a:t>
            </a:r>
          </a:p>
          <a:p>
            <a:pPr>
              <a:defRPr sz="2400" b="1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Deliverability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Emails!$M$2</c:f>
              <c:strCache>
                <c:ptCount val="1"/>
                <c:pt idx="0">
                  <c:v>Delivery 
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9"/>
              <c:layout>
                <c:manualLayout>
                  <c:x val="-6.3151098010917638E-4"/>
                  <c:y val="-2.5573912164544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F1-5F49-9416-0FE244F401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Emails!$C$3:$C$22</c:f>
              <c:numCache>
                <c:formatCode>m/d/yy;@</c:formatCode>
                <c:ptCount val="20"/>
                <c:pt idx="0">
                  <c:v>45821</c:v>
                </c:pt>
                <c:pt idx="1">
                  <c:v>45828</c:v>
                </c:pt>
                <c:pt idx="2">
                  <c:v>45834</c:v>
                </c:pt>
                <c:pt idx="3">
                  <c:v>45847</c:v>
                </c:pt>
                <c:pt idx="4">
                  <c:v>45847</c:v>
                </c:pt>
                <c:pt idx="5">
                  <c:v>45855</c:v>
                </c:pt>
                <c:pt idx="6">
                  <c:v>45861</c:v>
                </c:pt>
                <c:pt idx="7">
                  <c:v>45860</c:v>
                </c:pt>
                <c:pt idx="8">
                  <c:v>45876</c:v>
                </c:pt>
                <c:pt idx="9">
                  <c:v>45881</c:v>
                </c:pt>
                <c:pt idx="10">
                  <c:v>45883</c:v>
                </c:pt>
                <c:pt idx="11">
                  <c:v>45887</c:v>
                </c:pt>
                <c:pt idx="12">
                  <c:v>45890</c:v>
                </c:pt>
                <c:pt idx="13">
                  <c:v>45904</c:v>
                </c:pt>
                <c:pt idx="14">
                  <c:v>45908</c:v>
                </c:pt>
                <c:pt idx="15" formatCode="m/d/yyyy">
                  <c:v>45908</c:v>
                </c:pt>
                <c:pt idx="16" formatCode="m/d/yyyy">
                  <c:v>45911</c:v>
                </c:pt>
                <c:pt idx="17" formatCode="m/d/yyyy">
                  <c:v>45911</c:v>
                </c:pt>
                <c:pt idx="18" formatCode="m/d/yyyy">
                  <c:v>45924</c:v>
                </c:pt>
                <c:pt idx="19" formatCode="m/d/yyyy">
                  <c:v>45930</c:v>
                </c:pt>
              </c:numCache>
            </c:numRef>
          </c:cat>
          <c:val>
            <c:numRef>
              <c:f>Emails!$M$3:$M$22</c:f>
              <c:numCache>
                <c:formatCode>0%</c:formatCode>
                <c:ptCount val="20"/>
                <c:pt idx="0">
                  <c:v>0.82508875739644971</c:v>
                </c:pt>
                <c:pt idx="1">
                  <c:v>0.82083471505045247</c:v>
                </c:pt>
                <c:pt idx="2">
                  <c:v>0.8297852164430326</c:v>
                </c:pt>
                <c:pt idx="3">
                  <c:v>0.9263157894736842</c:v>
                </c:pt>
                <c:pt idx="4">
                  <c:v>0.81683120866481362</c:v>
                </c:pt>
                <c:pt idx="5">
                  <c:v>0.82291716173185681</c:v>
                </c:pt>
                <c:pt idx="6">
                  <c:v>0.89270538243626063</c:v>
                </c:pt>
                <c:pt idx="7">
                  <c:v>0.81770189289451156</c:v>
                </c:pt>
                <c:pt idx="8">
                  <c:v>0.81544614798590609</c:v>
                </c:pt>
                <c:pt idx="9">
                  <c:v>0.81470013814128517</c:v>
                </c:pt>
                <c:pt idx="10">
                  <c:v>0.84964399559090775</c:v>
                </c:pt>
                <c:pt idx="11">
                  <c:v>0.9165091206376782</c:v>
                </c:pt>
                <c:pt idx="12">
                  <c:v>0.91257026060296376</c:v>
                </c:pt>
                <c:pt idx="13">
                  <c:v>0.89335156383524184</c:v>
                </c:pt>
                <c:pt idx="14">
                  <c:v>0.96100323624595474</c:v>
                </c:pt>
                <c:pt idx="15">
                  <c:v>0.89512686744130898</c:v>
                </c:pt>
                <c:pt idx="16">
                  <c:v>0.91456041233026064</c:v>
                </c:pt>
                <c:pt idx="17">
                  <c:v>0.91216417170615649</c:v>
                </c:pt>
                <c:pt idx="18" formatCode="0.0%">
                  <c:v>0.97934341571375871</c:v>
                </c:pt>
                <c:pt idx="19">
                  <c:v>0.96998019311710815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6C-DA4F-843E-CA44D51D1B4D}"/>
            </c:ext>
          </c:extLst>
        </c:ser>
        <c:ser>
          <c:idx val="1"/>
          <c:order val="1"/>
          <c:tx>
            <c:strRef>
              <c:f>Emails!$N$2</c:f>
              <c:strCache>
                <c:ptCount val="1"/>
                <c:pt idx="0">
                  <c:v>Delivery Rate (Benchmark)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Emails!$C$3:$C$22</c:f>
              <c:numCache>
                <c:formatCode>m/d/yy;@</c:formatCode>
                <c:ptCount val="20"/>
                <c:pt idx="0">
                  <c:v>45821</c:v>
                </c:pt>
                <c:pt idx="1">
                  <c:v>45828</c:v>
                </c:pt>
                <c:pt idx="2">
                  <c:v>45834</c:v>
                </c:pt>
                <c:pt idx="3">
                  <c:v>45847</c:v>
                </c:pt>
                <c:pt idx="4">
                  <c:v>45847</c:v>
                </c:pt>
                <c:pt idx="5">
                  <c:v>45855</c:v>
                </c:pt>
                <c:pt idx="6">
                  <c:v>45861</c:v>
                </c:pt>
                <c:pt idx="7">
                  <c:v>45860</c:v>
                </c:pt>
                <c:pt idx="8">
                  <c:v>45876</c:v>
                </c:pt>
                <c:pt idx="9">
                  <c:v>45881</c:v>
                </c:pt>
                <c:pt idx="10">
                  <c:v>45883</c:v>
                </c:pt>
                <c:pt idx="11">
                  <c:v>45887</c:v>
                </c:pt>
                <c:pt idx="12">
                  <c:v>45890</c:v>
                </c:pt>
                <c:pt idx="13">
                  <c:v>45904</c:v>
                </c:pt>
                <c:pt idx="14">
                  <c:v>45908</c:v>
                </c:pt>
                <c:pt idx="15" formatCode="m/d/yyyy">
                  <c:v>45908</c:v>
                </c:pt>
                <c:pt idx="16" formatCode="m/d/yyyy">
                  <c:v>45911</c:v>
                </c:pt>
                <c:pt idx="17" formatCode="m/d/yyyy">
                  <c:v>45911</c:v>
                </c:pt>
                <c:pt idx="18" formatCode="m/d/yyyy">
                  <c:v>45924</c:v>
                </c:pt>
                <c:pt idx="19" formatCode="m/d/yyyy">
                  <c:v>45930</c:v>
                </c:pt>
              </c:numCache>
            </c:numRef>
          </c:cat>
          <c:val>
            <c:numRef>
              <c:f>Emails!$N$3:$N$22</c:f>
              <c:numCache>
                <c:formatCode>0%</c:formatCode>
                <c:ptCount val="20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6C-DA4F-843E-CA44D51D1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4323408"/>
        <c:axId val="664572848"/>
      </c:lineChart>
      <c:dateAx>
        <c:axId val="664323408"/>
        <c:scaling>
          <c:orientation val="minMax"/>
        </c:scaling>
        <c:delete val="0"/>
        <c:axPos val="b"/>
        <c:numFmt formatCode="m/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64572848"/>
        <c:crosses val="autoZero"/>
        <c:auto val="1"/>
        <c:lblOffset val="100"/>
        <c:baseTimeUnit val="days"/>
      </c:dateAx>
      <c:valAx>
        <c:axId val="66457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6432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Email: </a:t>
            </a:r>
          </a:p>
          <a:p>
            <a:pPr>
              <a:defRPr sz="2400" b="1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Unsubscribe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Emails!$O$2</c:f>
              <c:strCache>
                <c:ptCount val="1"/>
                <c:pt idx="0">
                  <c:v>Unsubscribe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5.6892042389370748E-3"/>
                  <c:y val="-3.28861246001813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416-424F-9F41-2D606E261B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Emails!$C$3:$C$22</c:f>
              <c:numCache>
                <c:formatCode>m/d/yy;@</c:formatCode>
                <c:ptCount val="20"/>
                <c:pt idx="0">
                  <c:v>45821</c:v>
                </c:pt>
                <c:pt idx="1">
                  <c:v>45828</c:v>
                </c:pt>
                <c:pt idx="2">
                  <c:v>45834</c:v>
                </c:pt>
                <c:pt idx="3">
                  <c:v>45847</c:v>
                </c:pt>
                <c:pt idx="4">
                  <c:v>45847</c:v>
                </c:pt>
                <c:pt idx="5">
                  <c:v>45855</c:v>
                </c:pt>
                <c:pt idx="6">
                  <c:v>45861</c:v>
                </c:pt>
                <c:pt idx="7">
                  <c:v>45860</c:v>
                </c:pt>
                <c:pt idx="8">
                  <c:v>45876</c:v>
                </c:pt>
                <c:pt idx="9">
                  <c:v>45881</c:v>
                </c:pt>
                <c:pt idx="10">
                  <c:v>45883</c:v>
                </c:pt>
                <c:pt idx="11">
                  <c:v>45887</c:v>
                </c:pt>
                <c:pt idx="12">
                  <c:v>45890</c:v>
                </c:pt>
                <c:pt idx="13">
                  <c:v>45904</c:v>
                </c:pt>
                <c:pt idx="14">
                  <c:v>45908</c:v>
                </c:pt>
                <c:pt idx="15" formatCode="m/d/yyyy">
                  <c:v>45908</c:v>
                </c:pt>
                <c:pt idx="16" formatCode="m/d/yyyy">
                  <c:v>45911</c:v>
                </c:pt>
                <c:pt idx="17" formatCode="m/d/yyyy">
                  <c:v>45911</c:v>
                </c:pt>
                <c:pt idx="18" formatCode="m/d/yyyy">
                  <c:v>45924</c:v>
                </c:pt>
                <c:pt idx="19" formatCode="m/d/yyyy">
                  <c:v>45930</c:v>
                </c:pt>
              </c:numCache>
            </c:numRef>
          </c:cat>
          <c:val>
            <c:numRef>
              <c:f>Emails!$O$3:$O$22</c:f>
              <c:numCache>
                <c:formatCode>0.000%</c:formatCode>
                <c:ptCount val="20"/>
                <c:pt idx="0">
                  <c:v>5.737234652897303E-4</c:v>
                </c:pt>
                <c:pt idx="1">
                  <c:v>5.7713395279044264E-4</c:v>
                </c:pt>
                <c:pt idx="2">
                  <c:v>6.8567510427975547E-4</c:v>
                </c:pt>
                <c:pt idx="3" formatCode="0.00%">
                  <c:v>0</c:v>
                </c:pt>
                <c:pt idx="4" formatCode="0.00%">
                  <c:v>4.6937338652898382E-4</c:v>
                </c:pt>
                <c:pt idx="5" formatCode="0.00%">
                  <c:v>4.0427375108287609E-4</c:v>
                </c:pt>
                <c:pt idx="6" formatCode="0.00%">
                  <c:v>3.9666798889329631E-4</c:v>
                </c:pt>
                <c:pt idx="7" formatCode="0.00%">
                  <c:v>6.979584714709475E-4</c:v>
                </c:pt>
                <c:pt idx="8" formatCode="0.00%">
                  <c:v>3.5034450543033983E-4</c:v>
                </c:pt>
                <c:pt idx="9" formatCode="0.00%">
                  <c:v>6.431620183593522E-4</c:v>
                </c:pt>
                <c:pt idx="10" formatCode="0.00%">
                  <c:v>9.4670406732117807E-4</c:v>
                </c:pt>
                <c:pt idx="11" formatCode="0.00%">
                  <c:v>1.6725204883759825E-4</c:v>
                </c:pt>
                <c:pt idx="12" formatCode="0.00%">
                  <c:v>6.1593594266196321E-4</c:v>
                </c:pt>
                <c:pt idx="13" formatCode="0.00%">
                  <c:v>5.7394298832982589E-4</c:v>
                </c:pt>
                <c:pt idx="14" formatCode="0.00%">
                  <c:v>2.5256777235224785E-3</c:v>
                </c:pt>
                <c:pt idx="15" formatCode="0.00%">
                  <c:v>3.3114775812967748E-4</c:v>
                </c:pt>
                <c:pt idx="16" formatCode="0.00%">
                  <c:v>4.3351035005960767E-4</c:v>
                </c:pt>
                <c:pt idx="17" formatCode="0.00%">
                  <c:v>2.1736767742636671E-4</c:v>
                </c:pt>
                <c:pt idx="18" formatCode="0.00%">
                  <c:v>7.5329566854990583E-4</c:v>
                </c:pt>
                <c:pt idx="19" formatCode="0.00%">
                  <c:v>5.1049709654776344E-4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A7-9D46-A052-D484B452FA72}"/>
            </c:ext>
          </c:extLst>
        </c:ser>
        <c:ser>
          <c:idx val="1"/>
          <c:order val="1"/>
          <c:tx>
            <c:strRef>
              <c:f>Emails!$P$2</c:f>
              <c:strCache>
                <c:ptCount val="1"/>
                <c:pt idx="0">
                  <c:v>Unsubscribe %
(Benchmark)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Emails!$C$3:$C$22</c:f>
              <c:numCache>
                <c:formatCode>m/d/yy;@</c:formatCode>
                <c:ptCount val="20"/>
                <c:pt idx="0">
                  <c:v>45821</c:v>
                </c:pt>
                <c:pt idx="1">
                  <c:v>45828</c:v>
                </c:pt>
                <c:pt idx="2">
                  <c:v>45834</c:v>
                </c:pt>
                <c:pt idx="3">
                  <c:v>45847</c:v>
                </c:pt>
                <c:pt idx="4">
                  <c:v>45847</c:v>
                </c:pt>
                <c:pt idx="5">
                  <c:v>45855</c:v>
                </c:pt>
                <c:pt idx="6">
                  <c:v>45861</c:v>
                </c:pt>
                <c:pt idx="7">
                  <c:v>45860</c:v>
                </c:pt>
                <c:pt idx="8">
                  <c:v>45876</c:v>
                </c:pt>
                <c:pt idx="9">
                  <c:v>45881</c:v>
                </c:pt>
                <c:pt idx="10">
                  <c:v>45883</c:v>
                </c:pt>
                <c:pt idx="11">
                  <c:v>45887</c:v>
                </c:pt>
                <c:pt idx="12">
                  <c:v>45890</c:v>
                </c:pt>
                <c:pt idx="13">
                  <c:v>45904</c:v>
                </c:pt>
                <c:pt idx="14">
                  <c:v>45908</c:v>
                </c:pt>
                <c:pt idx="15" formatCode="m/d/yyyy">
                  <c:v>45908</c:v>
                </c:pt>
                <c:pt idx="16" formatCode="m/d/yyyy">
                  <c:v>45911</c:v>
                </c:pt>
                <c:pt idx="17" formatCode="m/d/yyyy">
                  <c:v>45911</c:v>
                </c:pt>
                <c:pt idx="18" formatCode="m/d/yyyy">
                  <c:v>45924</c:v>
                </c:pt>
                <c:pt idx="19" formatCode="m/d/yyyy">
                  <c:v>45930</c:v>
                </c:pt>
              </c:numCache>
            </c:numRef>
          </c:cat>
          <c:val>
            <c:numRef>
              <c:f>Emails!$P$3:$P$22</c:f>
              <c:numCache>
                <c:formatCode>0.00%</c:formatCode>
                <c:ptCount val="20"/>
                <c:pt idx="0">
                  <c:v>2.5000000000000001E-3</c:v>
                </c:pt>
                <c:pt idx="1">
                  <c:v>2.5000000000000001E-3</c:v>
                </c:pt>
                <c:pt idx="2">
                  <c:v>2.5000000000000001E-3</c:v>
                </c:pt>
                <c:pt idx="3">
                  <c:v>2.5000000000000001E-3</c:v>
                </c:pt>
                <c:pt idx="4">
                  <c:v>2.5000000000000001E-3</c:v>
                </c:pt>
                <c:pt idx="5">
                  <c:v>2.5000000000000001E-3</c:v>
                </c:pt>
                <c:pt idx="6">
                  <c:v>2.5000000000000001E-3</c:v>
                </c:pt>
                <c:pt idx="7">
                  <c:v>2.5000000000000001E-3</c:v>
                </c:pt>
                <c:pt idx="8">
                  <c:v>2.5000000000000001E-3</c:v>
                </c:pt>
                <c:pt idx="9">
                  <c:v>2.5000000000000001E-3</c:v>
                </c:pt>
                <c:pt idx="10">
                  <c:v>2.5000000000000001E-3</c:v>
                </c:pt>
                <c:pt idx="11">
                  <c:v>2.5000000000000001E-3</c:v>
                </c:pt>
                <c:pt idx="12">
                  <c:v>2.5000000000000001E-3</c:v>
                </c:pt>
                <c:pt idx="13">
                  <c:v>2.5000000000000001E-3</c:v>
                </c:pt>
                <c:pt idx="14">
                  <c:v>2.5000000000000001E-3</c:v>
                </c:pt>
                <c:pt idx="15">
                  <c:v>2.5000000000000001E-3</c:v>
                </c:pt>
                <c:pt idx="16">
                  <c:v>2.5000000000000001E-3</c:v>
                </c:pt>
                <c:pt idx="17">
                  <c:v>2.5000000000000001E-3</c:v>
                </c:pt>
                <c:pt idx="18">
                  <c:v>2.5000000000000001E-3</c:v>
                </c:pt>
                <c:pt idx="19">
                  <c:v>2.5000000000000001E-3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A7-9D46-A052-D484B452F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1055904"/>
        <c:axId val="1002090704"/>
      </c:lineChart>
      <c:dateAx>
        <c:axId val="1661055904"/>
        <c:scaling>
          <c:orientation val="minMax"/>
        </c:scaling>
        <c:delete val="0"/>
        <c:axPos val="b"/>
        <c:numFmt formatCode="m/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090704"/>
        <c:crosses val="autoZero"/>
        <c:auto val="1"/>
        <c:lblOffset val="100"/>
        <c:baseTimeUnit val="days"/>
      </c:dateAx>
      <c:valAx>
        <c:axId val="100209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6105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2024 Registrations: </a:t>
            </a:r>
          </a:p>
          <a:p>
            <a:pPr>
              <a:defRPr sz="2400" b="1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Domestic</a:t>
            </a:r>
            <a:r>
              <a:rPr lang="en-US" sz="2400" b="1" baseline="0">
                <a:latin typeface="Arial" panose="020B0604020202020204" pitchFamily="34" charset="0"/>
                <a:cs typeface="Arial" panose="020B0604020202020204" pitchFamily="34" charset="0"/>
              </a:rPr>
              <a:t> vs. International</a:t>
            </a:r>
            <a:endParaRPr lang="en-US" sz="24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'[1]Domestic vs'!$A$6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'[1]Domestic vs'!$B$4:$R$5</c:f>
              <c:strCache>
                <c:ptCount val="17"/>
              </c:strCache>
            </c:strRef>
          </c:cat>
          <c:val>
            <c:numRef>
              <c:f>'[1]Domestic vs'!$B$6:$R$6</c:f>
              <c:numCache>
                <c:formatCode>General</c:formatCode>
                <c:ptCount val="17"/>
              </c:numCache>
            </c:numRef>
          </c:val>
          <c:extLst>
            <c:ext xmlns:c16="http://schemas.microsoft.com/office/drawing/2014/chart" uri="{C3380CC4-5D6E-409C-BE32-E72D297353CC}">
              <c16:uniqueId val="{00000000-B251-684F-92D5-8676E2ED1F84}"/>
            </c:ext>
          </c:extLst>
        </c:ser>
        <c:ser>
          <c:idx val="1"/>
          <c:order val="1"/>
          <c:tx>
            <c:strRef>
              <c:f>'[1]Domestic vs'!$A$7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'[1]Domestic vs'!$B$4:$R$5</c:f>
              <c:strCache>
                <c:ptCount val="17"/>
              </c:strCache>
            </c:strRef>
          </c:cat>
          <c:val>
            <c:numRef>
              <c:f>'[1]Domestic vs'!$B$7:$R$7</c:f>
              <c:numCache>
                <c:formatCode>General</c:formatCode>
                <c:ptCount val="17"/>
              </c:numCache>
            </c:numRef>
          </c:val>
          <c:extLst>
            <c:ext xmlns:c16="http://schemas.microsoft.com/office/drawing/2014/chart" uri="{C3380CC4-5D6E-409C-BE32-E72D297353CC}">
              <c16:uniqueId val="{00000001-B251-684F-92D5-8676E2ED1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134944"/>
        <c:axId val="1530291728"/>
      </c:barChart>
      <c:catAx>
        <c:axId val="208113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30291728"/>
        <c:crosses val="autoZero"/>
        <c:auto val="1"/>
        <c:lblAlgn val="ctr"/>
        <c:lblOffset val="100"/>
        <c:noMultiLvlLbl val="0"/>
      </c:catAx>
      <c:valAx>
        <c:axId val="153029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113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2024 Registrations:</a:t>
            </a:r>
            <a:r>
              <a:rPr lang="en-US" sz="2400" b="1" baseline="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</a:p>
          <a:p>
            <a:pPr>
              <a:defRPr sz="2400" b="1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Domestic vs. International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7F-4F03-AAAB-54C79A72CE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7F-4F03-AAAB-54C79A72CE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'[1]Domestic vs'!$A$18:$A$19</c:f>
              <c:numCache>
                <c:formatCode>General</c:formatCode>
                <c:ptCount val="2"/>
              </c:numCache>
            </c:numRef>
          </c:cat>
          <c:val>
            <c:numRef>
              <c:f>'[1]Domestic vs'!$B$18:$B$19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DA0C-5A40-877F-478AD1E9B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2024 Registrations:</a:t>
            </a:r>
          </a:p>
          <a:p>
            <a:pPr>
              <a:defRPr sz="2400" b="1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Attendees vs. Exhibitors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95-4A48-88CD-1B3B7B169D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95-4A48-88CD-1B3B7B169D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'[2]Attendee vs'!$A$12:$A$13</c:f>
              <c:numCache>
                <c:formatCode>General</c:formatCode>
                <c:ptCount val="2"/>
              </c:numCache>
            </c:numRef>
          </c:cat>
          <c:val>
            <c:numRef>
              <c:f>'[2]Attendee vs'!$B$12:$B$13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E317-6240-B25B-344BB2FF4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kumimoji="0" lang="en-US" sz="24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rial" panose="020B0604020202020204" pitchFamily="34" charset="0"/>
                <a:cs typeface="Arial" panose="020B0604020202020204" pitchFamily="34" charset="0"/>
              </a:rPr>
              <a:t>Social Media: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kumimoji="0" lang="en-US" sz="2400" b="1" i="0" u="sng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rial" panose="020B0604020202020204" pitchFamily="34" charset="0"/>
                <a:cs typeface="Arial" panose="020B0604020202020204" pitchFamily="34" charset="0"/>
              </a:rPr>
              <a:t>LinkedIn</a:t>
            </a:r>
            <a:r>
              <a:rPr kumimoji="0" lang="en-US" sz="24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rial" panose="020B0604020202020204" pitchFamily="34" charset="0"/>
                <a:cs typeface="Arial" panose="020B0604020202020204" pitchFamily="34" charset="0"/>
              </a:rPr>
              <a:t> Follower Growth Rates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'Organic Social Media (Weekly)'!$B$4</c:f>
              <c:strCache>
                <c:ptCount val="1"/>
                <c:pt idx="0">
                  <c:v>LI Followers</c:v>
                </c:pt>
              </c:strCache>
            </c:strRef>
          </c:tx>
          <c:invertIfNegative val="0"/>
          <c:cat>
            <c:numRef>
              <c:f>'Organic Social Media (Weekly)'!$A$5:$A$19</c:f>
              <c:numCache>
                <c:formatCode>m/d/yy;@</c:formatCode>
                <c:ptCount val="15"/>
                <c:pt idx="0">
                  <c:v>45831</c:v>
                </c:pt>
                <c:pt idx="1">
                  <c:v>45838</c:v>
                </c:pt>
                <c:pt idx="2">
                  <c:v>45845</c:v>
                </c:pt>
                <c:pt idx="3">
                  <c:v>45852</c:v>
                </c:pt>
                <c:pt idx="4">
                  <c:v>45859</c:v>
                </c:pt>
                <c:pt idx="5">
                  <c:v>45866</c:v>
                </c:pt>
                <c:pt idx="6">
                  <c:v>45873</c:v>
                </c:pt>
                <c:pt idx="7">
                  <c:v>45880</c:v>
                </c:pt>
                <c:pt idx="8">
                  <c:v>45887</c:v>
                </c:pt>
                <c:pt idx="9">
                  <c:v>45894</c:v>
                </c:pt>
                <c:pt idx="10">
                  <c:v>45901</c:v>
                </c:pt>
                <c:pt idx="11">
                  <c:v>45908</c:v>
                </c:pt>
                <c:pt idx="12">
                  <c:v>45915</c:v>
                </c:pt>
                <c:pt idx="13">
                  <c:v>45922</c:v>
                </c:pt>
                <c:pt idx="14">
                  <c:v>45929</c:v>
                </c:pt>
              </c:numCache>
            </c:numRef>
          </c:cat>
          <c:val>
            <c:numRef>
              <c:f>'Organic Social Media (Weekly)'!$B$5:$B$19</c:f>
              <c:numCache>
                <c:formatCode>0</c:formatCode>
                <c:ptCount val="15"/>
                <c:pt idx="0">
                  <c:v>1490</c:v>
                </c:pt>
                <c:pt idx="1">
                  <c:v>1489</c:v>
                </c:pt>
                <c:pt idx="2">
                  <c:v>1488</c:v>
                </c:pt>
                <c:pt idx="3">
                  <c:v>1490</c:v>
                </c:pt>
                <c:pt idx="4">
                  <c:v>1491</c:v>
                </c:pt>
                <c:pt idx="5">
                  <c:v>1492</c:v>
                </c:pt>
                <c:pt idx="6">
                  <c:v>1498</c:v>
                </c:pt>
                <c:pt idx="7">
                  <c:v>1502</c:v>
                </c:pt>
                <c:pt idx="8">
                  <c:v>1501</c:v>
                </c:pt>
                <c:pt idx="9">
                  <c:v>1506</c:v>
                </c:pt>
                <c:pt idx="10">
                  <c:v>1508</c:v>
                </c:pt>
                <c:pt idx="11">
                  <c:v>1509</c:v>
                </c:pt>
                <c:pt idx="12">
                  <c:v>1510</c:v>
                </c:pt>
                <c:pt idx="13">
                  <c:v>1512</c:v>
                </c:pt>
                <c:pt idx="14">
                  <c:v>1517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A9-5C49-A927-54B540878246}"/>
            </c:ext>
          </c:extLst>
        </c:ser>
        <c:ser>
          <c:idx val="3"/>
          <c:order val="1"/>
          <c:tx>
            <c:strRef>
              <c:f>'Organic Social Media (Weekly)'!$C$4</c:f>
              <c:strCache>
                <c:ptCount val="1"/>
                <c:pt idx="0">
                  <c:v>LI Follower 
Growth Rate</c:v>
                </c:pt>
              </c:strCache>
            </c:strRef>
          </c:tx>
          <c:invertIfNegative val="0"/>
          <c:cat>
            <c:numRef>
              <c:f>'Organic Social Media (Weekly)'!$A$5:$A$19</c:f>
              <c:numCache>
                <c:formatCode>m/d/yy;@</c:formatCode>
                <c:ptCount val="15"/>
                <c:pt idx="0">
                  <c:v>45831</c:v>
                </c:pt>
                <c:pt idx="1">
                  <c:v>45838</c:v>
                </c:pt>
                <c:pt idx="2">
                  <c:v>45845</c:v>
                </c:pt>
                <c:pt idx="3">
                  <c:v>45852</c:v>
                </c:pt>
                <c:pt idx="4">
                  <c:v>45859</c:v>
                </c:pt>
                <c:pt idx="5">
                  <c:v>45866</c:v>
                </c:pt>
                <c:pt idx="6">
                  <c:v>45873</c:v>
                </c:pt>
                <c:pt idx="7">
                  <c:v>45880</c:v>
                </c:pt>
                <c:pt idx="8">
                  <c:v>45887</c:v>
                </c:pt>
                <c:pt idx="9">
                  <c:v>45894</c:v>
                </c:pt>
                <c:pt idx="10">
                  <c:v>45901</c:v>
                </c:pt>
                <c:pt idx="11">
                  <c:v>45908</c:v>
                </c:pt>
                <c:pt idx="12">
                  <c:v>45915</c:v>
                </c:pt>
                <c:pt idx="13">
                  <c:v>45922</c:v>
                </c:pt>
                <c:pt idx="14">
                  <c:v>45929</c:v>
                </c:pt>
              </c:numCache>
            </c:numRef>
          </c:cat>
          <c:val>
            <c:numRef>
              <c:f>'Organic Social Media (Weekly)'!$C$5:$C$19</c:f>
              <c:numCache>
                <c:formatCode>0.00%</c:formatCode>
                <c:ptCount val="15"/>
                <c:pt idx="0" formatCode="0%">
                  <c:v>-6.7114093959730337E-4</c:v>
                </c:pt>
                <c:pt idx="1">
                  <c:v>-6.711409395973154E-4</c:v>
                </c:pt>
                <c:pt idx="2">
                  <c:v>-6.7159167226326397E-4</c:v>
                </c:pt>
                <c:pt idx="3">
                  <c:v>1.3440860215053765E-3</c:v>
                </c:pt>
                <c:pt idx="4">
                  <c:v>6.711409395973154E-4</c:v>
                </c:pt>
                <c:pt idx="5">
                  <c:v>6.7069081153588194E-4</c:v>
                </c:pt>
                <c:pt idx="6">
                  <c:v>4.0214477211796247E-3</c:v>
                </c:pt>
                <c:pt idx="7">
                  <c:v>2.6702269692923898E-3</c:v>
                </c:pt>
                <c:pt idx="8">
                  <c:v>-6.6577896138482028E-4</c:v>
                </c:pt>
                <c:pt idx="9">
                  <c:v>3.3311125916055963E-3</c:v>
                </c:pt>
                <c:pt idx="10">
                  <c:v>1.3280212483399733E-3</c:v>
                </c:pt>
                <c:pt idx="11">
                  <c:v>6.6312997347480103E-4</c:v>
                </c:pt>
                <c:pt idx="12">
                  <c:v>6.6269052352551359E-4</c:v>
                </c:pt>
                <c:pt idx="13">
                  <c:v>1.3245033112582781E-3</c:v>
                </c:pt>
                <c:pt idx="14">
                  <c:v>3.3068783068783067E-3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A9-5C49-A927-54B540878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2263583"/>
        <c:axId val="408155695"/>
      </c:barChart>
      <c:dateAx>
        <c:axId val="162263583"/>
        <c:scaling>
          <c:orientation val="minMax"/>
        </c:scaling>
        <c:delete val="0"/>
        <c:axPos val="b"/>
        <c:numFmt formatCode="m/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8155695"/>
        <c:crosses val="autoZero"/>
        <c:auto val="1"/>
        <c:lblOffset val="100"/>
        <c:baseTimeUnit val="days"/>
        <c:majorUnit val="7"/>
        <c:majorTimeUnit val="days"/>
      </c:dateAx>
      <c:valAx>
        <c:axId val="40815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263583"/>
        <c:crosses val="autoZero"/>
        <c:crossBetween val="between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ln>
      <a:solidFill>
        <a:schemeClr val="bg1">
          <a:lumMod val="85000"/>
        </a:schemeClr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2024 Registrations:</a:t>
            </a:r>
          </a:p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Attendees vs. Exhibitors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'[2]Attendee vs'!$A$6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'[2]Attendee vs'!$B$4:$Z$5</c:f>
              <c:strCache>
                <c:ptCount val="25"/>
              </c:strCache>
            </c:strRef>
          </c:cat>
          <c:val>
            <c:numRef>
              <c:f>'[2]Attendee vs'!$B$6:$Z$6</c:f>
              <c:numCache>
                <c:formatCode>General</c:formatCode>
                <c:ptCount val="25"/>
              </c:numCache>
            </c:numRef>
          </c:val>
          <c:extLst>
            <c:ext xmlns:c16="http://schemas.microsoft.com/office/drawing/2014/chart" uri="{C3380CC4-5D6E-409C-BE32-E72D297353CC}">
              <c16:uniqueId val="{00000000-5DA5-E541-94AE-E9FCFBC68F8B}"/>
            </c:ext>
          </c:extLst>
        </c:ser>
        <c:ser>
          <c:idx val="1"/>
          <c:order val="1"/>
          <c:tx>
            <c:strRef>
              <c:f>'[2]Attendee vs'!$A$7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'[2]Attendee vs'!$B$4:$Z$5</c:f>
              <c:strCache>
                <c:ptCount val="25"/>
              </c:strCache>
            </c:strRef>
          </c:cat>
          <c:val>
            <c:numRef>
              <c:f>'[2]Attendee vs'!$B$7:$Z$7</c:f>
              <c:numCache>
                <c:formatCode>General</c:formatCode>
                <c:ptCount val="25"/>
              </c:numCache>
            </c:numRef>
          </c:val>
          <c:extLst>
            <c:ext xmlns:c16="http://schemas.microsoft.com/office/drawing/2014/chart" uri="{C3380CC4-5D6E-409C-BE32-E72D297353CC}">
              <c16:uniqueId val="{00000001-5DA5-E541-94AE-E9FCFBC68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5289360"/>
        <c:axId val="166820255"/>
      </c:barChart>
      <c:catAx>
        <c:axId val="205528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6820255"/>
        <c:crosses val="autoZero"/>
        <c:auto val="1"/>
        <c:lblAlgn val="ctr"/>
        <c:lblOffset val="100"/>
        <c:noMultiLvlLbl val="0"/>
      </c:catAx>
      <c:valAx>
        <c:axId val="16682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5528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2024 Registrations</a:t>
            </a:r>
            <a:r>
              <a:rPr lang="en-US" sz="2400" b="1" baseline="0">
                <a:latin typeface="Arial" panose="020B0604020202020204" pitchFamily="34" charset="0"/>
                <a:cs typeface="Arial" panose="020B0604020202020204" pitchFamily="34" charset="0"/>
              </a:rPr>
              <a:t>:</a:t>
            </a:r>
          </a:p>
          <a:p>
            <a:pPr>
              <a:defRPr sz="2400" b="1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400" b="1" baseline="0">
                <a:latin typeface="Arial" panose="020B0604020202020204" pitchFamily="34" charset="0"/>
                <a:cs typeface="Arial" panose="020B0604020202020204" pitchFamily="34" charset="0"/>
              </a:rPr>
              <a:t>Pass Types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'Pass Types'!$C$3</c:f>
              <c:strCache>
                <c:ptCount val="1"/>
                <c:pt idx="0">
                  <c:v>2024 Registrations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CF0-A44B-AC38-A5AC9E7426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CF0-A44B-AC38-A5AC9E7426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F0-A44B-AC38-A5AC9E7426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CF0-A44B-AC38-A5AC9E7426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F0-A44B-AC38-A5AC9E7426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141-9F48-9945-E435E35EB35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141-9F48-9945-E435E35EB35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141-9F48-9945-E435E35EB35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141-9F48-9945-E435E35EB35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141-9F48-9945-E435E35EB358}"/>
              </c:ext>
            </c:extLst>
          </c:dPt>
          <c:dLbls>
            <c:dLbl>
              <c:idx val="0"/>
              <c:layout>
                <c:manualLayout>
                  <c:x val="0.15098504607594199"/>
                  <c:y val="2.0175918119451179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CF0-A44B-AC38-A5AC9E7426EB}"/>
                </c:ext>
              </c:extLst>
            </c:dLbl>
            <c:dLbl>
              <c:idx val="1"/>
              <c:layout>
                <c:manualLayout>
                  <c:x val="9.4679585778568984E-2"/>
                  <c:y val="6.456298952385938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CF0-A44B-AC38-A5AC9E7426EB}"/>
                </c:ext>
              </c:extLst>
            </c:dLbl>
            <c:dLbl>
              <c:idx val="2"/>
              <c:layout>
                <c:manualLayout>
                  <c:x val="-0.10715067786034595"/>
                  <c:y val="-9.482681516142399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CF0-A44B-AC38-A5AC9E7426EB}"/>
                </c:ext>
              </c:extLst>
            </c:dLbl>
            <c:dLbl>
              <c:idx val="3"/>
              <c:layout>
                <c:manualLayout>
                  <c:x val="-6.0069319406557568E-2"/>
                  <c:y val="-9.886199878531440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CF0-A44B-AC38-A5AC9E7426EB}"/>
                </c:ext>
              </c:extLst>
            </c:dLbl>
            <c:dLbl>
              <c:idx val="4"/>
              <c:layout>
                <c:manualLayout>
                  <c:x val="5.3575338930172967E-2"/>
                  <c:y val="-8.87740397255884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CF0-A44B-AC38-A5AC9E7426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'Pass Types'!$A$4:$A$13</c:f>
              <c:strCache>
                <c:ptCount val="10"/>
                <c:pt idx="0">
                  <c:v>Member Doctoral</c:v>
                </c:pt>
                <c:pt idx="1">
                  <c:v>Non-Member</c:v>
                </c:pt>
                <c:pt idx="2">
                  <c:v>Member Non-MD Doctoral</c:v>
                </c:pt>
                <c:pt idx="3">
                  <c:v>Member Non-Doctoral</c:v>
                </c:pt>
                <c:pt idx="4">
                  <c:v>Member trainee</c:v>
                </c:pt>
                <c:pt idx="5">
                  <c:v>Exhibitor</c:v>
                </c:pt>
                <c:pt idx="6">
                  <c:v>Speaker In-Person </c:v>
                </c:pt>
                <c:pt idx="7">
                  <c:v>Member Senior Emeritus</c:v>
                </c:pt>
                <c:pt idx="8">
                  <c:v>Medical Student</c:v>
                </c:pt>
                <c:pt idx="9">
                  <c:v>Patient</c:v>
                </c:pt>
              </c:strCache>
            </c:strRef>
          </c:cat>
          <c:val>
            <c:numRef>
              <c:f>'Pass Types'!$C$4:$C$13</c:f>
              <c:numCache>
                <c:formatCode>General</c:formatCode>
                <c:ptCount val="10"/>
                <c:pt idx="0">
                  <c:v>1030</c:v>
                </c:pt>
                <c:pt idx="1">
                  <c:v>649</c:v>
                </c:pt>
                <c:pt idx="2">
                  <c:v>313</c:v>
                </c:pt>
                <c:pt idx="3">
                  <c:v>298</c:v>
                </c:pt>
                <c:pt idx="4">
                  <c:v>492</c:v>
                </c:pt>
                <c:pt idx="5">
                  <c:v>280</c:v>
                </c:pt>
                <c:pt idx="6">
                  <c:v>274</c:v>
                </c:pt>
                <c:pt idx="7">
                  <c:v>15</c:v>
                </c:pt>
                <c:pt idx="8">
                  <c:v>101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F0-A44B-AC38-A5AC9E742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Registrations: </a:t>
            </a:r>
          </a:p>
          <a:p>
            <a:pPr>
              <a:defRPr sz="2400" b="1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Pass Types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'Pass Types'!$C$25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'Pass Types'!$A$26:$A$29</c:f>
              <c:strCache>
                <c:ptCount val="4"/>
                <c:pt idx="0">
                  <c:v>Member Doctoral</c:v>
                </c:pt>
                <c:pt idx="1">
                  <c:v>Non-Member</c:v>
                </c:pt>
                <c:pt idx="2">
                  <c:v>Member Non-MD Doctoral</c:v>
                </c:pt>
                <c:pt idx="3">
                  <c:v>Member Non-Doctoral</c:v>
                </c:pt>
              </c:strCache>
            </c:strRef>
          </c:cat>
          <c:val>
            <c:numRef>
              <c:f>'Pass Types'!$C$26:$C$29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7120-784D-B02A-91F08E1B1388}"/>
            </c:ext>
          </c:extLst>
        </c:ser>
        <c:ser>
          <c:idx val="1"/>
          <c:order val="1"/>
          <c:tx>
            <c:strRef>
              <c:f>'Pass Types'!$D$25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'Pass Types'!$A$26:$A$29</c:f>
              <c:strCache>
                <c:ptCount val="4"/>
                <c:pt idx="0">
                  <c:v>Member Doctoral</c:v>
                </c:pt>
                <c:pt idx="1">
                  <c:v>Non-Member</c:v>
                </c:pt>
                <c:pt idx="2">
                  <c:v>Member Non-MD Doctoral</c:v>
                </c:pt>
                <c:pt idx="3">
                  <c:v>Member Non-Doctoral</c:v>
                </c:pt>
              </c:strCache>
            </c:strRef>
          </c:cat>
          <c:val>
            <c:numRef>
              <c:f>'Pass Types'!$D$26:$D$29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7120-784D-B02A-91F08E1B1388}"/>
            </c:ext>
          </c:extLst>
        </c:ser>
        <c:ser>
          <c:idx val="2"/>
          <c:order val="2"/>
          <c:tx>
            <c:strRef>
              <c:f>'Pass Types'!$E$25</c:f>
              <c:strCache>
                <c:ptCount val="1"/>
                <c:pt idx="0">
                  <c:v>2024 Registrations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'Pass Types'!$A$26:$A$29</c:f>
              <c:strCache>
                <c:ptCount val="4"/>
                <c:pt idx="0">
                  <c:v>Member Doctoral</c:v>
                </c:pt>
                <c:pt idx="1">
                  <c:v>Non-Member</c:v>
                </c:pt>
                <c:pt idx="2">
                  <c:v>Member Non-MD Doctoral</c:v>
                </c:pt>
                <c:pt idx="3">
                  <c:v>Member Non-Doctoral</c:v>
                </c:pt>
              </c:strCache>
            </c:strRef>
          </c:cat>
          <c:val>
            <c:numRef>
              <c:f>'Pass Types'!$E$26:$E$29</c:f>
              <c:numCache>
                <c:formatCode>General</c:formatCode>
                <c:ptCount val="4"/>
                <c:pt idx="0">
                  <c:v>1030</c:v>
                </c:pt>
                <c:pt idx="1">
                  <c:v>649</c:v>
                </c:pt>
                <c:pt idx="2">
                  <c:v>313</c:v>
                </c:pt>
                <c:pt idx="3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20-784D-B02A-91F08E1B1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5254511"/>
        <c:axId val="655273231"/>
      </c:barChart>
      <c:catAx>
        <c:axId val="65525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55273231"/>
        <c:crosses val="autoZero"/>
        <c:auto val="1"/>
        <c:lblAlgn val="ctr"/>
        <c:lblOffset val="100"/>
        <c:noMultiLvlLbl val="0"/>
      </c:catAx>
      <c:valAx>
        <c:axId val="65527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5525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2024 Registrations: </a:t>
            </a:r>
          </a:p>
          <a:p>
            <a:pPr>
              <a:defRPr sz="2400" b="1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Actuals vs. Goal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'Total Registrations'!#REF!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'Total Registrations'!#REF!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'Total Registrations'!#REF!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3E7-2D4B-A639-B556316CEA2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'Total Registrations'!#REF!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'Total Registrations'!#REF!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'Total Registrations'!#REF!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3E7-2D4B-A639-B556316CE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101647"/>
        <c:axId val="662839471"/>
      </c:barChart>
      <c:catAx>
        <c:axId val="47710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62839471"/>
        <c:crosses val="autoZero"/>
        <c:auto val="1"/>
        <c:lblAlgn val="ctr"/>
        <c:lblOffset val="100"/>
        <c:noMultiLvlLbl val="0"/>
      </c:catAx>
      <c:valAx>
        <c:axId val="66283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7710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Retention: </a:t>
            </a:r>
          </a:p>
          <a:p>
            <a:pPr>
              <a:defRPr sz="2400" b="1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Returning Attendees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DASHBOARD!$D$19</c:f>
              <c:strCache>
                <c:ptCount val="1"/>
                <c:pt idx="0">
                  <c:v>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DASHBOARD!$E$16:$I$16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Historic Average</c:v>
                </c:pt>
                <c:pt idx="4">
                  <c:v>2026
Actual</c:v>
                </c:pt>
              </c:strCache>
            </c:strRef>
          </c:cat>
          <c:val>
            <c:numRef>
              <c:f>DASHBOARD!$E$19:$I$19</c:f>
              <c:numCache>
                <c:formatCode>0%</c:formatCode>
                <c:ptCount val="5"/>
                <c:pt idx="0">
                  <c:v>0</c:v>
                </c:pt>
                <c:pt idx="1">
                  <c:v>0.37</c:v>
                </c:pt>
                <c:pt idx="3" formatCode="0.0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3-C045-8D1E-7E4A61BD6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6383663"/>
        <c:axId val="1096147471"/>
      </c:barChart>
      <c:catAx>
        <c:axId val="109638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6147471"/>
        <c:crosses val="autoZero"/>
        <c:auto val="1"/>
        <c:lblAlgn val="ctr"/>
        <c:lblOffset val="100"/>
        <c:noMultiLvlLbl val="0"/>
      </c:catAx>
      <c:valAx>
        <c:axId val="109614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638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Relevance: </a:t>
            </a:r>
          </a:p>
          <a:p>
            <a:pPr>
              <a:defRPr sz="2400" b="1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Addressable Audience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DASHBOARD!$D$20</c:f>
              <c:strCache>
                <c:ptCount val="1"/>
                <c:pt idx="0">
                  <c:v>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DASHBOARD!$E$16:$I$16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Historic Average</c:v>
                </c:pt>
                <c:pt idx="4">
                  <c:v>2026
Actual</c:v>
                </c:pt>
              </c:strCache>
            </c:strRef>
          </c:cat>
          <c:val>
            <c:numRef>
              <c:f>DASHBOARD!$E$20:$I$20</c:f>
              <c:numCache>
                <c:formatCode>0%</c:formatCode>
                <c:ptCount val="5"/>
                <c:pt idx="0">
                  <c:v>0</c:v>
                </c:pt>
                <c:pt idx="1">
                  <c:v>0.16</c:v>
                </c:pt>
                <c:pt idx="3" formatCode="0.0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3-974E-94A1-21758B930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6383663"/>
        <c:axId val="1096147471"/>
      </c:barChart>
      <c:catAx>
        <c:axId val="109638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6147471"/>
        <c:crosses val="autoZero"/>
        <c:auto val="1"/>
        <c:lblAlgn val="ctr"/>
        <c:lblOffset val="100"/>
        <c:noMultiLvlLbl val="0"/>
      </c:catAx>
      <c:valAx>
        <c:axId val="109614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638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Revenue: </a:t>
            </a:r>
          </a:p>
          <a:p>
            <a:pPr>
              <a:defRPr sz="2400" b="1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Gross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DASHBOARD!$D$22</c:f>
              <c:strCache>
                <c:ptCount val="1"/>
                <c:pt idx="0">
                  <c:v>$4,887,599</c:v>
                </c:pt>
              </c:strCache>
            </c:strRef>
          </c:tx>
          <c:spPr>
            <a:solidFill>
              <a:srgbClr val="33475B"/>
            </a:solidFill>
            <a:ln>
              <a:noFill/>
            </a:ln>
            <a:effectLst/>
          </c:spPr>
          <c:invertIfNegative val="0"/>
          <c:cat>
            <c:strRef>
              <c:f>DASHBOARD!$F$16:$L$16</c:f>
              <c:strCache>
                <c:ptCount val="7"/>
                <c:pt idx="0">
                  <c:v>2023</c:v>
                </c:pt>
                <c:pt idx="1">
                  <c:v>2024</c:v>
                </c:pt>
                <c:pt idx="2">
                  <c:v>Historic Average</c:v>
                </c:pt>
                <c:pt idx="3">
                  <c:v>2026
Actual</c:v>
                </c:pt>
                <c:pt idx="4">
                  <c:v>2026
Goal</c:v>
                </c:pt>
                <c:pt idx="5">
                  <c:v>2026
Percent to Goal</c:v>
                </c:pt>
                <c:pt idx="6">
                  <c:v>Goal</c:v>
                </c:pt>
              </c:strCache>
            </c:strRef>
          </c:cat>
          <c:val>
            <c:numRef>
              <c:f>DASHBOARD!$F$22:$L$22</c:f>
              <c:numCache>
                <c:formatCode>"$"#,##0</c:formatCode>
                <c:ptCount val="7"/>
                <c:pt idx="0">
                  <c:v>4844787</c:v>
                </c:pt>
                <c:pt idx="2" formatCode="&quot;$&quot;#,##0.00">
                  <c:v>4871431</c:v>
                </c:pt>
                <c:pt idx="5" formatCode="0%">
                  <c:v>0</c:v>
                </c:pt>
                <c:pt idx="6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71-524F-98DC-00081CAF9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6383663"/>
        <c:axId val="1096147471"/>
      </c:barChart>
      <c:catAx>
        <c:axId val="109638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6147471"/>
        <c:crosses val="autoZero"/>
        <c:auto val="1"/>
        <c:lblAlgn val="ctr"/>
        <c:lblOffset val="100"/>
        <c:noMultiLvlLbl val="0"/>
      </c:catAx>
      <c:valAx>
        <c:axId val="109614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638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ROI: </a:t>
            </a:r>
          </a:p>
          <a:p>
            <a:pPr>
              <a:defRPr sz="2400" b="1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Net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DASHBOARD!$D$23</c:f>
              <c:strCache>
                <c:ptCount val="1"/>
                <c:pt idx="0">
                  <c:v>$2,074,035</c:v>
                </c:pt>
              </c:strCache>
            </c:strRef>
          </c:tx>
          <c:spPr>
            <a:solidFill>
              <a:srgbClr val="33475B"/>
            </a:solidFill>
            <a:ln>
              <a:noFill/>
            </a:ln>
            <a:effectLst/>
          </c:spPr>
          <c:invertIfNegative val="0"/>
          <c:cat>
            <c:strRef>
              <c:f>DASHBOARD!$F$16:$L$16</c:f>
              <c:strCache>
                <c:ptCount val="7"/>
                <c:pt idx="0">
                  <c:v>2023</c:v>
                </c:pt>
                <c:pt idx="1">
                  <c:v>2024</c:v>
                </c:pt>
                <c:pt idx="2">
                  <c:v>Historic Average</c:v>
                </c:pt>
                <c:pt idx="3">
                  <c:v>2026
Actual</c:v>
                </c:pt>
                <c:pt idx="4">
                  <c:v>2026
Goal</c:v>
                </c:pt>
                <c:pt idx="5">
                  <c:v>2026
Percent to Goal</c:v>
                </c:pt>
                <c:pt idx="6">
                  <c:v>Goal</c:v>
                </c:pt>
              </c:strCache>
            </c:strRef>
          </c:cat>
          <c:val>
            <c:numRef>
              <c:f>DASHBOARD!$F$23:$L$23</c:f>
              <c:numCache>
                <c:formatCode>"$"#,##0</c:formatCode>
                <c:ptCount val="7"/>
                <c:pt idx="0">
                  <c:v>1565737</c:v>
                </c:pt>
                <c:pt idx="2" formatCode="&quot;$&quot;#,##0.00">
                  <c:v>1657579.3333333333</c:v>
                </c:pt>
                <c:pt idx="5" formatCode="0%">
                  <c:v>0</c:v>
                </c:pt>
                <c:pt idx="6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34-DD43-B7F5-F06AFDE5E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6383663"/>
        <c:axId val="1096147471"/>
      </c:barChart>
      <c:catAx>
        <c:axId val="109638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6147471"/>
        <c:crosses val="autoZero"/>
        <c:auto val="1"/>
        <c:lblAlgn val="ctr"/>
        <c:lblOffset val="100"/>
        <c:noMultiLvlLbl val="0"/>
      </c:catAx>
      <c:valAx>
        <c:axId val="109614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638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ROI: </a:t>
            </a:r>
          </a:p>
          <a:p>
            <a:pPr>
              <a:defRPr sz="2400" b="1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DASHBOARD!$D$24</c:f>
              <c:strCache>
                <c:ptCount val="1"/>
                <c:pt idx="0">
                  <c:v>42%</c:v>
                </c:pt>
              </c:strCache>
            </c:strRef>
          </c:tx>
          <c:spPr>
            <a:solidFill>
              <a:srgbClr val="33475B"/>
            </a:solidFill>
            <a:ln>
              <a:noFill/>
            </a:ln>
            <a:effectLst/>
          </c:spPr>
          <c:invertIfNegative val="0"/>
          <c:cat>
            <c:strRef>
              <c:f>DASHBOARD!$F$16:$L$16</c:f>
              <c:strCache>
                <c:ptCount val="7"/>
                <c:pt idx="0">
                  <c:v>2023</c:v>
                </c:pt>
                <c:pt idx="1">
                  <c:v>2024</c:v>
                </c:pt>
                <c:pt idx="2">
                  <c:v>Historic Average</c:v>
                </c:pt>
                <c:pt idx="3">
                  <c:v>2026
Actual</c:v>
                </c:pt>
                <c:pt idx="4">
                  <c:v>2026
Goal</c:v>
                </c:pt>
                <c:pt idx="5">
                  <c:v>2026
Percent to Goal</c:v>
                </c:pt>
                <c:pt idx="6">
                  <c:v>Goal</c:v>
                </c:pt>
              </c:strCache>
            </c:strRef>
          </c:cat>
          <c:val>
            <c:numRef>
              <c:f>DASHBOARD!$F$24:$L$24</c:f>
              <c:numCache>
                <c:formatCode>0%</c:formatCode>
                <c:ptCount val="7"/>
                <c:pt idx="0">
                  <c:v>0.32</c:v>
                </c:pt>
                <c:pt idx="2">
                  <c:v>0.33666666666666667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3-F943-B2AB-A9D223579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6383663"/>
        <c:axId val="1096147471"/>
      </c:barChart>
      <c:catAx>
        <c:axId val="109638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6147471"/>
        <c:crosses val="autoZero"/>
        <c:auto val="1"/>
        <c:lblAlgn val="ctr"/>
        <c:lblOffset val="100"/>
        <c:noMultiLvlLbl val="0"/>
      </c:catAx>
      <c:valAx>
        <c:axId val="109614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6383663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Social Media:</a:t>
            </a:r>
          </a:p>
          <a:p>
            <a:pPr>
              <a:defRPr/>
            </a:pPr>
            <a:r>
              <a:rPr lang="en-US"/>
              <a:t>Followers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'Organic Social Media (Weekly)'!$V$4</c:f>
              <c:strCache>
                <c:ptCount val="1"/>
                <c:pt idx="0">
                  <c:v>LI Followers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7000"/>
                    <a:satMod val="105000"/>
                    <a:lumMod val="110000"/>
                  </a:schemeClr>
                </a:gs>
                <a:gs pos="50000">
                  <a:schemeClr val="accent1">
                    <a:tint val="73000"/>
                    <a:satMod val="103000"/>
                    <a:lumMod val="105000"/>
                  </a:schemeClr>
                </a:gs>
                <a:gs pos="100000">
                  <a:schemeClr val="accent1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'Organic Social Media (Weekly)'!$A$5:$A$36</c:f>
              <c:numCache>
                <c:formatCode>m/d/yy;@</c:formatCode>
                <c:ptCount val="32"/>
                <c:pt idx="0">
                  <c:v>45831</c:v>
                </c:pt>
                <c:pt idx="1">
                  <c:v>45838</c:v>
                </c:pt>
                <c:pt idx="2">
                  <c:v>45845</c:v>
                </c:pt>
                <c:pt idx="3">
                  <c:v>45852</c:v>
                </c:pt>
                <c:pt idx="4">
                  <c:v>45859</c:v>
                </c:pt>
                <c:pt idx="5">
                  <c:v>45866</c:v>
                </c:pt>
                <c:pt idx="6">
                  <c:v>45873</c:v>
                </c:pt>
                <c:pt idx="7">
                  <c:v>45880</c:v>
                </c:pt>
                <c:pt idx="8">
                  <c:v>45887</c:v>
                </c:pt>
                <c:pt idx="9">
                  <c:v>45894</c:v>
                </c:pt>
                <c:pt idx="10">
                  <c:v>45901</c:v>
                </c:pt>
                <c:pt idx="11">
                  <c:v>45908</c:v>
                </c:pt>
                <c:pt idx="12">
                  <c:v>45915</c:v>
                </c:pt>
                <c:pt idx="13">
                  <c:v>45922</c:v>
                </c:pt>
                <c:pt idx="14">
                  <c:v>45929</c:v>
                </c:pt>
                <c:pt idx="15">
                  <c:v>45936</c:v>
                </c:pt>
                <c:pt idx="16">
                  <c:v>45943</c:v>
                </c:pt>
                <c:pt idx="17">
                  <c:v>45950</c:v>
                </c:pt>
                <c:pt idx="18">
                  <c:v>45957</c:v>
                </c:pt>
                <c:pt idx="19">
                  <c:v>45964</c:v>
                </c:pt>
                <c:pt idx="20">
                  <c:v>45971</c:v>
                </c:pt>
                <c:pt idx="21">
                  <c:v>45978</c:v>
                </c:pt>
                <c:pt idx="22">
                  <c:v>45985</c:v>
                </c:pt>
                <c:pt idx="23">
                  <c:v>45992</c:v>
                </c:pt>
                <c:pt idx="24">
                  <c:v>45999</c:v>
                </c:pt>
                <c:pt idx="25">
                  <c:v>46006</c:v>
                </c:pt>
                <c:pt idx="26">
                  <c:v>46013</c:v>
                </c:pt>
                <c:pt idx="27">
                  <c:v>46020</c:v>
                </c:pt>
                <c:pt idx="28">
                  <c:v>46027</c:v>
                </c:pt>
                <c:pt idx="29">
                  <c:v>46034</c:v>
                </c:pt>
                <c:pt idx="30">
                  <c:v>46041</c:v>
                </c:pt>
                <c:pt idx="31">
                  <c:v>46048</c:v>
                </c:pt>
              </c:numCache>
            </c:numRef>
          </c:cat>
          <c:val>
            <c:numRef>
              <c:f>'Organic Social Media (Weekly)'!$V$5:$V$36</c:f>
              <c:numCache>
                <c:formatCode>0</c:formatCode>
                <c:ptCount val="32"/>
                <c:pt idx="0">
                  <c:v>1490</c:v>
                </c:pt>
                <c:pt idx="1">
                  <c:v>1489</c:v>
                </c:pt>
                <c:pt idx="2">
                  <c:v>1488</c:v>
                </c:pt>
                <c:pt idx="3">
                  <c:v>1490</c:v>
                </c:pt>
                <c:pt idx="4">
                  <c:v>1491</c:v>
                </c:pt>
                <c:pt idx="5">
                  <c:v>1492</c:v>
                </c:pt>
                <c:pt idx="6">
                  <c:v>1498</c:v>
                </c:pt>
                <c:pt idx="7">
                  <c:v>1502</c:v>
                </c:pt>
                <c:pt idx="8">
                  <c:v>1501</c:v>
                </c:pt>
                <c:pt idx="9">
                  <c:v>1506</c:v>
                </c:pt>
                <c:pt idx="10">
                  <c:v>1508</c:v>
                </c:pt>
                <c:pt idx="11">
                  <c:v>1509</c:v>
                </c:pt>
                <c:pt idx="12">
                  <c:v>1510</c:v>
                </c:pt>
                <c:pt idx="13">
                  <c:v>1512</c:v>
                </c:pt>
                <c:pt idx="14">
                  <c:v>1517</c:v>
                </c:pt>
                <c:pt idx="15">
                  <c:v>1518</c:v>
                </c:pt>
                <c:pt idx="16">
                  <c:v>1519</c:v>
                </c:pt>
                <c:pt idx="17">
                  <c:v>1520</c:v>
                </c:pt>
                <c:pt idx="18">
                  <c:v>1522</c:v>
                </c:pt>
                <c:pt idx="19">
                  <c:v>1526</c:v>
                </c:pt>
                <c:pt idx="20">
                  <c:v>1529</c:v>
                </c:pt>
                <c:pt idx="21">
                  <c:v>1533</c:v>
                </c:pt>
                <c:pt idx="22">
                  <c:v>1538</c:v>
                </c:pt>
                <c:pt idx="23">
                  <c:v>1545</c:v>
                </c:pt>
                <c:pt idx="24">
                  <c:v>1551</c:v>
                </c:pt>
                <c:pt idx="25">
                  <c:v>1558</c:v>
                </c:pt>
                <c:pt idx="26">
                  <c:v>1563</c:v>
                </c:pt>
                <c:pt idx="27">
                  <c:v>1567</c:v>
                </c:pt>
                <c:pt idx="28">
                  <c:v>1568</c:v>
                </c:pt>
                <c:pt idx="29">
                  <c:v>1568</c:v>
                </c:pt>
                <c:pt idx="30">
                  <c:v>1568</c:v>
                </c:pt>
                <c:pt idx="31">
                  <c:v>1575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34-294E-9C2C-5614021014B2}"/>
            </c:ext>
          </c:extLst>
        </c:ser>
        <c:ser>
          <c:idx val="1"/>
          <c:order val="1"/>
          <c:tx>
            <c:strRef>
              <c:f>'Organic Social Media (Weekly)'!$W$4</c:f>
              <c:strCache>
                <c:ptCount val="1"/>
                <c:pt idx="0">
                  <c:v>FB Followers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67000"/>
                    <a:satMod val="105000"/>
                    <a:lumMod val="110000"/>
                  </a:schemeClr>
                </a:gs>
                <a:gs pos="50000">
                  <a:schemeClr val="accent2">
                    <a:tint val="73000"/>
                    <a:satMod val="103000"/>
                    <a:lumMod val="105000"/>
                  </a:schemeClr>
                </a:gs>
                <a:gs pos="100000">
                  <a:schemeClr val="accent2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'Organic Social Media (Weekly)'!$A$5:$A$36</c:f>
              <c:numCache>
                <c:formatCode>m/d/yy;@</c:formatCode>
                <c:ptCount val="32"/>
                <c:pt idx="0">
                  <c:v>45831</c:v>
                </c:pt>
                <c:pt idx="1">
                  <c:v>45838</c:v>
                </c:pt>
                <c:pt idx="2">
                  <c:v>45845</c:v>
                </c:pt>
                <c:pt idx="3">
                  <c:v>45852</c:v>
                </c:pt>
                <c:pt idx="4">
                  <c:v>45859</c:v>
                </c:pt>
                <c:pt idx="5">
                  <c:v>45866</c:v>
                </c:pt>
                <c:pt idx="6">
                  <c:v>45873</c:v>
                </c:pt>
                <c:pt idx="7">
                  <c:v>45880</c:v>
                </c:pt>
                <c:pt idx="8">
                  <c:v>45887</c:v>
                </c:pt>
                <c:pt idx="9">
                  <c:v>45894</c:v>
                </c:pt>
                <c:pt idx="10">
                  <c:v>45901</c:v>
                </c:pt>
                <c:pt idx="11">
                  <c:v>45908</c:v>
                </c:pt>
                <c:pt idx="12">
                  <c:v>45915</c:v>
                </c:pt>
                <c:pt idx="13">
                  <c:v>45922</c:v>
                </c:pt>
                <c:pt idx="14">
                  <c:v>45929</c:v>
                </c:pt>
                <c:pt idx="15">
                  <c:v>45936</c:v>
                </c:pt>
                <c:pt idx="16">
                  <c:v>45943</c:v>
                </c:pt>
                <c:pt idx="17">
                  <c:v>45950</c:v>
                </c:pt>
                <c:pt idx="18">
                  <c:v>45957</c:v>
                </c:pt>
                <c:pt idx="19">
                  <c:v>45964</c:v>
                </c:pt>
                <c:pt idx="20">
                  <c:v>45971</c:v>
                </c:pt>
                <c:pt idx="21">
                  <c:v>45978</c:v>
                </c:pt>
                <c:pt idx="22">
                  <c:v>45985</c:v>
                </c:pt>
                <c:pt idx="23">
                  <c:v>45992</c:v>
                </c:pt>
                <c:pt idx="24">
                  <c:v>45999</c:v>
                </c:pt>
                <c:pt idx="25">
                  <c:v>46006</c:v>
                </c:pt>
                <c:pt idx="26">
                  <c:v>46013</c:v>
                </c:pt>
                <c:pt idx="27">
                  <c:v>46020</c:v>
                </c:pt>
                <c:pt idx="28">
                  <c:v>46027</c:v>
                </c:pt>
                <c:pt idx="29">
                  <c:v>46034</c:v>
                </c:pt>
                <c:pt idx="30">
                  <c:v>46041</c:v>
                </c:pt>
                <c:pt idx="31">
                  <c:v>46048</c:v>
                </c:pt>
              </c:numCache>
            </c:numRef>
          </c:cat>
          <c:val>
            <c:numRef>
              <c:f>'Organic Social Media (Weekly)'!$W$5:$W$36</c:f>
              <c:numCache>
                <c:formatCode>0</c:formatCode>
                <c:ptCount val="32"/>
                <c:pt idx="0">
                  <c:v>2311</c:v>
                </c:pt>
                <c:pt idx="1">
                  <c:v>2309</c:v>
                </c:pt>
                <c:pt idx="2">
                  <c:v>2309</c:v>
                </c:pt>
                <c:pt idx="3">
                  <c:v>2308</c:v>
                </c:pt>
                <c:pt idx="4">
                  <c:v>2308</c:v>
                </c:pt>
                <c:pt idx="5">
                  <c:v>2308</c:v>
                </c:pt>
                <c:pt idx="6">
                  <c:v>2307</c:v>
                </c:pt>
                <c:pt idx="7">
                  <c:v>2309</c:v>
                </c:pt>
                <c:pt idx="8">
                  <c:v>2309</c:v>
                </c:pt>
                <c:pt idx="9">
                  <c:v>2307</c:v>
                </c:pt>
                <c:pt idx="10">
                  <c:v>2309</c:v>
                </c:pt>
                <c:pt idx="11">
                  <c:v>2311</c:v>
                </c:pt>
                <c:pt idx="12">
                  <c:v>2310</c:v>
                </c:pt>
                <c:pt idx="13">
                  <c:v>2313</c:v>
                </c:pt>
                <c:pt idx="14">
                  <c:v>2313</c:v>
                </c:pt>
                <c:pt idx="15">
                  <c:v>2313</c:v>
                </c:pt>
                <c:pt idx="16">
                  <c:v>2311</c:v>
                </c:pt>
                <c:pt idx="17">
                  <c:v>2310</c:v>
                </c:pt>
                <c:pt idx="18">
                  <c:v>2312</c:v>
                </c:pt>
                <c:pt idx="19">
                  <c:v>2313</c:v>
                </c:pt>
                <c:pt idx="20">
                  <c:v>2311</c:v>
                </c:pt>
                <c:pt idx="21">
                  <c:v>2309</c:v>
                </c:pt>
                <c:pt idx="22">
                  <c:v>2309</c:v>
                </c:pt>
                <c:pt idx="23">
                  <c:v>2309</c:v>
                </c:pt>
                <c:pt idx="24">
                  <c:v>2308</c:v>
                </c:pt>
                <c:pt idx="25">
                  <c:v>2307</c:v>
                </c:pt>
                <c:pt idx="26">
                  <c:v>2305</c:v>
                </c:pt>
                <c:pt idx="27">
                  <c:v>2307</c:v>
                </c:pt>
                <c:pt idx="28">
                  <c:v>2308</c:v>
                </c:pt>
                <c:pt idx="29">
                  <c:v>2309</c:v>
                </c:pt>
                <c:pt idx="30">
                  <c:v>2309</c:v>
                </c:pt>
                <c:pt idx="31">
                  <c:v>2315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34-294E-9C2C-5614021014B2}"/>
            </c:ext>
          </c:extLst>
        </c:ser>
        <c:ser>
          <c:idx val="2"/>
          <c:order val="2"/>
          <c:tx>
            <c:strRef>
              <c:f>'Organic Social Media (Weekly)'!$X$4</c:f>
              <c:strCache>
                <c:ptCount val="1"/>
                <c:pt idx="0">
                  <c:v>IG Followers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67000"/>
                    <a:satMod val="105000"/>
                    <a:lumMod val="110000"/>
                  </a:schemeClr>
                </a:gs>
                <a:gs pos="50000">
                  <a:schemeClr val="accent3">
                    <a:tint val="73000"/>
                    <a:satMod val="103000"/>
                    <a:lumMod val="105000"/>
                  </a:schemeClr>
                </a:gs>
                <a:gs pos="100000">
                  <a:schemeClr val="accent3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'Organic Social Media (Weekly)'!$A$5:$A$36</c:f>
              <c:numCache>
                <c:formatCode>m/d/yy;@</c:formatCode>
                <c:ptCount val="32"/>
                <c:pt idx="0">
                  <c:v>45831</c:v>
                </c:pt>
                <c:pt idx="1">
                  <c:v>45838</c:v>
                </c:pt>
                <c:pt idx="2">
                  <c:v>45845</c:v>
                </c:pt>
                <c:pt idx="3">
                  <c:v>45852</c:v>
                </c:pt>
                <c:pt idx="4">
                  <c:v>45859</c:v>
                </c:pt>
                <c:pt idx="5">
                  <c:v>45866</c:v>
                </c:pt>
                <c:pt idx="6">
                  <c:v>45873</c:v>
                </c:pt>
                <c:pt idx="7">
                  <c:v>45880</c:v>
                </c:pt>
                <c:pt idx="8">
                  <c:v>45887</c:v>
                </c:pt>
                <c:pt idx="9">
                  <c:v>45894</c:v>
                </c:pt>
                <c:pt idx="10">
                  <c:v>45901</c:v>
                </c:pt>
                <c:pt idx="11">
                  <c:v>45908</c:v>
                </c:pt>
                <c:pt idx="12">
                  <c:v>45915</c:v>
                </c:pt>
                <c:pt idx="13">
                  <c:v>45922</c:v>
                </c:pt>
                <c:pt idx="14">
                  <c:v>45929</c:v>
                </c:pt>
                <c:pt idx="15">
                  <c:v>45936</c:v>
                </c:pt>
                <c:pt idx="16">
                  <c:v>45943</c:v>
                </c:pt>
                <c:pt idx="17">
                  <c:v>45950</c:v>
                </c:pt>
                <c:pt idx="18">
                  <c:v>45957</c:v>
                </c:pt>
                <c:pt idx="19">
                  <c:v>45964</c:v>
                </c:pt>
                <c:pt idx="20">
                  <c:v>45971</c:v>
                </c:pt>
                <c:pt idx="21">
                  <c:v>45978</c:v>
                </c:pt>
                <c:pt idx="22">
                  <c:v>45985</c:v>
                </c:pt>
                <c:pt idx="23">
                  <c:v>45992</c:v>
                </c:pt>
                <c:pt idx="24">
                  <c:v>45999</c:v>
                </c:pt>
                <c:pt idx="25">
                  <c:v>46006</c:v>
                </c:pt>
                <c:pt idx="26">
                  <c:v>46013</c:v>
                </c:pt>
                <c:pt idx="27">
                  <c:v>46020</c:v>
                </c:pt>
                <c:pt idx="28">
                  <c:v>46027</c:v>
                </c:pt>
                <c:pt idx="29">
                  <c:v>46034</c:v>
                </c:pt>
                <c:pt idx="30">
                  <c:v>46041</c:v>
                </c:pt>
                <c:pt idx="31">
                  <c:v>46048</c:v>
                </c:pt>
              </c:numCache>
            </c:numRef>
          </c:cat>
          <c:val>
            <c:numRef>
              <c:f>'Organic Social Media (Weekly)'!$X$5:$X$36</c:f>
              <c:numCache>
                <c:formatCode>0</c:formatCode>
                <c:ptCount val="32"/>
                <c:pt idx="0">
                  <c:v>921</c:v>
                </c:pt>
                <c:pt idx="1">
                  <c:v>923</c:v>
                </c:pt>
                <c:pt idx="2">
                  <c:v>928</c:v>
                </c:pt>
                <c:pt idx="3">
                  <c:v>926</c:v>
                </c:pt>
                <c:pt idx="4">
                  <c:v>925</c:v>
                </c:pt>
                <c:pt idx="5">
                  <c:v>925</c:v>
                </c:pt>
                <c:pt idx="6">
                  <c:v>935</c:v>
                </c:pt>
                <c:pt idx="7">
                  <c:v>943</c:v>
                </c:pt>
                <c:pt idx="8">
                  <c:v>941</c:v>
                </c:pt>
                <c:pt idx="9">
                  <c:v>941</c:v>
                </c:pt>
                <c:pt idx="10">
                  <c:v>940</c:v>
                </c:pt>
                <c:pt idx="11">
                  <c:v>940</c:v>
                </c:pt>
                <c:pt idx="12">
                  <c:v>940</c:v>
                </c:pt>
                <c:pt idx="13">
                  <c:v>941</c:v>
                </c:pt>
                <c:pt idx="14">
                  <c:v>942</c:v>
                </c:pt>
                <c:pt idx="15">
                  <c:v>943</c:v>
                </c:pt>
                <c:pt idx="16">
                  <c:v>951</c:v>
                </c:pt>
                <c:pt idx="17">
                  <c:v>956</c:v>
                </c:pt>
                <c:pt idx="18">
                  <c:v>958</c:v>
                </c:pt>
                <c:pt idx="19">
                  <c:v>962</c:v>
                </c:pt>
                <c:pt idx="20">
                  <c:v>973</c:v>
                </c:pt>
                <c:pt idx="21">
                  <c:v>973</c:v>
                </c:pt>
                <c:pt idx="22">
                  <c:v>972</c:v>
                </c:pt>
                <c:pt idx="23">
                  <c:v>973</c:v>
                </c:pt>
                <c:pt idx="24">
                  <c:v>975</c:v>
                </c:pt>
                <c:pt idx="25">
                  <c:v>976</c:v>
                </c:pt>
                <c:pt idx="26">
                  <c:v>981</c:v>
                </c:pt>
                <c:pt idx="27">
                  <c:v>981</c:v>
                </c:pt>
                <c:pt idx="28">
                  <c:v>982</c:v>
                </c:pt>
                <c:pt idx="29">
                  <c:v>983</c:v>
                </c:pt>
                <c:pt idx="30">
                  <c:v>983</c:v>
                </c:pt>
                <c:pt idx="31">
                  <c:v>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34-294E-9C2C-5614021014B2}"/>
            </c:ext>
          </c:extLst>
        </c:ser>
        <c:ser>
          <c:idx val="3"/>
          <c:order val="3"/>
          <c:tx>
            <c:strRef>
              <c:f>'Organic Social Media (Weekly)'!$Y$4</c:f>
              <c:strCache>
                <c:ptCount val="1"/>
                <c:pt idx="0">
                  <c:v>X Followers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7000"/>
                    <a:satMod val="105000"/>
                    <a:lumMod val="110000"/>
                  </a:schemeClr>
                </a:gs>
                <a:gs pos="50000">
                  <a:schemeClr val="accent4">
                    <a:tint val="73000"/>
                    <a:satMod val="103000"/>
                    <a:lumMod val="105000"/>
                  </a:schemeClr>
                </a:gs>
                <a:gs pos="100000">
                  <a:schemeClr val="accent4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'Organic Social Media (Weekly)'!$A$5:$A$36</c:f>
              <c:numCache>
                <c:formatCode>m/d/yy;@</c:formatCode>
                <c:ptCount val="32"/>
                <c:pt idx="0">
                  <c:v>45831</c:v>
                </c:pt>
                <c:pt idx="1">
                  <c:v>45838</c:v>
                </c:pt>
                <c:pt idx="2">
                  <c:v>45845</c:v>
                </c:pt>
                <c:pt idx="3">
                  <c:v>45852</c:v>
                </c:pt>
                <c:pt idx="4">
                  <c:v>45859</c:v>
                </c:pt>
                <c:pt idx="5">
                  <c:v>45866</c:v>
                </c:pt>
                <c:pt idx="6">
                  <c:v>45873</c:v>
                </c:pt>
                <c:pt idx="7">
                  <c:v>45880</c:v>
                </c:pt>
                <c:pt idx="8">
                  <c:v>45887</c:v>
                </c:pt>
                <c:pt idx="9">
                  <c:v>45894</c:v>
                </c:pt>
                <c:pt idx="10">
                  <c:v>45901</c:v>
                </c:pt>
                <c:pt idx="11">
                  <c:v>45908</c:v>
                </c:pt>
                <c:pt idx="12">
                  <c:v>45915</c:v>
                </c:pt>
                <c:pt idx="13">
                  <c:v>45922</c:v>
                </c:pt>
                <c:pt idx="14">
                  <c:v>45929</c:v>
                </c:pt>
                <c:pt idx="15">
                  <c:v>45936</c:v>
                </c:pt>
                <c:pt idx="16">
                  <c:v>45943</c:v>
                </c:pt>
                <c:pt idx="17">
                  <c:v>45950</c:v>
                </c:pt>
                <c:pt idx="18">
                  <c:v>45957</c:v>
                </c:pt>
                <c:pt idx="19">
                  <c:v>45964</c:v>
                </c:pt>
                <c:pt idx="20">
                  <c:v>45971</c:v>
                </c:pt>
                <c:pt idx="21">
                  <c:v>45978</c:v>
                </c:pt>
                <c:pt idx="22">
                  <c:v>45985</c:v>
                </c:pt>
                <c:pt idx="23">
                  <c:v>45992</c:v>
                </c:pt>
                <c:pt idx="24">
                  <c:v>45999</c:v>
                </c:pt>
                <c:pt idx="25">
                  <c:v>46006</c:v>
                </c:pt>
                <c:pt idx="26">
                  <c:v>46013</c:v>
                </c:pt>
                <c:pt idx="27">
                  <c:v>46020</c:v>
                </c:pt>
                <c:pt idx="28">
                  <c:v>46027</c:v>
                </c:pt>
                <c:pt idx="29">
                  <c:v>46034</c:v>
                </c:pt>
                <c:pt idx="30">
                  <c:v>46041</c:v>
                </c:pt>
                <c:pt idx="31">
                  <c:v>46048</c:v>
                </c:pt>
              </c:numCache>
            </c:numRef>
          </c:cat>
          <c:val>
            <c:numRef>
              <c:f>'Organic Social Media (Weekly)'!$Y$5:$Y$36</c:f>
              <c:numCache>
                <c:formatCode>0</c:formatCode>
                <c:ptCount val="32"/>
                <c:pt idx="0">
                  <c:v>5627</c:v>
                </c:pt>
                <c:pt idx="1">
                  <c:v>5627</c:v>
                </c:pt>
                <c:pt idx="2">
                  <c:v>5625</c:v>
                </c:pt>
                <c:pt idx="3">
                  <c:v>5632</c:v>
                </c:pt>
                <c:pt idx="4">
                  <c:v>5638</c:v>
                </c:pt>
                <c:pt idx="5">
                  <c:v>5640</c:v>
                </c:pt>
                <c:pt idx="6">
                  <c:v>5644</c:v>
                </c:pt>
                <c:pt idx="7">
                  <c:v>5647</c:v>
                </c:pt>
                <c:pt idx="8">
                  <c:v>5655</c:v>
                </c:pt>
                <c:pt idx="9">
                  <c:v>5665</c:v>
                </c:pt>
                <c:pt idx="10">
                  <c:v>5666</c:v>
                </c:pt>
                <c:pt idx="11">
                  <c:v>5674</c:v>
                </c:pt>
                <c:pt idx="12">
                  <c:v>5677</c:v>
                </c:pt>
                <c:pt idx="13">
                  <c:v>5672</c:v>
                </c:pt>
                <c:pt idx="14">
                  <c:v>5682</c:v>
                </c:pt>
                <c:pt idx="15">
                  <c:v>5680</c:v>
                </c:pt>
                <c:pt idx="16">
                  <c:v>5678</c:v>
                </c:pt>
                <c:pt idx="17">
                  <c:v>5679</c:v>
                </c:pt>
                <c:pt idx="18">
                  <c:v>5678</c:v>
                </c:pt>
                <c:pt idx="19">
                  <c:v>5681</c:v>
                </c:pt>
                <c:pt idx="20">
                  <c:v>5682</c:v>
                </c:pt>
                <c:pt idx="21">
                  <c:v>5678</c:v>
                </c:pt>
                <c:pt idx="22">
                  <c:v>5675</c:v>
                </c:pt>
                <c:pt idx="23">
                  <c:v>5675</c:v>
                </c:pt>
                <c:pt idx="24">
                  <c:v>5677</c:v>
                </c:pt>
                <c:pt idx="25">
                  <c:v>5681</c:v>
                </c:pt>
                <c:pt idx="26">
                  <c:v>5679</c:v>
                </c:pt>
                <c:pt idx="27">
                  <c:v>5680</c:v>
                </c:pt>
                <c:pt idx="28">
                  <c:v>5678</c:v>
                </c:pt>
                <c:pt idx="29">
                  <c:v>5678</c:v>
                </c:pt>
                <c:pt idx="30">
                  <c:v>5681</c:v>
                </c:pt>
                <c:pt idx="31">
                  <c:v>5684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34-294E-9C2C-561402101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24820863"/>
        <c:axId val="2124872127"/>
      </c:barChart>
      <c:dateAx>
        <c:axId val="2124820863"/>
        <c:scaling>
          <c:orientation val="minMax"/>
        </c:scaling>
        <c:delete val="0"/>
        <c:axPos val="b"/>
        <c:numFmt formatCode="m/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872127"/>
        <c:crosses val="autoZero"/>
        <c:auto val="1"/>
        <c:lblOffset val="100"/>
        <c:baseTimeUnit val="days"/>
        <c:majorUnit val="7"/>
        <c:majorTimeUnit val="days"/>
        <c:minorUnit val="7"/>
        <c:minorTimeUnit val="days"/>
      </c:dateAx>
      <c:valAx>
        <c:axId val="212487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82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24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rial" panose="020B0604020202020204" pitchFamily="34" charset="0"/>
                <a:cs typeface="Arial" panose="020B0604020202020204" pitchFamily="34" charset="0"/>
              </a:rPr>
              <a:t>Social Media: 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kumimoji="0" lang="en-US" sz="2400" b="1" i="0" u="sng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rial" panose="020B0604020202020204" pitchFamily="34" charset="0"/>
                <a:cs typeface="Arial" panose="020B0604020202020204" pitchFamily="34" charset="0"/>
              </a:rPr>
              <a:t>Facebook</a:t>
            </a:r>
            <a:r>
              <a:rPr kumimoji="0" lang="en-US" sz="24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rial" panose="020B0604020202020204" pitchFamily="34" charset="0"/>
                <a:cs typeface="Arial" panose="020B0604020202020204" pitchFamily="34" charset="0"/>
              </a:rPr>
              <a:t> Follower Growth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'Organic Social Media (Weekly)'!$G$4</c:f>
              <c:strCache>
                <c:ptCount val="1"/>
                <c:pt idx="0">
                  <c:v>FB Followers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'Organic Social Media (Weekly)'!$A$5:$A$19</c:f>
              <c:numCache>
                <c:formatCode>m/d/yy;@</c:formatCode>
                <c:ptCount val="15"/>
                <c:pt idx="0">
                  <c:v>45831</c:v>
                </c:pt>
                <c:pt idx="1">
                  <c:v>45838</c:v>
                </c:pt>
                <c:pt idx="2">
                  <c:v>45845</c:v>
                </c:pt>
                <c:pt idx="3">
                  <c:v>45852</c:v>
                </c:pt>
                <c:pt idx="4">
                  <c:v>45859</c:v>
                </c:pt>
                <c:pt idx="5">
                  <c:v>45866</c:v>
                </c:pt>
                <c:pt idx="6">
                  <c:v>45873</c:v>
                </c:pt>
                <c:pt idx="7">
                  <c:v>45880</c:v>
                </c:pt>
                <c:pt idx="8">
                  <c:v>45887</c:v>
                </c:pt>
                <c:pt idx="9">
                  <c:v>45894</c:v>
                </c:pt>
                <c:pt idx="10">
                  <c:v>45901</c:v>
                </c:pt>
                <c:pt idx="11">
                  <c:v>45908</c:v>
                </c:pt>
                <c:pt idx="12">
                  <c:v>45915</c:v>
                </c:pt>
                <c:pt idx="13">
                  <c:v>45922</c:v>
                </c:pt>
                <c:pt idx="14">
                  <c:v>45929</c:v>
                </c:pt>
              </c:numCache>
            </c:numRef>
          </c:cat>
          <c:val>
            <c:numRef>
              <c:f>'Organic Social Media (Weekly)'!$G$5:$G$19</c:f>
              <c:numCache>
                <c:formatCode>0</c:formatCode>
                <c:ptCount val="15"/>
                <c:pt idx="0">
                  <c:v>2311</c:v>
                </c:pt>
                <c:pt idx="1">
                  <c:v>2309</c:v>
                </c:pt>
                <c:pt idx="2">
                  <c:v>2309</c:v>
                </c:pt>
                <c:pt idx="3">
                  <c:v>2308</c:v>
                </c:pt>
                <c:pt idx="4">
                  <c:v>2308</c:v>
                </c:pt>
                <c:pt idx="5">
                  <c:v>2308</c:v>
                </c:pt>
                <c:pt idx="6">
                  <c:v>2307</c:v>
                </c:pt>
                <c:pt idx="7">
                  <c:v>2309</c:v>
                </c:pt>
                <c:pt idx="8">
                  <c:v>2309</c:v>
                </c:pt>
                <c:pt idx="9">
                  <c:v>2307</c:v>
                </c:pt>
                <c:pt idx="10">
                  <c:v>2309</c:v>
                </c:pt>
                <c:pt idx="11">
                  <c:v>2311</c:v>
                </c:pt>
                <c:pt idx="12">
                  <c:v>2310</c:v>
                </c:pt>
                <c:pt idx="13">
                  <c:v>2313</c:v>
                </c:pt>
                <c:pt idx="14">
                  <c:v>2313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6-DD48-B55D-E95F69B76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701894975"/>
        <c:axId val="1701986223"/>
      </c:barChart>
      <c:lineChart>
        <c:grouping val="standard"/>
        <c:varyColors val="0"/>
        <c:ser>
          <c:idx val="1"/>
          <c:order val="1"/>
          <c:tx>
            <c:strRef>
              <c:f>'Organic Social Media (Weekly)'!$H$4</c:f>
              <c:strCache>
                <c:ptCount val="1"/>
                <c:pt idx="0">
                  <c:v>FB Follower 
Growth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'Organic Social Media (Weekly)'!$A$5:$A$19</c:f>
              <c:numCache>
                <c:formatCode>m/d/yy;@</c:formatCode>
                <c:ptCount val="15"/>
                <c:pt idx="0">
                  <c:v>45831</c:v>
                </c:pt>
                <c:pt idx="1">
                  <c:v>45838</c:v>
                </c:pt>
                <c:pt idx="2">
                  <c:v>45845</c:v>
                </c:pt>
                <c:pt idx="3">
                  <c:v>45852</c:v>
                </c:pt>
                <c:pt idx="4">
                  <c:v>45859</c:v>
                </c:pt>
                <c:pt idx="5">
                  <c:v>45866</c:v>
                </c:pt>
                <c:pt idx="6">
                  <c:v>45873</c:v>
                </c:pt>
                <c:pt idx="7">
                  <c:v>45880</c:v>
                </c:pt>
                <c:pt idx="8">
                  <c:v>45887</c:v>
                </c:pt>
                <c:pt idx="9">
                  <c:v>45894</c:v>
                </c:pt>
                <c:pt idx="10">
                  <c:v>45901</c:v>
                </c:pt>
                <c:pt idx="11">
                  <c:v>45908</c:v>
                </c:pt>
                <c:pt idx="12">
                  <c:v>45915</c:v>
                </c:pt>
                <c:pt idx="13">
                  <c:v>45922</c:v>
                </c:pt>
                <c:pt idx="14">
                  <c:v>45929</c:v>
                </c:pt>
              </c:numCache>
            </c:numRef>
          </c:cat>
          <c:val>
            <c:numRef>
              <c:f>'Organic Social Media (Weekly)'!$H$5:$H$19</c:f>
              <c:numCache>
                <c:formatCode>0%</c:formatCode>
                <c:ptCount val="15"/>
                <c:pt idx="0">
                  <c:v>-8.6542622241458922E-4</c:v>
                </c:pt>
                <c:pt idx="1">
                  <c:v>0</c:v>
                </c:pt>
                <c:pt idx="2">
                  <c:v>-4.3308791684715242E-4</c:v>
                </c:pt>
                <c:pt idx="3">
                  <c:v>0</c:v>
                </c:pt>
                <c:pt idx="4">
                  <c:v>0</c:v>
                </c:pt>
                <c:pt idx="5" formatCode="0.00%">
                  <c:v>0</c:v>
                </c:pt>
                <c:pt idx="6" formatCode="0.00%">
                  <c:v>-4.3327556325823221E-4</c:v>
                </c:pt>
                <c:pt idx="7" formatCode="0.00%">
                  <c:v>8.6692674469007367E-4</c:v>
                </c:pt>
                <c:pt idx="8" formatCode="0.00%">
                  <c:v>0</c:v>
                </c:pt>
                <c:pt idx="9" formatCode="0.00%">
                  <c:v>-8.661758336942399E-4</c:v>
                </c:pt>
                <c:pt idx="10" formatCode="0.00%">
                  <c:v>8.6692674469007367E-4</c:v>
                </c:pt>
                <c:pt idx="11" formatCode="0.00%">
                  <c:v>8.661758336942399E-4</c:v>
                </c:pt>
                <c:pt idx="12" formatCode="0.00%">
                  <c:v>-4.3271311120726956E-4</c:v>
                </c:pt>
                <c:pt idx="13" formatCode="0.00%">
                  <c:v>1.2987012987012987E-3</c:v>
                </c:pt>
                <c:pt idx="14" formatCode="0.00%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8A6-DD48-B55D-E95F69B76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9603967"/>
        <c:axId val="139772191"/>
      </c:lineChart>
      <c:dateAx>
        <c:axId val="1701894975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986223"/>
        <c:crosses val="autoZero"/>
        <c:auto val="1"/>
        <c:lblOffset val="100"/>
        <c:baseTimeUnit val="days"/>
        <c:majorUnit val="7"/>
        <c:majorTimeUnit val="days"/>
        <c:minorUnit val="7"/>
        <c:minorTimeUnit val="days"/>
      </c:dateAx>
      <c:valAx>
        <c:axId val="170198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894975"/>
        <c:crosses val="autoZero"/>
        <c:crossBetween val="between"/>
      </c:valAx>
      <c:valAx>
        <c:axId val="139772191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603967"/>
        <c:crosses val="max"/>
        <c:crossBetween val="between"/>
      </c:valAx>
      <c:dateAx>
        <c:axId val="1849603967"/>
        <c:scaling>
          <c:orientation val="minMax"/>
        </c:scaling>
        <c:delete val="1"/>
        <c:axPos val="b"/>
        <c:numFmt formatCode="m/d/yy;@" sourceLinked="1"/>
        <c:majorTickMark val="out"/>
        <c:minorTickMark val="none"/>
        <c:tickLblPos val="nextTo"/>
        <c:crossAx val="139772191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24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rial" panose="020B0604020202020204" pitchFamily="34" charset="0"/>
                <a:cs typeface="Arial" panose="020B0604020202020204" pitchFamily="34" charset="0"/>
              </a:rPr>
              <a:t>Social Media: 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kumimoji="0" lang="en-US" sz="2400" b="1" i="0" u="sng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rial" panose="020B0604020202020204" pitchFamily="34" charset="0"/>
                <a:cs typeface="Arial" panose="020B0604020202020204" pitchFamily="34" charset="0"/>
              </a:rPr>
              <a:t>Instagram</a:t>
            </a:r>
            <a:r>
              <a:rPr kumimoji="0" lang="en-US" sz="24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rial" panose="020B0604020202020204" pitchFamily="34" charset="0"/>
                <a:cs typeface="Arial" panose="020B0604020202020204" pitchFamily="34" charset="0"/>
              </a:rPr>
              <a:t> Follower Growth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'Organic Social Media (Weekly)'!$L$4</c:f>
              <c:strCache>
                <c:ptCount val="1"/>
                <c:pt idx="0">
                  <c:v>IG Followers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'Organic Social Media (Weekly)'!$A$5:$A$19</c:f>
              <c:numCache>
                <c:formatCode>m/d/yy;@</c:formatCode>
                <c:ptCount val="15"/>
                <c:pt idx="0">
                  <c:v>45831</c:v>
                </c:pt>
                <c:pt idx="1">
                  <c:v>45838</c:v>
                </c:pt>
                <c:pt idx="2">
                  <c:v>45845</c:v>
                </c:pt>
                <c:pt idx="3">
                  <c:v>45852</c:v>
                </c:pt>
                <c:pt idx="4">
                  <c:v>45859</c:v>
                </c:pt>
                <c:pt idx="5">
                  <c:v>45866</c:v>
                </c:pt>
                <c:pt idx="6">
                  <c:v>45873</c:v>
                </c:pt>
                <c:pt idx="7">
                  <c:v>45880</c:v>
                </c:pt>
                <c:pt idx="8">
                  <c:v>45887</c:v>
                </c:pt>
                <c:pt idx="9">
                  <c:v>45894</c:v>
                </c:pt>
                <c:pt idx="10">
                  <c:v>45901</c:v>
                </c:pt>
                <c:pt idx="11">
                  <c:v>45908</c:v>
                </c:pt>
                <c:pt idx="12">
                  <c:v>45915</c:v>
                </c:pt>
                <c:pt idx="13">
                  <c:v>45922</c:v>
                </c:pt>
                <c:pt idx="14">
                  <c:v>45929</c:v>
                </c:pt>
              </c:numCache>
            </c:numRef>
          </c:cat>
          <c:val>
            <c:numRef>
              <c:f>'Organic Social Media (Weekly)'!$L$5:$L$19</c:f>
              <c:numCache>
                <c:formatCode>0</c:formatCode>
                <c:ptCount val="15"/>
                <c:pt idx="0">
                  <c:v>921</c:v>
                </c:pt>
                <c:pt idx="1">
                  <c:v>923</c:v>
                </c:pt>
                <c:pt idx="2">
                  <c:v>928</c:v>
                </c:pt>
                <c:pt idx="3">
                  <c:v>926</c:v>
                </c:pt>
                <c:pt idx="4">
                  <c:v>925</c:v>
                </c:pt>
                <c:pt idx="5">
                  <c:v>925</c:v>
                </c:pt>
                <c:pt idx="6">
                  <c:v>935</c:v>
                </c:pt>
                <c:pt idx="7">
                  <c:v>943</c:v>
                </c:pt>
                <c:pt idx="8">
                  <c:v>941</c:v>
                </c:pt>
                <c:pt idx="9">
                  <c:v>941</c:v>
                </c:pt>
                <c:pt idx="10">
                  <c:v>940</c:v>
                </c:pt>
                <c:pt idx="11">
                  <c:v>940</c:v>
                </c:pt>
                <c:pt idx="12">
                  <c:v>940</c:v>
                </c:pt>
                <c:pt idx="13">
                  <c:v>941</c:v>
                </c:pt>
                <c:pt idx="14">
                  <c:v>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1-004C-94C8-30E56A3F8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54231871"/>
        <c:axId val="1635027455"/>
      </c:barChart>
      <c:lineChart>
        <c:grouping val="standard"/>
        <c:varyColors val="0"/>
        <c:ser>
          <c:idx val="1"/>
          <c:order val="1"/>
          <c:tx>
            <c:strRef>
              <c:f>'Organic Social Media (Weekly)'!$M$4</c:f>
              <c:strCache>
                <c:ptCount val="1"/>
                <c:pt idx="0">
                  <c:v>IG Follower 
Growth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'Organic Social Media (Weekly)'!$A$5:$A$19</c:f>
              <c:numCache>
                <c:formatCode>m/d/yy;@</c:formatCode>
                <c:ptCount val="15"/>
                <c:pt idx="0">
                  <c:v>45831</c:v>
                </c:pt>
                <c:pt idx="1">
                  <c:v>45838</c:v>
                </c:pt>
                <c:pt idx="2">
                  <c:v>45845</c:v>
                </c:pt>
                <c:pt idx="3">
                  <c:v>45852</c:v>
                </c:pt>
                <c:pt idx="4">
                  <c:v>45859</c:v>
                </c:pt>
                <c:pt idx="5">
                  <c:v>45866</c:v>
                </c:pt>
                <c:pt idx="6">
                  <c:v>45873</c:v>
                </c:pt>
                <c:pt idx="7">
                  <c:v>45880</c:v>
                </c:pt>
                <c:pt idx="8">
                  <c:v>45887</c:v>
                </c:pt>
                <c:pt idx="9">
                  <c:v>45894</c:v>
                </c:pt>
                <c:pt idx="10">
                  <c:v>45901</c:v>
                </c:pt>
                <c:pt idx="11">
                  <c:v>45908</c:v>
                </c:pt>
                <c:pt idx="12">
                  <c:v>45915</c:v>
                </c:pt>
                <c:pt idx="13">
                  <c:v>45922</c:v>
                </c:pt>
                <c:pt idx="14">
                  <c:v>45929</c:v>
                </c:pt>
              </c:numCache>
            </c:numRef>
          </c:cat>
          <c:val>
            <c:numRef>
              <c:f>'Organic Social Media (Weekly)'!$M$5:$M$19</c:f>
              <c:numCache>
                <c:formatCode>0%</c:formatCode>
                <c:ptCount val="15"/>
                <c:pt idx="0">
                  <c:v>2.1715526601520097E-3</c:v>
                </c:pt>
                <c:pt idx="1">
                  <c:v>5.4171180931743557E-3</c:v>
                </c:pt>
                <c:pt idx="2">
                  <c:v>-2.1551724137931494E-3</c:v>
                </c:pt>
                <c:pt idx="3">
                  <c:v>-1.0799136069113979E-3</c:v>
                </c:pt>
                <c:pt idx="4">
                  <c:v>0</c:v>
                </c:pt>
                <c:pt idx="5" formatCode="0.00%">
                  <c:v>0</c:v>
                </c:pt>
                <c:pt idx="6" formatCode="0.00%">
                  <c:v>1.0810810810810811E-2</c:v>
                </c:pt>
                <c:pt idx="7" formatCode="0.00%">
                  <c:v>8.5561497326203211E-3</c:v>
                </c:pt>
                <c:pt idx="8" formatCode="0.00%">
                  <c:v>-2.1208907741251328E-3</c:v>
                </c:pt>
                <c:pt idx="9" formatCode="0.00%">
                  <c:v>0</c:v>
                </c:pt>
                <c:pt idx="10" formatCode="0.00%">
                  <c:v>-1.0626992561105207E-3</c:v>
                </c:pt>
                <c:pt idx="11" formatCode="0.00%">
                  <c:v>0</c:v>
                </c:pt>
                <c:pt idx="12" formatCode="0.00%">
                  <c:v>0</c:v>
                </c:pt>
                <c:pt idx="13" formatCode="0.00%">
                  <c:v>1.0638297872340426E-3</c:v>
                </c:pt>
                <c:pt idx="14" formatCode="0.00%">
                  <c:v>1.0626992561105207E-3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E11-004C-94C8-30E56A3F8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578271"/>
        <c:axId val="1702783343"/>
      </c:lineChart>
      <c:dateAx>
        <c:axId val="1854231871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027455"/>
        <c:crosses val="autoZero"/>
        <c:auto val="1"/>
        <c:lblOffset val="100"/>
        <c:baseTimeUnit val="days"/>
        <c:majorUnit val="7"/>
        <c:majorTimeUnit val="days"/>
        <c:minorUnit val="7"/>
        <c:minorTimeUnit val="days"/>
      </c:dateAx>
      <c:valAx>
        <c:axId val="163502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231871"/>
        <c:crosses val="autoZero"/>
        <c:crossBetween val="between"/>
      </c:valAx>
      <c:valAx>
        <c:axId val="1702783343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578271"/>
        <c:crosses val="max"/>
        <c:crossBetween val="between"/>
      </c:valAx>
      <c:dateAx>
        <c:axId val="1702578271"/>
        <c:scaling>
          <c:orientation val="minMax"/>
        </c:scaling>
        <c:delete val="1"/>
        <c:axPos val="b"/>
        <c:numFmt formatCode="m/d/yy;@" sourceLinked="1"/>
        <c:majorTickMark val="out"/>
        <c:minorTickMark val="none"/>
        <c:tickLblPos val="nextTo"/>
        <c:crossAx val="1702783343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24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rial" panose="020B0604020202020204" pitchFamily="34" charset="0"/>
                <a:cs typeface="Arial" panose="020B0604020202020204" pitchFamily="34" charset="0"/>
              </a:rPr>
              <a:t>Social Media: 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kumimoji="0" lang="en-US" sz="2400" b="1" i="0" u="sng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rial" panose="020B0604020202020204" pitchFamily="34" charset="0"/>
                <a:cs typeface="Arial" panose="020B0604020202020204" pitchFamily="34" charset="0"/>
              </a:rPr>
              <a:t>X / Twitter</a:t>
            </a:r>
            <a:r>
              <a:rPr kumimoji="0" lang="en-US" sz="24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rial" panose="020B0604020202020204" pitchFamily="34" charset="0"/>
                <a:cs typeface="Arial" panose="020B0604020202020204" pitchFamily="34" charset="0"/>
              </a:rPr>
              <a:t> Follower Growth Rates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'Organic Social Media (Weekly)'!$Q$4</c:f>
              <c:strCache>
                <c:ptCount val="1"/>
                <c:pt idx="0">
                  <c:v>X Followers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'Organic Social Media (Weekly)'!$A$5:$A$19</c:f>
              <c:numCache>
                <c:formatCode>m/d/yy;@</c:formatCode>
                <c:ptCount val="15"/>
                <c:pt idx="0">
                  <c:v>45831</c:v>
                </c:pt>
                <c:pt idx="1">
                  <c:v>45838</c:v>
                </c:pt>
                <c:pt idx="2">
                  <c:v>45845</c:v>
                </c:pt>
                <c:pt idx="3">
                  <c:v>45852</c:v>
                </c:pt>
                <c:pt idx="4">
                  <c:v>45859</c:v>
                </c:pt>
                <c:pt idx="5">
                  <c:v>45866</c:v>
                </c:pt>
                <c:pt idx="6">
                  <c:v>45873</c:v>
                </c:pt>
                <c:pt idx="7">
                  <c:v>45880</c:v>
                </c:pt>
                <c:pt idx="8">
                  <c:v>45887</c:v>
                </c:pt>
                <c:pt idx="9">
                  <c:v>45894</c:v>
                </c:pt>
                <c:pt idx="10">
                  <c:v>45901</c:v>
                </c:pt>
                <c:pt idx="11">
                  <c:v>45908</c:v>
                </c:pt>
                <c:pt idx="12">
                  <c:v>45915</c:v>
                </c:pt>
                <c:pt idx="13">
                  <c:v>45922</c:v>
                </c:pt>
                <c:pt idx="14">
                  <c:v>45929</c:v>
                </c:pt>
              </c:numCache>
            </c:numRef>
          </c:cat>
          <c:val>
            <c:numRef>
              <c:f>'Organic Social Media (Weekly)'!$Q$5:$Q$19</c:f>
              <c:numCache>
                <c:formatCode>0</c:formatCode>
                <c:ptCount val="15"/>
                <c:pt idx="0">
                  <c:v>5627</c:v>
                </c:pt>
                <c:pt idx="1">
                  <c:v>5627</c:v>
                </c:pt>
                <c:pt idx="2">
                  <c:v>5625</c:v>
                </c:pt>
                <c:pt idx="3">
                  <c:v>5632</c:v>
                </c:pt>
                <c:pt idx="4">
                  <c:v>5638</c:v>
                </c:pt>
                <c:pt idx="5">
                  <c:v>5640</c:v>
                </c:pt>
                <c:pt idx="6">
                  <c:v>5644</c:v>
                </c:pt>
                <c:pt idx="7">
                  <c:v>5647</c:v>
                </c:pt>
                <c:pt idx="8">
                  <c:v>5655</c:v>
                </c:pt>
                <c:pt idx="9">
                  <c:v>5665</c:v>
                </c:pt>
                <c:pt idx="10">
                  <c:v>5666</c:v>
                </c:pt>
                <c:pt idx="11">
                  <c:v>5674</c:v>
                </c:pt>
                <c:pt idx="12">
                  <c:v>5677</c:v>
                </c:pt>
                <c:pt idx="13">
                  <c:v>5672</c:v>
                </c:pt>
                <c:pt idx="14">
                  <c:v>5682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0-6B41-8C22-178D04129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124482255"/>
        <c:axId val="2125364911"/>
      </c:barChart>
      <c:lineChart>
        <c:grouping val="standard"/>
        <c:varyColors val="0"/>
        <c:ser>
          <c:idx val="1"/>
          <c:order val="1"/>
          <c:tx>
            <c:strRef>
              <c:f>'Organic Social Media (Weekly)'!$R$4</c:f>
              <c:strCache>
                <c:ptCount val="1"/>
                <c:pt idx="0">
                  <c:v>X Follower 
Growth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'Organic Social Media (Weekly)'!$A$5:$A$19</c:f>
              <c:numCache>
                <c:formatCode>m/d/yy;@</c:formatCode>
                <c:ptCount val="15"/>
                <c:pt idx="0">
                  <c:v>45831</c:v>
                </c:pt>
                <c:pt idx="1">
                  <c:v>45838</c:v>
                </c:pt>
                <c:pt idx="2">
                  <c:v>45845</c:v>
                </c:pt>
                <c:pt idx="3">
                  <c:v>45852</c:v>
                </c:pt>
                <c:pt idx="4">
                  <c:v>45859</c:v>
                </c:pt>
                <c:pt idx="5">
                  <c:v>45866</c:v>
                </c:pt>
                <c:pt idx="6">
                  <c:v>45873</c:v>
                </c:pt>
                <c:pt idx="7">
                  <c:v>45880</c:v>
                </c:pt>
                <c:pt idx="8">
                  <c:v>45887</c:v>
                </c:pt>
                <c:pt idx="9">
                  <c:v>45894</c:v>
                </c:pt>
                <c:pt idx="10">
                  <c:v>45901</c:v>
                </c:pt>
                <c:pt idx="11">
                  <c:v>45908</c:v>
                </c:pt>
                <c:pt idx="12">
                  <c:v>45915</c:v>
                </c:pt>
                <c:pt idx="13">
                  <c:v>45922</c:v>
                </c:pt>
                <c:pt idx="14">
                  <c:v>45929</c:v>
                </c:pt>
              </c:numCache>
            </c:numRef>
          </c:cat>
          <c:val>
            <c:numRef>
              <c:f>'Organic Social Media (Weekly)'!$R$5:$R$19</c:f>
              <c:numCache>
                <c:formatCode>0.00%</c:formatCode>
                <c:ptCount val="15"/>
                <c:pt idx="0">
                  <c:v>0</c:v>
                </c:pt>
                <c:pt idx="1">
                  <c:v>-3.5542918073572238E-4</c:v>
                </c:pt>
                <c:pt idx="2">
                  <c:v>1.2444444444443814E-3</c:v>
                </c:pt>
                <c:pt idx="3">
                  <c:v>1.0653409090908283E-3</c:v>
                </c:pt>
                <c:pt idx="4">
                  <c:v>3.5473572188715607E-4</c:v>
                </c:pt>
                <c:pt idx="5">
                  <c:v>7.0921985815597388E-4</c:v>
                </c:pt>
                <c:pt idx="6">
                  <c:v>7.0921985815602842E-4</c:v>
                </c:pt>
                <c:pt idx="7">
                  <c:v>5.3153791637136779E-4</c:v>
                </c:pt>
                <c:pt idx="8">
                  <c:v>1.4166814237648309E-3</c:v>
                </c:pt>
                <c:pt idx="9">
                  <c:v>1.7683465959328027E-3</c:v>
                </c:pt>
                <c:pt idx="10">
                  <c:v>1.7652250661959399E-4</c:v>
                </c:pt>
                <c:pt idx="11">
                  <c:v>1.4119308153900459E-3</c:v>
                </c:pt>
                <c:pt idx="12">
                  <c:v>5.2872752908001406E-4</c:v>
                </c:pt>
                <c:pt idx="13">
                  <c:v>-8.8074687334859956E-4</c:v>
                </c:pt>
                <c:pt idx="14">
                  <c:v>1.763046544428773E-3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670-6B41-8C22-178D04129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649871"/>
        <c:axId val="1822759023"/>
      </c:lineChart>
      <c:dateAx>
        <c:axId val="2124482255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364911"/>
        <c:crosses val="autoZero"/>
        <c:auto val="1"/>
        <c:lblOffset val="100"/>
        <c:baseTimeUnit val="days"/>
        <c:majorUnit val="7"/>
        <c:majorTimeUnit val="days"/>
        <c:minorUnit val="7"/>
        <c:minorTimeUnit val="days"/>
      </c:dateAx>
      <c:valAx>
        <c:axId val="212536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482255"/>
        <c:crosses val="autoZero"/>
        <c:crossBetween val="between"/>
      </c:valAx>
      <c:valAx>
        <c:axId val="1822759023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649871"/>
        <c:crosses val="max"/>
        <c:crossBetween val="between"/>
      </c:valAx>
      <c:dateAx>
        <c:axId val="541649871"/>
        <c:scaling>
          <c:orientation val="minMax"/>
        </c:scaling>
        <c:delete val="1"/>
        <c:axPos val="b"/>
        <c:numFmt formatCode="m/d/yy;@" sourceLinked="1"/>
        <c:majorTickMark val="out"/>
        <c:minorTickMark val="none"/>
        <c:tickLblPos val="nextTo"/>
        <c:crossAx val="1822759023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2400" b="1" i="0" u="sng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rial" panose="020B0604020202020204" pitchFamily="34" charset="0"/>
                <a:cs typeface="Arial" panose="020B0604020202020204" pitchFamily="34" charset="0"/>
              </a:rPr>
              <a:t>Social Media: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kumimoji="0" lang="en-US" sz="24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rial" panose="020B0604020202020204" pitchFamily="34" charset="0"/>
                <a:cs typeface="Arial" panose="020B0604020202020204" pitchFamily="34" charset="0"/>
              </a:rPr>
              <a:t>Post Frequency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'Organic Social Media (Weekly)'!$AO$4</c:f>
              <c:strCache>
                <c:ptCount val="1"/>
                <c:pt idx="0">
                  <c:v>LI Posts Per Week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'Organic Social Media (Weekly)'!$A$5:$A$27</c:f>
              <c:numCache>
                <c:formatCode>m/d/yy;@</c:formatCode>
                <c:ptCount val="23"/>
                <c:pt idx="0">
                  <c:v>45831</c:v>
                </c:pt>
                <c:pt idx="1">
                  <c:v>45838</c:v>
                </c:pt>
                <c:pt idx="2">
                  <c:v>45845</c:v>
                </c:pt>
                <c:pt idx="3">
                  <c:v>45852</c:v>
                </c:pt>
                <c:pt idx="4">
                  <c:v>45859</c:v>
                </c:pt>
                <c:pt idx="5">
                  <c:v>45866</c:v>
                </c:pt>
                <c:pt idx="6">
                  <c:v>45873</c:v>
                </c:pt>
                <c:pt idx="7">
                  <c:v>45880</c:v>
                </c:pt>
                <c:pt idx="8">
                  <c:v>45887</c:v>
                </c:pt>
                <c:pt idx="9">
                  <c:v>45894</c:v>
                </c:pt>
                <c:pt idx="10">
                  <c:v>45901</c:v>
                </c:pt>
                <c:pt idx="11">
                  <c:v>45908</c:v>
                </c:pt>
                <c:pt idx="12">
                  <c:v>45915</c:v>
                </c:pt>
                <c:pt idx="13">
                  <c:v>45922</c:v>
                </c:pt>
                <c:pt idx="14">
                  <c:v>45929</c:v>
                </c:pt>
                <c:pt idx="15">
                  <c:v>45936</c:v>
                </c:pt>
                <c:pt idx="16">
                  <c:v>45943</c:v>
                </c:pt>
                <c:pt idx="17">
                  <c:v>45950</c:v>
                </c:pt>
                <c:pt idx="18">
                  <c:v>45957</c:v>
                </c:pt>
                <c:pt idx="19">
                  <c:v>45964</c:v>
                </c:pt>
                <c:pt idx="20">
                  <c:v>45971</c:v>
                </c:pt>
                <c:pt idx="21">
                  <c:v>45978</c:v>
                </c:pt>
                <c:pt idx="22">
                  <c:v>45985</c:v>
                </c:pt>
              </c:numCache>
            </c:numRef>
          </c:cat>
          <c:val>
            <c:numRef>
              <c:f>'Organic Social Media (Weekly)'!$AO$5:$AO$27</c:f>
              <c:numCache>
                <c:formatCode>0</c:formatCode>
                <c:ptCount val="23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30-C147-AE32-9332B3986851}"/>
            </c:ext>
          </c:extLst>
        </c:ser>
        <c:ser>
          <c:idx val="1"/>
          <c:order val="1"/>
          <c:tx>
            <c:strRef>
              <c:f>'Organic Social Media (Weekly)'!$AP$4</c:f>
              <c:strCache>
                <c:ptCount val="1"/>
                <c:pt idx="0">
                  <c:v>FB Posts Per Week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'Organic Social Media (Weekly)'!$A$5:$A$27</c:f>
              <c:numCache>
                <c:formatCode>m/d/yy;@</c:formatCode>
                <c:ptCount val="23"/>
                <c:pt idx="0">
                  <c:v>45831</c:v>
                </c:pt>
                <c:pt idx="1">
                  <c:v>45838</c:v>
                </c:pt>
                <c:pt idx="2">
                  <c:v>45845</c:v>
                </c:pt>
                <c:pt idx="3">
                  <c:v>45852</c:v>
                </c:pt>
                <c:pt idx="4">
                  <c:v>45859</c:v>
                </c:pt>
                <c:pt idx="5">
                  <c:v>45866</c:v>
                </c:pt>
                <c:pt idx="6">
                  <c:v>45873</c:v>
                </c:pt>
                <c:pt idx="7">
                  <c:v>45880</c:v>
                </c:pt>
                <c:pt idx="8">
                  <c:v>45887</c:v>
                </c:pt>
                <c:pt idx="9">
                  <c:v>45894</c:v>
                </c:pt>
                <c:pt idx="10">
                  <c:v>45901</c:v>
                </c:pt>
                <c:pt idx="11">
                  <c:v>45908</c:v>
                </c:pt>
                <c:pt idx="12">
                  <c:v>45915</c:v>
                </c:pt>
                <c:pt idx="13">
                  <c:v>45922</c:v>
                </c:pt>
                <c:pt idx="14">
                  <c:v>45929</c:v>
                </c:pt>
                <c:pt idx="15">
                  <c:v>45936</c:v>
                </c:pt>
                <c:pt idx="16">
                  <c:v>45943</c:v>
                </c:pt>
                <c:pt idx="17">
                  <c:v>45950</c:v>
                </c:pt>
                <c:pt idx="18">
                  <c:v>45957</c:v>
                </c:pt>
                <c:pt idx="19">
                  <c:v>45964</c:v>
                </c:pt>
                <c:pt idx="20">
                  <c:v>45971</c:v>
                </c:pt>
                <c:pt idx="21">
                  <c:v>45978</c:v>
                </c:pt>
                <c:pt idx="22">
                  <c:v>45985</c:v>
                </c:pt>
              </c:numCache>
            </c:numRef>
          </c:cat>
          <c:val>
            <c:numRef>
              <c:f>'Organic Social Media (Weekly)'!$AP$5:$AP$27</c:f>
              <c:numCache>
                <c:formatCode>0</c:formatCode>
                <c:ptCount val="23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30-C147-AE32-9332B3986851}"/>
            </c:ext>
          </c:extLst>
        </c:ser>
        <c:ser>
          <c:idx val="2"/>
          <c:order val="2"/>
          <c:tx>
            <c:strRef>
              <c:f>'Organic Social Media (Weekly)'!$AQ$4</c:f>
              <c:strCache>
                <c:ptCount val="1"/>
                <c:pt idx="0">
                  <c:v>IG Posts Per Week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'Organic Social Media (Weekly)'!$A$5:$A$27</c:f>
              <c:numCache>
                <c:formatCode>m/d/yy;@</c:formatCode>
                <c:ptCount val="23"/>
                <c:pt idx="0">
                  <c:v>45831</c:v>
                </c:pt>
                <c:pt idx="1">
                  <c:v>45838</c:v>
                </c:pt>
                <c:pt idx="2">
                  <c:v>45845</c:v>
                </c:pt>
                <c:pt idx="3">
                  <c:v>45852</c:v>
                </c:pt>
                <c:pt idx="4">
                  <c:v>45859</c:v>
                </c:pt>
                <c:pt idx="5">
                  <c:v>45866</c:v>
                </c:pt>
                <c:pt idx="6">
                  <c:v>45873</c:v>
                </c:pt>
                <c:pt idx="7">
                  <c:v>45880</c:v>
                </c:pt>
                <c:pt idx="8">
                  <c:v>45887</c:v>
                </c:pt>
                <c:pt idx="9">
                  <c:v>45894</c:v>
                </c:pt>
                <c:pt idx="10">
                  <c:v>45901</c:v>
                </c:pt>
                <c:pt idx="11">
                  <c:v>45908</c:v>
                </c:pt>
                <c:pt idx="12">
                  <c:v>45915</c:v>
                </c:pt>
                <c:pt idx="13">
                  <c:v>45922</c:v>
                </c:pt>
                <c:pt idx="14">
                  <c:v>45929</c:v>
                </c:pt>
                <c:pt idx="15">
                  <c:v>45936</c:v>
                </c:pt>
                <c:pt idx="16">
                  <c:v>45943</c:v>
                </c:pt>
                <c:pt idx="17">
                  <c:v>45950</c:v>
                </c:pt>
                <c:pt idx="18">
                  <c:v>45957</c:v>
                </c:pt>
                <c:pt idx="19">
                  <c:v>45964</c:v>
                </c:pt>
                <c:pt idx="20">
                  <c:v>45971</c:v>
                </c:pt>
                <c:pt idx="21">
                  <c:v>45978</c:v>
                </c:pt>
                <c:pt idx="22">
                  <c:v>45985</c:v>
                </c:pt>
              </c:numCache>
            </c:numRef>
          </c:cat>
          <c:val>
            <c:numRef>
              <c:f>'Organic Social Media (Weekly)'!$AQ$5:$AQ$27</c:f>
              <c:numCache>
                <c:formatCode>0</c:formatCode>
                <c:ptCount val="23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30-C147-AE32-9332B3986851}"/>
            </c:ext>
          </c:extLst>
        </c:ser>
        <c:ser>
          <c:idx val="3"/>
          <c:order val="3"/>
          <c:tx>
            <c:strRef>
              <c:f>'Organic Social Media (Weekly)'!$AR$4</c:f>
              <c:strCache>
                <c:ptCount val="1"/>
                <c:pt idx="0">
                  <c:v>X Posts Per Week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'Organic Social Media (Weekly)'!$A$5:$A$27</c:f>
              <c:numCache>
                <c:formatCode>m/d/yy;@</c:formatCode>
                <c:ptCount val="23"/>
                <c:pt idx="0">
                  <c:v>45831</c:v>
                </c:pt>
                <c:pt idx="1">
                  <c:v>45838</c:v>
                </c:pt>
                <c:pt idx="2">
                  <c:v>45845</c:v>
                </c:pt>
                <c:pt idx="3">
                  <c:v>45852</c:v>
                </c:pt>
                <c:pt idx="4">
                  <c:v>45859</c:v>
                </c:pt>
                <c:pt idx="5">
                  <c:v>45866</c:v>
                </c:pt>
                <c:pt idx="6">
                  <c:v>45873</c:v>
                </c:pt>
                <c:pt idx="7">
                  <c:v>45880</c:v>
                </c:pt>
                <c:pt idx="8">
                  <c:v>45887</c:v>
                </c:pt>
                <c:pt idx="9">
                  <c:v>45894</c:v>
                </c:pt>
                <c:pt idx="10">
                  <c:v>45901</c:v>
                </c:pt>
                <c:pt idx="11">
                  <c:v>45908</c:v>
                </c:pt>
                <c:pt idx="12">
                  <c:v>45915</c:v>
                </c:pt>
                <c:pt idx="13">
                  <c:v>45922</c:v>
                </c:pt>
                <c:pt idx="14">
                  <c:v>45929</c:v>
                </c:pt>
                <c:pt idx="15">
                  <c:v>45936</c:v>
                </c:pt>
                <c:pt idx="16">
                  <c:v>45943</c:v>
                </c:pt>
                <c:pt idx="17">
                  <c:v>45950</c:v>
                </c:pt>
                <c:pt idx="18">
                  <c:v>45957</c:v>
                </c:pt>
                <c:pt idx="19">
                  <c:v>45964</c:v>
                </c:pt>
                <c:pt idx="20">
                  <c:v>45971</c:v>
                </c:pt>
                <c:pt idx="21">
                  <c:v>45978</c:v>
                </c:pt>
                <c:pt idx="22">
                  <c:v>45985</c:v>
                </c:pt>
              </c:numCache>
            </c:numRef>
          </c:cat>
          <c:val>
            <c:numRef>
              <c:f>'Organic Social Media (Weekly)'!$AR$5:$AR$27</c:f>
              <c:numCache>
                <c:formatCode>0</c:formatCode>
                <c:ptCount val="23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30-C147-AE32-9332B3986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8453775"/>
        <c:axId val="1778455503"/>
      </c:lineChart>
      <c:dateAx>
        <c:axId val="1778453775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455503"/>
        <c:crosses val="autoZero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177845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45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2400" b="1" i="0" u="sng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rial" panose="020B0604020202020204" pitchFamily="34" charset="0"/>
                <a:cs typeface="Arial" panose="020B0604020202020204" pitchFamily="34" charset="0"/>
              </a:rPr>
              <a:t>Social Media: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kumimoji="0" lang="en-US" sz="24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rial" panose="020B0604020202020204" pitchFamily="34" charset="0"/>
                <a:cs typeface="Arial" panose="020B0604020202020204" pitchFamily="34" charset="0"/>
              </a:rPr>
              <a:t>Impressions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'Organic Social Media (Weekly)'!$AF$4</c:f>
              <c:strCache>
                <c:ptCount val="1"/>
                <c:pt idx="0">
                  <c:v>LI Impressions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'Organic Social Media (Weekly)'!$A$5:$A$36</c:f>
              <c:numCache>
                <c:formatCode>m/d/yy;@</c:formatCode>
                <c:ptCount val="32"/>
                <c:pt idx="0">
                  <c:v>45831</c:v>
                </c:pt>
                <c:pt idx="1">
                  <c:v>45838</c:v>
                </c:pt>
                <c:pt idx="2">
                  <c:v>45845</c:v>
                </c:pt>
                <c:pt idx="3">
                  <c:v>45852</c:v>
                </c:pt>
                <c:pt idx="4">
                  <c:v>45859</c:v>
                </c:pt>
                <c:pt idx="5">
                  <c:v>45866</c:v>
                </c:pt>
                <c:pt idx="6">
                  <c:v>45873</c:v>
                </c:pt>
                <c:pt idx="7">
                  <c:v>45880</c:v>
                </c:pt>
                <c:pt idx="8">
                  <c:v>45887</c:v>
                </c:pt>
                <c:pt idx="9">
                  <c:v>45894</c:v>
                </c:pt>
                <c:pt idx="10">
                  <c:v>45901</c:v>
                </c:pt>
                <c:pt idx="11">
                  <c:v>45908</c:v>
                </c:pt>
                <c:pt idx="12">
                  <c:v>45915</c:v>
                </c:pt>
                <c:pt idx="13">
                  <c:v>45922</c:v>
                </c:pt>
                <c:pt idx="14">
                  <c:v>45929</c:v>
                </c:pt>
                <c:pt idx="15">
                  <c:v>45936</c:v>
                </c:pt>
                <c:pt idx="16">
                  <c:v>45943</c:v>
                </c:pt>
                <c:pt idx="17">
                  <c:v>45950</c:v>
                </c:pt>
                <c:pt idx="18">
                  <c:v>45957</c:v>
                </c:pt>
                <c:pt idx="19">
                  <c:v>45964</c:v>
                </c:pt>
                <c:pt idx="20">
                  <c:v>45971</c:v>
                </c:pt>
                <c:pt idx="21">
                  <c:v>45978</c:v>
                </c:pt>
                <c:pt idx="22">
                  <c:v>45985</c:v>
                </c:pt>
                <c:pt idx="23">
                  <c:v>45992</c:v>
                </c:pt>
                <c:pt idx="24">
                  <c:v>45999</c:v>
                </c:pt>
                <c:pt idx="25">
                  <c:v>46006</c:v>
                </c:pt>
                <c:pt idx="26">
                  <c:v>46013</c:v>
                </c:pt>
                <c:pt idx="27">
                  <c:v>46020</c:v>
                </c:pt>
                <c:pt idx="28">
                  <c:v>46027</c:v>
                </c:pt>
                <c:pt idx="29">
                  <c:v>46034</c:v>
                </c:pt>
                <c:pt idx="30">
                  <c:v>46041</c:v>
                </c:pt>
                <c:pt idx="31">
                  <c:v>46048</c:v>
                </c:pt>
              </c:numCache>
            </c:numRef>
          </c:cat>
          <c:val>
            <c:numRef>
              <c:f>'Organic Social Media (Weekly)'!$AF$5:$AF$36</c:f>
              <c:numCache>
                <c:formatCode>0</c:formatCode>
                <c:ptCount val="32"/>
                <c:pt idx="0">
                  <c:v>807</c:v>
                </c:pt>
                <c:pt idx="1">
                  <c:v>179</c:v>
                </c:pt>
                <c:pt idx="2">
                  <c:v>293</c:v>
                </c:pt>
                <c:pt idx="3">
                  <c:v>715</c:v>
                </c:pt>
                <c:pt idx="4">
                  <c:v>526</c:v>
                </c:pt>
                <c:pt idx="5">
                  <c:v>519</c:v>
                </c:pt>
                <c:pt idx="6">
                  <c:v>812</c:v>
                </c:pt>
                <c:pt idx="7">
                  <c:v>347</c:v>
                </c:pt>
                <c:pt idx="8">
                  <c:v>368</c:v>
                </c:pt>
                <c:pt idx="9">
                  <c:v>209</c:v>
                </c:pt>
                <c:pt idx="10">
                  <c:v>134</c:v>
                </c:pt>
                <c:pt idx="11">
                  <c:v>129</c:v>
                </c:pt>
                <c:pt idx="12">
                  <c:v>277</c:v>
                </c:pt>
                <c:pt idx="13">
                  <c:v>228</c:v>
                </c:pt>
                <c:pt idx="14">
                  <c:v>103</c:v>
                </c:pt>
                <c:pt idx="15">
                  <c:v>223</c:v>
                </c:pt>
                <c:pt idx="16">
                  <c:v>402</c:v>
                </c:pt>
                <c:pt idx="17">
                  <c:v>209</c:v>
                </c:pt>
                <c:pt idx="18">
                  <c:v>343</c:v>
                </c:pt>
                <c:pt idx="19">
                  <c:v>379</c:v>
                </c:pt>
                <c:pt idx="20">
                  <c:v>544</c:v>
                </c:pt>
                <c:pt idx="21">
                  <c:v>856</c:v>
                </c:pt>
                <c:pt idx="22">
                  <c:v>477</c:v>
                </c:pt>
                <c:pt idx="23">
                  <c:v>340</c:v>
                </c:pt>
                <c:pt idx="24">
                  <c:v>480</c:v>
                </c:pt>
                <c:pt idx="25">
                  <c:v>420</c:v>
                </c:pt>
                <c:pt idx="26">
                  <c:v>472</c:v>
                </c:pt>
                <c:pt idx="27">
                  <c:v>294</c:v>
                </c:pt>
                <c:pt idx="28">
                  <c:v>356</c:v>
                </c:pt>
                <c:pt idx="29">
                  <c:v>348</c:v>
                </c:pt>
                <c:pt idx="30">
                  <c:v>100</c:v>
                </c:pt>
                <c:pt idx="31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B7-9144-BB22-DFDE041FA1F1}"/>
            </c:ext>
          </c:extLst>
        </c:ser>
        <c:ser>
          <c:idx val="1"/>
          <c:order val="1"/>
          <c:tx>
            <c:strRef>
              <c:f>'Organic Social Media (Weekly)'!$AG$4</c:f>
              <c:strCache>
                <c:ptCount val="1"/>
                <c:pt idx="0">
                  <c:v>FB Impressions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'Organic Social Media (Weekly)'!$A$5:$A$36</c:f>
              <c:numCache>
                <c:formatCode>m/d/yy;@</c:formatCode>
                <c:ptCount val="32"/>
                <c:pt idx="0">
                  <c:v>45831</c:v>
                </c:pt>
                <c:pt idx="1">
                  <c:v>45838</c:v>
                </c:pt>
                <c:pt idx="2">
                  <c:v>45845</c:v>
                </c:pt>
                <c:pt idx="3">
                  <c:v>45852</c:v>
                </c:pt>
                <c:pt idx="4">
                  <c:v>45859</c:v>
                </c:pt>
                <c:pt idx="5">
                  <c:v>45866</c:v>
                </c:pt>
                <c:pt idx="6">
                  <c:v>45873</c:v>
                </c:pt>
                <c:pt idx="7">
                  <c:v>45880</c:v>
                </c:pt>
                <c:pt idx="8">
                  <c:v>45887</c:v>
                </c:pt>
                <c:pt idx="9">
                  <c:v>45894</c:v>
                </c:pt>
                <c:pt idx="10">
                  <c:v>45901</c:v>
                </c:pt>
                <c:pt idx="11">
                  <c:v>45908</c:v>
                </c:pt>
                <c:pt idx="12">
                  <c:v>45915</c:v>
                </c:pt>
                <c:pt idx="13">
                  <c:v>45922</c:v>
                </c:pt>
                <c:pt idx="14">
                  <c:v>45929</c:v>
                </c:pt>
                <c:pt idx="15">
                  <c:v>45936</c:v>
                </c:pt>
                <c:pt idx="16">
                  <c:v>45943</c:v>
                </c:pt>
                <c:pt idx="17">
                  <c:v>45950</c:v>
                </c:pt>
                <c:pt idx="18">
                  <c:v>45957</c:v>
                </c:pt>
                <c:pt idx="19">
                  <c:v>45964</c:v>
                </c:pt>
                <c:pt idx="20">
                  <c:v>45971</c:v>
                </c:pt>
                <c:pt idx="21">
                  <c:v>45978</c:v>
                </c:pt>
                <c:pt idx="22">
                  <c:v>45985</c:v>
                </c:pt>
                <c:pt idx="23">
                  <c:v>45992</c:v>
                </c:pt>
                <c:pt idx="24">
                  <c:v>45999</c:v>
                </c:pt>
                <c:pt idx="25">
                  <c:v>46006</c:v>
                </c:pt>
                <c:pt idx="26">
                  <c:v>46013</c:v>
                </c:pt>
                <c:pt idx="27">
                  <c:v>46020</c:v>
                </c:pt>
                <c:pt idx="28">
                  <c:v>46027</c:v>
                </c:pt>
                <c:pt idx="29">
                  <c:v>46034</c:v>
                </c:pt>
                <c:pt idx="30">
                  <c:v>46041</c:v>
                </c:pt>
                <c:pt idx="31">
                  <c:v>46048</c:v>
                </c:pt>
              </c:numCache>
            </c:numRef>
          </c:cat>
          <c:val>
            <c:numRef>
              <c:f>'Organic Social Media (Weekly)'!$AG$5:$AG$36</c:f>
              <c:numCache>
                <c:formatCode>0</c:formatCode>
                <c:ptCount val="32"/>
                <c:pt idx="0">
                  <c:v>329</c:v>
                </c:pt>
                <c:pt idx="1">
                  <c:v>18</c:v>
                </c:pt>
                <c:pt idx="2">
                  <c:v>94</c:v>
                </c:pt>
                <c:pt idx="3">
                  <c:v>87</c:v>
                </c:pt>
                <c:pt idx="4">
                  <c:v>92</c:v>
                </c:pt>
                <c:pt idx="5">
                  <c:v>81</c:v>
                </c:pt>
                <c:pt idx="6">
                  <c:v>277</c:v>
                </c:pt>
                <c:pt idx="7">
                  <c:v>178</c:v>
                </c:pt>
                <c:pt idx="8">
                  <c:v>201</c:v>
                </c:pt>
                <c:pt idx="9">
                  <c:v>79</c:v>
                </c:pt>
                <c:pt idx="10">
                  <c:v>31</c:v>
                </c:pt>
                <c:pt idx="11">
                  <c:v>92</c:v>
                </c:pt>
                <c:pt idx="12">
                  <c:v>65</c:v>
                </c:pt>
                <c:pt idx="13">
                  <c:v>44</c:v>
                </c:pt>
                <c:pt idx="14">
                  <c:v>2</c:v>
                </c:pt>
                <c:pt idx="15">
                  <c:v>38</c:v>
                </c:pt>
                <c:pt idx="16">
                  <c:v>82</c:v>
                </c:pt>
                <c:pt idx="17">
                  <c:v>19</c:v>
                </c:pt>
                <c:pt idx="18">
                  <c:v>80</c:v>
                </c:pt>
                <c:pt idx="19">
                  <c:v>35</c:v>
                </c:pt>
                <c:pt idx="20">
                  <c:v>102</c:v>
                </c:pt>
                <c:pt idx="21">
                  <c:v>82</c:v>
                </c:pt>
                <c:pt idx="22">
                  <c:v>68</c:v>
                </c:pt>
                <c:pt idx="23">
                  <c:v>206</c:v>
                </c:pt>
                <c:pt idx="24">
                  <c:v>63</c:v>
                </c:pt>
                <c:pt idx="25">
                  <c:v>68</c:v>
                </c:pt>
                <c:pt idx="26">
                  <c:v>20</c:v>
                </c:pt>
                <c:pt idx="27">
                  <c:v>11</c:v>
                </c:pt>
                <c:pt idx="28">
                  <c:v>39</c:v>
                </c:pt>
                <c:pt idx="29">
                  <c:v>100</c:v>
                </c:pt>
                <c:pt idx="30">
                  <c:v>21</c:v>
                </c:pt>
                <c:pt idx="31">
                  <c:v>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B7-9144-BB22-DFDE041FA1F1}"/>
            </c:ext>
          </c:extLst>
        </c:ser>
        <c:ser>
          <c:idx val="2"/>
          <c:order val="2"/>
          <c:tx>
            <c:strRef>
              <c:f>'Organic Social Media (Weekly)'!$AH$4</c:f>
              <c:strCache>
                <c:ptCount val="1"/>
                <c:pt idx="0">
                  <c:v>IG Impressions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'Organic Social Media (Weekly)'!$A$5:$A$36</c:f>
              <c:numCache>
                <c:formatCode>m/d/yy;@</c:formatCode>
                <c:ptCount val="32"/>
                <c:pt idx="0">
                  <c:v>45831</c:v>
                </c:pt>
                <c:pt idx="1">
                  <c:v>45838</c:v>
                </c:pt>
                <c:pt idx="2">
                  <c:v>45845</c:v>
                </c:pt>
                <c:pt idx="3">
                  <c:v>45852</c:v>
                </c:pt>
                <c:pt idx="4">
                  <c:v>45859</c:v>
                </c:pt>
                <c:pt idx="5">
                  <c:v>45866</c:v>
                </c:pt>
                <c:pt idx="6">
                  <c:v>45873</c:v>
                </c:pt>
                <c:pt idx="7">
                  <c:v>45880</c:v>
                </c:pt>
                <c:pt idx="8">
                  <c:v>45887</c:v>
                </c:pt>
                <c:pt idx="9">
                  <c:v>45894</c:v>
                </c:pt>
                <c:pt idx="10">
                  <c:v>45901</c:v>
                </c:pt>
                <c:pt idx="11">
                  <c:v>45908</c:v>
                </c:pt>
                <c:pt idx="12">
                  <c:v>45915</c:v>
                </c:pt>
                <c:pt idx="13">
                  <c:v>45922</c:v>
                </c:pt>
                <c:pt idx="14">
                  <c:v>45929</c:v>
                </c:pt>
                <c:pt idx="15">
                  <c:v>45936</c:v>
                </c:pt>
                <c:pt idx="16">
                  <c:v>45943</c:v>
                </c:pt>
                <c:pt idx="17">
                  <c:v>45950</c:v>
                </c:pt>
                <c:pt idx="18">
                  <c:v>45957</c:v>
                </c:pt>
                <c:pt idx="19">
                  <c:v>45964</c:v>
                </c:pt>
                <c:pt idx="20">
                  <c:v>45971</c:v>
                </c:pt>
                <c:pt idx="21">
                  <c:v>45978</c:v>
                </c:pt>
                <c:pt idx="22">
                  <c:v>45985</c:v>
                </c:pt>
                <c:pt idx="23">
                  <c:v>45992</c:v>
                </c:pt>
                <c:pt idx="24">
                  <c:v>45999</c:v>
                </c:pt>
                <c:pt idx="25">
                  <c:v>46006</c:v>
                </c:pt>
                <c:pt idx="26">
                  <c:v>46013</c:v>
                </c:pt>
                <c:pt idx="27">
                  <c:v>46020</c:v>
                </c:pt>
                <c:pt idx="28">
                  <c:v>46027</c:v>
                </c:pt>
                <c:pt idx="29">
                  <c:v>46034</c:v>
                </c:pt>
                <c:pt idx="30">
                  <c:v>46041</c:v>
                </c:pt>
                <c:pt idx="31">
                  <c:v>46048</c:v>
                </c:pt>
              </c:numCache>
            </c:numRef>
          </c:cat>
          <c:val>
            <c:numRef>
              <c:f>'Organic Social Media (Weekly)'!$AH$5:$AH$36</c:f>
              <c:numCache>
                <c:formatCode>0</c:formatCode>
                <c:ptCount val="32"/>
                <c:pt idx="0">
                  <c:v>384</c:v>
                </c:pt>
                <c:pt idx="1">
                  <c:v>87</c:v>
                </c:pt>
                <c:pt idx="2">
                  <c:v>174</c:v>
                </c:pt>
                <c:pt idx="3">
                  <c:v>330</c:v>
                </c:pt>
                <c:pt idx="4">
                  <c:v>215</c:v>
                </c:pt>
                <c:pt idx="5">
                  <c:v>730</c:v>
                </c:pt>
                <c:pt idx="6">
                  <c:v>1405</c:v>
                </c:pt>
                <c:pt idx="7">
                  <c:v>987</c:v>
                </c:pt>
                <c:pt idx="8">
                  <c:v>576</c:v>
                </c:pt>
                <c:pt idx="9">
                  <c:v>170</c:v>
                </c:pt>
                <c:pt idx="10">
                  <c:v>142</c:v>
                </c:pt>
                <c:pt idx="11">
                  <c:v>411</c:v>
                </c:pt>
                <c:pt idx="12">
                  <c:v>513</c:v>
                </c:pt>
                <c:pt idx="13">
                  <c:v>242</c:v>
                </c:pt>
                <c:pt idx="14">
                  <c:v>853</c:v>
                </c:pt>
                <c:pt idx="15">
                  <c:v>542</c:v>
                </c:pt>
                <c:pt idx="16">
                  <c:v>1273</c:v>
                </c:pt>
                <c:pt idx="17">
                  <c:v>662</c:v>
                </c:pt>
                <c:pt idx="18">
                  <c:v>896</c:v>
                </c:pt>
                <c:pt idx="19">
                  <c:v>775</c:v>
                </c:pt>
                <c:pt idx="20">
                  <c:v>2079</c:v>
                </c:pt>
                <c:pt idx="21">
                  <c:v>420</c:v>
                </c:pt>
                <c:pt idx="22">
                  <c:v>770</c:v>
                </c:pt>
                <c:pt idx="23">
                  <c:v>768</c:v>
                </c:pt>
                <c:pt idx="24">
                  <c:v>366</c:v>
                </c:pt>
                <c:pt idx="25">
                  <c:v>337</c:v>
                </c:pt>
                <c:pt idx="26">
                  <c:v>496</c:v>
                </c:pt>
                <c:pt idx="27">
                  <c:v>78</c:v>
                </c:pt>
                <c:pt idx="28">
                  <c:v>63</c:v>
                </c:pt>
                <c:pt idx="29">
                  <c:v>313</c:v>
                </c:pt>
                <c:pt idx="30">
                  <c:v>92</c:v>
                </c:pt>
                <c:pt idx="31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B7-9144-BB22-DFDE041FA1F1}"/>
            </c:ext>
          </c:extLst>
        </c:ser>
        <c:ser>
          <c:idx val="3"/>
          <c:order val="3"/>
          <c:tx>
            <c:strRef>
              <c:f>'Organic Social Media (Weekly)'!$AI$4</c:f>
              <c:strCache>
                <c:ptCount val="1"/>
                <c:pt idx="0">
                  <c:v>X Impressions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'Organic Social Media (Weekly)'!$A$5:$A$36</c:f>
              <c:numCache>
                <c:formatCode>m/d/yy;@</c:formatCode>
                <c:ptCount val="32"/>
                <c:pt idx="0">
                  <c:v>45831</c:v>
                </c:pt>
                <c:pt idx="1">
                  <c:v>45838</c:v>
                </c:pt>
                <c:pt idx="2">
                  <c:v>45845</c:v>
                </c:pt>
                <c:pt idx="3">
                  <c:v>45852</c:v>
                </c:pt>
                <c:pt idx="4">
                  <c:v>45859</c:v>
                </c:pt>
                <c:pt idx="5">
                  <c:v>45866</c:v>
                </c:pt>
                <c:pt idx="6">
                  <c:v>45873</c:v>
                </c:pt>
                <c:pt idx="7">
                  <c:v>45880</c:v>
                </c:pt>
                <c:pt idx="8">
                  <c:v>45887</c:v>
                </c:pt>
                <c:pt idx="9">
                  <c:v>45894</c:v>
                </c:pt>
                <c:pt idx="10">
                  <c:v>45901</c:v>
                </c:pt>
                <c:pt idx="11">
                  <c:v>45908</c:v>
                </c:pt>
                <c:pt idx="12">
                  <c:v>45915</c:v>
                </c:pt>
                <c:pt idx="13">
                  <c:v>45922</c:v>
                </c:pt>
                <c:pt idx="14">
                  <c:v>45929</c:v>
                </c:pt>
                <c:pt idx="15">
                  <c:v>45936</c:v>
                </c:pt>
                <c:pt idx="16">
                  <c:v>45943</c:v>
                </c:pt>
                <c:pt idx="17">
                  <c:v>45950</c:v>
                </c:pt>
                <c:pt idx="18">
                  <c:v>45957</c:v>
                </c:pt>
                <c:pt idx="19">
                  <c:v>45964</c:v>
                </c:pt>
                <c:pt idx="20">
                  <c:v>45971</c:v>
                </c:pt>
                <c:pt idx="21">
                  <c:v>45978</c:v>
                </c:pt>
                <c:pt idx="22">
                  <c:v>45985</c:v>
                </c:pt>
                <c:pt idx="23">
                  <c:v>45992</c:v>
                </c:pt>
                <c:pt idx="24">
                  <c:v>45999</c:v>
                </c:pt>
                <c:pt idx="25">
                  <c:v>46006</c:v>
                </c:pt>
                <c:pt idx="26">
                  <c:v>46013</c:v>
                </c:pt>
                <c:pt idx="27">
                  <c:v>46020</c:v>
                </c:pt>
                <c:pt idx="28">
                  <c:v>46027</c:v>
                </c:pt>
                <c:pt idx="29">
                  <c:v>46034</c:v>
                </c:pt>
                <c:pt idx="30">
                  <c:v>46041</c:v>
                </c:pt>
                <c:pt idx="31">
                  <c:v>46048</c:v>
                </c:pt>
              </c:numCache>
            </c:numRef>
          </c:cat>
          <c:val>
            <c:numRef>
              <c:f>'Organic Social Media (Weekly)'!$AI$5:$AI$36</c:f>
              <c:numCache>
                <c:formatCode>0</c:formatCode>
                <c:ptCount val="32"/>
                <c:pt idx="0">
                  <c:v>1141</c:v>
                </c:pt>
                <c:pt idx="1">
                  <c:v>107</c:v>
                </c:pt>
                <c:pt idx="2">
                  <c:v>644</c:v>
                </c:pt>
                <c:pt idx="3">
                  <c:v>440</c:v>
                </c:pt>
                <c:pt idx="4">
                  <c:v>428</c:v>
                </c:pt>
                <c:pt idx="5">
                  <c:v>435</c:v>
                </c:pt>
                <c:pt idx="6">
                  <c:v>1058</c:v>
                </c:pt>
                <c:pt idx="7">
                  <c:v>820</c:v>
                </c:pt>
                <c:pt idx="8">
                  <c:v>806</c:v>
                </c:pt>
                <c:pt idx="9">
                  <c:v>261</c:v>
                </c:pt>
                <c:pt idx="10">
                  <c:v>297</c:v>
                </c:pt>
                <c:pt idx="11">
                  <c:v>1271</c:v>
                </c:pt>
                <c:pt idx="12">
                  <c:v>326</c:v>
                </c:pt>
                <c:pt idx="13">
                  <c:v>563</c:v>
                </c:pt>
                <c:pt idx="14">
                  <c:v>126</c:v>
                </c:pt>
                <c:pt idx="15">
                  <c:v>354</c:v>
                </c:pt>
                <c:pt idx="16">
                  <c:v>787</c:v>
                </c:pt>
                <c:pt idx="17">
                  <c:v>97</c:v>
                </c:pt>
                <c:pt idx="18">
                  <c:v>447</c:v>
                </c:pt>
                <c:pt idx="19">
                  <c:v>534</c:v>
                </c:pt>
                <c:pt idx="20">
                  <c:v>747</c:v>
                </c:pt>
                <c:pt idx="21">
                  <c:v>333</c:v>
                </c:pt>
                <c:pt idx="22">
                  <c:v>162</c:v>
                </c:pt>
                <c:pt idx="23">
                  <c:v>344</c:v>
                </c:pt>
                <c:pt idx="24">
                  <c:v>242</c:v>
                </c:pt>
                <c:pt idx="25">
                  <c:v>298</c:v>
                </c:pt>
                <c:pt idx="26">
                  <c:v>115</c:v>
                </c:pt>
                <c:pt idx="27">
                  <c:v>34</c:v>
                </c:pt>
                <c:pt idx="28">
                  <c:v>69</c:v>
                </c:pt>
                <c:pt idx="29">
                  <c:v>301</c:v>
                </c:pt>
                <c:pt idx="30">
                  <c:v>82</c:v>
                </c:pt>
                <c:pt idx="31">
                  <c:v>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B7-9144-BB22-DFDE041FA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8550895"/>
        <c:axId val="1778524159"/>
      </c:barChart>
      <c:dateAx>
        <c:axId val="1778550895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524159"/>
        <c:crosses val="autoZero"/>
        <c:auto val="1"/>
        <c:lblOffset val="100"/>
        <c:baseTimeUnit val="days"/>
        <c:majorUnit val="7"/>
        <c:majorTimeUnit val="days"/>
        <c:minorUnit val="7"/>
        <c:minorTimeUnit val="days"/>
      </c:dateAx>
      <c:valAx>
        <c:axId val="177852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55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2400" b="1" i="0" u="sng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rial" panose="020B0604020202020204" pitchFamily="34" charset="0"/>
                <a:cs typeface="Arial" panose="020B0604020202020204" pitchFamily="34" charset="0"/>
              </a:rPr>
              <a:t>Social Media: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kumimoji="0" lang="en-US" sz="24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rial" panose="020B0604020202020204" pitchFamily="34" charset="0"/>
                <a:cs typeface="Arial" panose="020B0604020202020204" pitchFamily="34" charset="0"/>
              </a:rPr>
              <a:t>Engagements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'Organic Social Media (Weekly)'!$AJ$4</c:f>
              <c:strCache>
                <c:ptCount val="1"/>
                <c:pt idx="0">
                  <c:v>LI Engagements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'Organic Social Media (Weekly)'!$A$5:$A$36</c:f>
              <c:numCache>
                <c:formatCode>m/d/yy;@</c:formatCode>
                <c:ptCount val="32"/>
                <c:pt idx="0">
                  <c:v>45831</c:v>
                </c:pt>
                <c:pt idx="1">
                  <c:v>45838</c:v>
                </c:pt>
                <c:pt idx="2">
                  <c:v>45845</c:v>
                </c:pt>
                <c:pt idx="3">
                  <c:v>45852</c:v>
                </c:pt>
                <c:pt idx="4">
                  <c:v>45859</c:v>
                </c:pt>
                <c:pt idx="5">
                  <c:v>45866</c:v>
                </c:pt>
                <c:pt idx="6">
                  <c:v>45873</c:v>
                </c:pt>
                <c:pt idx="7">
                  <c:v>45880</c:v>
                </c:pt>
                <c:pt idx="8">
                  <c:v>45887</c:v>
                </c:pt>
                <c:pt idx="9">
                  <c:v>45894</c:v>
                </c:pt>
                <c:pt idx="10">
                  <c:v>45901</c:v>
                </c:pt>
                <c:pt idx="11">
                  <c:v>45908</c:v>
                </c:pt>
                <c:pt idx="12">
                  <c:v>45915</c:v>
                </c:pt>
                <c:pt idx="13">
                  <c:v>45922</c:v>
                </c:pt>
                <c:pt idx="14">
                  <c:v>45929</c:v>
                </c:pt>
                <c:pt idx="15">
                  <c:v>45936</c:v>
                </c:pt>
                <c:pt idx="16">
                  <c:v>45943</c:v>
                </c:pt>
                <c:pt idx="17">
                  <c:v>45950</c:v>
                </c:pt>
                <c:pt idx="18">
                  <c:v>45957</c:v>
                </c:pt>
                <c:pt idx="19">
                  <c:v>45964</c:v>
                </c:pt>
                <c:pt idx="20">
                  <c:v>45971</c:v>
                </c:pt>
                <c:pt idx="21">
                  <c:v>45978</c:v>
                </c:pt>
                <c:pt idx="22">
                  <c:v>45985</c:v>
                </c:pt>
                <c:pt idx="23">
                  <c:v>45992</c:v>
                </c:pt>
                <c:pt idx="24">
                  <c:v>45999</c:v>
                </c:pt>
                <c:pt idx="25">
                  <c:v>46006</c:v>
                </c:pt>
                <c:pt idx="26">
                  <c:v>46013</c:v>
                </c:pt>
                <c:pt idx="27">
                  <c:v>46020</c:v>
                </c:pt>
                <c:pt idx="28">
                  <c:v>46027</c:v>
                </c:pt>
                <c:pt idx="29">
                  <c:v>46034</c:v>
                </c:pt>
                <c:pt idx="30">
                  <c:v>46041</c:v>
                </c:pt>
                <c:pt idx="31">
                  <c:v>46048</c:v>
                </c:pt>
              </c:numCache>
            </c:numRef>
          </c:cat>
          <c:val>
            <c:numRef>
              <c:f>'Organic Social Media (Weekly)'!$AJ$5:$AJ$36</c:f>
              <c:numCache>
                <c:formatCode>0</c:formatCode>
                <c:ptCount val="32"/>
                <c:pt idx="0">
                  <c:v>26</c:v>
                </c:pt>
                <c:pt idx="1">
                  <c:v>3</c:v>
                </c:pt>
                <c:pt idx="2">
                  <c:v>4</c:v>
                </c:pt>
                <c:pt idx="3">
                  <c:v>12</c:v>
                </c:pt>
                <c:pt idx="4">
                  <c:v>9</c:v>
                </c:pt>
                <c:pt idx="5">
                  <c:v>12</c:v>
                </c:pt>
                <c:pt idx="6">
                  <c:v>71</c:v>
                </c:pt>
                <c:pt idx="7">
                  <c:v>12</c:v>
                </c:pt>
                <c:pt idx="8">
                  <c:v>22</c:v>
                </c:pt>
                <c:pt idx="9">
                  <c:v>7</c:v>
                </c:pt>
                <c:pt idx="10">
                  <c:v>3</c:v>
                </c:pt>
                <c:pt idx="11">
                  <c:v>3</c:v>
                </c:pt>
                <c:pt idx="12">
                  <c:v>8</c:v>
                </c:pt>
                <c:pt idx="13">
                  <c:v>5</c:v>
                </c:pt>
                <c:pt idx="14">
                  <c:v>0</c:v>
                </c:pt>
                <c:pt idx="15">
                  <c:v>8</c:v>
                </c:pt>
                <c:pt idx="16">
                  <c:v>7</c:v>
                </c:pt>
                <c:pt idx="17">
                  <c:v>10</c:v>
                </c:pt>
                <c:pt idx="18">
                  <c:v>12</c:v>
                </c:pt>
                <c:pt idx="19">
                  <c:v>6</c:v>
                </c:pt>
                <c:pt idx="20">
                  <c:v>7</c:v>
                </c:pt>
                <c:pt idx="21">
                  <c:v>18</c:v>
                </c:pt>
                <c:pt idx="22">
                  <c:v>13</c:v>
                </c:pt>
                <c:pt idx="23">
                  <c:v>16</c:v>
                </c:pt>
                <c:pt idx="24">
                  <c:v>22</c:v>
                </c:pt>
                <c:pt idx="25">
                  <c:v>17</c:v>
                </c:pt>
                <c:pt idx="26">
                  <c:v>10</c:v>
                </c:pt>
                <c:pt idx="27">
                  <c:v>6</c:v>
                </c:pt>
                <c:pt idx="28">
                  <c:v>6</c:v>
                </c:pt>
                <c:pt idx="29">
                  <c:v>8</c:v>
                </c:pt>
                <c:pt idx="30">
                  <c:v>1</c:v>
                </c:pt>
                <c:pt idx="3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2-FC4C-AE42-50A273506EF2}"/>
            </c:ext>
          </c:extLst>
        </c:ser>
        <c:ser>
          <c:idx val="1"/>
          <c:order val="1"/>
          <c:tx>
            <c:strRef>
              <c:f>'Organic Social Media (Weekly)'!$AK$4</c:f>
              <c:strCache>
                <c:ptCount val="1"/>
                <c:pt idx="0">
                  <c:v>FB Engagements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'Organic Social Media (Weekly)'!$A$5:$A$36</c:f>
              <c:numCache>
                <c:formatCode>m/d/yy;@</c:formatCode>
                <c:ptCount val="32"/>
                <c:pt idx="0">
                  <c:v>45831</c:v>
                </c:pt>
                <c:pt idx="1">
                  <c:v>45838</c:v>
                </c:pt>
                <c:pt idx="2">
                  <c:v>45845</c:v>
                </c:pt>
                <c:pt idx="3">
                  <c:v>45852</c:v>
                </c:pt>
                <c:pt idx="4">
                  <c:v>45859</c:v>
                </c:pt>
                <c:pt idx="5">
                  <c:v>45866</c:v>
                </c:pt>
                <c:pt idx="6">
                  <c:v>45873</c:v>
                </c:pt>
                <c:pt idx="7">
                  <c:v>45880</c:v>
                </c:pt>
                <c:pt idx="8">
                  <c:v>45887</c:v>
                </c:pt>
                <c:pt idx="9">
                  <c:v>45894</c:v>
                </c:pt>
                <c:pt idx="10">
                  <c:v>45901</c:v>
                </c:pt>
                <c:pt idx="11">
                  <c:v>45908</c:v>
                </c:pt>
                <c:pt idx="12">
                  <c:v>45915</c:v>
                </c:pt>
                <c:pt idx="13">
                  <c:v>45922</c:v>
                </c:pt>
                <c:pt idx="14">
                  <c:v>45929</c:v>
                </c:pt>
                <c:pt idx="15">
                  <c:v>45936</c:v>
                </c:pt>
                <c:pt idx="16">
                  <c:v>45943</c:v>
                </c:pt>
                <c:pt idx="17">
                  <c:v>45950</c:v>
                </c:pt>
                <c:pt idx="18">
                  <c:v>45957</c:v>
                </c:pt>
                <c:pt idx="19">
                  <c:v>45964</c:v>
                </c:pt>
                <c:pt idx="20">
                  <c:v>45971</c:v>
                </c:pt>
                <c:pt idx="21">
                  <c:v>45978</c:v>
                </c:pt>
                <c:pt idx="22">
                  <c:v>45985</c:v>
                </c:pt>
                <c:pt idx="23">
                  <c:v>45992</c:v>
                </c:pt>
                <c:pt idx="24">
                  <c:v>45999</c:v>
                </c:pt>
                <c:pt idx="25">
                  <c:v>46006</c:v>
                </c:pt>
                <c:pt idx="26">
                  <c:v>46013</c:v>
                </c:pt>
                <c:pt idx="27">
                  <c:v>46020</c:v>
                </c:pt>
                <c:pt idx="28">
                  <c:v>46027</c:v>
                </c:pt>
                <c:pt idx="29">
                  <c:v>46034</c:v>
                </c:pt>
                <c:pt idx="30">
                  <c:v>46041</c:v>
                </c:pt>
                <c:pt idx="31">
                  <c:v>46048</c:v>
                </c:pt>
              </c:numCache>
            </c:numRef>
          </c:cat>
          <c:val>
            <c:numRef>
              <c:f>'Organic Social Media (Weekly)'!$AK$5:$AK$36</c:f>
              <c:numCache>
                <c:formatCode>0</c:formatCode>
                <c:ptCount val="32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8</c:v>
                </c:pt>
                <c:pt idx="8">
                  <c:v>3</c:v>
                </c:pt>
                <c:pt idx="9">
                  <c:v>4</c:v>
                </c:pt>
                <c:pt idx="10">
                  <c:v>0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1</c:v>
                </c:pt>
                <c:pt idx="18">
                  <c:v>7</c:v>
                </c:pt>
                <c:pt idx="19">
                  <c:v>3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5</c:v>
                </c:pt>
                <c:pt idx="24">
                  <c:v>3</c:v>
                </c:pt>
                <c:pt idx="25">
                  <c:v>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62-FC4C-AE42-50A273506EF2}"/>
            </c:ext>
          </c:extLst>
        </c:ser>
        <c:ser>
          <c:idx val="2"/>
          <c:order val="2"/>
          <c:tx>
            <c:strRef>
              <c:f>'Organic Social Media (Weekly)'!$AL$4</c:f>
              <c:strCache>
                <c:ptCount val="1"/>
                <c:pt idx="0">
                  <c:v>IG Engagements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'Organic Social Media (Weekly)'!$A$5:$A$36</c:f>
              <c:numCache>
                <c:formatCode>m/d/yy;@</c:formatCode>
                <c:ptCount val="32"/>
                <c:pt idx="0">
                  <c:v>45831</c:v>
                </c:pt>
                <c:pt idx="1">
                  <c:v>45838</c:v>
                </c:pt>
                <c:pt idx="2">
                  <c:v>45845</c:v>
                </c:pt>
                <c:pt idx="3">
                  <c:v>45852</c:v>
                </c:pt>
                <c:pt idx="4">
                  <c:v>45859</c:v>
                </c:pt>
                <c:pt idx="5">
                  <c:v>45866</c:v>
                </c:pt>
                <c:pt idx="6">
                  <c:v>45873</c:v>
                </c:pt>
                <c:pt idx="7">
                  <c:v>45880</c:v>
                </c:pt>
                <c:pt idx="8">
                  <c:v>45887</c:v>
                </c:pt>
                <c:pt idx="9">
                  <c:v>45894</c:v>
                </c:pt>
                <c:pt idx="10">
                  <c:v>45901</c:v>
                </c:pt>
                <c:pt idx="11">
                  <c:v>45908</c:v>
                </c:pt>
                <c:pt idx="12">
                  <c:v>45915</c:v>
                </c:pt>
                <c:pt idx="13">
                  <c:v>45922</c:v>
                </c:pt>
                <c:pt idx="14">
                  <c:v>45929</c:v>
                </c:pt>
                <c:pt idx="15">
                  <c:v>45936</c:v>
                </c:pt>
                <c:pt idx="16">
                  <c:v>45943</c:v>
                </c:pt>
                <c:pt idx="17">
                  <c:v>45950</c:v>
                </c:pt>
                <c:pt idx="18">
                  <c:v>45957</c:v>
                </c:pt>
                <c:pt idx="19">
                  <c:v>45964</c:v>
                </c:pt>
                <c:pt idx="20">
                  <c:v>45971</c:v>
                </c:pt>
                <c:pt idx="21">
                  <c:v>45978</c:v>
                </c:pt>
                <c:pt idx="22">
                  <c:v>45985</c:v>
                </c:pt>
                <c:pt idx="23">
                  <c:v>45992</c:v>
                </c:pt>
                <c:pt idx="24">
                  <c:v>45999</c:v>
                </c:pt>
                <c:pt idx="25">
                  <c:v>46006</c:v>
                </c:pt>
                <c:pt idx="26">
                  <c:v>46013</c:v>
                </c:pt>
                <c:pt idx="27">
                  <c:v>46020</c:v>
                </c:pt>
                <c:pt idx="28">
                  <c:v>46027</c:v>
                </c:pt>
                <c:pt idx="29">
                  <c:v>46034</c:v>
                </c:pt>
                <c:pt idx="30">
                  <c:v>46041</c:v>
                </c:pt>
                <c:pt idx="31">
                  <c:v>46048</c:v>
                </c:pt>
              </c:numCache>
            </c:numRef>
          </c:cat>
          <c:val>
            <c:numRef>
              <c:f>'Organic Social Media (Weekly)'!$AL$5:$AL$36</c:f>
              <c:numCache>
                <c:formatCode>0</c:formatCode>
                <c:ptCount val="32"/>
                <c:pt idx="0">
                  <c:v>15</c:v>
                </c:pt>
                <c:pt idx="1">
                  <c:v>2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14</c:v>
                </c:pt>
                <c:pt idx="6">
                  <c:v>10</c:v>
                </c:pt>
                <c:pt idx="7">
                  <c:v>23</c:v>
                </c:pt>
                <c:pt idx="8">
                  <c:v>7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  <c:pt idx="12">
                  <c:v>5</c:v>
                </c:pt>
                <c:pt idx="13">
                  <c:v>4</c:v>
                </c:pt>
                <c:pt idx="14">
                  <c:v>0</c:v>
                </c:pt>
                <c:pt idx="15">
                  <c:v>7</c:v>
                </c:pt>
                <c:pt idx="16">
                  <c:v>15</c:v>
                </c:pt>
                <c:pt idx="17">
                  <c:v>1</c:v>
                </c:pt>
                <c:pt idx="18">
                  <c:v>6</c:v>
                </c:pt>
                <c:pt idx="19">
                  <c:v>0</c:v>
                </c:pt>
                <c:pt idx="20">
                  <c:v>15</c:v>
                </c:pt>
                <c:pt idx="21">
                  <c:v>2</c:v>
                </c:pt>
                <c:pt idx="22">
                  <c:v>7</c:v>
                </c:pt>
                <c:pt idx="23">
                  <c:v>12</c:v>
                </c:pt>
                <c:pt idx="24">
                  <c:v>11</c:v>
                </c:pt>
                <c:pt idx="25">
                  <c:v>3</c:v>
                </c:pt>
                <c:pt idx="26">
                  <c:v>496</c:v>
                </c:pt>
                <c:pt idx="27">
                  <c:v>0</c:v>
                </c:pt>
                <c:pt idx="28">
                  <c:v>1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62-FC4C-AE42-50A273506EF2}"/>
            </c:ext>
          </c:extLst>
        </c:ser>
        <c:ser>
          <c:idx val="3"/>
          <c:order val="3"/>
          <c:tx>
            <c:strRef>
              <c:f>'Organic Social Media (Weekly)'!$AM$4</c:f>
              <c:strCache>
                <c:ptCount val="1"/>
                <c:pt idx="0">
                  <c:v>X Engagements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'Organic Social Media (Weekly)'!$A$5:$A$36</c:f>
              <c:numCache>
                <c:formatCode>m/d/yy;@</c:formatCode>
                <c:ptCount val="32"/>
                <c:pt idx="0">
                  <c:v>45831</c:v>
                </c:pt>
                <c:pt idx="1">
                  <c:v>45838</c:v>
                </c:pt>
                <c:pt idx="2">
                  <c:v>45845</c:v>
                </c:pt>
                <c:pt idx="3">
                  <c:v>45852</c:v>
                </c:pt>
                <c:pt idx="4">
                  <c:v>45859</c:v>
                </c:pt>
                <c:pt idx="5">
                  <c:v>45866</c:v>
                </c:pt>
                <c:pt idx="6">
                  <c:v>45873</c:v>
                </c:pt>
                <c:pt idx="7">
                  <c:v>45880</c:v>
                </c:pt>
                <c:pt idx="8">
                  <c:v>45887</c:v>
                </c:pt>
                <c:pt idx="9">
                  <c:v>45894</c:v>
                </c:pt>
                <c:pt idx="10">
                  <c:v>45901</c:v>
                </c:pt>
                <c:pt idx="11">
                  <c:v>45908</c:v>
                </c:pt>
                <c:pt idx="12">
                  <c:v>45915</c:v>
                </c:pt>
                <c:pt idx="13">
                  <c:v>45922</c:v>
                </c:pt>
                <c:pt idx="14">
                  <c:v>45929</c:v>
                </c:pt>
                <c:pt idx="15">
                  <c:v>45936</c:v>
                </c:pt>
                <c:pt idx="16">
                  <c:v>45943</c:v>
                </c:pt>
                <c:pt idx="17">
                  <c:v>45950</c:v>
                </c:pt>
                <c:pt idx="18">
                  <c:v>45957</c:v>
                </c:pt>
                <c:pt idx="19">
                  <c:v>45964</c:v>
                </c:pt>
                <c:pt idx="20">
                  <c:v>45971</c:v>
                </c:pt>
                <c:pt idx="21">
                  <c:v>45978</c:v>
                </c:pt>
                <c:pt idx="22">
                  <c:v>45985</c:v>
                </c:pt>
                <c:pt idx="23">
                  <c:v>45992</c:v>
                </c:pt>
                <c:pt idx="24">
                  <c:v>45999</c:v>
                </c:pt>
                <c:pt idx="25">
                  <c:v>46006</c:v>
                </c:pt>
                <c:pt idx="26">
                  <c:v>46013</c:v>
                </c:pt>
                <c:pt idx="27">
                  <c:v>46020</c:v>
                </c:pt>
                <c:pt idx="28">
                  <c:v>46027</c:v>
                </c:pt>
                <c:pt idx="29">
                  <c:v>46034</c:v>
                </c:pt>
                <c:pt idx="30">
                  <c:v>46041</c:v>
                </c:pt>
                <c:pt idx="31">
                  <c:v>46048</c:v>
                </c:pt>
              </c:numCache>
            </c:numRef>
          </c:cat>
          <c:val>
            <c:numRef>
              <c:f>'Organic Social Media (Weekly)'!$AM$5:$AM$36</c:f>
              <c:numCache>
                <c:formatCode>0</c:formatCode>
                <c:ptCount val="32"/>
                <c:pt idx="0">
                  <c:v>24</c:v>
                </c:pt>
                <c:pt idx="1">
                  <c:v>8</c:v>
                </c:pt>
                <c:pt idx="2">
                  <c:v>17</c:v>
                </c:pt>
                <c:pt idx="3">
                  <c:v>7</c:v>
                </c:pt>
                <c:pt idx="4">
                  <c:v>13</c:v>
                </c:pt>
                <c:pt idx="5">
                  <c:v>15</c:v>
                </c:pt>
                <c:pt idx="6">
                  <c:v>109</c:v>
                </c:pt>
                <c:pt idx="7">
                  <c:v>18</c:v>
                </c:pt>
                <c:pt idx="8">
                  <c:v>37</c:v>
                </c:pt>
                <c:pt idx="9">
                  <c:v>2</c:v>
                </c:pt>
                <c:pt idx="10">
                  <c:v>7</c:v>
                </c:pt>
                <c:pt idx="11">
                  <c:v>28</c:v>
                </c:pt>
                <c:pt idx="12">
                  <c:v>6</c:v>
                </c:pt>
                <c:pt idx="13">
                  <c:v>17</c:v>
                </c:pt>
                <c:pt idx="14">
                  <c:v>5</c:v>
                </c:pt>
                <c:pt idx="15">
                  <c:v>18</c:v>
                </c:pt>
                <c:pt idx="16">
                  <c:v>21</c:v>
                </c:pt>
                <c:pt idx="17">
                  <c:v>4</c:v>
                </c:pt>
                <c:pt idx="18">
                  <c:v>9</c:v>
                </c:pt>
                <c:pt idx="19">
                  <c:v>9</c:v>
                </c:pt>
                <c:pt idx="20">
                  <c:v>25</c:v>
                </c:pt>
                <c:pt idx="21">
                  <c:v>8</c:v>
                </c:pt>
                <c:pt idx="22">
                  <c:v>4</c:v>
                </c:pt>
                <c:pt idx="23">
                  <c:v>15</c:v>
                </c:pt>
                <c:pt idx="24">
                  <c:v>12</c:v>
                </c:pt>
                <c:pt idx="25">
                  <c:v>9</c:v>
                </c:pt>
                <c:pt idx="26">
                  <c:v>0</c:v>
                </c:pt>
                <c:pt idx="27">
                  <c:v>3</c:v>
                </c:pt>
                <c:pt idx="28">
                  <c:v>4</c:v>
                </c:pt>
                <c:pt idx="29">
                  <c:v>7</c:v>
                </c:pt>
                <c:pt idx="30">
                  <c:v>0</c:v>
                </c:pt>
                <c:pt idx="3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62-FC4C-AE42-50A273506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3401119"/>
        <c:axId val="2023768607"/>
      </c:barChart>
      <c:dateAx>
        <c:axId val="1853401119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768607"/>
        <c:crosses val="autoZero"/>
        <c:auto val="1"/>
        <c:lblOffset val="100"/>
        <c:baseTimeUnit val="days"/>
        <c:majorUnit val="7"/>
        <c:majorTimeUnit val="days"/>
        <c:minorUnit val="7"/>
        <c:minorTimeUnit val="days"/>
      </c:dateAx>
      <c:valAx>
        <c:axId val="202376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40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Email:</a:t>
            </a:r>
          </a:p>
          <a:p>
            <a:pPr>
              <a:defRPr/>
            </a:pPr>
            <a:r>
              <a:rPr lang="en-US" sz="2400" b="1"/>
              <a:t>Open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Emails!$G$2</c:f>
              <c:strCache>
                <c:ptCount val="1"/>
                <c:pt idx="0">
                  <c:v>Open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Emails!$C$3:$C$35</c:f>
              <c:numCache>
                <c:formatCode>m/d/yy;@</c:formatCode>
                <c:ptCount val="33"/>
                <c:pt idx="0">
                  <c:v>45821</c:v>
                </c:pt>
                <c:pt idx="1">
                  <c:v>45828</c:v>
                </c:pt>
                <c:pt idx="2">
                  <c:v>45834</c:v>
                </c:pt>
                <c:pt idx="3">
                  <c:v>45847</c:v>
                </c:pt>
                <c:pt idx="4">
                  <c:v>45847</c:v>
                </c:pt>
                <c:pt idx="5">
                  <c:v>45855</c:v>
                </c:pt>
                <c:pt idx="6">
                  <c:v>45861</c:v>
                </c:pt>
                <c:pt idx="7">
                  <c:v>45860</c:v>
                </c:pt>
                <c:pt idx="8">
                  <c:v>45876</c:v>
                </c:pt>
                <c:pt idx="9">
                  <c:v>45881</c:v>
                </c:pt>
                <c:pt idx="10">
                  <c:v>45883</c:v>
                </c:pt>
                <c:pt idx="11">
                  <c:v>45887</c:v>
                </c:pt>
                <c:pt idx="12">
                  <c:v>45890</c:v>
                </c:pt>
                <c:pt idx="13">
                  <c:v>45904</c:v>
                </c:pt>
                <c:pt idx="14">
                  <c:v>45908</c:v>
                </c:pt>
                <c:pt idx="15" formatCode="m/d/yyyy">
                  <c:v>45908</c:v>
                </c:pt>
                <c:pt idx="16" formatCode="m/d/yyyy">
                  <c:v>45911</c:v>
                </c:pt>
                <c:pt idx="17" formatCode="m/d/yyyy">
                  <c:v>45911</c:v>
                </c:pt>
                <c:pt idx="18" formatCode="m/d/yyyy">
                  <c:v>45924</c:v>
                </c:pt>
                <c:pt idx="19" formatCode="m/d/yyyy">
                  <c:v>45930</c:v>
                </c:pt>
                <c:pt idx="20" formatCode="m/d/yyyy">
                  <c:v>45938</c:v>
                </c:pt>
                <c:pt idx="21" formatCode="m/d/yyyy">
                  <c:v>45946</c:v>
                </c:pt>
                <c:pt idx="22" formatCode="m/d/yyyy">
                  <c:v>45953</c:v>
                </c:pt>
                <c:pt idx="23" formatCode="m/d/yyyy">
                  <c:v>45959</c:v>
                </c:pt>
                <c:pt idx="24" formatCode="m/d/yyyy">
                  <c:v>45967</c:v>
                </c:pt>
                <c:pt idx="25" formatCode="m/d/yyyy">
                  <c:v>45972</c:v>
                </c:pt>
                <c:pt idx="26" formatCode="m/d/yyyy">
                  <c:v>45974</c:v>
                </c:pt>
                <c:pt idx="27" formatCode="m/d/yyyy">
                  <c:v>45980</c:v>
                </c:pt>
                <c:pt idx="28" formatCode="m/d/yyyy">
                  <c:v>45993</c:v>
                </c:pt>
                <c:pt idx="29" formatCode="m/d/yyyy">
                  <c:v>46008</c:v>
                </c:pt>
                <c:pt idx="30" formatCode="m/d/yyyy">
                  <c:v>46008</c:v>
                </c:pt>
                <c:pt idx="31" formatCode="m/d/yyyy">
                  <c:v>46028</c:v>
                </c:pt>
                <c:pt idx="32" formatCode="m/d/yyyy">
                  <c:v>46034</c:v>
                </c:pt>
              </c:numCache>
            </c:numRef>
          </c:cat>
          <c:val>
            <c:numRef>
              <c:f>Emails!$G$3:$G$35</c:f>
              <c:numCache>
                <c:formatCode>0.0%</c:formatCode>
                <c:ptCount val="33"/>
                <c:pt idx="0">
                  <c:v>0.40899999999999997</c:v>
                </c:pt>
                <c:pt idx="1">
                  <c:v>0.57599999999999996</c:v>
                </c:pt>
                <c:pt idx="2" formatCode="0%">
                  <c:v>0.49</c:v>
                </c:pt>
                <c:pt idx="3">
                  <c:v>0.70499999999999996</c:v>
                </c:pt>
                <c:pt idx="4">
                  <c:v>0.443</c:v>
                </c:pt>
                <c:pt idx="5">
                  <c:v>0.41499999999999998</c:v>
                </c:pt>
                <c:pt idx="6">
                  <c:v>0.51100000000000001</c:v>
                </c:pt>
                <c:pt idx="7">
                  <c:v>0.51200000000000001</c:v>
                </c:pt>
                <c:pt idx="8" formatCode="0.00%">
                  <c:v>0.46</c:v>
                </c:pt>
                <c:pt idx="9" formatCode="0.00%">
                  <c:v>0.443</c:v>
                </c:pt>
                <c:pt idx="10" formatCode="0.00%">
                  <c:v>0.43</c:v>
                </c:pt>
                <c:pt idx="11" formatCode="0.00%">
                  <c:v>0.443</c:v>
                </c:pt>
                <c:pt idx="12" formatCode="0.00%">
                  <c:v>0.42</c:v>
                </c:pt>
                <c:pt idx="13" formatCode="0.00%">
                  <c:v>9.5000000000000001E-2</c:v>
                </c:pt>
                <c:pt idx="14" formatCode="0.00%">
                  <c:v>1.6E-2</c:v>
                </c:pt>
                <c:pt idx="15" formatCode="0.00%">
                  <c:v>0.01</c:v>
                </c:pt>
                <c:pt idx="16" formatCode="0.00%">
                  <c:v>0.433</c:v>
                </c:pt>
                <c:pt idx="17" formatCode="0.00%">
                  <c:v>0.44</c:v>
                </c:pt>
                <c:pt idx="18" formatCode="0.00%">
                  <c:v>0.46700000000000003</c:v>
                </c:pt>
                <c:pt idx="19" formatCode="0%">
                  <c:v>0.42</c:v>
                </c:pt>
                <c:pt idx="20" formatCode="0%">
                  <c:v>0.43</c:v>
                </c:pt>
                <c:pt idx="21">
                  <c:v>0.45500000000000002</c:v>
                </c:pt>
                <c:pt idx="22">
                  <c:v>0.52400000000000002</c:v>
                </c:pt>
                <c:pt idx="23">
                  <c:v>0.36499999999999999</c:v>
                </c:pt>
                <c:pt idx="24">
                  <c:v>0.45800000000000002</c:v>
                </c:pt>
                <c:pt idx="25">
                  <c:v>3.5999999999999997E-2</c:v>
                </c:pt>
                <c:pt idx="26">
                  <c:v>1.2E-2</c:v>
                </c:pt>
                <c:pt idx="27">
                  <c:v>0.52700000000000002</c:v>
                </c:pt>
                <c:pt idx="28">
                  <c:v>0.41599999999999998</c:v>
                </c:pt>
                <c:pt idx="29">
                  <c:v>0.376</c:v>
                </c:pt>
                <c:pt idx="30">
                  <c:v>0.39400000000000002</c:v>
                </c:pt>
                <c:pt idx="31">
                  <c:v>0.42899999999999999</c:v>
                </c:pt>
                <c:pt idx="32">
                  <c:v>0.39600000000000002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DE3-CE45-B426-C47735C446A2}"/>
            </c:ext>
          </c:extLst>
        </c:ser>
        <c:ser>
          <c:idx val="1"/>
          <c:order val="1"/>
          <c:tx>
            <c:strRef>
              <c:f>Emails!$H$2</c:f>
              <c:strCache>
                <c:ptCount val="1"/>
                <c:pt idx="0">
                  <c:v>Open Rate (Benchmark)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Emails!$C$3:$C$35</c:f>
              <c:numCache>
                <c:formatCode>m/d/yy;@</c:formatCode>
                <c:ptCount val="33"/>
                <c:pt idx="0">
                  <c:v>45821</c:v>
                </c:pt>
                <c:pt idx="1">
                  <c:v>45828</c:v>
                </c:pt>
                <c:pt idx="2">
                  <c:v>45834</c:v>
                </c:pt>
                <c:pt idx="3">
                  <c:v>45847</c:v>
                </c:pt>
                <c:pt idx="4">
                  <c:v>45847</c:v>
                </c:pt>
                <c:pt idx="5">
                  <c:v>45855</c:v>
                </c:pt>
                <c:pt idx="6">
                  <c:v>45861</c:v>
                </c:pt>
                <c:pt idx="7">
                  <c:v>45860</c:v>
                </c:pt>
                <c:pt idx="8">
                  <c:v>45876</c:v>
                </c:pt>
                <c:pt idx="9">
                  <c:v>45881</c:v>
                </c:pt>
                <c:pt idx="10">
                  <c:v>45883</c:v>
                </c:pt>
                <c:pt idx="11">
                  <c:v>45887</c:v>
                </c:pt>
                <c:pt idx="12">
                  <c:v>45890</c:v>
                </c:pt>
                <c:pt idx="13">
                  <c:v>45904</c:v>
                </c:pt>
                <c:pt idx="14">
                  <c:v>45908</c:v>
                </c:pt>
                <c:pt idx="15" formatCode="m/d/yyyy">
                  <c:v>45908</c:v>
                </c:pt>
                <c:pt idx="16" formatCode="m/d/yyyy">
                  <c:v>45911</c:v>
                </c:pt>
                <c:pt idx="17" formatCode="m/d/yyyy">
                  <c:v>45911</c:v>
                </c:pt>
                <c:pt idx="18" formatCode="m/d/yyyy">
                  <c:v>45924</c:v>
                </c:pt>
                <c:pt idx="19" formatCode="m/d/yyyy">
                  <c:v>45930</c:v>
                </c:pt>
                <c:pt idx="20" formatCode="m/d/yyyy">
                  <c:v>45938</c:v>
                </c:pt>
                <c:pt idx="21" formatCode="m/d/yyyy">
                  <c:v>45946</c:v>
                </c:pt>
                <c:pt idx="22" formatCode="m/d/yyyy">
                  <c:v>45953</c:v>
                </c:pt>
                <c:pt idx="23" formatCode="m/d/yyyy">
                  <c:v>45959</c:v>
                </c:pt>
                <c:pt idx="24" formatCode="m/d/yyyy">
                  <c:v>45967</c:v>
                </c:pt>
                <c:pt idx="25" formatCode="m/d/yyyy">
                  <c:v>45972</c:v>
                </c:pt>
                <c:pt idx="26" formatCode="m/d/yyyy">
                  <c:v>45974</c:v>
                </c:pt>
                <c:pt idx="27" formatCode="m/d/yyyy">
                  <c:v>45980</c:v>
                </c:pt>
                <c:pt idx="28" formatCode="m/d/yyyy">
                  <c:v>45993</c:v>
                </c:pt>
                <c:pt idx="29" formatCode="m/d/yyyy">
                  <c:v>46008</c:v>
                </c:pt>
                <c:pt idx="30" formatCode="m/d/yyyy">
                  <c:v>46008</c:v>
                </c:pt>
                <c:pt idx="31" formatCode="m/d/yyyy">
                  <c:v>46028</c:v>
                </c:pt>
                <c:pt idx="32" formatCode="m/d/yyyy">
                  <c:v>46034</c:v>
                </c:pt>
              </c:numCache>
            </c:numRef>
          </c:cat>
          <c:val>
            <c:numRef>
              <c:f>Emails!$H$3:$H$35</c:f>
              <c:numCache>
                <c:formatCode>0%</c:formatCode>
                <c:ptCount val="33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0.15</c:v>
                </c:pt>
                <c:pt idx="18">
                  <c:v>0.15</c:v>
                </c:pt>
                <c:pt idx="19">
                  <c:v>0.15</c:v>
                </c:pt>
                <c:pt idx="20">
                  <c:v>0.15</c:v>
                </c:pt>
                <c:pt idx="21">
                  <c:v>0.15</c:v>
                </c:pt>
                <c:pt idx="22">
                  <c:v>0.15</c:v>
                </c:pt>
                <c:pt idx="23">
                  <c:v>0.15</c:v>
                </c:pt>
                <c:pt idx="24">
                  <c:v>0.15</c:v>
                </c:pt>
                <c:pt idx="25">
                  <c:v>0.15</c:v>
                </c:pt>
                <c:pt idx="26">
                  <c:v>0.15</c:v>
                </c:pt>
                <c:pt idx="27">
                  <c:v>0.15</c:v>
                </c:pt>
                <c:pt idx="28">
                  <c:v>0.15</c:v>
                </c:pt>
                <c:pt idx="29">
                  <c:v>0.15</c:v>
                </c:pt>
                <c:pt idx="30">
                  <c:v>0.15</c:v>
                </c:pt>
                <c:pt idx="31">
                  <c:v>0.15</c:v>
                </c:pt>
                <c:pt idx="3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E3-CE45-B426-C47735C44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9331632"/>
        <c:axId val="1749683568"/>
      </c:lineChart>
      <c:dateAx>
        <c:axId val="1749331632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683568"/>
        <c:crosses val="autoZero"/>
        <c:auto val="1"/>
        <c:lblOffset val="100"/>
        <c:baseTimeUnit val="days"/>
        <c:majorUnit val="7"/>
        <c:majorTimeUnit val="days"/>
        <c:minorUnit val="7"/>
        <c:minorTimeUnit val="days"/>
      </c:dateAx>
      <c:valAx>
        <c:axId val="174968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33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Email: 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Open Rate</a:t>
            </a:r>
            <a:r>
              <a:rPr lang="en-US" sz="2400" b="1" baseline="0">
                <a:latin typeface="Arial" panose="020B0604020202020204" pitchFamily="34" charset="0"/>
                <a:cs typeface="Arial" panose="020B0604020202020204" pitchFamily="34" charset="0"/>
              </a:rPr>
              <a:t> (by email name)</a:t>
            </a:r>
            <a:endParaRPr lang="en-US" sz="24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Emails!$G$2</c:f>
              <c:strCache>
                <c:ptCount val="1"/>
                <c:pt idx="0">
                  <c:v>Open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Emails!$A$3:$A$45</c:f>
              <c:strCache>
                <c:ptCount val="43"/>
                <c:pt idx="0">
                  <c:v>Call for Proposals Email #1 (All Prospects)</c:v>
                </c:pt>
                <c:pt idx="1">
                  <c:v>Call for Proposals Email #2 (All Prospects)</c:v>
                </c:pt>
                <c:pt idx="2">
                  <c:v>Call for Proposals Email #3 (All Prospects)</c:v>
                </c:pt>
                <c:pt idx="3">
                  <c:v>Call for Proposals Email #4a (Past Submitters)</c:v>
                </c:pt>
                <c:pt idx="4">
                  <c:v>Call for Proposals Email #4b (All Prospects)
</c:v>
                </c:pt>
                <c:pt idx="5">
                  <c:v>Call for Proposals Email #5 (All Prospects)</c:v>
                </c:pt>
                <c:pt idx="6">
                  <c:v>INTL Email #1 - Survey (International Attendees)</c:v>
                </c:pt>
                <c:pt idx="7">
                  <c:v>Call for Proposals Email #6 (All Prospects)</c:v>
                </c:pt>
                <c:pt idx="8">
                  <c:v>Call for Proposals Email #7 (All Prospects)</c:v>
                </c:pt>
                <c:pt idx="9">
                  <c:v>Call for Proposals Email #8 (All Prospects)</c:v>
                </c:pt>
                <c:pt idx="10">
                  <c:v>Call for Proposals &amp; State-of-the-Art Speakers Email #9.5 Deadline Extended (All Prospects)</c:v>
                </c:pt>
                <c:pt idx="11">
                  <c:v>Call for Abstracts Email #10 (All Prospects)</c:v>
                </c:pt>
                <c:pt idx="12">
                  <c:v>Email #9 - Call for Proposals - 24 Hours Left 8/21 (All Prospects)</c:v>
                </c:pt>
                <c:pt idx="13">
                  <c:v>Call for Abstracts Email #10.5</c:v>
                </c:pt>
                <c:pt idx="14">
                  <c:v>Awareness Email #1 Save the Date</c:v>
                </c:pt>
                <c:pt idx="15">
                  <c:v>Awareness Email #2 Save the Date</c:v>
                </c:pt>
                <c:pt idx="16">
                  <c:v>Call for Abstracts Email #11a</c:v>
                </c:pt>
                <c:pt idx="17">
                  <c:v>Call For Abstracts Email #11b</c:v>
                </c:pt>
                <c:pt idx="18">
                  <c:v>Call for Abstracts Email #12a Visa Focus (International)</c:v>
                </c:pt>
                <c:pt idx="19">
                  <c:v>Call for Abstracts Email
 #12b</c:v>
                </c:pt>
                <c:pt idx="20">
                  <c:v>Call for Abstracts Email #13</c:v>
                </c:pt>
                <c:pt idx="21">
                  <c:v>Awareness Email #3 Save the Date</c:v>
                </c:pt>
                <c:pt idx="22">
                  <c:v>Call for Abstracts Email #14 </c:v>
                </c:pt>
                <c:pt idx="23">
                  <c:v>Call for Abstracts Email #15</c:v>
                </c:pt>
                <c:pt idx="24">
                  <c:v>Call for Abstracts Email #16</c:v>
                </c:pt>
                <c:pt idx="25">
                  <c:v>Call for Abstracts Email #17</c:v>
                </c:pt>
                <c:pt idx="26">
                  <c:v>Call for Abstracts Email #18</c:v>
                </c:pt>
                <c:pt idx="27">
                  <c:v>Call for Abstracts Email #19 (+ resend)</c:v>
                </c:pt>
                <c:pt idx="28">
                  <c:v>Awareness Email #4 Save the Date</c:v>
                </c:pt>
                <c:pt idx="29">
                  <c:v>Awareness Email #5A Save the Date</c:v>
                </c:pt>
                <c:pt idx="30">
                  <c:v>Awareness Email #5B Save the Date</c:v>
                </c:pt>
                <c:pt idx="31">
                  <c:v>Call for Abstracts Email #19.5</c:v>
                </c:pt>
                <c:pt idx="32">
                  <c:v>Call for Late-Breaking Abstracts Email #20</c:v>
                </c:pt>
                <c:pt idx="33">
                  <c:v>Awareness Email #6 Save the Date</c:v>
                </c:pt>
                <c:pt idx="34">
                  <c:v>Call for Late Breaking Abstracts Email #21a</c:v>
                </c:pt>
                <c:pt idx="35">
                  <c:v>Call for Late Breaking Abstracts Email #21b</c:v>
                </c:pt>
                <c:pt idx="36">
                  <c:v>Registration Email #1</c:v>
                </c:pt>
                <c:pt idx="37">
                  <c:v>Call for Late Breaking Abstracts Email #22</c:v>
                </c:pt>
                <c:pt idx="38">
                  <c:v>Registration Email #2</c:v>
                </c:pt>
                <c:pt idx="39">
                  <c:v>Registration Email #2 - Resend</c:v>
                </c:pt>
                <c:pt idx="40">
                  <c:v>Registration Email #2.5</c:v>
                </c:pt>
                <c:pt idx="41">
                  <c:v>Registration Email #2.5 Send to Non-Openers</c:v>
                </c:pt>
                <c:pt idx="42">
                  <c:v>Registration Email #3c</c:v>
                </c:pt>
              </c:strCache>
            </c:strRef>
          </c:cat>
          <c:val>
            <c:numRef>
              <c:f>Emails!$G$3:$G$45</c:f>
              <c:numCache>
                <c:formatCode>0.0%</c:formatCode>
                <c:ptCount val="43"/>
                <c:pt idx="0">
                  <c:v>0.40899999999999997</c:v>
                </c:pt>
                <c:pt idx="1">
                  <c:v>0.57599999999999996</c:v>
                </c:pt>
                <c:pt idx="2" formatCode="0%">
                  <c:v>0.49</c:v>
                </c:pt>
                <c:pt idx="3">
                  <c:v>0.70499999999999996</c:v>
                </c:pt>
                <c:pt idx="4">
                  <c:v>0.443</c:v>
                </c:pt>
                <c:pt idx="5">
                  <c:v>0.41499999999999998</c:v>
                </c:pt>
                <c:pt idx="6">
                  <c:v>0.51100000000000001</c:v>
                </c:pt>
                <c:pt idx="7">
                  <c:v>0.51200000000000001</c:v>
                </c:pt>
                <c:pt idx="8" formatCode="0.00%">
                  <c:v>0.46</c:v>
                </c:pt>
                <c:pt idx="9" formatCode="0.00%">
                  <c:v>0.443</c:v>
                </c:pt>
                <c:pt idx="10" formatCode="0.00%">
                  <c:v>0.43</c:v>
                </c:pt>
                <c:pt idx="11" formatCode="0.00%">
                  <c:v>0.443</c:v>
                </c:pt>
                <c:pt idx="12" formatCode="0.00%">
                  <c:v>0.42</c:v>
                </c:pt>
                <c:pt idx="13" formatCode="0.00%">
                  <c:v>9.5000000000000001E-2</c:v>
                </c:pt>
                <c:pt idx="14" formatCode="0.00%">
                  <c:v>1.6E-2</c:v>
                </c:pt>
                <c:pt idx="15" formatCode="0.00%">
                  <c:v>0.01</c:v>
                </c:pt>
                <c:pt idx="16" formatCode="0.00%">
                  <c:v>0.433</c:v>
                </c:pt>
                <c:pt idx="17" formatCode="0.00%">
                  <c:v>0.44</c:v>
                </c:pt>
                <c:pt idx="18" formatCode="0.00%">
                  <c:v>0.46700000000000003</c:v>
                </c:pt>
                <c:pt idx="19" formatCode="0%">
                  <c:v>0.42</c:v>
                </c:pt>
                <c:pt idx="20" formatCode="0%">
                  <c:v>0.43</c:v>
                </c:pt>
                <c:pt idx="21">
                  <c:v>0.45500000000000002</c:v>
                </c:pt>
                <c:pt idx="22">
                  <c:v>0.52400000000000002</c:v>
                </c:pt>
                <c:pt idx="23">
                  <c:v>0.36499999999999999</c:v>
                </c:pt>
                <c:pt idx="24">
                  <c:v>0.45800000000000002</c:v>
                </c:pt>
                <c:pt idx="25">
                  <c:v>3.5999999999999997E-2</c:v>
                </c:pt>
                <c:pt idx="26">
                  <c:v>1.2E-2</c:v>
                </c:pt>
                <c:pt idx="27">
                  <c:v>0.52700000000000002</c:v>
                </c:pt>
                <c:pt idx="28">
                  <c:v>0.41599999999999998</c:v>
                </c:pt>
                <c:pt idx="29">
                  <c:v>0.376</c:v>
                </c:pt>
                <c:pt idx="30">
                  <c:v>0.39400000000000002</c:v>
                </c:pt>
                <c:pt idx="31">
                  <c:v>0.42899999999999999</c:v>
                </c:pt>
                <c:pt idx="32">
                  <c:v>0.39600000000000002</c:v>
                </c:pt>
                <c:pt idx="33">
                  <c:v>0.41699999999999998</c:v>
                </c:pt>
                <c:pt idx="34">
                  <c:v>0.38400000000000001</c:v>
                </c:pt>
                <c:pt idx="35">
                  <c:v>0.38500000000000001</c:v>
                </c:pt>
                <c:pt idx="36">
                  <c:v>0.376</c:v>
                </c:pt>
                <c:pt idx="37">
                  <c:v>0.61099999999999999</c:v>
                </c:pt>
                <c:pt idx="38">
                  <c:v>0.41399999999999998</c:v>
                </c:pt>
                <c:pt idx="39">
                  <c:v>0.17399999999999999</c:v>
                </c:pt>
                <c:pt idx="40">
                  <c:v>0.41799999999999998</c:v>
                </c:pt>
                <c:pt idx="42">
                  <c:v>0.55500000000000005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1E9-6348-8FFE-A9B3FDF9F66A}"/>
            </c:ext>
          </c:extLst>
        </c:ser>
        <c:ser>
          <c:idx val="1"/>
          <c:order val="1"/>
          <c:tx>
            <c:strRef>
              <c:f>Emails!$H$2</c:f>
              <c:strCache>
                <c:ptCount val="1"/>
                <c:pt idx="0">
                  <c:v>Open Rate (Benchmark)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Emails!$A$3:$A$45</c:f>
              <c:strCache>
                <c:ptCount val="43"/>
                <c:pt idx="0">
                  <c:v>Call for Proposals Email #1 (All Prospects)</c:v>
                </c:pt>
                <c:pt idx="1">
                  <c:v>Call for Proposals Email #2 (All Prospects)</c:v>
                </c:pt>
                <c:pt idx="2">
                  <c:v>Call for Proposals Email #3 (All Prospects)</c:v>
                </c:pt>
                <c:pt idx="3">
                  <c:v>Call for Proposals Email #4a (Past Submitters)</c:v>
                </c:pt>
                <c:pt idx="4">
                  <c:v>Call for Proposals Email #4b (All Prospects)
</c:v>
                </c:pt>
                <c:pt idx="5">
                  <c:v>Call for Proposals Email #5 (All Prospects)</c:v>
                </c:pt>
                <c:pt idx="6">
                  <c:v>INTL Email #1 - Survey (International Attendees)</c:v>
                </c:pt>
                <c:pt idx="7">
                  <c:v>Call for Proposals Email #6 (All Prospects)</c:v>
                </c:pt>
                <c:pt idx="8">
                  <c:v>Call for Proposals Email #7 (All Prospects)</c:v>
                </c:pt>
                <c:pt idx="9">
                  <c:v>Call for Proposals Email #8 (All Prospects)</c:v>
                </c:pt>
                <c:pt idx="10">
                  <c:v>Call for Proposals &amp; State-of-the-Art Speakers Email #9.5 Deadline Extended (All Prospects)</c:v>
                </c:pt>
                <c:pt idx="11">
                  <c:v>Call for Abstracts Email #10 (All Prospects)</c:v>
                </c:pt>
                <c:pt idx="12">
                  <c:v>Email #9 - Call for Proposals - 24 Hours Left 8/21 (All Prospects)</c:v>
                </c:pt>
                <c:pt idx="13">
                  <c:v>Call for Abstracts Email #10.5</c:v>
                </c:pt>
                <c:pt idx="14">
                  <c:v>Awareness Email #1 Save the Date</c:v>
                </c:pt>
                <c:pt idx="15">
                  <c:v>Awareness Email #2 Save the Date</c:v>
                </c:pt>
                <c:pt idx="16">
                  <c:v>Call for Abstracts Email #11a</c:v>
                </c:pt>
                <c:pt idx="17">
                  <c:v>Call For Abstracts Email #11b</c:v>
                </c:pt>
                <c:pt idx="18">
                  <c:v>Call for Abstracts Email #12a Visa Focus (International)</c:v>
                </c:pt>
                <c:pt idx="19">
                  <c:v>Call for Abstracts Email
 #12b</c:v>
                </c:pt>
                <c:pt idx="20">
                  <c:v>Call for Abstracts Email #13</c:v>
                </c:pt>
                <c:pt idx="21">
                  <c:v>Awareness Email #3 Save the Date</c:v>
                </c:pt>
                <c:pt idx="22">
                  <c:v>Call for Abstracts Email #14 </c:v>
                </c:pt>
                <c:pt idx="23">
                  <c:v>Call for Abstracts Email #15</c:v>
                </c:pt>
                <c:pt idx="24">
                  <c:v>Call for Abstracts Email #16</c:v>
                </c:pt>
                <c:pt idx="25">
                  <c:v>Call for Abstracts Email #17</c:v>
                </c:pt>
                <c:pt idx="26">
                  <c:v>Call for Abstracts Email #18</c:v>
                </c:pt>
                <c:pt idx="27">
                  <c:v>Call for Abstracts Email #19 (+ resend)</c:v>
                </c:pt>
                <c:pt idx="28">
                  <c:v>Awareness Email #4 Save the Date</c:v>
                </c:pt>
                <c:pt idx="29">
                  <c:v>Awareness Email #5A Save the Date</c:v>
                </c:pt>
                <c:pt idx="30">
                  <c:v>Awareness Email #5B Save the Date</c:v>
                </c:pt>
                <c:pt idx="31">
                  <c:v>Call for Abstracts Email #19.5</c:v>
                </c:pt>
                <c:pt idx="32">
                  <c:v>Call for Late-Breaking Abstracts Email #20</c:v>
                </c:pt>
                <c:pt idx="33">
                  <c:v>Awareness Email #6 Save the Date</c:v>
                </c:pt>
                <c:pt idx="34">
                  <c:v>Call for Late Breaking Abstracts Email #21a</c:v>
                </c:pt>
                <c:pt idx="35">
                  <c:v>Call for Late Breaking Abstracts Email #21b</c:v>
                </c:pt>
                <c:pt idx="36">
                  <c:v>Registration Email #1</c:v>
                </c:pt>
                <c:pt idx="37">
                  <c:v>Call for Late Breaking Abstracts Email #22</c:v>
                </c:pt>
                <c:pt idx="38">
                  <c:v>Registration Email #2</c:v>
                </c:pt>
                <c:pt idx="39">
                  <c:v>Registration Email #2 - Resend</c:v>
                </c:pt>
                <c:pt idx="40">
                  <c:v>Registration Email #2.5</c:v>
                </c:pt>
                <c:pt idx="41">
                  <c:v>Registration Email #2.5 Send to Non-Openers</c:v>
                </c:pt>
                <c:pt idx="42">
                  <c:v>Registration Email #3c</c:v>
                </c:pt>
              </c:strCache>
            </c:strRef>
          </c:cat>
          <c:val>
            <c:numRef>
              <c:f>Emails!$H$3:$H$45</c:f>
              <c:numCache>
                <c:formatCode>0%</c:formatCode>
                <c:ptCount val="43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0.15</c:v>
                </c:pt>
                <c:pt idx="18">
                  <c:v>0.15</c:v>
                </c:pt>
                <c:pt idx="19">
                  <c:v>0.15</c:v>
                </c:pt>
                <c:pt idx="20">
                  <c:v>0.15</c:v>
                </c:pt>
                <c:pt idx="21">
                  <c:v>0.15</c:v>
                </c:pt>
                <c:pt idx="22">
                  <c:v>0.15</c:v>
                </c:pt>
                <c:pt idx="23">
                  <c:v>0.15</c:v>
                </c:pt>
                <c:pt idx="24">
                  <c:v>0.15</c:v>
                </c:pt>
                <c:pt idx="25">
                  <c:v>0.15</c:v>
                </c:pt>
                <c:pt idx="26">
                  <c:v>0.15</c:v>
                </c:pt>
                <c:pt idx="27">
                  <c:v>0.15</c:v>
                </c:pt>
                <c:pt idx="28">
                  <c:v>0.15</c:v>
                </c:pt>
                <c:pt idx="29">
                  <c:v>0.15</c:v>
                </c:pt>
                <c:pt idx="30">
                  <c:v>0.15</c:v>
                </c:pt>
                <c:pt idx="31">
                  <c:v>0.15</c:v>
                </c:pt>
                <c:pt idx="32">
                  <c:v>0.15</c:v>
                </c:pt>
                <c:pt idx="33">
                  <c:v>0.15</c:v>
                </c:pt>
                <c:pt idx="34">
                  <c:v>0.15</c:v>
                </c:pt>
                <c:pt idx="35">
                  <c:v>0.15</c:v>
                </c:pt>
                <c:pt idx="36">
                  <c:v>0.15</c:v>
                </c:pt>
                <c:pt idx="37">
                  <c:v>0.15</c:v>
                </c:pt>
                <c:pt idx="38">
                  <c:v>0.15</c:v>
                </c:pt>
                <c:pt idx="39">
                  <c:v>0.15</c:v>
                </c:pt>
                <c:pt idx="40">
                  <c:v>0.15</c:v>
                </c:pt>
                <c:pt idx="41">
                  <c:v>0.15</c:v>
                </c:pt>
                <c:pt idx="4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E9-6348-8FFE-A9B3FDF9F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663424"/>
        <c:axId val="1060714320"/>
      </c:lineChart>
      <c:catAx>
        <c:axId val="4366634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714320"/>
        <c:crosses val="autoZero"/>
        <c:auto val="1"/>
        <c:lblAlgn val="ctr"/>
        <c:lblOffset val="100"/>
        <c:noMultiLvlLbl val="0"/>
      </c:catAx>
      <c:valAx>
        <c:axId val="106071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63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Reach: </a:t>
            </a:r>
          </a:p>
          <a:p>
            <a:pPr>
              <a:defRPr/>
            </a:pPr>
            <a:r>
              <a:rPr lang="en-US" sz="2400" b="1"/>
              <a:t>Total Attendees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DASHBOARD!$C$17</c:f>
              <c:strCache>
                <c:ptCount val="1"/>
                <c:pt idx="0">
                  <c:v>Total Attendees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DASHBOARD!$D$16:$I$16</c:f>
              <c:strCache>
                <c:ptCount val="6"/>
                <c:pt idx="0">
                  <c:v>2019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Historic Average</c:v>
                </c:pt>
                <c:pt idx="5">
                  <c:v>2026
Actual</c:v>
                </c:pt>
              </c:strCache>
            </c:strRef>
          </c:cat>
          <c:val>
            <c:numRef>
              <c:f>DASHBOARD!$D$17:$I$17</c:f>
              <c:numCache>
                <c:formatCode>General</c:formatCode>
                <c:ptCount val="6"/>
                <c:pt idx="0">
                  <c:v>4077</c:v>
                </c:pt>
                <c:pt idx="1">
                  <c:v>3927</c:v>
                </c:pt>
                <c:pt idx="2">
                  <c:v>5019</c:v>
                </c:pt>
                <c:pt idx="4" formatCode="0.0">
                  <c:v>4341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7A-B247-93ED-B7EA7DDD7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0424976"/>
        <c:axId val="1270821808"/>
      </c:barChart>
      <c:catAx>
        <c:axId val="127042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821808"/>
        <c:crosses val="autoZero"/>
        <c:auto val="1"/>
        <c:lblAlgn val="ctr"/>
        <c:lblOffset val="100"/>
        <c:noMultiLvlLbl val="0"/>
      </c:catAx>
      <c:valAx>
        <c:axId val="12708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42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Registrations: </a:t>
            </a:r>
          </a:p>
          <a:p>
            <a:pPr>
              <a:defRPr b="1"/>
            </a:pPr>
            <a:r>
              <a:rPr lang="en-US" sz="2400" b="1"/>
              <a:t>Percent to Goal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DASHBOARD!$I$16:$J$16</c:f>
              <c:strCache>
                <c:ptCount val="2"/>
                <c:pt idx="0">
                  <c:v>2026
Actual</c:v>
                </c:pt>
                <c:pt idx="1">
                  <c:v>2026
Goal</c:v>
                </c:pt>
              </c:strCache>
            </c:strRef>
          </c:cat>
          <c:val>
            <c:numRef>
              <c:f>DASHBOARD!$I$17:$J$17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5A5D-8D4B-BEFC-FB8E11A47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03226288"/>
        <c:axId val="1303353024"/>
      </c:barChart>
      <c:catAx>
        <c:axId val="130322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53024"/>
        <c:crosses val="autoZero"/>
        <c:auto val="1"/>
        <c:lblAlgn val="ctr"/>
        <c:lblOffset val="100"/>
        <c:noMultiLvlLbl val="0"/>
      </c:catAx>
      <c:valAx>
        <c:axId val="130335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22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Reputation:</a:t>
            </a:r>
          </a:p>
          <a:p>
            <a:pPr>
              <a:defRPr sz="2400" b="1"/>
            </a:pPr>
            <a:r>
              <a:rPr lang="en-US" sz="2400" b="1"/>
              <a:t>NPS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DASHBOARD!$C$21</c:f>
              <c:strCache>
                <c:ptCount val="1"/>
                <c:pt idx="0">
                  <c:v>NPS of 60+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DASHBOARD!$D$16:$I$16</c:f>
              <c:strCache>
                <c:ptCount val="6"/>
                <c:pt idx="0">
                  <c:v>2019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Historic Average</c:v>
                </c:pt>
                <c:pt idx="5">
                  <c:v>2026
Actual</c:v>
                </c:pt>
              </c:strCache>
            </c:strRef>
          </c:cat>
          <c:val>
            <c:numRef>
              <c:f>DASHBOARD!$D$21:$I$21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F-ED40-B761-207019A0CC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70520976"/>
        <c:axId val="1270260544"/>
      </c:barChart>
      <c:catAx>
        <c:axId val="127052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260544"/>
        <c:crosses val="autoZero"/>
        <c:auto val="1"/>
        <c:lblAlgn val="ctr"/>
        <c:lblOffset val="100"/>
        <c:noMultiLvlLbl val="0"/>
      </c:catAx>
      <c:valAx>
        <c:axId val="127026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52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Revenue:</a:t>
            </a:r>
          </a:p>
          <a:p>
            <a:pPr>
              <a:defRPr sz="2400" b="1"/>
            </a:pPr>
            <a:r>
              <a:rPr lang="en-US" sz="2400" b="1"/>
              <a:t>Gross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DASHBOARD!$C$22</c:f>
              <c:strCache>
                <c:ptCount val="1"/>
                <c:pt idx="0">
                  <c:v>Gross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DASHBOARD!$D$16:$I$16</c:f>
              <c:strCache>
                <c:ptCount val="6"/>
                <c:pt idx="0">
                  <c:v>2019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Historic Average</c:v>
                </c:pt>
                <c:pt idx="5">
                  <c:v>2026
Actual</c:v>
                </c:pt>
              </c:strCache>
            </c:strRef>
          </c:cat>
          <c:val>
            <c:numRef>
              <c:f>DASHBOARD!$D$22:$I$22</c:f>
              <c:numCache>
                <c:formatCode>"$"#,##0</c:formatCode>
                <c:ptCount val="6"/>
                <c:pt idx="0">
                  <c:v>4887599</c:v>
                </c:pt>
                <c:pt idx="1">
                  <c:v>4881907</c:v>
                </c:pt>
                <c:pt idx="2">
                  <c:v>4844787</c:v>
                </c:pt>
                <c:pt idx="4" formatCode="&quot;$&quot;#,##0.00">
                  <c:v>4871431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3-E04A-A6B4-87AF01F765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70520976"/>
        <c:axId val="1270260544"/>
      </c:barChart>
      <c:catAx>
        <c:axId val="127052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260544"/>
        <c:crosses val="autoZero"/>
        <c:auto val="1"/>
        <c:lblAlgn val="ctr"/>
        <c:lblOffset val="100"/>
        <c:noMultiLvlLbl val="0"/>
      </c:catAx>
      <c:valAx>
        <c:axId val="127026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52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ROI:</a:t>
            </a:r>
          </a:p>
          <a:p>
            <a:pPr>
              <a:defRPr sz="2400" b="1"/>
            </a:pPr>
            <a:r>
              <a:rPr lang="en-US" sz="2400" b="1"/>
              <a:t>Net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DASHBOARD!$C$23</c:f>
              <c:strCache>
                <c:ptCount val="1"/>
                <c:pt idx="0">
                  <c:v>Net Profit*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DASHBOARD!$D$16:$I$16</c:f>
              <c:strCache>
                <c:ptCount val="6"/>
                <c:pt idx="0">
                  <c:v>2019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Historic Average</c:v>
                </c:pt>
                <c:pt idx="5">
                  <c:v>2026
Actual</c:v>
                </c:pt>
              </c:strCache>
            </c:strRef>
          </c:cat>
          <c:val>
            <c:numRef>
              <c:f>DASHBOARD!$D$23:$I$23</c:f>
              <c:numCache>
                <c:formatCode>"$"#,##0</c:formatCode>
                <c:ptCount val="6"/>
                <c:pt idx="0">
                  <c:v>2074035</c:v>
                </c:pt>
                <c:pt idx="1">
                  <c:v>1332966</c:v>
                </c:pt>
                <c:pt idx="2">
                  <c:v>1565737</c:v>
                </c:pt>
                <c:pt idx="4" formatCode="&quot;$&quot;#,##0.00">
                  <c:v>1657579.3333333333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0-714C-9FE9-C0980B9F61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70520976"/>
        <c:axId val="1270260544"/>
      </c:barChart>
      <c:catAx>
        <c:axId val="127052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260544"/>
        <c:crosses val="autoZero"/>
        <c:auto val="1"/>
        <c:lblAlgn val="ctr"/>
        <c:lblOffset val="100"/>
        <c:noMultiLvlLbl val="0"/>
      </c:catAx>
      <c:valAx>
        <c:axId val="127026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52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ROI:</a:t>
            </a:r>
          </a:p>
          <a:p>
            <a:pPr>
              <a:defRPr sz="2400" b="1"/>
            </a:pPr>
            <a:r>
              <a:rPr lang="en-US" sz="2400" b="1"/>
              <a:t>Net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DASHBOARD!$C$24</c:f>
              <c:strCache>
                <c:ptCount val="1"/>
                <c:pt idx="0">
                  <c:v>+20%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DASHBOARD!$D$16:$I$16</c:f>
              <c:strCache>
                <c:ptCount val="6"/>
                <c:pt idx="0">
                  <c:v>2019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Historic Average</c:v>
                </c:pt>
                <c:pt idx="5">
                  <c:v>2026
Actual</c:v>
                </c:pt>
              </c:strCache>
            </c:strRef>
          </c:cat>
          <c:val>
            <c:numRef>
              <c:f>DASHBOARD!$D$24:$I$24</c:f>
              <c:numCache>
                <c:formatCode>0%</c:formatCode>
                <c:ptCount val="6"/>
                <c:pt idx="0">
                  <c:v>0.42</c:v>
                </c:pt>
                <c:pt idx="1">
                  <c:v>0.27</c:v>
                </c:pt>
                <c:pt idx="2">
                  <c:v>0.32</c:v>
                </c:pt>
                <c:pt idx="4">
                  <c:v>0.33666666666666667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3-1A41-A3CE-FFCC577546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70520976"/>
        <c:axId val="1270260544"/>
      </c:barChart>
      <c:catAx>
        <c:axId val="127052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260544"/>
        <c:crosses val="autoZero"/>
        <c:auto val="1"/>
        <c:lblAlgn val="ctr"/>
        <c:lblOffset val="100"/>
        <c:noMultiLvlLbl val="0"/>
      </c:catAx>
      <c:valAx>
        <c:axId val="127026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52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LinkedIn: </a:t>
            </a:r>
          </a:p>
          <a:p>
            <a:pPr>
              <a:defRPr sz="2400" b="1"/>
            </a:pPr>
            <a:r>
              <a:rPr lang="en-US" sz="2400" b="1"/>
              <a:t>Impressions vs. Clicks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'Paid Media'!$B$4</c:f>
              <c:strCache>
                <c:ptCount val="1"/>
                <c:pt idx="0">
                  <c:v>LI Impressions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'Paid Media'!#REF!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196-9248-9EAA-5B96442057E1}"/>
            </c:ext>
          </c:extLst>
        </c:ser>
        <c:ser>
          <c:idx val="1"/>
          <c:order val="1"/>
          <c:tx>
            <c:strRef>
              <c:f>'Paid Media'!$C$4</c:f>
              <c:strCache>
                <c:ptCount val="1"/>
                <c:pt idx="0">
                  <c:v>LI Clicks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'Paid Media'!#REF!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3EB-B249-8BCB-890F9AAE2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9571248"/>
        <c:axId val="1270383952"/>
      </c:lineChart>
      <c:dateAx>
        <c:axId val="989571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83952"/>
        <c:crosses val="autoZero"/>
        <c:auto val="0"/>
        <c:lblOffset val="100"/>
        <c:baseTimeUnit val="days"/>
      </c:dateAx>
      <c:valAx>
        <c:axId val="127038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57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LinkedIn:</a:t>
            </a:r>
          </a:p>
          <a:p>
            <a:pPr>
              <a:defRPr sz="2400" b="1"/>
            </a:pPr>
            <a:r>
              <a:rPr lang="en-US" sz="2400" b="1"/>
              <a:t>CPA</a:t>
            </a:r>
            <a:r>
              <a:rPr lang="en-US" sz="2400" b="1" baseline="0"/>
              <a:t> vs. Conversions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'Paid Media'!$G$4</c:f>
              <c:strCache>
                <c:ptCount val="1"/>
                <c:pt idx="0">
                  <c:v>LI Registrations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'Paid Media'!#REF!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46-9A4E-8F0E-447245226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52351"/>
        <c:axId val="208878143"/>
      </c:lineChart>
      <c:lineChart>
        <c:grouping val="standard"/>
        <c:varyColors val="0"/>
        <c:ser>
          <c:idx val="1"/>
          <c:order val="1"/>
          <c:tx>
            <c:strRef>
              <c:f>'Paid Media'!$I$4</c:f>
              <c:strCache>
                <c:ptCount val="1"/>
                <c:pt idx="0">
                  <c:v>LI Cost Per Acquisition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'Paid Media'!#REF!</c:f>
              <c:numCache>
                <c:formatCode>_([$$-409]* #,##0.00_);_([$$-409]* \(#,##0.00\);_([$$-409]* "-"??_);_(@_)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46-9A4E-8F0E-447245226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430480"/>
        <c:axId val="1226156848"/>
      </c:lineChart>
      <c:catAx>
        <c:axId val="20885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78143"/>
        <c:crosses val="autoZero"/>
        <c:auto val="1"/>
        <c:lblAlgn val="ctr"/>
        <c:lblOffset val="100"/>
        <c:noMultiLvlLbl val="1"/>
      </c:catAx>
      <c:valAx>
        <c:axId val="20887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52351"/>
        <c:crosses val="autoZero"/>
        <c:crossBetween val="between"/>
      </c:valAx>
      <c:valAx>
        <c:axId val="1226156848"/>
        <c:scaling>
          <c:orientation val="minMax"/>
        </c:scaling>
        <c:delete val="0"/>
        <c:axPos val="r"/>
        <c:numFmt formatCode="_([$$-409]* #,##0.00_);_([$$-409]* \(#,##0.00\);_([$$-409]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430480"/>
        <c:crosses val="max"/>
        <c:crossBetween val="between"/>
      </c:valAx>
      <c:catAx>
        <c:axId val="1226430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6156848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LinkedIn:</a:t>
            </a:r>
          </a:p>
          <a:p>
            <a:pPr>
              <a:defRPr sz="2400" b="1"/>
            </a:pPr>
            <a:r>
              <a:rPr lang="en-US" sz="2400" b="1"/>
              <a:t>Clicks vs. Click-Through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'Paid Media'!$C$4</c:f>
              <c:strCache>
                <c:ptCount val="1"/>
                <c:pt idx="0">
                  <c:v>LI Clicks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'Paid Media'!#REF!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915-0643-B9D1-4619E2082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52351"/>
        <c:axId val="208878143"/>
      </c:lineChart>
      <c:lineChart>
        <c:grouping val="standard"/>
        <c:varyColors val="0"/>
        <c:ser>
          <c:idx val="1"/>
          <c:order val="1"/>
          <c:tx>
            <c:strRef>
              <c:f>'Paid Media'!$F$4</c:f>
              <c:strCache>
                <c:ptCount val="1"/>
                <c:pt idx="0">
                  <c:v>LI Click-Through-Rate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'Paid Media'!#REF!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915-0643-B9D1-4619E2082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430480"/>
        <c:axId val="1226156848"/>
      </c:lineChart>
      <c:catAx>
        <c:axId val="20885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78143"/>
        <c:crosses val="autoZero"/>
        <c:auto val="1"/>
        <c:lblAlgn val="ctr"/>
        <c:lblOffset val="100"/>
        <c:noMultiLvlLbl val="1"/>
      </c:catAx>
      <c:valAx>
        <c:axId val="20887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52351"/>
        <c:crosses val="autoZero"/>
        <c:crossBetween val="between"/>
      </c:valAx>
      <c:valAx>
        <c:axId val="1226156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430480"/>
        <c:crosses val="max"/>
        <c:crossBetween val="between"/>
      </c:valAx>
      <c:catAx>
        <c:axId val="1226430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6156848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Meta: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400"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2400" b="1"/>
              <a:t>Impressions vs. Clicks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'Paid Media'!$J$4</c:f>
              <c:strCache>
                <c:ptCount val="1"/>
                <c:pt idx="0">
                  <c:v>FB Impressions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'Paid Media'!#REF!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'Paid Media'!#REF!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F5B-E441-99A0-875BEBBA5A4C}"/>
            </c:ext>
          </c:extLst>
        </c:ser>
        <c:ser>
          <c:idx val="1"/>
          <c:order val="1"/>
          <c:tx>
            <c:strRef>
              <c:f>'Paid Media'!$K$4</c:f>
              <c:strCache>
                <c:ptCount val="1"/>
                <c:pt idx="0">
                  <c:v>FB Clicks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'Paid Media'!#REF!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'Paid Media'!#REF!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F5B-E441-99A0-875BEBBA5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9571248"/>
        <c:axId val="1270383952"/>
      </c:lineChart>
      <c:dateAx>
        <c:axId val="989571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83952"/>
        <c:crosses val="autoZero"/>
        <c:auto val="0"/>
        <c:lblOffset val="100"/>
        <c:baseTimeUnit val="days"/>
      </c:dateAx>
      <c:valAx>
        <c:axId val="127038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57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Google Search:</a:t>
            </a:r>
          </a:p>
          <a:p>
            <a:pPr>
              <a:defRPr sz="2400" b="1"/>
            </a:pPr>
            <a:r>
              <a:rPr lang="en-US" sz="2400" b="1"/>
              <a:t>Impressions vs. Clicks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'Paid Media'!$R$4</c:f>
              <c:strCache>
                <c:ptCount val="1"/>
                <c:pt idx="0">
                  <c:v>GS Impressions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'Paid Media'!#REF!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'Paid Media'!#REF!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503-5244-BEF4-C47EE2A80650}"/>
            </c:ext>
          </c:extLst>
        </c:ser>
        <c:ser>
          <c:idx val="1"/>
          <c:order val="1"/>
          <c:tx>
            <c:strRef>
              <c:f>'Paid Media'!$S$4</c:f>
              <c:strCache>
                <c:ptCount val="1"/>
                <c:pt idx="0">
                  <c:v>GS Clicks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'Paid Media'!#REF!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'Paid Media'!#REF!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503-5244-BEF4-C47EE2A80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9571248"/>
        <c:axId val="1270383952"/>
      </c:lineChart>
      <c:dateAx>
        <c:axId val="989571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83952"/>
        <c:crosses val="autoZero"/>
        <c:auto val="0"/>
        <c:lblOffset val="100"/>
        <c:baseTimeUnit val="days"/>
      </c:dateAx>
      <c:valAx>
        <c:axId val="127038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57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Google Display:</a:t>
            </a:r>
          </a:p>
          <a:p>
            <a:pPr>
              <a:defRPr sz="2400" b="1"/>
            </a:pPr>
            <a:r>
              <a:rPr lang="en-US" sz="2400" b="1"/>
              <a:t>Impressions vs. Clicks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'Paid Media'!$Z$4</c:f>
              <c:strCache>
                <c:ptCount val="1"/>
                <c:pt idx="0">
                  <c:v>GD Impressions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'Paid Media'!#REF!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'Paid Media'!#REF!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111-5C4F-92B6-374D925AB63B}"/>
            </c:ext>
          </c:extLst>
        </c:ser>
        <c:ser>
          <c:idx val="1"/>
          <c:order val="1"/>
          <c:tx>
            <c:strRef>
              <c:f>'Paid Media'!$AA$4</c:f>
              <c:strCache>
                <c:ptCount val="1"/>
                <c:pt idx="0">
                  <c:v>GD Clicks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'Paid Media'!#REF!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'Paid Media'!#REF!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111-5C4F-92B6-374D925AB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9571248"/>
        <c:axId val="1270383952"/>
      </c:lineChart>
      <c:dateAx>
        <c:axId val="989571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83952"/>
        <c:crosses val="autoZero"/>
        <c:auto val="0"/>
        <c:lblOffset val="100"/>
        <c:baseTimeUnit val="days"/>
      </c:dateAx>
      <c:valAx>
        <c:axId val="127038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57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Facebook:</a:t>
            </a:r>
          </a:p>
          <a:p>
            <a:pPr>
              <a:defRPr sz="2400" b="1"/>
            </a:pPr>
            <a:r>
              <a:rPr lang="en-US" sz="2400" b="1"/>
              <a:t>CPA</a:t>
            </a:r>
            <a:r>
              <a:rPr lang="en-US" sz="2400" b="1" baseline="0"/>
              <a:t> vs. Conversions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'Paid Media'!$O$4</c:f>
              <c:strCache>
                <c:ptCount val="1"/>
                <c:pt idx="0">
                  <c:v>FB Registrations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'Paid Media'!#REF!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A04-4D42-B947-5546C499B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52351"/>
        <c:axId val="208878143"/>
      </c:lineChart>
      <c:lineChart>
        <c:grouping val="standard"/>
        <c:varyColors val="0"/>
        <c:ser>
          <c:idx val="1"/>
          <c:order val="1"/>
          <c:tx>
            <c:strRef>
              <c:f>'Paid Media'!$Q$4</c:f>
              <c:strCache>
                <c:ptCount val="1"/>
                <c:pt idx="0">
                  <c:v>FB Cost Per Acquisition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'Paid Media'!#REF!</c:f>
              <c:numCache>
                <c:formatCode>_([$$-409]* #,##0.00_);_([$$-409]* \(#,##0.00\);_([$$-409]* "-"??_);_(@_)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A04-4D42-B947-5546C499B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430480"/>
        <c:axId val="1226156848"/>
      </c:lineChart>
      <c:catAx>
        <c:axId val="20885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78143"/>
        <c:crosses val="autoZero"/>
        <c:auto val="1"/>
        <c:lblAlgn val="ctr"/>
        <c:lblOffset val="100"/>
        <c:noMultiLvlLbl val="1"/>
      </c:catAx>
      <c:valAx>
        <c:axId val="20887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52351"/>
        <c:crosses val="autoZero"/>
        <c:crossBetween val="between"/>
      </c:valAx>
      <c:valAx>
        <c:axId val="1226156848"/>
        <c:scaling>
          <c:orientation val="minMax"/>
        </c:scaling>
        <c:delete val="0"/>
        <c:axPos val="r"/>
        <c:numFmt formatCode="_([$$-409]* #,##0.00_);_([$$-409]* \(#,##0.00\);_([$$-409]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430480"/>
        <c:crosses val="max"/>
        <c:crossBetween val="between"/>
      </c:valAx>
      <c:catAx>
        <c:axId val="1226430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6156848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Google Search:</a:t>
            </a:r>
          </a:p>
          <a:p>
            <a:pPr>
              <a:defRPr sz="2400" b="1"/>
            </a:pPr>
            <a:r>
              <a:rPr lang="en-US" sz="2400" b="1"/>
              <a:t>CPA</a:t>
            </a:r>
            <a:r>
              <a:rPr lang="en-US" sz="2400" b="1" baseline="0"/>
              <a:t> vs. Conversions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'Paid Media'!$W$4</c:f>
              <c:strCache>
                <c:ptCount val="1"/>
                <c:pt idx="0">
                  <c:v>GS Registrations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'Paid Media'!#REF!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'Paid Media'!#REF!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5ED-5E41-9547-2F329AB99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52351"/>
        <c:axId val="208878143"/>
      </c:lineChart>
      <c:lineChart>
        <c:grouping val="standard"/>
        <c:varyColors val="0"/>
        <c:ser>
          <c:idx val="1"/>
          <c:order val="1"/>
          <c:tx>
            <c:strRef>
              <c:f>'Paid Media'!$Y$4</c:f>
              <c:strCache>
                <c:ptCount val="1"/>
                <c:pt idx="0">
                  <c:v>GS Cost Per Acquisition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'Paid Media'!#REF!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'Paid Media'!#REF!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A5ED-5E41-9547-2F329AB99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430480"/>
        <c:axId val="1226156848"/>
      </c:lineChart>
      <c:catAx>
        <c:axId val="20885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78143"/>
        <c:crosses val="autoZero"/>
        <c:auto val="1"/>
        <c:lblAlgn val="ctr"/>
        <c:lblOffset val="100"/>
        <c:noMultiLvlLbl val="1"/>
      </c:catAx>
      <c:valAx>
        <c:axId val="20887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52351"/>
        <c:crosses val="autoZero"/>
        <c:crossBetween val="between"/>
      </c:valAx>
      <c:valAx>
        <c:axId val="122615684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430480"/>
        <c:crosses val="max"/>
        <c:crossBetween val="between"/>
      </c:valAx>
      <c:catAx>
        <c:axId val="1226430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6156848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Google Display:</a:t>
            </a:r>
          </a:p>
          <a:p>
            <a:pPr>
              <a:defRPr sz="2400" b="1"/>
            </a:pPr>
            <a:r>
              <a:rPr lang="en-US" sz="2400" b="1"/>
              <a:t>CPA</a:t>
            </a:r>
            <a:r>
              <a:rPr lang="en-US" sz="2400" b="1" baseline="0"/>
              <a:t> vs. Conversions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'Paid Media'!$AE$4</c:f>
              <c:strCache>
                <c:ptCount val="1"/>
                <c:pt idx="0">
                  <c:v>GD Registrations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'Paid Media'!#REF!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'Paid Media'!#REF!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785-4749-B3FF-6BBDC2B88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52351"/>
        <c:axId val="208878143"/>
      </c:lineChart>
      <c:lineChart>
        <c:grouping val="standard"/>
        <c:varyColors val="0"/>
        <c:ser>
          <c:idx val="1"/>
          <c:order val="1"/>
          <c:tx>
            <c:strRef>
              <c:f>'Paid Media'!$AG$4</c:f>
              <c:strCache>
                <c:ptCount val="1"/>
                <c:pt idx="0">
                  <c:v>GD Cost Per Acquisition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'Paid Media'!#REF!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'Paid Media'!#REF!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A785-4749-B3FF-6BBDC2B88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430480"/>
        <c:axId val="1226156848"/>
      </c:lineChart>
      <c:catAx>
        <c:axId val="20885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78143"/>
        <c:crosses val="autoZero"/>
        <c:auto val="1"/>
        <c:lblAlgn val="ctr"/>
        <c:lblOffset val="100"/>
        <c:noMultiLvlLbl val="1"/>
      </c:catAx>
      <c:valAx>
        <c:axId val="20887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52351"/>
        <c:crosses val="autoZero"/>
        <c:crossBetween val="between"/>
      </c:valAx>
      <c:valAx>
        <c:axId val="122615684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430480"/>
        <c:crosses val="max"/>
        <c:crossBetween val="between"/>
      </c:valAx>
      <c:catAx>
        <c:axId val="1226430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6156848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Facebook:</a:t>
            </a:r>
          </a:p>
          <a:p>
            <a:pPr>
              <a:defRPr sz="2400" b="1"/>
            </a:pPr>
            <a:r>
              <a:rPr lang="en-US" sz="2400" b="1"/>
              <a:t>Clicks vs. Click-Through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'Paid Media'!$K$4</c:f>
              <c:strCache>
                <c:ptCount val="1"/>
                <c:pt idx="0">
                  <c:v>FB Clicks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'Paid Media'!#REF!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'Paid Media'!#REF!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A72-5443-B1B2-3EB2B7FB0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52351"/>
        <c:axId val="208878143"/>
      </c:lineChart>
      <c:lineChart>
        <c:grouping val="standard"/>
        <c:varyColors val="0"/>
        <c:ser>
          <c:idx val="1"/>
          <c:order val="1"/>
          <c:tx>
            <c:strRef>
              <c:f>'Paid Media'!$N$4</c:f>
              <c:strCache>
                <c:ptCount val="1"/>
                <c:pt idx="0">
                  <c:v>FB Click-Through-Rate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'Paid Media'!#REF!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'Paid Media'!#REF!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2A72-5443-B1B2-3EB2B7FB0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430480"/>
        <c:axId val="1226156848"/>
      </c:lineChart>
      <c:catAx>
        <c:axId val="20885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78143"/>
        <c:crosses val="autoZero"/>
        <c:auto val="1"/>
        <c:lblAlgn val="ctr"/>
        <c:lblOffset val="100"/>
        <c:noMultiLvlLbl val="1"/>
      </c:catAx>
      <c:valAx>
        <c:axId val="20887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52351"/>
        <c:crosses val="autoZero"/>
        <c:crossBetween val="between"/>
      </c:valAx>
      <c:valAx>
        <c:axId val="1226156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430480"/>
        <c:crosses val="max"/>
        <c:crossBetween val="between"/>
      </c:valAx>
      <c:catAx>
        <c:axId val="1226430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6156848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Google Search:</a:t>
            </a:r>
          </a:p>
          <a:p>
            <a:pPr>
              <a:defRPr sz="2400" b="1"/>
            </a:pPr>
            <a:r>
              <a:rPr lang="en-US" sz="2400" b="1"/>
              <a:t>Clicks vs. Click-Through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'Paid Media'!$S$4</c:f>
              <c:strCache>
                <c:ptCount val="1"/>
                <c:pt idx="0">
                  <c:v>GS Clicks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'Paid Media'!#REF!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'Paid Media'!#REF!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16A-B346-B1D7-AC181B1C8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52351"/>
        <c:axId val="208878143"/>
      </c:lineChart>
      <c:lineChart>
        <c:grouping val="standard"/>
        <c:varyColors val="0"/>
        <c:ser>
          <c:idx val="1"/>
          <c:order val="1"/>
          <c:tx>
            <c:strRef>
              <c:f>'Paid Media'!$V$4</c:f>
              <c:strCache>
                <c:ptCount val="1"/>
                <c:pt idx="0">
                  <c:v>GS Click-Through-Rate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'Paid Media'!#REF!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'Paid Media'!#REF!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16A-B346-B1D7-AC181B1C8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430480"/>
        <c:axId val="1226156848"/>
      </c:lineChart>
      <c:catAx>
        <c:axId val="20885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78143"/>
        <c:crosses val="autoZero"/>
        <c:auto val="1"/>
        <c:lblAlgn val="ctr"/>
        <c:lblOffset val="100"/>
        <c:noMultiLvlLbl val="1"/>
      </c:catAx>
      <c:valAx>
        <c:axId val="20887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52351"/>
        <c:crosses val="autoZero"/>
        <c:crossBetween val="between"/>
      </c:valAx>
      <c:valAx>
        <c:axId val="1226156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430480"/>
        <c:crosses val="max"/>
        <c:crossBetween val="between"/>
      </c:valAx>
      <c:catAx>
        <c:axId val="1226430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6156848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Google Display:</a:t>
            </a:r>
          </a:p>
          <a:p>
            <a:pPr>
              <a:defRPr sz="2400" b="1"/>
            </a:pPr>
            <a:r>
              <a:rPr lang="en-US" sz="2400" b="1"/>
              <a:t>Clicks vs. Click-Through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'Paid Media'!$AA$4</c:f>
              <c:strCache>
                <c:ptCount val="1"/>
                <c:pt idx="0">
                  <c:v>GD Clicks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'Paid Media'!#REF!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'Paid Media'!#REF!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CAB-6C41-8B87-689112D53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52351"/>
        <c:axId val="208878143"/>
      </c:lineChart>
      <c:lineChart>
        <c:grouping val="standard"/>
        <c:varyColors val="0"/>
        <c:ser>
          <c:idx val="1"/>
          <c:order val="1"/>
          <c:tx>
            <c:strRef>
              <c:f>'Paid Media'!$AD$4</c:f>
              <c:strCache>
                <c:ptCount val="1"/>
                <c:pt idx="0">
                  <c:v>GD Click-Through-Rate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'Paid Media'!#REF!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'Paid Media'!#REF!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CAB-6C41-8B87-689112D53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430480"/>
        <c:axId val="1226156848"/>
      </c:lineChart>
      <c:catAx>
        <c:axId val="20885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78143"/>
        <c:crosses val="autoZero"/>
        <c:auto val="1"/>
        <c:lblAlgn val="ctr"/>
        <c:lblOffset val="100"/>
        <c:noMultiLvlLbl val="1"/>
      </c:catAx>
      <c:valAx>
        <c:axId val="20887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52351"/>
        <c:crosses val="autoZero"/>
        <c:crossBetween val="between"/>
      </c:valAx>
      <c:valAx>
        <c:axId val="1226156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430480"/>
        <c:crosses val="max"/>
        <c:crossBetween val="between"/>
      </c:valAx>
      <c:catAx>
        <c:axId val="1226430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6156848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 Weekly Impressions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'Paid Media'!$B$4</c:f>
              <c:strCache>
                <c:ptCount val="1"/>
                <c:pt idx="0">
                  <c:v>LI Impressions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'Paid Media'!$A$5:$B$31</c:f>
              <c:multiLvlStrCache>
                <c:ptCount val="27"/>
                <c:lvl>
                  <c:pt idx="3">
                    <c:v>13775</c:v>
                  </c:pt>
                  <c:pt idx="4">
                    <c:v>28025</c:v>
                  </c:pt>
                  <c:pt idx="5">
                    <c:v>14952</c:v>
                  </c:pt>
                  <c:pt idx="6">
                    <c:v>12668</c:v>
                  </c:pt>
                  <c:pt idx="7">
                    <c:v>8183</c:v>
                  </c:pt>
                  <c:pt idx="8">
                    <c:v>454</c:v>
                  </c:pt>
                  <c:pt idx="9">
                    <c:v>4166</c:v>
                  </c:pt>
                  <c:pt idx="10">
                    <c:v>6681`</c:v>
                  </c:pt>
                  <c:pt idx="11">
                    <c:v>5396</c:v>
                  </c:pt>
                  <c:pt idx="12">
                    <c:v>5486</c:v>
                  </c:pt>
                  <c:pt idx="13">
                    <c:v>5175</c:v>
                  </c:pt>
                  <c:pt idx="14">
                    <c:v>3554</c:v>
                  </c:pt>
                  <c:pt idx="15">
                    <c:v>3822</c:v>
                  </c:pt>
                  <c:pt idx="16">
                    <c:v>5872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lvl>
                <c:lvl>
                  <c:pt idx="0">
                    <c:v>1/5/26</c:v>
                  </c:pt>
                  <c:pt idx="1">
                    <c:v>1/12/26</c:v>
                  </c:pt>
                  <c:pt idx="2">
                    <c:v>1/19/26</c:v>
                  </c:pt>
                  <c:pt idx="3">
                    <c:v>1/26/26</c:v>
                  </c:pt>
                  <c:pt idx="4">
                    <c:v>2/2/26</c:v>
                  </c:pt>
                  <c:pt idx="5">
                    <c:v>2/9/26</c:v>
                  </c:pt>
                  <c:pt idx="6">
                    <c:v>2/16/26</c:v>
                  </c:pt>
                  <c:pt idx="7">
                    <c:v>2/23/26</c:v>
                  </c:pt>
                  <c:pt idx="8">
                    <c:v>3/2/26</c:v>
                  </c:pt>
                  <c:pt idx="9">
                    <c:v>3/9/26</c:v>
                  </c:pt>
                  <c:pt idx="10">
                    <c:v>3/16/26</c:v>
                  </c:pt>
                  <c:pt idx="11">
                    <c:v>3/23/26</c:v>
                  </c:pt>
                  <c:pt idx="12">
                    <c:v>3/30/26</c:v>
                  </c:pt>
                  <c:pt idx="13">
                    <c:v>4/6/26</c:v>
                  </c:pt>
                  <c:pt idx="14">
                    <c:v>4/13/26</c:v>
                  </c:pt>
                  <c:pt idx="15">
                    <c:v>4/20/26</c:v>
                  </c:pt>
                  <c:pt idx="16">
                    <c:v>4/27/26</c:v>
                  </c:pt>
                  <c:pt idx="17">
                    <c:v>5/4/26</c:v>
                  </c:pt>
                  <c:pt idx="18">
                    <c:v>5/11/26</c:v>
                  </c:pt>
                  <c:pt idx="19">
                    <c:v>5/18/26</c:v>
                  </c:pt>
                  <c:pt idx="20">
                    <c:v>5/25/26</c:v>
                  </c:pt>
                  <c:pt idx="21">
                    <c:v>6/1/26</c:v>
                  </c:pt>
                  <c:pt idx="22">
                    <c:v>6/8/26</c:v>
                  </c:pt>
                  <c:pt idx="23">
                    <c:v>6/15/26</c:v>
                  </c:pt>
                  <c:pt idx="24">
                    <c:v>6/22/26</c:v>
                  </c:pt>
                  <c:pt idx="25">
                    <c:v>6/29/26</c:v>
                  </c:pt>
                  <c:pt idx="26">
                    <c:v>7/6/26</c:v>
                  </c:pt>
                </c:lvl>
              </c:multiLvlStrCache>
            </c:multiLvlStrRef>
          </c:cat>
          <c:val>
            <c:numRef>
              <c:f>'Paid Media'!$B$5:$B$31</c:f>
              <c:numCache>
                <c:formatCode>0</c:formatCode>
                <c:ptCount val="27"/>
                <c:pt idx="3">
                  <c:v>13775</c:v>
                </c:pt>
                <c:pt idx="4">
                  <c:v>28025</c:v>
                </c:pt>
                <c:pt idx="5">
                  <c:v>14952</c:v>
                </c:pt>
                <c:pt idx="6">
                  <c:v>12668</c:v>
                </c:pt>
                <c:pt idx="7">
                  <c:v>8183</c:v>
                </c:pt>
                <c:pt idx="8">
                  <c:v>454</c:v>
                </c:pt>
                <c:pt idx="9">
                  <c:v>4166</c:v>
                </c:pt>
                <c:pt idx="10">
                  <c:v>0</c:v>
                </c:pt>
                <c:pt idx="11">
                  <c:v>5396</c:v>
                </c:pt>
                <c:pt idx="12">
                  <c:v>5486</c:v>
                </c:pt>
                <c:pt idx="13">
                  <c:v>5175</c:v>
                </c:pt>
                <c:pt idx="14">
                  <c:v>3554</c:v>
                </c:pt>
                <c:pt idx="15">
                  <c:v>3822</c:v>
                </c:pt>
                <c:pt idx="16">
                  <c:v>5872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4-6144-8F5D-5CA40D487F4D}"/>
            </c:ext>
          </c:extLst>
        </c:ser>
        <c:ser>
          <c:idx val="1"/>
          <c:order val="1"/>
          <c:tx>
            <c:strRef>
              <c:f>'Paid Media'!$J$4</c:f>
              <c:strCache>
                <c:ptCount val="1"/>
                <c:pt idx="0">
                  <c:v>FB Impressions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'Paid Media'!$A$5:$B$31</c:f>
              <c:multiLvlStrCache>
                <c:ptCount val="27"/>
                <c:lvl>
                  <c:pt idx="3">
                    <c:v>13775</c:v>
                  </c:pt>
                  <c:pt idx="4">
                    <c:v>28025</c:v>
                  </c:pt>
                  <c:pt idx="5">
                    <c:v>14952</c:v>
                  </c:pt>
                  <c:pt idx="6">
                    <c:v>12668</c:v>
                  </c:pt>
                  <c:pt idx="7">
                    <c:v>8183</c:v>
                  </c:pt>
                  <c:pt idx="8">
                    <c:v>454</c:v>
                  </c:pt>
                  <c:pt idx="9">
                    <c:v>4166</c:v>
                  </c:pt>
                  <c:pt idx="10">
                    <c:v>6681`</c:v>
                  </c:pt>
                  <c:pt idx="11">
                    <c:v>5396</c:v>
                  </c:pt>
                  <c:pt idx="12">
                    <c:v>5486</c:v>
                  </c:pt>
                  <c:pt idx="13">
                    <c:v>5175</c:v>
                  </c:pt>
                  <c:pt idx="14">
                    <c:v>3554</c:v>
                  </c:pt>
                  <c:pt idx="15">
                    <c:v>3822</c:v>
                  </c:pt>
                  <c:pt idx="16">
                    <c:v>5872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lvl>
                <c:lvl>
                  <c:pt idx="0">
                    <c:v>1/5/26</c:v>
                  </c:pt>
                  <c:pt idx="1">
                    <c:v>1/12/26</c:v>
                  </c:pt>
                  <c:pt idx="2">
                    <c:v>1/19/26</c:v>
                  </c:pt>
                  <c:pt idx="3">
                    <c:v>1/26/26</c:v>
                  </c:pt>
                  <c:pt idx="4">
                    <c:v>2/2/26</c:v>
                  </c:pt>
                  <c:pt idx="5">
                    <c:v>2/9/26</c:v>
                  </c:pt>
                  <c:pt idx="6">
                    <c:v>2/16/26</c:v>
                  </c:pt>
                  <c:pt idx="7">
                    <c:v>2/23/26</c:v>
                  </c:pt>
                  <c:pt idx="8">
                    <c:v>3/2/26</c:v>
                  </c:pt>
                  <c:pt idx="9">
                    <c:v>3/9/26</c:v>
                  </c:pt>
                  <c:pt idx="10">
                    <c:v>3/16/26</c:v>
                  </c:pt>
                  <c:pt idx="11">
                    <c:v>3/23/26</c:v>
                  </c:pt>
                  <c:pt idx="12">
                    <c:v>3/30/26</c:v>
                  </c:pt>
                  <c:pt idx="13">
                    <c:v>4/6/26</c:v>
                  </c:pt>
                  <c:pt idx="14">
                    <c:v>4/13/26</c:v>
                  </c:pt>
                  <c:pt idx="15">
                    <c:v>4/20/26</c:v>
                  </c:pt>
                  <c:pt idx="16">
                    <c:v>4/27/26</c:v>
                  </c:pt>
                  <c:pt idx="17">
                    <c:v>5/4/26</c:v>
                  </c:pt>
                  <c:pt idx="18">
                    <c:v>5/11/26</c:v>
                  </c:pt>
                  <c:pt idx="19">
                    <c:v>5/18/26</c:v>
                  </c:pt>
                  <c:pt idx="20">
                    <c:v>5/25/26</c:v>
                  </c:pt>
                  <c:pt idx="21">
                    <c:v>6/1/26</c:v>
                  </c:pt>
                  <c:pt idx="22">
                    <c:v>6/8/26</c:v>
                  </c:pt>
                  <c:pt idx="23">
                    <c:v>6/15/26</c:v>
                  </c:pt>
                  <c:pt idx="24">
                    <c:v>6/22/26</c:v>
                  </c:pt>
                  <c:pt idx="25">
                    <c:v>6/29/26</c:v>
                  </c:pt>
                  <c:pt idx="26">
                    <c:v>7/6/26</c:v>
                  </c:pt>
                </c:lvl>
              </c:multiLvlStrCache>
            </c:multiLvlStrRef>
          </c:cat>
          <c:val>
            <c:numRef>
              <c:f>'Paid Media'!$J$5:$J$31</c:f>
              <c:numCache>
                <c:formatCode>0</c:formatCode>
                <c:ptCount val="27"/>
                <c:pt idx="3">
                  <c:v>17449</c:v>
                </c:pt>
                <c:pt idx="4">
                  <c:v>24522</c:v>
                </c:pt>
                <c:pt idx="5">
                  <c:v>10334</c:v>
                </c:pt>
                <c:pt idx="6">
                  <c:v>12332</c:v>
                </c:pt>
                <c:pt idx="7">
                  <c:v>33118</c:v>
                </c:pt>
                <c:pt idx="8">
                  <c:v>38838</c:v>
                </c:pt>
                <c:pt idx="9">
                  <c:v>33648</c:v>
                </c:pt>
                <c:pt idx="10">
                  <c:v>31272</c:v>
                </c:pt>
                <c:pt idx="11">
                  <c:v>30816</c:v>
                </c:pt>
                <c:pt idx="12">
                  <c:v>30248</c:v>
                </c:pt>
                <c:pt idx="13">
                  <c:v>34774</c:v>
                </c:pt>
                <c:pt idx="14">
                  <c:v>32153</c:v>
                </c:pt>
                <c:pt idx="15">
                  <c:v>39316</c:v>
                </c:pt>
                <c:pt idx="16">
                  <c:v>37096</c:v>
                </c:pt>
                <c:pt idx="17">
                  <c:v>29766</c:v>
                </c:pt>
                <c:pt idx="18">
                  <c:v>27061</c:v>
                </c:pt>
                <c:pt idx="19">
                  <c:v>22774</c:v>
                </c:pt>
                <c:pt idx="20">
                  <c:v>25367</c:v>
                </c:pt>
                <c:pt idx="21">
                  <c:v>24677</c:v>
                </c:pt>
                <c:pt idx="22">
                  <c:v>23630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24-6144-8F5D-5CA40D487F4D}"/>
            </c:ext>
          </c:extLst>
        </c:ser>
        <c:ser>
          <c:idx val="2"/>
          <c:order val="2"/>
          <c:tx>
            <c:strRef>
              <c:f>'Paid Media'!$R$4</c:f>
              <c:strCache>
                <c:ptCount val="1"/>
                <c:pt idx="0">
                  <c:v>GS Impressions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'Paid Media'!$A$5:$B$31</c:f>
              <c:multiLvlStrCache>
                <c:ptCount val="27"/>
                <c:lvl>
                  <c:pt idx="3">
                    <c:v>13775</c:v>
                  </c:pt>
                  <c:pt idx="4">
                    <c:v>28025</c:v>
                  </c:pt>
                  <c:pt idx="5">
                    <c:v>14952</c:v>
                  </c:pt>
                  <c:pt idx="6">
                    <c:v>12668</c:v>
                  </c:pt>
                  <c:pt idx="7">
                    <c:v>8183</c:v>
                  </c:pt>
                  <c:pt idx="8">
                    <c:v>454</c:v>
                  </c:pt>
                  <c:pt idx="9">
                    <c:v>4166</c:v>
                  </c:pt>
                  <c:pt idx="10">
                    <c:v>6681`</c:v>
                  </c:pt>
                  <c:pt idx="11">
                    <c:v>5396</c:v>
                  </c:pt>
                  <c:pt idx="12">
                    <c:v>5486</c:v>
                  </c:pt>
                  <c:pt idx="13">
                    <c:v>5175</c:v>
                  </c:pt>
                  <c:pt idx="14">
                    <c:v>3554</c:v>
                  </c:pt>
                  <c:pt idx="15">
                    <c:v>3822</c:v>
                  </c:pt>
                  <c:pt idx="16">
                    <c:v>5872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lvl>
                <c:lvl>
                  <c:pt idx="0">
                    <c:v>1/5/26</c:v>
                  </c:pt>
                  <c:pt idx="1">
                    <c:v>1/12/26</c:v>
                  </c:pt>
                  <c:pt idx="2">
                    <c:v>1/19/26</c:v>
                  </c:pt>
                  <c:pt idx="3">
                    <c:v>1/26/26</c:v>
                  </c:pt>
                  <c:pt idx="4">
                    <c:v>2/2/26</c:v>
                  </c:pt>
                  <c:pt idx="5">
                    <c:v>2/9/26</c:v>
                  </c:pt>
                  <c:pt idx="6">
                    <c:v>2/16/26</c:v>
                  </c:pt>
                  <c:pt idx="7">
                    <c:v>2/23/26</c:v>
                  </c:pt>
                  <c:pt idx="8">
                    <c:v>3/2/26</c:v>
                  </c:pt>
                  <c:pt idx="9">
                    <c:v>3/9/26</c:v>
                  </c:pt>
                  <c:pt idx="10">
                    <c:v>3/16/26</c:v>
                  </c:pt>
                  <c:pt idx="11">
                    <c:v>3/23/26</c:v>
                  </c:pt>
                  <c:pt idx="12">
                    <c:v>3/30/26</c:v>
                  </c:pt>
                  <c:pt idx="13">
                    <c:v>4/6/26</c:v>
                  </c:pt>
                  <c:pt idx="14">
                    <c:v>4/13/26</c:v>
                  </c:pt>
                  <c:pt idx="15">
                    <c:v>4/20/26</c:v>
                  </c:pt>
                  <c:pt idx="16">
                    <c:v>4/27/26</c:v>
                  </c:pt>
                  <c:pt idx="17">
                    <c:v>5/4/26</c:v>
                  </c:pt>
                  <c:pt idx="18">
                    <c:v>5/11/26</c:v>
                  </c:pt>
                  <c:pt idx="19">
                    <c:v>5/18/26</c:v>
                  </c:pt>
                  <c:pt idx="20">
                    <c:v>5/25/26</c:v>
                  </c:pt>
                  <c:pt idx="21">
                    <c:v>6/1/26</c:v>
                  </c:pt>
                  <c:pt idx="22">
                    <c:v>6/8/26</c:v>
                  </c:pt>
                  <c:pt idx="23">
                    <c:v>6/15/26</c:v>
                  </c:pt>
                  <c:pt idx="24">
                    <c:v>6/22/26</c:v>
                  </c:pt>
                  <c:pt idx="25">
                    <c:v>6/29/26</c:v>
                  </c:pt>
                  <c:pt idx="26">
                    <c:v>7/6/26</c:v>
                  </c:pt>
                </c:lvl>
              </c:multiLvlStrCache>
            </c:multiLvlStrRef>
          </c:cat>
          <c:val>
            <c:numRef>
              <c:f>'Paid Media'!$R$5:$R$31</c:f>
              <c:numCache>
                <c:formatCode>0</c:formatCode>
                <c:ptCount val="27"/>
                <c:pt idx="3">
                  <c:v>1612</c:v>
                </c:pt>
                <c:pt idx="4">
                  <c:v>2657</c:v>
                </c:pt>
                <c:pt idx="5">
                  <c:v>2538</c:v>
                </c:pt>
                <c:pt idx="6">
                  <c:v>1434</c:v>
                </c:pt>
                <c:pt idx="7">
                  <c:v>1489</c:v>
                </c:pt>
                <c:pt idx="8">
                  <c:v>1880</c:v>
                </c:pt>
                <c:pt idx="9">
                  <c:v>2394</c:v>
                </c:pt>
                <c:pt idx="10">
                  <c:v>2603</c:v>
                </c:pt>
                <c:pt idx="11">
                  <c:v>2405</c:v>
                </c:pt>
                <c:pt idx="12">
                  <c:v>2065</c:v>
                </c:pt>
                <c:pt idx="13">
                  <c:v>2169</c:v>
                </c:pt>
                <c:pt idx="14">
                  <c:v>2619</c:v>
                </c:pt>
                <c:pt idx="15">
                  <c:v>2965</c:v>
                </c:pt>
                <c:pt idx="16">
                  <c:v>3413</c:v>
                </c:pt>
                <c:pt idx="17">
                  <c:v>3851</c:v>
                </c:pt>
                <c:pt idx="18">
                  <c:v>4545</c:v>
                </c:pt>
                <c:pt idx="19">
                  <c:v>2997</c:v>
                </c:pt>
                <c:pt idx="20">
                  <c:v>3956</c:v>
                </c:pt>
                <c:pt idx="21">
                  <c:v>3754</c:v>
                </c:pt>
                <c:pt idx="22">
                  <c:v>4477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24-6144-8F5D-5CA40D487F4D}"/>
            </c:ext>
          </c:extLst>
        </c:ser>
        <c:ser>
          <c:idx val="3"/>
          <c:order val="3"/>
          <c:tx>
            <c:strRef>
              <c:f>'Paid Media'!$Z$4</c:f>
              <c:strCache>
                <c:ptCount val="1"/>
                <c:pt idx="0">
                  <c:v>GD Impressions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'Paid Media'!$A$5:$B$31</c:f>
              <c:multiLvlStrCache>
                <c:ptCount val="27"/>
                <c:lvl>
                  <c:pt idx="3">
                    <c:v>13775</c:v>
                  </c:pt>
                  <c:pt idx="4">
                    <c:v>28025</c:v>
                  </c:pt>
                  <c:pt idx="5">
                    <c:v>14952</c:v>
                  </c:pt>
                  <c:pt idx="6">
                    <c:v>12668</c:v>
                  </c:pt>
                  <c:pt idx="7">
                    <c:v>8183</c:v>
                  </c:pt>
                  <c:pt idx="8">
                    <c:v>454</c:v>
                  </c:pt>
                  <c:pt idx="9">
                    <c:v>4166</c:v>
                  </c:pt>
                  <c:pt idx="10">
                    <c:v>6681`</c:v>
                  </c:pt>
                  <c:pt idx="11">
                    <c:v>5396</c:v>
                  </c:pt>
                  <c:pt idx="12">
                    <c:v>5486</c:v>
                  </c:pt>
                  <c:pt idx="13">
                    <c:v>5175</c:v>
                  </c:pt>
                  <c:pt idx="14">
                    <c:v>3554</c:v>
                  </c:pt>
                  <c:pt idx="15">
                    <c:v>3822</c:v>
                  </c:pt>
                  <c:pt idx="16">
                    <c:v>5872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lvl>
                <c:lvl>
                  <c:pt idx="0">
                    <c:v>1/5/26</c:v>
                  </c:pt>
                  <c:pt idx="1">
                    <c:v>1/12/26</c:v>
                  </c:pt>
                  <c:pt idx="2">
                    <c:v>1/19/26</c:v>
                  </c:pt>
                  <c:pt idx="3">
                    <c:v>1/26/26</c:v>
                  </c:pt>
                  <c:pt idx="4">
                    <c:v>2/2/26</c:v>
                  </c:pt>
                  <c:pt idx="5">
                    <c:v>2/9/26</c:v>
                  </c:pt>
                  <c:pt idx="6">
                    <c:v>2/16/26</c:v>
                  </c:pt>
                  <c:pt idx="7">
                    <c:v>2/23/26</c:v>
                  </c:pt>
                  <c:pt idx="8">
                    <c:v>3/2/26</c:v>
                  </c:pt>
                  <c:pt idx="9">
                    <c:v>3/9/26</c:v>
                  </c:pt>
                  <c:pt idx="10">
                    <c:v>3/16/26</c:v>
                  </c:pt>
                  <c:pt idx="11">
                    <c:v>3/23/26</c:v>
                  </c:pt>
                  <c:pt idx="12">
                    <c:v>3/30/26</c:v>
                  </c:pt>
                  <c:pt idx="13">
                    <c:v>4/6/26</c:v>
                  </c:pt>
                  <c:pt idx="14">
                    <c:v>4/13/26</c:v>
                  </c:pt>
                  <c:pt idx="15">
                    <c:v>4/20/26</c:v>
                  </c:pt>
                  <c:pt idx="16">
                    <c:v>4/27/26</c:v>
                  </c:pt>
                  <c:pt idx="17">
                    <c:v>5/4/26</c:v>
                  </c:pt>
                  <c:pt idx="18">
                    <c:v>5/11/26</c:v>
                  </c:pt>
                  <c:pt idx="19">
                    <c:v>5/18/26</c:v>
                  </c:pt>
                  <c:pt idx="20">
                    <c:v>5/25/26</c:v>
                  </c:pt>
                  <c:pt idx="21">
                    <c:v>6/1/26</c:v>
                  </c:pt>
                  <c:pt idx="22">
                    <c:v>6/8/26</c:v>
                  </c:pt>
                  <c:pt idx="23">
                    <c:v>6/15/26</c:v>
                  </c:pt>
                  <c:pt idx="24">
                    <c:v>6/22/26</c:v>
                  </c:pt>
                  <c:pt idx="25">
                    <c:v>6/29/26</c:v>
                  </c:pt>
                  <c:pt idx="26">
                    <c:v>7/6/26</c:v>
                  </c:pt>
                </c:lvl>
              </c:multiLvlStrCache>
            </c:multiLvlStrRef>
          </c:cat>
          <c:val>
            <c:numRef>
              <c:f>'Paid Media'!$Z$5:$Z$31</c:f>
              <c:numCache>
                <c:formatCode>0</c:formatCode>
                <c:ptCount val="27"/>
                <c:pt idx="3">
                  <c:v>8657</c:v>
                </c:pt>
                <c:pt idx="4">
                  <c:v>27335</c:v>
                </c:pt>
                <c:pt idx="5">
                  <c:v>24762</c:v>
                </c:pt>
                <c:pt idx="6">
                  <c:v>24725</c:v>
                </c:pt>
                <c:pt idx="7">
                  <c:v>22815</c:v>
                </c:pt>
                <c:pt idx="8">
                  <c:v>26990</c:v>
                </c:pt>
                <c:pt idx="9">
                  <c:v>39836</c:v>
                </c:pt>
                <c:pt idx="10">
                  <c:v>24081</c:v>
                </c:pt>
                <c:pt idx="11">
                  <c:v>30196</c:v>
                </c:pt>
                <c:pt idx="12">
                  <c:v>28080</c:v>
                </c:pt>
                <c:pt idx="13">
                  <c:v>24254</c:v>
                </c:pt>
                <c:pt idx="14">
                  <c:v>28166</c:v>
                </c:pt>
                <c:pt idx="15">
                  <c:v>22284</c:v>
                </c:pt>
                <c:pt idx="16">
                  <c:v>129934</c:v>
                </c:pt>
                <c:pt idx="17">
                  <c:v>36300</c:v>
                </c:pt>
                <c:pt idx="18">
                  <c:v>39504</c:v>
                </c:pt>
                <c:pt idx="19">
                  <c:v>40235</c:v>
                </c:pt>
                <c:pt idx="20">
                  <c:v>37173</c:v>
                </c:pt>
                <c:pt idx="21">
                  <c:v>44643</c:v>
                </c:pt>
                <c:pt idx="22">
                  <c:v>34662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24-6144-8F5D-5CA40D487F4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1481507295"/>
        <c:axId val="1504544399"/>
      </c:barChart>
      <c:catAx>
        <c:axId val="1481507295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544399"/>
        <c:crosses val="autoZero"/>
        <c:auto val="1"/>
        <c:lblAlgn val="ctr"/>
        <c:lblOffset val="100"/>
        <c:noMultiLvlLbl val="1"/>
      </c:catAx>
      <c:valAx>
        <c:axId val="150454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507295"/>
        <c:crossesAt val="45341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Conversions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'Paid Media'!$G$4</c:f>
              <c:strCache>
                <c:ptCount val="1"/>
                <c:pt idx="0">
                  <c:v>LI Registrations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'Paid Media'!$A$5:$A$31</c:f>
              <c:numCache>
                <c:formatCode>m/d/yy;@</c:formatCode>
                <c:ptCount val="27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</c:numCache>
            </c:numRef>
          </c:cat>
          <c:val>
            <c:numRef>
              <c:f>'Paid Media'!$G$5:$G$31</c:f>
              <c:numCache>
                <c:formatCode>0</c:formatCode>
                <c:ptCount val="27"/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2</c:v>
                </c:pt>
                <c:pt idx="12">
                  <c:v>3</c:v>
                </c:pt>
                <c:pt idx="13">
                  <c:v>7</c:v>
                </c:pt>
                <c:pt idx="14">
                  <c:v>3</c:v>
                </c:pt>
                <c:pt idx="15">
                  <c:v>6</c:v>
                </c:pt>
                <c:pt idx="16">
                  <c:v>21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F-3047-97D9-AC956193E41C}"/>
            </c:ext>
          </c:extLst>
        </c:ser>
        <c:ser>
          <c:idx val="1"/>
          <c:order val="1"/>
          <c:tx>
            <c:strRef>
              <c:f>'Paid Media'!$O$4</c:f>
              <c:strCache>
                <c:ptCount val="1"/>
                <c:pt idx="0">
                  <c:v>FB Registrations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'Paid Media'!$A$5:$A$31</c:f>
              <c:numCache>
                <c:formatCode>m/d/yy;@</c:formatCode>
                <c:ptCount val="27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</c:numCache>
            </c:numRef>
          </c:cat>
          <c:val>
            <c:numRef>
              <c:f>'Paid Media'!$O$5:$O$31</c:f>
              <c:numCache>
                <c:formatCode>0</c:formatCode>
                <c:ptCount val="27"/>
                <c:pt idx="3">
                  <c:v>4</c:v>
                </c:pt>
                <c:pt idx="4">
                  <c:v>1</c:v>
                </c:pt>
                <c:pt idx="5">
                  <c:v>11</c:v>
                </c:pt>
                <c:pt idx="6">
                  <c:v>11</c:v>
                </c:pt>
                <c:pt idx="7">
                  <c:v>22</c:v>
                </c:pt>
                <c:pt idx="8">
                  <c:v>72</c:v>
                </c:pt>
                <c:pt idx="9">
                  <c:v>7</c:v>
                </c:pt>
                <c:pt idx="10">
                  <c:v>10</c:v>
                </c:pt>
                <c:pt idx="11">
                  <c:v>6</c:v>
                </c:pt>
                <c:pt idx="12">
                  <c:v>10</c:v>
                </c:pt>
                <c:pt idx="13">
                  <c:v>6</c:v>
                </c:pt>
                <c:pt idx="14">
                  <c:v>14</c:v>
                </c:pt>
                <c:pt idx="15">
                  <c:v>12</c:v>
                </c:pt>
                <c:pt idx="16">
                  <c:v>38</c:v>
                </c:pt>
                <c:pt idx="17">
                  <c:v>11</c:v>
                </c:pt>
                <c:pt idx="18">
                  <c:v>10</c:v>
                </c:pt>
                <c:pt idx="19">
                  <c:v>12</c:v>
                </c:pt>
                <c:pt idx="20">
                  <c:v>11</c:v>
                </c:pt>
                <c:pt idx="21">
                  <c:v>13</c:v>
                </c:pt>
                <c:pt idx="2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8F-3047-97D9-AC956193E41C}"/>
            </c:ext>
          </c:extLst>
        </c:ser>
        <c:ser>
          <c:idx val="2"/>
          <c:order val="2"/>
          <c:tx>
            <c:strRef>
              <c:f>'Paid Media'!$W$4</c:f>
              <c:strCache>
                <c:ptCount val="1"/>
                <c:pt idx="0">
                  <c:v>GS Registrations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'Paid Media'!$A$5:$A$31</c:f>
              <c:numCache>
                <c:formatCode>m/d/yy;@</c:formatCode>
                <c:ptCount val="27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</c:numCache>
            </c:numRef>
          </c:cat>
          <c:val>
            <c:numRef>
              <c:f>'Paid Media'!$W$5:$W$31</c:f>
              <c:numCache>
                <c:formatCode>0</c:formatCode>
                <c:ptCount val="27"/>
                <c:pt idx="3">
                  <c:v>0</c:v>
                </c:pt>
                <c:pt idx="4">
                  <c:v>6</c:v>
                </c:pt>
                <c:pt idx="5">
                  <c:v>2</c:v>
                </c:pt>
                <c:pt idx="6">
                  <c:v>30</c:v>
                </c:pt>
                <c:pt idx="7">
                  <c:v>79</c:v>
                </c:pt>
                <c:pt idx="8">
                  <c:v>200.92</c:v>
                </c:pt>
                <c:pt idx="9">
                  <c:v>53</c:v>
                </c:pt>
                <c:pt idx="10">
                  <c:v>40</c:v>
                </c:pt>
                <c:pt idx="11">
                  <c:v>33</c:v>
                </c:pt>
                <c:pt idx="12">
                  <c:v>42</c:v>
                </c:pt>
                <c:pt idx="13">
                  <c:v>40</c:v>
                </c:pt>
                <c:pt idx="14">
                  <c:v>69</c:v>
                </c:pt>
                <c:pt idx="15">
                  <c:v>60</c:v>
                </c:pt>
                <c:pt idx="16">
                  <c:v>114</c:v>
                </c:pt>
                <c:pt idx="17">
                  <c:v>30</c:v>
                </c:pt>
                <c:pt idx="18">
                  <c:v>52.12</c:v>
                </c:pt>
                <c:pt idx="19">
                  <c:v>25.27</c:v>
                </c:pt>
                <c:pt idx="20">
                  <c:v>48</c:v>
                </c:pt>
                <c:pt idx="21">
                  <c:v>54</c:v>
                </c:pt>
                <c:pt idx="2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8F-3047-97D9-AC956193E41C}"/>
            </c:ext>
          </c:extLst>
        </c:ser>
        <c:ser>
          <c:idx val="3"/>
          <c:order val="3"/>
          <c:tx>
            <c:strRef>
              <c:f>'Paid Media'!$AE$4</c:f>
              <c:strCache>
                <c:ptCount val="1"/>
                <c:pt idx="0">
                  <c:v>GD Registrations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'Paid Media'!$A$5:$A$31</c:f>
              <c:numCache>
                <c:formatCode>m/d/yy;@</c:formatCode>
                <c:ptCount val="27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</c:numCache>
            </c:numRef>
          </c:cat>
          <c:val>
            <c:numRef>
              <c:f>'Paid Media'!$AE$5:$AE$31</c:f>
              <c:numCache>
                <c:formatCode>0</c:formatCode>
                <c:ptCount val="27"/>
                <c:pt idx="3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9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0.71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5</c:v>
                </c:pt>
                <c:pt idx="20">
                  <c:v>10</c:v>
                </c:pt>
                <c:pt idx="21">
                  <c:v>15</c:v>
                </c:pt>
                <c:pt idx="2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8F-3047-97D9-AC956193E41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5"/>
        <c:overlap val="100"/>
        <c:axId val="1557110736"/>
        <c:axId val="1583467184"/>
      </c:barChart>
      <c:dateAx>
        <c:axId val="1557110736"/>
        <c:scaling>
          <c:orientation val="minMax"/>
        </c:scaling>
        <c:delete val="0"/>
        <c:axPos val="b"/>
        <c:numFmt formatCode="m/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467184"/>
        <c:crosses val="autoZero"/>
        <c:auto val="1"/>
        <c:lblOffset val="100"/>
        <c:baseTimeUnit val="days"/>
      </c:dateAx>
      <c:valAx>
        <c:axId val="158346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11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Email: </a:t>
            </a:r>
          </a:p>
          <a:p>
            <a:pPr>
              <a:defRPr/>
            </a:pPr>
            <a:r>
              <a:rPr lang="en-US"/>
              <a:t>Click-To-Open Rate (By Email Name)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Emails!$K$2</c:f>
              <c:strCache>
                <c:ptCount val="1"/>
                <c:pt idx="0">
                  <c:v>Click-To-Open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2"/>
              <c:layout>
                <c:manualLayout>
                  <c:x val="-3.1210031772522285E-2"/>
                  <c:y val="-7.751185201108780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2AF-1C40-851E-4776D1E5AD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Emails!$A$3:$A$45</c:f>
              <c:strCache>
                <c:ptCount val="43"/>
                <c:pt idx="0">
                  <c:v>Call for Proposals Email #1 (All Prospects)</c:v>
                </c:pt>
                <c:pt idx="1">
                  <c:v>Call for Proposals Email #2 (All Prospects)</c:v>
                </c:pt>
                <c:pt idx="2">
                  <c:v>Call for Proposals Email #3 (All Prospects)</c:v>
                </c:pt>
                <c:pt idx="3">
                  <c:v>Call for Proposals Email #4a (Past Submitters)</c:v>
                </c:pt>
                <c:pt idx="4">
                  <c:v>Call for Proposals Email #4b (All Prospects)
</c:v>
                </c:pt>
                <c:pt idx="5">
                  <c:v>Call for Proposals Email #5 (All Prospects)</c:v>
                </c:pt>
                <c:pt idx="6">
                  <c:v>INTL Email #1 - Survey (International Attendees)</c:v>
                </c:pt>
                <c:pt idx="7">
                  <c:v>Call for Proposals Email #6 (All Prospects)</c:v>
                </c:pt>
                <c:pt idx="8">
                  <c:v>Call for Proposals Email #7 (All Prospects)</c:v>
                </c:pt>
                <c:pt idx="9">
                  <c:v>Call for Proposals Email #8 (All Prospects)</c:v>
                </c:pt>
                <c:pt idx="10">
                  <c:v>Call for Proposals &amp; State-of-the-Art Speakers Email #9.5 Deadline Extended (All Prospects)</c:v>
                </c:pt>
                <c:pt idx="11">
                  <c:v>Call for Abstracts Email #10 (All Prospects)</c:v>
                </c:pt>
                <c:pt idx="12">
                  <c:v>Email #9 - Call for Proposals - 24 Hours Left 8/21 (All Prospects)</c:v>
                </c:pt>
                <c:pt idx="13">
                  <c:v>Call for Abstracts Email #10.5</c:v>
                </c:pt>
                <c:pt idx="14">
                  <c:v>Awareness Email #1 Save the Date</c:v>
                </c:pt>
                <c:pt idx="15">
                  <c:v>Awareness Email #2 Save the Date</c:v>
                </c:pt>
                <c:pt idx="16">
                  <c:v>Call for Abstracts Email #11a</c:v>
                </c:pt>
                <c:pt idx="17">
                  <c:v>Call For Abstracts Email #11b</c:v>
                </c:pt>
                <c:pt idx="18">
                  <c:v>Call for Abstracts Email #12a Visa Focus (International)</c:v>
                </c:pt>
                <c:pt idx="19">
                  <c:v>Call for Abstracts Email
 #12b</c:v>
                </c:pt>
                <c:pt idx="20">
                  <c:v>Call for Abstracts Email #13</c:v>
                </c:pt>
                <c:pt idx="21">
                  <c:v>Awareness Email #3 Save the Date</c:v>
                </c:pt>
                <c:pt idx="22">
                  <c:v>Call for Abstracts Email #14 </c:v>
                </c:pt>
                <c:pt idx="23">
                  <c:v>Call for Abstracts Email #15</c:v>
                </c:pt>
                <c:pt idx="24">
                  <c:v>Call for Abstracts Email #16</c:v>
                </c:pt>
                <c:pt idx="25">
                  <c:v>Call for Abstracts Email #17</c:v>
                </c:pt>
                <c:pt idx="26">
                  <c:v>Call for Abstracts Email #18</c:v>
                </c:pt>
                <c:pt idx="27">
                  <c:v>Call for Abstracts Email #19 (+ resend)</c:v>
                </c:pt>
                <c:pt idx="28">
                  <c:v>Awareness Email #4 Save the Date</c:v>
                </c:pt>
                <c:pt idx="29">
                  <c:v>Awareness Email #5A Save the Date</c:v>
                </c:pt>
                <c:pt idx="30">
                  <c:v>Awareness Email #5B Save the Date</c:v>
                </c:pt>
                <c:pt idx="31">
                  <c:v>Call for Abstracts Email #19.5</c:v>
                </c:pt>
                <c:pt idx="32">
                  <c:v>Call for Late-Breaking Abstracts Email #20</c:v>
                </c:pt>
                <c:pt idx="33">
                  <c:v>Awareness Email #6 Save the Date</c:v>
                </c:pt>
                <c:pt idx="34">
                  <c:v>Call for Late Breaking Abstracts Email #21a</c:v>
                </c:pt>
                <c:pt idx="35">
                  <c:v>Call for Late Breaking Abstracts Email #21b</c:v>
                </c:pt>
                <c:pt idx="36">
                  <c:v>Registration Email #1</c:v>
                </c:pt>
                <c:pt idx="37">
                  <c:v>Call for Late Breaking Abstracts Email #22</c:v>
                </c:pt>
                <c:pt idx="38">
                  <c:v>Registration Email #2</c:v>
                </c:pt>
                <c:pt idx="39">
                  <c:v>Registration Email #2 - Resend</c:v>
                </c:pt>
                <c:pt idx="40">
                  <c:v>Registration Email #2.5</c:v>
                </c:pt>
                <c:pt idx="41">
                  <c:v>Registration Email #2.5 Send to Non-Openers</c:v>
                </c:pt>
                <c:pt idx="42">
                  <c:v>Registration Email #3c</c:v>
                </c:pt>
              </c:strCache>
            </c:strRef>
          </c:cat>
          <c:val>
            <c:numRef>
              <c:f>Emails!$K$3:$K$45</c:f>
              <c:numCache>
                <c:formatCode>0.00%</c:formatCode>
                <c:ptCount val="43"/>
                <c:pt idx="0">
                  <c:v>6.4891380518570421E-2</c:v>
                </c:pt>
                <c:pt idx="1">
                  <c:v>0.40721442885771542</c:v>
                </c:pt>
                <c:pt idx="2">
                  <c:v>0.1896712520401026</c:v>
                </c:pt>
                <c:pt idx="3">
                  <c:v>0.22580645161290322</c:v>
                </c:pt>
                <c:pt idx="4">
                  <c:v>0.20259533898305085</c:v>
                </c:pt>
                <c:pt idx="5">
                  <c:v>0.15491780440234049</c:v>
                </c:pt>
                <c:pt idx="6">
                  <c:v>0.1703056768558952</c:v>
                </c:pt>
                <c:pt idx="7">
                  <c:v>3.5225806451612905E-2</c:v>
                </c:pt>
                <c:pt idx="8">
                  <c:v>4.7492063492063495E-2</c:v>
                </c:pt>
                <c:pt idx="9">
                  <c:v>3.2334697109674015E-2</c:v>
                </c:pt>
                <c:pt idx="10">
                  <c:v>2.8527182329448203E-2</c:v>
                </c:pt>
                <c:pt idx="11">
                  <c:v>2.7959697732997481E-2</c:v>
                </c:pt>
                <c:pt idx="12">
                  <c:v>0.18034096963239213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1.200600300150075E-2</c:v>
                </c:pt>
                <c:pt idx="17" formatCode="0.0%">
                  <c:v>1.8042511122095897E-2</c:v>
                </c:pt>
                <c:pt idx="18">
                  <c:v>5.7211925866236905E-2</c:v>
                </c:pt>
                <c:pt idx="19">
                  <c:v>2.2195196108239588E-2</c:v>
                </c:pt>
                <c:pt idx="20">
                  <c:v>0.21267372179013133</c:v>
                </c:pt>
                <c:pt idx="21">
                  <c:v>0.25445568400770713</c:v>
                </c:pt>
                <c:pt idx="22">
                  <c:v>1.9995768091409225E-2</c:v>
                </c:pt>
                <c:pt idx="23">
                  <c:v>2.5152552463164161E-2</c:v>
                </c:pt>
                <c:pt idx="24">
                  <c:v>2.9057996903656069E-2</c:v>
                </c:pt>
                <c:pt idx="25">
                  <c:v>0.39366515837104071</c:v>
                </c:pt>
                <c:pt idx="26">
                  <c:v>1</c:v>
                </c:pt>
                <c:pt idx="27">
                  <c:v>3.3260306711810399E-2</c:v>
                </c:pt>
                <c:pt idx="28">
                  <c:v>3.5154707044107968E-2</c:v>
                </c:pt>
                <c:pt idx="29">
                  <c:v>5.2336448598130844E-2</c:v>
                </c:pt>
                <c:pt idx="30">
                  <c:v>4.8888888888888891E-2</c:v>
                </c:pt>
                <c:pt idx="31">
                  <c:v>2.4922918807810893E-2</c:v>
                </c:pt>
                <c:pt idx="32">
                  <c:v>7.9064587973273939E-2</c:v>
                </c:pt>
                <c:pt idx="33">
                  <c:v>4.4973544973544971E-2</c:v>
                </c:pt>
                <c:pt idx="34">
                  <c:v>5.4982817869415807E-2</c:v>
                </c:pt>
                <c:pt idx="35">
                  <c:v>8.2278481012658222E-2</c:v>
                </c:pt>
                <c:pt idx="36">
                  <c:v>4.9425788632068618E-2</c:v>
                </c:pt>
                <c:pt idx="37">
                  <c:v>9.593628382659064E-3</c:v>
                </c:pt>
                <c:pt idx="38">
                  <c:v>3.1179213857428383E-2</c:v>
                </c:pt>
                <c:pt idx="39">
                  <c:v>0.73387533875338751</c:v>
                </c:pt>
                <c:pt idx="40">
                  <c:v>0.64445027551823664</c:v>
                </c:pt>
                <c:pt idx="42">
                  <c:v>5.0209205020920501E-2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AF-1C40-851E-4776D1E5A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2046271424"/>
        <c:axId val="664107056"/>
      </c:barChart>
      <c:lineChart>
        <c:grouping val="standard"/>
        <c:varyColors val="0"/>
        <c:ser>
          <c:idx val="1"/>
          <c:order val="1"/>
          <c:tx>
            <c:strRef>
              <c:f>Emails!$L$2</c:f>
              <c:strCache>
                <c:ptCount val="1"/>
                <c:pt idx="0">
                  <c:v>CTO 
(Benchmark)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Emails!$A$3:$A$45</c:f>
              <c:strCache>
                <c:ptCount val="43"/>
                <c:pt idx="0">
                  <c:v>Call for Proposals Email #1 (All Prospects)</c:v>
                </c:pt>
                <c:pt idx="1">
                  <c:v>Call for Proposals Email #2 (All Prospects)</c:v>
                </c:pt>
                <c:pt idx="2">
                  <c:v>Call for Proposals Email #3 (All Prospects)</c:v>
                </c:pt>
                <c:pt idx="3">
                  <c:v>Call for Proposals Email #4a (Past Submitters)</c:v>
                </c:pt>
                <c:pt idx="4">
                  <c:v>Call for Proposals Email #4b (All Prospects)
</c:v>
                </c:pt>
                <c:pt idx="5">
                  <c:v>Call for Proposals Email #5 (All Prospects)</c:v>
                </c:pt>
                <c:pt idx="6">
                  <c:v>INTL Email #1 - Survey (International Attendees)</c:v>
                </c:pt>
                <c:pt idx="7">
                  <c:v>Call for Proposals Email #6 (All Prospects)</c:v>
                </c:pt>
                <c:pt idx="8">
                  <c:v>Call for Proposals Email #7 (All Prospects)</c:v>
                </c:pt>
                <c:pt idx="9">
                  <c:v>Call for Proposals Email #8 (All Prospects)</c:v>
                </c:pt>
                <c:pt idx="10">
                  <c:v>Call for Proposals &amp; State-of-the-Art Speakers Email #9.5 Deadline Extended (All Prospects)</c:v>
                </c:pt>
                <c:pt idx="11">
                  <c:v>Call for Abstracts Email #10 (All Prospects)</c:v>
                </c:pt>
                <c:pt idx="12">
                  <c:v>Email #9 - Call for Proposals - 24 Hours Left 8/21 (All Prospects)</c:v>
                </c:pt>
                <c:pt idx="13">
                  <c:v>Call for Abstracts Email #10.5</c:v>
                </c:pt>
                <c:pt idx="14">
                  <c:v>Awareness Email #1 Save the Date</c:v>
                </c:pt>
                <c:pt idx="15">
                  <c:v>Awareness Email #2 Save the Date</c:v>
                </c:pt>
                <c:pt idx="16">
                  <c:v>Call for Abstracts Email #11a</c:v>
                </c:pt>
                <c:pt idx="17">
                  <c:v>Call For Abstracts Email #11b</c:v>
                </c:pt>
                <c:pt idx="18">
                  <c:v>Call for Abstracts Email #12a Visa Focus (International)</c:v>
                </c:pt>
                <c:pt idx="19">
                  <c:v>Call for Abstracts Email
 #12b</c:v>
                </c:pt>
                <c:pt idx="20">
                  <c:v>Call for Abstracts Email #13</c:v>
                </c:pt>
                <c:pt idx="21">
                  <c:v>Awareness Email #3 Save the Date</c:v>
                </c:pt>
                <c:pt idx="22">
                  <c:v>Call for Abstracts Email #14 </c:v>
                </c:pt>
                <c:pt idx="23">
                  <c:v>Call for Abstracts Email #15</c:v>
                </c:pt>
                <c:pt idx="24">
                  <c:v>Call for Abstracts Email #16</c:v>
                </c:pt>
                <c:pt idx="25">
                  <c:v>Call for Abstracts Email #17</c:v>
                </c:pt>
                <c:pt idx="26">
                  <c:v>Call for Abstracts Email #18</c:v>
                </c:pt>
                <c:pt idx="27">
                  <c:v>Call for Abstracts Email #19 (+ resend)</c:v>
                </c:pt>
                <c:pt idx="28">
                  <c:v>Awareness Email #4 Save the Date</c:v>
                </c:pt>
                <c:pt idx="29">
                  <c:v>Awareness Email #5A Save the Date</c:v>
                </c:pt>
                <c:pt idx="30">
                  <c:v>Awareness Email #5B Save the Date</c:v>
                </c:pt>
                <c:pt idx="31">
                  <c:v>Call for Abstracts Email #19.5</c:v>
                </c:pt>
                <c:pt idx="32">
                  <c:v>Call for Late-Breaking Abstracts Email #20</c:v>
                </c:pt>
                <c:pt idx="33">
                  <c:v>Awareness Email #6 Save the Date</c:v>
                </c:pt>
                <c:pt idx="34">
                  <c:v>Call for Late Breaking Abstracts Email #21a</c:v>
                </c:pt>
                <c:pt idx="35">
                  <c:v>Call for Late Breaking Abstracts Email #21b</c:v>
                </c:pt>
                <c:pt idx="36">
                  <c:v>Registration Email #1</c:v>
                </c:pt>
                <c:pt idx="37">
                  <c:v>Call for Late Breaking Abstracts Email #22</c:v>
                </c:pt>
                <c:pt idx="38">
                  <c:v>Registration Email #2</c:v>
                </c:pt>
                <c:pt idx="39">
                  <c:v>Registration Email #2 - Resend</c:v>
                </c:pt>
                <c:pt idx="40">
                  <c:v>Registration Email #2.5</c:v>
                </c:pt>
                <c:pt idx="41">
                  <c:v>Registration Email #2.5 Send to Non-Openers</c:v>
                </c:pt>
                <c:pt idx="42">
                  <c:v>Registration Email #3c</c:v>
                </c:pt>
              </c:strCache>
            </c:strRef>
          </c:cat>
          <c:val>
            <c:numRef>
              <c:f>Emails!$L$3:$L$45</c:f>
              <c:numCache>
                <c:formatCode>0%</c:formatCode>
                <c:ptCount val="43"/>
                <c:pt idx="0">
                  <c:v>0.06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0.06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AF-1C40-851E-4776D1E5A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6271424"/>
        <c:axId val="664107056"/>
      </c:lineChart>
      <c:catAx>
        <c:axId val="2046271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107056"/>
        <c:crosses val="autoZero"/>
        <c:auto val="1"/>
        <c:lblAlgn val="ctr"/>
        <c:lblOffset val="100"/>
        <c:noMultiLvlLbl val="0"/>
      </c:catAx>
      <c:valAx>
        <c:axId val="66410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27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n-ea"/>
                <a:cs typeface="+mn-cs"/>
              </a:defRPr>
            </a:pPr>
            <a:r>
              <a:rPr kumimoji="0" lang="en-US" sz="2400" b="1" i="0" u="sng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rial" panose="020B0604020202020204" pitchFamily="34" charset="0"/>
                <a:cs typeface="Arial" panose="020B0604020202020204" pitchFamily="34" charset="0"/>
              </a:rPr>
              <a:t>Social Media: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</a:defRPr>
            </a:pPr>
            <a:r>
              <a:rPr kumimoji="0" lang="en-US" sz="24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rial" panose="020B0604020202020204" pitchFamily="34" charset="0"/>
                <a:cs typeface="Arial" panose="020B0604020202020204" pitchFamily="34" charset="0"/>
              </a:rPr>
              <a:t>Followers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'Organic Social Media (Weekly)'!$Z$4</c:f>
              <c:strCache>
                <c:ptCount val="1"/>
                <c:pt idx="0">
                  <c:v>Total Followers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'Organic Social Media (Weekly)'!$A$16:$A$41</c:f>
              <c:numCache>
                <c:formatCode>m/d/yy;@</c:formatCode>
                <c:ptCount val="26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  <c:pt idx="11">
                  <c:v>45985</c:v>
                </c:pt>
                <c:pt idx="12">
                  <c:v>45992</c:v>
                </c:pt>
                <c:pt idx="13">
                  <c:v>45999</c:v>
                </c:pt>
                <c:pt idx="14">
                  <c:v>46006</c:v>
                </c:pt>
                <c:pt idx="15">
                  <c:v>46013</c:v>
                </c:pt>
                <c:pt idx="16">
                  <c:v>46020</c:v>
                </c:pt>
                <c:pt idx="17">
                  <c:v>46027</c:v>
                </c:pt>
                <c:pt idx="18">
                  <c:v>46034</c:v>
                </c:pt>
                <c:pt idx="19">
                  <c:v>46041</c:v>
                </c:pt>
                <c:pt idx="20">
                  <c:v>46048</c:v>
                </c:pt>
                <c:pt idx="21">
                  <c:v>46055</c:v>
                </c:pt>
                <c:pt idx="22">
                  <c:v>46062</c:v>
                </c:pt>
                <c:pt idx="23">
                  <c:v>46069</c:v>
                </c:pt>
                <c:pt idx="24">
                  <c:v>46076</c:v>
                </c:pt>
                <c:pt idx="25">
                  <c:v>46083</c:v>
                </c:pt>
              </c:numCache>
            </c:numRef>
          </c:cat>
          <c:val>
            <c:numRef>
              <c:f>'Organic Social Media (Weekly)'!$Z$16:$Z$41</c:f>
              <c:numCache>
                <c:formatCode>0</c:formatCode>
                <c:ptCount val="26"/>
                <c:pt idx="0">
                  <c:v>10434</c:v>
                </c:pt>
                <c:pt idx="1">
                  <c:v>10437</c:v>
                </c:pt>
                <c:pt idx="2">
                  <c:v>0</c:v>
                </c:pt>
                <c:pt idx="3">
                  <c:v>10454</c:v>
                </c:pt>
                <c:pt idx="4">
                  <c:v>10454</c:v>
                </c:pt>
                <c:pt idx="5">
                  <c:v>10459</c:v>
                </c:pt>
                <c:pt idx="6">
                  <c:v>10465</c:v>
                </c:pt>
                <c:pt idx="7">
                  <c:v>10470</c:v>
                </c:pt>
                <c:pt idx="8">
                  <c:v>10482</c:v>
                </c:pt>
                <c:pt idx="9">
                  <c:v>10495</c:v>
                </c:pt>
                <c:pt idx="10">
                  <c:v>10493</c:v>
                </c:pt>
                <c:pt idx="11">
                  <c:v>10494</c:v>
                </c:pt>
                <c:pt idx="12">
                  <c:v>10502</c:v>
                </c:pt>
                <c:pt idx="13">
                  <c:v>10511</c:v>
                </c:pt>
                <c:pt idx="14">
                  <c:v>10522</c:v>
                </c:pt>
                <c:pt idx="15">
                  <c:v>10528</c:v>
                </c:pt>
                <c:pt idx="16">
                  <c:v>10535</c:v>
                </c:pt>
                <c:pt idx="17">
                  <c:v>10536</c:v>
                </c:pt>
                <c:pt idx="18">
                  <c:v>10538</c:v>
                </c:pt>
                <c:pt idx="19">
                  <c:v>10541</c:v>
                </c:pt>
                <c:pt idx="20">
                  <c:v>10561</c:v>
                </c:pt>
                <c:pt idx="21">
                  <c:v>10579</c:v>
                </c:pt>
                <c:pt idx="22">
                  <c:v>10615</c:v>
                </c:pt>
                <c:pt idx="23">
                  <c:v>10627</c:v>
                </c:pt>
                <c:pt idx="24">
                  <c:v>10659</c:v>
                </c:pt>
                <c:pt idx="25">
                  <c:v>10689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75-1549-8482-1943D22F4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4820863"/>
        <c:axId val="2124872127"/>
      </c:lineChart>
      <c:dateAx>
        <c:axId val="2124820863"/>
        <c:scaling>
          <c:orientation val="minMax"/>
        </c:scaling>
        <c:delete val="0"/>
        <c:axPos val="b"/>
        <c:numFmt formatCode="m/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2124872127"/>
        <c:crosses val="autoZero"/>
        <c:auto val="1"/>
        <c:lblOffset val="100"/>
        <c:baseTimeUnit val="days"/>
        <c:majorUnit val="7"/>
        <c:majorTimeUnit val="days"/>
        <c:minorUnit val="7"/>
        <c:minorTimeUnit val="days"/>
      </c:dateAx>
      <c:valAx>
        <c:axId val="212487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82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Email: Open Rate (by email name) Abstracts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Emails!$G$2</c:f>
              <c:strCache>
                <c:ptCount val="1"/>
                <c:pt idx="0">
                  <c:v>Open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Emails!$A$3:$A$30</c:f>
              <c:strCache>
                <c:ptCount val="28"/>
                <c:pt idx="0">
                  <c:v>Call for Proposals Email #1 (All Prospects)</c:v>
                </c:pt>
                <c:pt idx="1">
                  <c:v>Call for Proposals Email #2 (All Prospects)</c:v>
                </c:pt>
                <c:pt idx="2">
                  <c:v>Call for Proposals Email #3 (All Prospects)</c:v>
                </c:pt>
                <c:pt idx="3">
                  <c:v>Call for Proposals Email #4a (Past Submitters)</c:v>
                </c:pt>
                <c:pt idx="4">
                  <c:v>Call for Proposals Email #4b (All Prospects)
</c:v>
                </c:pt>
                <c:pt idx="5">
                  <c:v>Call for Proposals Email #5 (All Prospects)</c:v>
                </c:pt>
                <c:pt idx="6">
                  <c:v>INTL Email #1 - Survey (International Attendees)</c:v>
                </c:pt>
                <c:pt idx="7">
                  <c:v>Call for Proposals Email #6 (All Prospects)</c:v>
                </c:pt>
                <c:pt idx="8">
                  <c:v>Call for Proposals Email #7 (All Prospects)</c:v>
                </c:pt>
                <c:pt idx="9">
                  <c:v>Call for Proposals Email #8 (All Prospects)</c:v>
                </c:pt>
                <c:pt idx="10">
                  <c:v>Call for Proposals &amp; State-of-the-Art Speakers Email #9.5 Deadline Extended (All Prospects)</c:v>
                </c:pt>
                <c:pt idx="11">
                  <c:v>Call for Abstracts Email #10 (All Prospects)</c:v>
                </c:pt>
                <c:pt idx="12">
                  <c:v>Email #9 - Call for Proposals - 24 Hours Left 8/21 (All Prospects)</c:v>
                </c:pt>
                <c:pt idx="13">
                  <c:v>Call for Abstracts Email #10.5</c:v>
                </c:pt>
                <c:pt idx="14">
                  <c:v>Awareness Email #1 Save the Date</c:v>
                </c:pt>
                <c:pt idx="15">
                  <c:v>Awareness Email #2 Save the Date</c:v>
                </c:pt>
                <c:pt idx="16">
                  <c:v>Call for Abstracts Email #11a</c:v>
                </c:pt>
                <c:pt idx="17">
                  <c:v>Call For Abstracts Email #11b</c:v>
                </c:pt>
                <c:pt idx="18">
                  <c:v>Call for Abstracts Email #12a Visa Focus (International)</c:v>
                </c:pt>
                <c:pt idx="19">
                  <c:v>Call for Abstracts Email
 #12b</c:v>
                </c:pt>
                <c:pt idx="20">
                  <c:v>Call for Abstracts Email #13</c:v>
                </c:pt>
                <c:pt idx="21">
                  <c:v>Awareness Email #3 Save the Date</c:v>
                </c:pt>
                <c:pt idx="22">
                  <c:v>Call for Abstracts Email #14 </c:v>
                </c:pt>
                <c:pt idx="23">
                  <c:v>Call for Abstracts Email #15</c:v>
                </c:pt>
                <c:pt idx="24">
                  <c:v>Call for Abstracts Email #16</c:v>
                </c:pt>
                <c:pt idx="25">
                  <c:v>Call for Abstracts Email #17</c:v>
                </c:pt>
                <c:pt idx="26">
                  <c:v>Call for Abstracts Email #18</c:v>
                </c:pt>
                <c:pt idx="27">
                  <c:v>Call for Abstracts Email #19 (+ resend)</c:v>
                </c:pt>
              </c:strCache>
            </c:strRef>
          </c:cat>
          <c:val>
            <c:numRef>
              <c:f>Emails!$G$3:$G$45</c:f>
              <c:numCache>
                <c:formatCode>0.0%</c:formatCode>
                <c:ptCount val="43"/>
                <c:pt idx="0">
                  <c:v>0.40899999999999997</c:v>
                </c:pt>
                <c:pt idx="1">
                  <c:v>0.57599999999999996</c:v>
                </c:pt>
                <c:pt idx="2" formatCode="0%">
                  <c:v>0.49</c:v>
                </c:pt>
                <c:pt idx="3">
                  <c:v>0.70499999999999996</c:v>
                </c:pt>
                <c:pt idx="4">
                  <c:v>0.443</c:v>
                </c:pt>
                <c:pt idx="5">
                  <c:v>0.41499999999999998</c:v>
                </c:pt>
                <c:pt idx="6">
                  <c:v>0.51100000000000001</c:v>
                </c:pt>
                <c:pt idx="7">
                  <c:v>0.51200000000000001</c:v>
                </c:pt>
                <c:pt idx="8" formatCode="0.00%">
                  <c:v>0.46</c:v>
                </c:pt>
                <c:pt idx="9" formatCode="0.00%">
                  <c:v>0.443</c:v>
                </c:pt>
                <c:pt idx="10" formatCode="0.00%">
                  <c:v>0.43</c:v>
                </c:pt>
                <c:pt idx="11" formatCode="0.00%">
                  <c:v>0.443</c:v>
                </c:pt>
                <c:pt idx="12" formatCode="0.00%">
                  <c:v>0.42</c:v>
                </c:pt>
                <c:pt idx="13" formatCode="0.00%">
                  <c:v>9.5000000000000001E-2</c:v>
                </c:pt>
                <c:pt idx="14" formatCode="0.00%">
                  <c:v>1.6E-2</c:v>
                </c:pt>
                <c:pt idx="15" formatCode="0.00%">
                  <c:v>0.01</c:v>
                </c:pt>
                <c:pt idx="16" formatCode="0.00%">
                  <c:v>0.433</c:v>
                </c:pt>
                <c:pt idx="17" formatCode="0.00%">
                  <c:v>0.44</c:v>
                </c:pt>
                <c:pt idx="18" formatCode="0.00%">
                  <c:v>0.46700000000000003</c:v>
                </c:pt>
                <c:pt idx="19" formatCode="0%">
                  <c:v>0.42</c:v>
                </c:pt>
                <c:pt idx="20" formatCode="0%">
                  <c:v>0.43</c:v>
                </c:pt>
                <c:pt idx="21">
                  <c:v>0.45500000000000002</c:v>
                </c:pt>
                <c:pt idx="22">
                  <c:v>0.52400000000000002</c:v>
                </c:pt>
                <c:pt idx="23">
                  <c:v>0.36499999999999999</c:v>
                </c:pt>
                <c:pt idx="24">
                  <c:v>0.45800000000000002</c:v>
                </c:pt>
                <c:pt idx="25">
                  <c:v>3.5999999999999997E-2</c:v>
                </c:pt>
                <c:pt idx="26">
                  <c:v>1.2E-2</c:v>
                </c:pt>
                <c:pt idx="27">
                  <c:v>0.52700000000000002</c:v>
                </c:pt>
                <c:pt idx="28">
                  <c:v>0.41599999999999998</c:v>
                </c:pt>
                <c:pt idx="29">
                  <c:v>0.376</c:v>
                </c:pt>
                <c:pt idx="30">
                  <c:v>0.39400000000000002</c:v>
                </c:pt>
                <c:pt idx="31">
                  <c:v>0.42899999999999999</c:v>
                </c:pt>
                <c:pt idx="32">
                  <c:v>0.39600000000000002</c:v>
                </c:pt>
                <c:pt idx="33">
                  <c:v>0.41699999999999998</c:v>
                </c:pt>
                <c:pt idx="34">
                  <c:v>0.38400000000000001</c:v>
                </c:pt>
                <c:pt idx="35">
                  <c:v>0.38500000000000001</c:v>
                </c:pt>
                <c:pt idx="36">
                  <c:v>0.376</c:v>
                </c:pt>
                <c:pt idx="37">
                  <c:v>0.61099999999999999</c:v>
                </c:pt>
                <c:pt idx="38">
                  <c:v>0.41399999999999998</c:v>
                </c:pt>
                <c:pt idx="39">
                  <c:v>0.17399999999999999</c:v>
                </c:pt>
                <c:pt idx="40">
                  <c:v>0.41799999999999998</c:v>
                </c:pt>
                <c:pt idx="42">
                  <c:v>0.55500000000000005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8-49C3-BC44-CF023C442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6663424"/>
        <c:axId val="1060714320"/>
        <c:extLst/>
      </c:barChart>
      <c:lineChart>
        <c:grouping val="standard"/>
        <c:varyColors val="0"/>
        <c:ser>
          <c:idx val="1"/>
          <c:order val="1"/>
          <c:tx>
            <c:strRef>
              <c:f>Emails!$H$2</c:f>
              <c:strCache>
                <c:ptCount val="1"/>
                <c:pt idx="0">
                  <c:v>Open Rate (Benchmark)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Emails!$A$3:$A$45</c:f>
              <c:strCache>
                <c:ptCount val="43"/>
                <c:pt idx="0">
                  <c:v>Call for Proposals Email #1 (All Prospects)</c:v>
                </c:pt>
                <c:pt idx="1">
                  <c:v>Call for Proposals Email #2 (All Prospects)</c:v>
                </c:pt>
                <c:pt idx="2">
                  <c:v>Call for Proposals Email #3 (All Prospects)</c:v>
                </c:pt>
                <c:pt idx="3">
                  <c:v>Call for Proposals Email #4a (Past Submitters)</c:v>
                </c:pt>
                <c:pt idx="4">
                  <c:v>Call for Proposals Email #4b (All Prospects)
</c:v>
                </c:pt>
                <c:pt idx="5">
                  <c:v>Call for Proposals Email #5 (All Prospects)</c:v>
                </c:pt>
                <c:pt idx="6">
                  <c:v>INTL Email #1 - Survey (International Attendees)</c:v>
                </c:pt>
                <c:pt idx="7">
                  <c:v>Call for Proposals Email #6 (All Prospects)</c:v>
                </c:pt>
                <c:pt idx="8">
                  <c:v>Call for Proposals Email #7 (All Prospects)</c:v>
                </c:pt>
                <c:pt idx="9">
                  <c:v>Call for Proposals Email #8 (All Prospects)</c:v>
                </c:pt>
                <c:pt idx="10">
                  <c:v>Call for Proposals &amp; State-of-the-Art Speakers Email #9.5 Deadline Extended (All Prospects)</c:v>
                </c:pt>
                <c:pt idx="11">
                  <c:v>Call for Abstracts Email #10 (All Prospects)</c:v>
                </c:pt>
                <c:pt idx="12">
                  <c:v>Email #9 - Call for Proposals - 24 Hours Left 8/21 (All Prospects)</c:v>
                </c:pt>
                <c:pt idx="13">
                  <c:v>Call for Abstracts Email #10.5</c:v>
                </c:pt>
                <c:pt idx="14">
                  <c:v>Awareness Email #1 Save the Date</c:v>
                </c:pt>
                <c:pt idx="15">
                  <c:v>Awareness Email #2 Save the Date</c:v>
                </c:pt>
                <c:pt idx="16">
                  <c:v>Call for Abstracts Email #11a</c:v>
                </c:pt>
                <c:pt idx="17">
                  <c:v>Call For Abstracts Email #11b</c:v>
                </c:pt>
                <c:pt idx="18">
                  <c:v>Call for Abstracts Email #12a Visa Focus (International)</c:v>
                </c:pt>
                <c:pt idx="19">
                  <c:v>Call for Abstracts Email
 #12b</c:v>
                </c:pt>
                <c:pt idx="20">
                  <c:v>Call for Abstracts Email #13</c:v>
                </c:pt>
                <c:pt idx="21">
                  <c:v>Awareness Email #3 Save the Date</c:v>
                </c:pt>
                <c:pt idx="22">
                  <c:v>Call for Abstracts Email #14 </c:v>
                </c:pt>
                <c:pt idx="23">
                  <c:v>Call for Abstracts Email #15</c:v>
                </c:pt>
                <c:pt idx="24">
                  <c:v>Call for Abstracts Email #16</c:v>
                </c:pt>
                <c:pt idx="25">
                  <c:v>Call for Abstracts Email #17</c:v>
                </c:pt>
                <c:pt idx="26">
                  <c:v>Call for Abstracts Email #18</c:v>
                </c:pt>
                <c:pt idx="27">
                  <c:v>Call for Abstracts Email #19 (+ resend)</c:v>
                </c:pt>
                <c:pt idx="28">
                  <c:v>Awareness Email #4 Save the Date</c:v>
                </c:pt>
                <c:pt idx="29">
                  <c:v>Awareness Email #5A Save the Date</c:v>
                </c:pt>
                <c:pt idx="30">
                  <c:v>Awareness Email #5B Save the Date</c:v>
                </c:pt>
                <c:pt idx="31">
                  <c:v>Call for Abstracts Email #19.5</c:v>
                </c:pt>
                <c:pt idx="32">
                  <c:v>Call for Late-Breaking Abstracts Email #20</c:v>
                </c:pt>
                <c:pt idx="33">
                  <c:v>Awareness Email #6 Save the Date</c:v>
                </c:pt>
                <c:pt idx="34">
                  <c:v>Call for Late Breaking Abstracts Email #21a</c:v>
                </c:pt>
                <c:pt idx="35">
                  <c:v>Call for Late Breaking Abstracts Email #21b</c:v>
                </c:pt>
                <c:pt idx="36">
                  <c:v>Registration Email #1</c:v>
                </c:pt>
                <c:pt idx="37">
                  <c:v>Call for Late Breaking Abstracts Email #22</c:v>
                </c:pt>
                <c:pt idx="38">
                  <c:v>Registration Email #2</c:v>
                </c:pt>
                <c:pt idx="39">
                  <c:v>Registration Email #2 - Resend</c:v>
                </c:pt>
                <c:pt idx="40">
                  <c:v>Registration Email #2.5</c:v>
                </c:pt>
                <c:pt idx="41">
                  <c:v>Registration Email #2.5 Send to Non-Openers</c:v>
                </c:pt>
                <c:pt idx="42">
                  <c:v>Registration Email #3c</c:v>
                </c:pt>
              </c:strCache>
            </c:strRef>
          </c:cat>
          <c:val>
            <c:numRef>
              <c:f>Emails!$H$3:$H$45</c:f>
              <c:numCache>
                <c:formatCode>0%</c:formatCode>
                <c:ptCount val="43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0.15</c:v>
                </c:pt>
                <c:pt idx="18">
                  <c:v>0.15</c:v>
                </c:pt>
                <c:pt idx="19">
                  <c:v>0.15</c:v>
                </c:pt>
                <c:pt idx="20">
                  <c:v>0.15</c:v>
                </c:pt>
                <c:pt idx="21">
                  <c:v>0.15</c:v>
                </c:pt>
                <c:pt idx="22">
                  <c:v>0.15</c:v>
                </c:pt>
                <c:pt idx="23">
                  <c:v>0.15</c:v>
                </c:pt>
                <c:pt idx="24">
                  <c:v>0.15</c:v>
                </c:pt>
                <c:pt idx="25">
                  <c:v>0.15</c:v>
                </c:pt>
                <c:pt idx="26">
                  <c:v>0.15</c:v>
                </c:pt>
                <c:pt idx="27">
                  <c:v>0.15</c:v>
                </c:pt>
                <c:pt idx="28">
                  <c:v>0.15</c:v>
                </c:pt>
                <c:pt idx="29">
                  <c:v>0.15</c:v>
                </c:pt>
                <c:pt idx="30">
                  <c:v>0.15</c:v>
                </c:pt>
                <c:pt idx="31">
                  <c:v>0.15</c:v>
                </c:pt>
                <c:pt idx="32">
                  <c:v>0.15</c:v>
                </c:pt>
                <c:pt idx="33">
                  <c:v>0.15</c:v>
                </c:pt>
                <c:pt idx="34">
                  <c:v>0.15</c:v>
                </c:pt>
                <c:pt idx="35">
                  <c:v>0.15</c:v>
                </c:pt>
                <c:pt idx="36">
                  <c:v>0.15</c:v>
                </c:pt>
                <c:pt idx="37">
                  <c:v>0.15</c:v>
                </c:pt>
                <c:pt idx="38">
                  <c:v>0.15</c:v>
                </c:pt>
                <c:pt idx="39">
                  <c:v>0.15</c:v>
                </c:pt>
                <c:pt idx="40">
                  <c:v>0.15</c:v>
                </c:pt>
                <c:pt idx="41">
                  <c:v>0.15</c:v>
                </c:pt>
                <c:pt idx="42">
                  <c:v>0.15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2B38-49C3-BC44-CF023C442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663424"/>
        <c:axId val="1060714320"/>
      </c:lineChart>
      <c:catAx>
        <c:axId val="4366634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714320"/>
        <c:crosses val="autoZero"/>
        <c:auto val="1"/>
        <c:lblAlgn val="ctr"/>
        <c:lblOffset val="100"/>
        <c:noMultiLvlLbl val="0"/>
      </c:catAx>
      <c:valAx>
        <c:axId val="106071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6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Email: Open Rate (by email name)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Emails!$G$2</c:f>
              <c:strCache>
                <c:ptCount val="1"/>
                <c:pt idx="0">
                  <c:v>Open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Emails!$A$3:$A$45</c:f>
              <c:strCache>
                <c:ptCount val="43"/>
                <c:pt idx="0">
                  <c:v>Call for Proposals Email #1 (All Prospects)</c:v>
                </c:pt>
                <c:pt idx="1">
                  <c:v>Call for Proposals Email #2 (All Prospects)</c:v>
                </c:pt>
                <c:pt idx="2">
                  <c:v>Call for Proposals Email #3 (All Prospects)</c:v>
                </c:pt>
                <c:pt idx="3">
                  <c:v>Call for Proposals Email #4a (Past Submitters)</c:v>
                </c:pt>
                <c:pt idx="4">
                  <c:v>Call for Proposals Email #4b (All Prospects)
</c:v>
                </c:pt>
                <c:pt idx="5">
                  <c:v>Call for Proposals Email #5 (All Prospects)</c:v>
                </c:pt>
                <c:pt idx="6">
                  <c:v>INTL Email #1 - Survey (International Attendees)</c:v>
                </c:pt>
                <c:pt idx="7">
                  <c:v>Call for Proposals Email #6 (All Prospects)</c:v>
                </c:pt>
                <c:pt idx="8">
                  <c:v>Call for Proposals Email #7 (All Prospects)</c:v>
                </c:pt>
                <c:pt idx="9">
                  <c:v>Call for Proposals Email #8 (All Prospects)</c:v>
                </c:pt>
                <c:pt idx="10">
                  <c:v>Call for Proposals &amp; State-of-the-Art Speakers Email #9.5 Deadline Extended (All Prospects)</c:v>
                </c:pt>
                <c:pt idx="11">
                  <c:v>Call for Abstracts Email #10 (All Prospects)</c:v>
                </c:pt>
                <c:pt idx="12">
                  <c:v>Email #9 - Call for Proposals - 24 Hours Left 8/21 (All Prospects)</c:v>
                </c:pt>
                <c:pt idx="13">
                  <c:v>Call for Abstracts Email #10.5</c:v>
                </c:pt>
                <c:pt idx="14">
                  <c:v>Awareness Email #1 Save the Date</c:v>
                </c:pt>
                <c:pt idx="15">
                  <c:v>Awareness Email #2 Save the Date</c:v>
                </c:pt>
                <c:pt idx="16">
                  <c:v>Call for Abstracts Email #11a</c:v>
                </c:pt>
                <c:pt idx="17">
                  <c:v>Call For Abstracts Email #11b</c:v>
                </c:pt>
                <c:pt idx="18">
                  <c:v>Call for Abstracts Email #12a Visa Focus (International)</c:v>
                </c:pt>
                <c:pt idx="19">
                  <c:v>Call for Abstracts Email
 #12b</c:v>
                </c:pt>
                <c:pt idx="20">
                  <c:v>Call for Abstracts Email #13</c:v>
                </c:pt>
                <c:pt idx="21">
                  <c:v>Awareness Email #3 Save the Date</c:v>
                </c:pt>
                <c:pt idx="22">
                  <c:v>Call for Abstracts Email #14 </c:v>
                </c:pt>
                <c:pt idx="23">
                  <c:v>Call for Abstracts Email #15</c:v>
                </c:pt>
                <c:pt idx="24">
                  <c:v>Call for Abstracts Email #16</c:v>
                </c:pt>
                <c:pt idx="25">
                  <c:v>Call for Abstracts Email #17</c:v>
                </c:pt>
                <c:pt idx="26">
                  <c:v>Call for Abstracts Email #18</c:v>
                </c:pt>
                <c:pt idx="27">
                  <c:v>Call for Abstracts Email #19 (+ resend)</c:v>
                </c:pt>
                <c:pt idx="28">
                  <c:v>Awareness Email #4 Save the Date</c:v>
                </c:pt>
                <c:pt idx="29">
                  <c:v>Awareness Email #5A Save the Date</c:v>
                </c:pt>
                <c:pt idx="30">
                  <c:v>Awareness Email #5B Save the Date</c:v>
                </c:pt>
                <c:pt idx="31">
                  <c:v>Call for Abstracts Email #19.5</c:v>
                </c:pt>
                <c:pt idx="32">
                  <c:v>Call for Late-Breaking Abstracts Email #20</c:v>
                </c:pt>
                <c:pt idx="33">
                  <c:v>Awareness Email #6 Save the Date</c:v>
                </c:pt>
                <c:pt idx="34">
                  <c:v>Call for Late Breaking Abstracts Email #21a</c:v>
                </c:pt>
                <c:pt idx="35">
                  <c:v>Call for Late Breaking Abstracts Email #21b</c:v>
                </c:pt>
                <c:pt idx="36">
                  <c:v>Registration Email #1</c:v>
                </c:pt>
                <c:pt idx="37">
                  <c:v>Call for Late Breaking Abstracts Email #22</c:v>
                </c:pt>
                <c:pt idx="38">
                  <c:v>Registration Email #2</c:v>
                </c:pt>
                <c:pt idx="39">
                  <c:v>Registration Email #2 - Resend</c:v>
                </c:pt>
                <c:pt idx="40">
                  <c:v>Registration Email #2.5</c:v>
                </c:pt>
                <c:pt idx="41">
                  <c:v>Registration Email #2.5 Send to Non-Openers</c:v>
                </c:pt>
                <c:pt idx="42">
                  <c:v>Registration Email #3c</c:v>
                </c:pt>
              </c:strCache>
            </c:strRef>
          </c:cat>
          <c:val>
            <c:numRef>
              <c:f>Emails!$G$3:$G$45</c:f>
              <c:numCache>
                <c:formatCode>0.0%</c:formatCode>
                <c:ptCount val="43"/>
                <c:pt idx="0">
                  <c:v>0.40899999999999997</c:v>
                </c:pt>
                <c:pt idx="1">
                  <c:v>0.57599999999999996</c:v>
                </c:pt>
                <c:pt idx="2" formatCode="0%">
                  <c:v>0.49</c:v>
                </c:pt>
                <c:pt idx="3">
                  <c:v>0.70499999999999996</c:v>
                </c:pt>
                <c:pt idx="4">
                  <c:v>0.443</c:v>
                </c:pt>
                <c:pt idx="5">
                  <c:v>0.41499999999999998</c:v>
                </c:pt>
                <c:pt idx="6">
                  <c:v>0.51100000000000001</c:v>
                </c:pt>
                <c:pt idx="7">
                  <c:v>0.51200000000000001</c:v>
                </c:pt>
                <c:pt idx="8" formatCode="0.00%">
                  <c:v>0.46</c:v>
                </c:pt>
                <c:pt idx="9" formatCode="0.00%">
                  <c:v>0.443</c:v>
                </c:pt>
                <c:pt idx="10" formatCode="0.00%">
                  <c:v>0.43</c:v>
                </c:pt>
                <c:pt idx="11" formatCode="0.00%">
                  <c:v>0.443</c:v>
                </c:pt>
                <c:pt idx="12" formatCode="0.00%">
                  <c:v>0.42</c:v>
                </c:pt>
                <c:pt idx="13" formatCode="0.00%">
                  <c:v>9.5000000000000001E-2</c:v>
                </c:pt>
                <c:pt idx="14" formatCode="0.00%">
                  <c:v>1.6E-2</c:v>
                </c:pt>
                <c:pt idx="15" formatCode="0.00%">
                  <c:v>0.01</c:v>
                </c:pt>
                <c:pt idx="16" formatCode="0.00%">
                  <c:v>0.433</c:v>
                </c:pt>
                <c:pt idx="17" formatCode="0.00%">
                  <c:v>0.44</c:v>
                </c:pt>
                <c:pt idx="18" formatCode="0.00%">
                  <c:v>0.46700000000000003</c:v>
                </c:pt>
                <c:pt idx="19" formatCode="0%">
                  <c:v>0.42</c:v>
                </c:pt>
                <c:pt idx="20" formatCode="0%">
                  <c:v>0.43</c:v>
                </c:pt>
                <c:pt idx="21">
                  <c:v>0.45500000000000002</c:v>
                </c:pt>
                <c:pt idx="22">
                  <c:v>0.52400000000000002</c:v>
                </c:pt>
                <c:pt idx="23">
                  <c:v>0.36499999999999999</c:v>
                </c:pt>
                <c:pt idx="24">
                  <c:v>0.45800000000000002</c:v>
                </c:pt>
                <c:pt idx="25">
                  <c:v>3.5999999999999997E-2</c:v>
                </c:pt>
                <c:pt idx="26">
                  <c:v>1.2E-2</c:v>
                </c:pt>
                <c:pt idx="27">
                  <c:v>0.52700000000000002</c:v>
                </c:pt>
                <c:pt idx="28">
                  <c:v>0.41599999999999998</c:v>
                </c:pt>
                <c:pt idx="29">
                  <c:v>0.376</c:v>
                </c:pt>
                <c:pt idx="30">
                  <c:v>0.39400000000000002</c:v>
                </c:pt>
                <c:pt idx="31">
                  <c:v>0.42899999999999999</c:v>
                </c:pt>
                <c:pt idx="32">
                  <c:v>0.39600000000000002</c:v>
                </c:pt>
                <c:pt idx="33">
                  <c:v>0.41699999999999998</c:v>
                </c:pt>
                <c:pt idx="34">
                  <c:v>0.38400000000000001</c:v>
                </c:pt>
                <c:pt idx="35">
                  <c:v>0.38500000000000001</c:v>
                </c:pt>
                <c:pt idx="36">
                  <c:v>0.376</c:v>
                </c:pt>
                <c:pt idx="37">
                  <c:v>0.61099999999999999</c:v>
                </c:pt>
                <c:pt idx="38">
                  <c:v>0.41399999999999998</c:v>
                </c:pt>
                <c:pt idx="39">
                  <c:v>0.17399999999999999</c:v>
                </c:pt>
                <c:pt idx="40">
                  <c:v>0.41799999999999998</c:v>
                </c:pt>
                <c:pt idx="42">
                  <c:v>0.55500000000000005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4-45C9-B8F1-459B941FF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6663424"/>
        <c:axId val="1060714320"/>
        <c:extLst/>
      </c:barChart>
      <c:lineChart>
        <c:grouping val="standard"/>
        <c:varyColors val="0"/>
        <c:ser>
          <c:idx val="1"/>
          <c:order val="1"/>
          <c:tx>
            <c:strRef>
              <c:f>Emails!$H$2</c:f>
              <c:strCache>
                <c:ptCount val="1"/>
                <c:pt idx="0">
                  <c:v>Open Rate (Benchmark)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Emails!$A$3:$A$45</c:f>
              <c:strCache>
                <c:ptCount val="43"/>
                <c:pt idx="0">
                  <c:v>Call for Proposals Email #1 (All Prospects)</c:v>
                </c:pt>
                <c:pt idx="1">
                  <c:v>Call for Proposals Email #2 (All Prospects)</c:v>
                </c:pt>
                <c:pt idx="2">
                  <c:v>Call for Proposals Email #3 (All Prospects)</c:v>
                </c:pt>
                <c:pt idx="3">
                  <c:v>Call for Proposals Email #4a (Past Submitters)</c:v>
                </c:pt>
                <c:pt idx="4">
                  <c:v>Call for Proposals Email #4b (All Prospects)
</c:v>
                </c:pt>
                <c:pt idx="5">
                  <c:v>Call for Proposals Email #5 (All Prospects)</c:v>
                </c:pt>
                <c:pt idx="6">
                  <c:v>INTL Email #1 - Survey (International Attendees)</c:v>
                </c:pt>
                <c:pt idx="7">
                  <c:v>Call for Proposals Email #6 (All Prospects)</c:v>
                </c:pt>
                <c:pt idx="8">
                  <c:v>Call for Proposals Email #7 (All Prospects)</c:v>
                </c:pt>
                <c:pt idx="9">
                  <c:v>Call for Proposals Email #8 (All Prospects)</c:v>
                </c:pt>
                <c:pt idx="10">
                  <c:v>Call for Proposals &amp; State-of-the-Art Speakers Email #9.5 Deadline Extended (All Prospects)</c:v>
                </c:pt>
                <c:pt idx="11">
                  <c:v>Call for Abstracts Email #10 (All Prospects)</c:v>
                </c:pt>
                <c:pt idx="12">
                  <c:v>Email #9 - Call for Proposals - 24 Hours Left 8/21 (All Prospects)</c:v>
                </c:pt>
                <c:pt idx="13">
                  <c:v>Call for Abstracts Email #10.5</c:v>
                </c:pt>
                <c:pt idx="14">
                  <c:v>Awareness Email #1 Save the Date</c:v>
                </c:pt>
                <c:pt idx="15">
                  <c:v>Awareness Email #2 Save the Date</c:v>
                </c:pt>
                <c:pt idx="16">
                  <c:v>Call for Abstracts Email #11a</c:v>
                </c:pt>
                <c:pt idx="17">
                  <c:v>Call For Abstracts Email #11b</c:v>
                </c:pt>
                <c:pt idx="18">
                  <c:v>Call for Abstracts Email #12a Visa Focus (International)</c:v>
                </c:pt>
                <c:pt idx="19">
                  <c:v>Call for Abstracts Email
 #12b</c:v>
                </c:pt>
                <c:pt idx="20">
                  <c:v>Call for Abstracts Email #13</c:v>
                </c:pt>
                <c:pt idx="21">
                  <c:v>Awareness Email #3 Save the Date</c:v>
                </c:pt>
                <c:pt idx="22">
                  <c:v>Call for Abstracts Email #14 </c:v>
                </c:pt>
                <c:pt idx="23">
                  <c:v>Call for Abstracts Email #15</c:v>
                </c:pt>
                <c:pt idx="24">
                  <c:v>Call for Abstracts Email #16</c:v>
                </c:pt>
                <c:pt idx="25">
                  <c:v>Call for Abstracts Email #17</c:v>
                </c:pt>
                <c:pt idx="26">
                  <c:v>Call for Abstracts Email #18</c:v>
                </c:pt>
                <c:pt idx="27">
                  <c:v>Call for Abstracts Email #19 (+ resend)</c:v>
                </c:pt>
                <c:pt idx="28">
                  <c:v>Awareness Email #4 Save the Date</c:v>
                </c:pt>
                <c:pt idx="29">
                  <c:v>Awareness Email #5A Save the Date</c:v>
                </c:pt>
                <c:pt idx="30">
                  <c:v>Awareness Email #5B Save the Date</c:v>
                </c:pt>
                <c:pt idx="31">
                  <c:v>Call for Abstracts Email #19.5</c:v>
                </c:pt>
                <c:pt idx="32">
                  <c:v>Call for Late-Breaking Abstracts Email #20</c:v>
                </c:pt>
                <c:pt idx="33">
                  <c:v>Awareness Email #6 Save the Date</c:v>
                </c:pt>
                <c:pt idx="34">
                  <c:v>Call for Late Breaking Abstracts Email #21a</c:v>
                </c:pt>
                <c:pt idx="35">
                  <c:v>Call for Late Breaking Abstracts Email #21b</c:v>
                </c:pt>
                <c:pt idx="36">
                  <c:v>Registration Email #1</c:v>
                </c:pt>
                <c:pt idx="37">
                  <c:v>Call for Late Breaking Abstracts Email #22</c:v>
                </c:pt>
                <c:pt idx="38">
                  <c:v>Registration Email #2</c:v>
                </c:pt>
                <c:pt idx="39">
                  <c:v>Registration Email #2 - Resend</c:v>
                </c:pt>
                <c:pt idx="40">
                  <c:v>Registration Email #2.5</c:v>
                </c:pt>
                <c:pt idx="41">
                  <c:v>Registration Email #2.5 Send to Non-Openers</c:v>
                </c:pt>
                <c:pt idx="42">
                  <c:v>Registration Email #3c</c:v>
                </c:pt>
              </c:strCache>
            </c:strRef>
          </c:cat>
          <c:val>
            <c:numRef>
              <c:f>Emails!$H$3:$H$45</c:f>
              <c:numCache>
                <c:formatCode>0%</c:formatCode>
                <c:ptCount val="43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0.15</c:v>
                </c:pt>
                <c:pt idx="18">
                  <c:v>0.15</c:v>
                </c:pt>
                <c:pt idx="19">
                  <c:v>0.15</c:v>
                </c:pt>
                <c:pt idx="20">
                  <c:v>0.15</c:v>
                </c:pt>
                <c:pt idx="21">
                  <c:v>0.15</c:v>
                </c:pt>
                <c:pt idx="22">
                  <c:v>0.15</c:v>
                </c:pt>
                <c:pt idx="23">
                  <c:v>0.15</c:v>
                </c:pt>
                <c:pt idx="24">
                  <c:v>0.15</c:v>
                </c:pt>
                <c:pt idx="25">
                  <c:v>0.15</c:v>
                </c:pt>
                <c:pt idx="26">
                  <c:v>0.15</c:v>
                </c:pt>
                <c:pt idx="27">
                  <c:v>0.15</c:v>
                </c:pt>
                <c:pt idx="28">
                  <c:v>0.15</c:v>
                </c:pt>
                <c:pt idx="29">
                  <c:v>0.15</c:v>
                </c:pt>
                <c:pt idx="30">
                  <c:v>0.15</c:v>
                </c:pt>
                <c:pt idx="31">
                  <c:v>0.15</c:v>
                </c:pt>
                <c:pt idx="32">
                  <c:v>0.15</c:v>
                </c:pt>
                <c:pt idx="33">
                  <c:v>0.15</c:v>
                </c:pt>
                <c:pt idx="34">
                  <c:v>0.15</c:v>
                </c:pt>
                <c:pt idx="35">
                  <c:v>0.15</c:v>
                </c:pt>
                <c:pt idx="36">
                  <c:v>0.15</c:v>
                </c:pt>
                <c:pt idx="37">
                  <c:v>0.15</c:v>
                </c:pt>
                <c:pt idx="38">
                  <c:v>0.15</c:v>
                </c:pt>
                <c:pt idx="39">
                  <c:v>0.15</c:v>
                </c:pt>
                <c:pt idx="40">
                  <c:v>0.15</c:v>
                </c:pt>
                <c:pt idx="41">
                  <c:v>0.15</c:v>
                </c:pt>
                <c:pt idx="42">
                  <c:v>0.15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2B04-45C9-B8F1-459B941FF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663424"/>
        <c:axId val="1060714320"/>
      </c:lineChart>
      <c:catAx>
        <c:axId val="4366634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714320"/>
        <c:crosses val="autoZero"/>
        <c:auto val="1"/>
        <c:lblAlgn val="ctr"/>
        <c:lblOffset val="100"/>
        <c:noMultiLvlLbl val="0"/>
      </c:catAx>
      <c:valAx>
        <c:axId val="106071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6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Email: </a:t>
            </a:r>
          </a:p>
          <a:p>
            <a:pPr>
              <a:defRPr/>
            </a:pPr>
            <a:r>
              <a:rPr lang="en-US"/>
              <a:t>Click-To-Open Rate (Abstracts)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Emails!$K$2</c:f>
              <c:strCache>
                <c:ptCount val="1"/>
                <c:pt idx="0">
                  <c:v>Click-To-Open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2"/>
              <c:layout>
                <c:manualLayout>
                  <c:x val="-3.1210031772522285E-2"/>
                  <c:y val="-7.751185201108780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77D-44A7-BA8F-DB86F12EA5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Emails!$A$3:$A$45</c:f>
              <c:strCache>
                <c:ptCount val="43"/>
                <c:pt idx="0">
                  <c:v>Call for Proposals Email #1 (All Prospects)</c:v>
                </c:pt>
                <c:pt idx="1">
                  <c:v>Call for Proposals Email #2 (All Prospects)</c:v>
                </c:pt>
                <c:pt idx="2">
                  <c:v>Call for Proposals Email #3 (All Prospects)</c:v>
                </c:pt>
                <c:pt idx="3">
                  <c:v>Call for Proposals Email #4a (Past Submitters)</c:v>
                </c:pt>
                <c:pt idx="4">
                  <c:v>Call for Proposals Email #4b (All Prospects)
</c:v>
                </c:pt>
                <c:pt idx="5">
                  <c:v>Call for Proposals Email #5 (All Prospects)</c:v>
                </c:pt>
                <c:pt idx="6">
                  <c:v>INTL Email #1 - Survey (International Attendees)</c:v>
                </c:pt>
                <c:pt idx="7">
                  <c:v>Call for Proposals Email #6 (All Prospects)</c:v>
                </c:pt>
                <c:pt idx="8">
                  <c:v>Call for Proposals Email #7 (All Prospects)</c:v>
                </c:pt>
                <c:pt idx="9">
                  <c:v>Call for Proposals Email #8 (All Prospects)</c:v>
                </c:pt>
                <c:pt idx="10">
                  <c:v>Call for Proposals &amp; State-of-the-Art Speakers Email #9.5 Deadline Extended (All Prospects)</c:v>
                </c:pt>
                <c:pt idx="11">
                  <c:v>Call for Abstracts Email #10 (All Prospects)</c:v>
                </c:pt>
                <c:pt idx="12">
                  <c:v>Email #9 - Call for Proposals - 24 Hours Left 8/21 (All Prospects)</c:v>
                </c:pt>
                <c:pt idx="13">
                  <c:v>Call for Abstracts Email #10.5</c:v>
                </c:pt>
                <c:pt idx="14">
                  <c:v>Awareness Email #1 Save the Date</c:v>
                </c:pt>
                <c:pt idx="15">
                  <c:v>Awareness Email #2 Save the Date</c:v>
                </c:pt>
                <c:pt idx="16">
                  <c:v>Call for Abstracts Email #11a</c:v>
                </c:pt>
                <c:pt idx="17">
                  <c:v>Call For Abstracts Email #11b</c:v>
                </c:pt>
                <c:pt idx="18">
                  <c:v>Call for Abstracts Email #12a Visa Focus (International)</c:v>
                </c:pt>
                <c:pt idx="19">
                  <c:v>Call for Abstracts Email
 #12b</c:v>
                </c:pt>
                <c:pt idx="20">
                  <c:v>Call for Abstracts Email #13</c:v>
                </c:pt>
                <c:pt idx="21">
                  <c:v>Awareness Email #3 Save the Date</c:v>
                </c:pt>
                <c:pt idx="22">
                  <c:v>Call for Abstracts Email #14 </c:v>
                </c:pt>
                <c:pt idx="23">
                  <c:v>Call for Abstracts Email #15</c:v>
                </c:pt>
                <c:pt idx="24">
                  <c:v>Call for Abstracts Email #16</c:v>
                </c:pt>
                <c:pt idx="25">
                  <c:v>Call for Abstracts Email #17</c:v>
                </c:pt>
                <c:pt idx="26">
                  <c:v>Call for Abstracts Email #18</c:v>
                </c:pt>
                <c:pt idx="27">
                  <c:v>Call for Abstracts Email #19 (+ resend)</c:v>
                </c:pt>
                <c:pt idx="28">
                  <c:v>Awareness Email #4 Save the Date</c:v>
                </c:pt>
                <c:pt idx="29">
                  <c:v>Awareness Email #5A Save the Date</c:v>
                </c:pt>
                <c:pt idx="30">
                  <c:v>Awareness Email #5B Save the Date</c:v>
                </c:pt>
                <c:pt idx="31">
                  <c:v>Call for Abstracts Email #19.5</c:v>
                </c:pt>
                <c:pt idx="32">
                  <c:v>Call for Late-Breaking Abstracts Email #20</c:v>
                </c:pt>
                <c:pt idx="33">
                  <c:v>Awareness Email #6 Save the Date</c:v>
                </c:pt>
                <c:pt idx="34">
                  <c:v>Call for Late Breaking Abstracts Email #21a</c:v>
                </c:pt>
                <c:pt idx="35">
                  <c:v>Call for Late Breaking Abstracts Email #21b</c:v>
                </c:pt>
                <c:pt idx="36">
                  <c:v>Registration Email #1</c:v>
                </c:pt>
                <c:pt idx="37">
                  <c:v>Call for Late Breaking Abstracts Email #22</c:v>
                </c:pt>
                <c:pt idx="38">
                  <c:v>Registration Email #2</c:v>
                </c:pt>
                <c:pt idx="39">
                  <c:v>Registration Email #2 - Resend</c:v>
                </c:pt>
                <c:pt idx="40">
                  <c:v>Registration Email #2.5</c:v>
                </c:pt>
                <c:pt idx="41">
                  <c:v>Registration Email #2.5 Send to Non-Openers</c:v>
                </c:pt>
                <c:pt idx="42">
                  <c:v>Registration Email #3c</c:v>
                </c:pt>
              </c:strCache>
            </c:strRef>
          </c:cat>
          <c:val>
            <c:numRef>
              <c:f>Emails!$K$3:$K$45</c:f>
              <c:numCache>
                <c:formatCode>0.00%</c:formatCode>
                <c:ptCount val="43"/>
                <c:pt idx="0">
                  <c:v>6.4891380518570421E-2</c:v>
                </c:pt>
                <c:pt idx="1">
                  <c:v>0.40721442885771542</c:v>
                </c:pt>
                <c:pt idx="2">
                  <c:v>0.1896712520401026</c:v>
                </c:pt>
                <c:pt idx="3">
                  <c:v>0.22580645161290322</c:v>
                </c:pt>
                <c:pt idx="4">
                  <c:v>0.20259533898305085</c:v>
                </c:pt>
                <c:pt idx="5">
                  <c:v>0.15491780440234049</c:v>
                </c:pt>
                <c:pt idx="6">
                  <c:v>0.1703056768558952</c:v>
                </c:pt>
                <c:pt idx="7">
                  <c:v>3.5225806451612905E-2</c:v>
                </c:pt>
                <c:pt idx="8">
                  <c:v>4.7492063492063495E-2</c:v>
                </c:pt>
                <c:pt idx="9">
                  <c:v>3.2334697109674015E-2</c:v>
                </c:pt>
                <c:pt idx="10">
                  <c:v>2.8527182329448203E-2</c:v>
                </c:pt>
                <c:pt idx="11">
                  <c:v>2.7959697732997481E-2</c:v>
                </c:pt>
                <c:pt idx="12">
                  <c:v>0.18034096963239213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1.200600300150075E-2</c:v>
                </c:pt>
                <c:pt idx="17" formatCode="0.0%">
                  <c:v>1.8042511122095897E-2</c:v>
                </c:pt>
                <c:pt idx="18">
                  <c:v>5.7211925866236905E-2</c:v>
                </c:pt>
                <c:pt idx="19">
                  <c:v>2.2195196108239588E-2</c:v>
                </c:pt>
                <c:pt idx="20">
                  <c:v>0.21267372179013133</c:v>
                </c:pt>
                <c:pt idx="21">
                  <c:v>0.25445568400770713</c:v>
                </c:pt>
                <c:pt idx="22">
                  <c:v>1.9995768091409225E-2</c:v>
                </c:pt>
                <c:pt idx="23">
                  <c:v>2.5152552463164161E-2</c:v>
                </c:pt>
                <c:pt idx="24">
                  <c:v>2.9057996903656069E-2</c:v>
                </c:pt>
                <c:pt idx="25">
                  <c:v>0.39366515837104071</c:v>
                </c:pt>
                <c:pt idx="26">
                  <c:v>1</c:v>
                </c:pt>
                <c:pt idx="27">
                  <c:v>3.3260306711810399E-2</c:v>
                </c:pt>
                <c:pt idx="28">
                  <c:v>3.5154707044107968E-2</c:v>
                </c:pt>
                <c:pt idx="29">
                  <c:v>5.2336448598130844E-2</c:v>
                </c:pt>
                <c:pt idx="30">
                  <c:v>4.8888888888888891E-2</c:v>
                </c:pt>
                <c:pt idx="31">
                  <c:v>2.4922918807810893E-2</c:v>
                </c:pt>
                <c:pt idx="32">
                  <c:v>7.9064587973273939E-2</c:v>
                </c:pt>
                <c:pt idx="33">
                  <c:v>4.4973544973544971E-2</c:v>
                </c:pt>
                <c:pt idx="34">
                  <c:v>5.4982817869415807E-2</c:v>
                </c:pt>
                <c:pt idx="35">
                  <c:v>8.2278481012658222E-2</c:v>
                </c:pt>
                <c:pt idx="36">
                  <c:v>4.9425788632068618E-2</c:v>
                </c:pt>
                <c:pt idx="37">
                  <c:v>9.593628382659064E-3</c:v>
                </c:pt>
                <c:pt idx="38">
                  <c:v>3.1179213857428383E-2</c:v>
                </c:pt>
                <c:pt idx="39">
                  <c:v>0.73387533875338751</c:v>
                </c:pt>
                <c:pt idx="40">
                  <c:v>0.64445027551823664</c:v>
                </c:pt>
                <c:pt idx="42">
                  <c:v>5.0209205020920501E-2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A1-4DE7-A9B2-8A1EF46A4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2046271424"/>
        <c:axId val="664107056"/>
      </c:barChart>
      <c:lineChart>
        <c:grouping val="standard"/>
        <c:varyColors val="0"/>
        <c:ser>
          <c:idx val="1"/>
          <c:order val="1"/>
          <c:tx>
            <c:strRef>
              <c:f>Emails!$L$2</c:f>
              <c:strCache>
                <c:ptCount val="1"/>
                <c:pt idx="0">
                  <c:v>CTO 
(Benchmark)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Emails!$A$3:$A$45</c:f>
              <c:strCache>
                <c:ptCount val="43"/>
                <c:pt idx="0">
                  <c:v>Call for Proposals Email #1 (All Prospects)</c:v>
                </c:pt>
                <c:pt idx="1">
                  <c:v>Call for Proposals Email #2 (All Prospects)</c:v>
                </c:pt>
                <c:pt idx="2">
                  <c:v>Call for Proposals Email #3 (All Prospects)</c:v>
                </c:pt>
                <c:pt idx="3">
                  <c:v>Call for Proposals Email #4a (Past Submitters)</c:v>
                </c:pt>
                <c:pt idx="4">
                  <c:v>Call for Proposals Email #4b (All Prospects)
</c:v>
                </c:pt>
                <c:pt idx="5">
                  <c:v>Call for Proposals Email #5 (All Prospects)</c:v>
                </c:pt>
                <c:pt idx="6">
                  <c:v>INTL Email #1 - Survey (International Attendees)</c:v>
                </c:pt>
                <c:pt idx="7">
                  <c:v>Call for Proposals Email #6 (All Prospects)</c:v>
                </c:pt>
                <c:pt idx="8">
                  <c:v>Call for Proposals Email #7 (All Prospects)</c:v>
                </c:pt>
                <c:pt idx="9">
                  <c:v>Call for Proposals Email #8 (All Prospects)</c:v>
                </c:pt>
                <c:pt idx="10">
                  <c:v>Call for Proposals &amp; State-of-the-Art Speakers Email #9.5 Deadline Extended (All Prospects)</c:v>
                </c:pt>
                <c:pt idx="11">
                  <c:v>Call for Abstracts Email #10 (All Prospects)</c:v>
                </c:pt>
                <c:pt idx="12">
                  <c:v>Email #9 - Call for Proposals - 24 Hours Left 8/21 (All Prospects)</c:v>
                </c:pt>
                <c:pt idx="13">
                  <c:v>Call for Abstracts Email #10.5</c:v>
                </c:pt>
                <c:pt idx="14">
                  <c:v>Awareness Email #1 Save the Date</c:v>
                </c:pt>
                <c:pt idx="15">
                  <c:v>Awareness Email #2 Save the Date</c:v>
                </c:pt>
                <c:pt idx="16">
                  <c:v>Call for Abstracts Email #11a</c:v>
                </c:pt>
                <c:pt idx="17">
                  <c:v>Call For Abstracts Email #11b</c:v>
                </c:pt>
                <c:pt idx="18">
                  <c:v>Call for Abstracts Email #12a Visa Focus (International)</c:v>
                </c:pt>
                <c:pt idx="19">
                  <c:v>Call for Abstracts Email
 #12b</c:v>
                </c:pt>
                <c:pt idx="20">
                  <c:v>Call for Abstracts Email #13</c:v>
                </c:pt>
                <c:pt idx="21">
                  <c:v>Awareness Email #3 Save the Date</c:v>
                </c:pt>
                <c:pt idx="22">
                  <c:v>Call for Abstracts Email #14 </c:v>
                </c:pt>
                <c:pt idx="23">
                  <c:v>Call for Abstracts Email #15</c:v>
                </c:pt>
                <c:pt idx="24">
                  <c:v>Call for Abstracts Email #16</c:v>
                </c:pt>
                <c:pt idx="25">
                  <c:v>Call for Abstracts Email #17</c:v>
                </c:pt>
                <c:pt idx="26">
                  <c:v>Call for Abstracts Email #18</c:v>
                </c:pt>
                <c:pt idx="27">
                  <c:v>Call for Abstracts Email #19 (+ resend)</c:v>
                </c:pt>
                <c:pt idx="28">
                  <c:v>Awareness Email #4 Save the Date</c:v>
                </c:pt>
                <c:pt idx="29">
                  <c:v>Awareness Email #5A Save the Date</c:v>
                </c:pt>
                <c:pt idx="30">
                  <c:v>Awareness Email #5B Save the Date</c:v>
                </c:pt>
                <c:pt idx="31">
                  <c:v>Call for Abstracts Email #19.5</c:v>
                </c:pt>
                <c:pt idx="32">
                  <c:v>Call for Late-Breaking Abstracts Email #20</c:v>
                </c:pt>
                <c:pt idx="33">
                  <c:v>Awareness Email #6 Save the Date</c:v>
                </c:pt>
                <c:pt idx="34">
                  <c:v>Call for Late Breaking Abstracts Email #21a</c:v>
                </c:pt>
                <c:pt idx="35">
                  <c:v>Call for Late Breaking Abstracts Email #21b</c:v>
                </c:pt>
                <c:pt idx="36">
                  <c:v>Registration Email #1</c:v>
                </c:pt>
                <c:pt idx="37">
                  <c:v>Call for Late Breaking Abstracts Email #22</c:v>
                </c:pt>
                <c:pt idx="38">
                  <c:v>Registration Email #2</c:v>
                </c:pt>
                <c:pt idx="39">
                  <c:v>Registration Email #2 - Resend</c:v>
                </c:pt>
                <c:pt idx="40">
                  <c:v>Registration Email #2.5</c:v>
                </c:pt>
                <c:pt idx="41">
                  <c:v>Registration Email #2.5 Send to Non-Openers</c:v>
                </c:pt>
                <c:pt idx="42">
                  <c:v>Registration Email #3c</c:v>
                </c:pt>
              </c:strCache>
            </c:strRef>
          </c:cat>
          <c:val>
            <c:numRef>
              <c:f>Emails!$L$3:$L$45</c:f>
              <c:numCache>
                <c:formatCode>0%</c:formatCode>
                <c:ptCount val="43"/>
                <c:pt idx="0">
                  <c:v>0.06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0.06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A1-4DE7-A9B2-8A1EF46A4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6271424"/>
        <c:axId val="664107056"/>
      </c:lineChart>
      <c:catAx>
        <c:axId val="2046271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107056"/>
        <c:crosses val="autoZero"/>
        <c:auto val="1"/>
        <c:lblAlgn val="ctr"/>
        <c:lblOffset val="100"/>
        <c:noMultiLvlLbl val="0"/>
      </c:catAx>
      <c:valAx>
        <c:axId val="66410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27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Email: </a:t>
            </a:r>
          </a:p>
          <a:p>
            <a:pPr>
              <a:defRPr/>
            </a:pPr>
            <a:r>
              <a:rPr lang="en-US"/>
              <a:t>Click-To-Open Rate (Proposals)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Emails!$K$2</c:f>
              <c:strCache>
                <c:ptCount val="1"/>
                <c:pt idx="0">
                  <c:v>Click-To-Open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2"/>
              <c:layout>
                <c:manualLayout>
                  <c:x val="-3.1210031772522285E-2"/>
                  <c:y val="-7.751185201108780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3CF-40C2-AFC7-B4BAD2E1F1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Emails!$A$3:$A$45</c:f>
              <c:strCache>
                <c:ptCount val="43"/>
                <c:pt idx="0">
                  <c:v>Call for Proposals Email #1 (All Prospects)</c:v>
                </c:pt>
                <c:pt idx="1">
                  <c:v>Call for Proposals Email #2 (All Prospects)</c:v>
                </c:pt>
                <c:pt idx="2">
                  <c:v>Call for Proposals Email #3 (All Prospects)</c:v>
                </c:pt>
                <c:pt idx="3">
                  <c:v>Call for Proposals Email #4a (Past Submitters)</c:v>
                </c:pt>
                <c:pt idx="4">
                  <c:v>Call for Proposals Email #4b (All Prospects)
</c:v>
                </c:pt>
                <c:pt idx="5">
                  <c:v>Call for Proposals Email #5 (All Prospects)</c:v>
                </c:pt>
                <c:pt idx="6">
                  <c:v>INTL Email #1 - Survey (International Attendees)</c:v>
                </c:pt>
                <c:pt idx="7">
                  <c:v>Call for Proposals Email #6 (All Prospects)</c:v>
                </c:pt>
                <c:pt idx="8">
                  <c:v>Call for Proposals Email #7 (All Prospects)</c:v>
                </c:pt>
                <c:pt idx="9">
                  <c:v>Call for Proposals Email #8 (All Prospects)</c:v>
                </c:pt>
                <c:pt idx="10">
                  <c:v>Call for Proposals &amp; State-of-the-Art Speakers Email #9.5 Deadline Extended (All Prospects)</c:v>
                </c:pt>
                <c:pt idx="11">
                  <c:v>Call for Abstracts Email #10 (All Prospects)</c:v>
                </c:pt>
                <c:pt idx="12">
                  <c:v>Email #9 - Call for Proposals - 24 Hours Left 8/21 (All Prospects)</c:v>
                </c:pt>
                <c:pt idx="13">
                  <c:v>Call for Abstracts Email #10.5</c:v>
                </c:pt>
                <c:pt idx="14">
                  <c:v>Awareness Email #1 Save the Date</c:v>
                </c:pt>
                <c:pt idx="15">
                  <c:v>Awareness Email #2 Save the Date</c:v>
                </c:pt>
                <c:pt idx="16">
                  <c:v>Call for Abstracts Email #11a</c:v>
                </c:pt>
                <c:pt idx="17">
                  <c:v>Call For Abstracts Email #11b</c:v>
                </c:pt>
                <c:pt idx="18">
                  <c:v>Call for Abstracts Email #12a Visa Focus (International)</c:v>
                </c:pt>
                <c:pt idx="19">
                  <c:v>Call for Abstracts Email
 #12b</c:v>
                </c:pt>
                <c:pt idx="20">
                  <c:v>Call for Abstracts Email #13</c:v>
                </c:pt>
                <c:pt idx="21">
                  <c:v>Awareness Email #3 Save the Date</c:v>
                </c:pt>
                <c:pt idx="22">
                  <c:v>Call for Abstracts Email #14 </c:v>
                </c:pt>
                <c:pt idx="23">
                  <c:v>Call for Abstracts Email #15</c:v>
                </c:pt>
                <c:pt idx="24">
                  <c:v>Call for Abstracts Email #16</c:v>
                </c:pt>
                <c:pt idx="25">
                  <c:v>Call for Abstracts Email #17</c:v>
                </c:pt>
                <c:pt idx="26">
                  <c:v>Call for Abstracts Email #18</c:v>
                </c:pt>
                <c:pt idx="27">
                  <c:v>Call for Abstracts Email #19 (+ resend)</c:v>
                </c:pt>
                <c:pt idx="28">
                  <c:v>Awareness Email #4 Save the Date</c:v>
                </c:pt>
                <c:pt idx="29">
                  <c:v>Awareness Email #5A Save the Date</c:v>
                </c:pt>
                <c:pt idx="30">
                  <c:v>Awareness Email #5B Save the Date</c:v>
                </c:pt>
                <c:pt idx="31">
                  <c:v>Call for Abstracts Email #19.5</c:v>
                </c:pt>
                <c:pt idx="32">
                  <c:v>Call for Late-Breaking Abstracts Email #20</c:v>
                </c:pt>
                <c:pt idx="33">
                  <c:v>Awareness Email #6 Save the Date</c:v>
                </c:pt>
                <c:pt idx="34">
                  <c:v>Call for Late Breaking Abstracts Email #21a</c:v>
                </c:pt>
                <c:pt idx="35">
                  <c:v>Call for Late Breaking Abstracts Email #21b</c:v>
                </c:pt>
                <c:pt idx="36">
                  <c:v>Registration Email #1</c:v>
                </c:pt>
                <c:pt idx="37">
                  <c:v>Call for Late Breaking Abstracts Email #22</c:v>
                </c:pt>
                <c:pt idx="38">
                  <c:v>Registration Email #2</c:v>
                </c:pt>
                <c:pt idx="39">
                  <c:v>Registration Email #2 - Resend</c:v>
                </c:pt>
                <c:pt idx="40">
                  <c:v>Registration Email #2.5</c:v>
                </c:pt>
                <c:pt idx="41">
                  <c:v>Registration Email #2.5 Send to Non-Openers</c:v>
                </c:pt>
                <c:pt idx="42">
                  <c:v>Registration Email #3c</c:v>
                </c:pt>
              </c:strCache>
            </c:strRef>
          </c:cat>
          <c:val>
            <c:numRef>
              <c:f>Emails!$K$3:$K$45</c:f>
              <c:numCache>
                <c:formatCode>0.00%</c:formatCode>
                <c:ptCount val="43"/>
                <c:pt idx="0">
                  <c:v>6.4891380518570421E-2</c:v>
                </c:pt>
                <c:pt idx="1">
                  <c:v>0.40721442885771542</c:v>
                </c:pt>
                <c:pt idx="2">
                  <c:v>0.1896712520401026</c:v>
                </c:pt>
                <c:pt idx="3">
                  <c:v>0.22580645161290322</c:v>
                </c:pt>
                <c:pt idx="4">
                  <c:v>0.20259533898305085</c:v>
                </c:pt>
                <c:pt idx="5">
                  <c:v>0.15491780440234049</c:v>
                </c:pt>
                <c:pt idx="6">
                  <c:v>0.1703056768558952</c:v>
                </c:pt>
                <c:pt idx="7">
                  <c:v>3.5225806451612905E-2</c:v>
                </c:pt>
                <c:pt idx="8">
                  <c:v>4.7492063492063495E-2</c:v>
                </c:pt>
                <c:pt idx="9">
                  <c:v>3.2334697109674015E-2</c:v>
                </c:pt>
                <c:pt idx="10">
                  <c:v>2.8527182329448203E-2</c:v>
                </c:pt>
                <c:pt idx="11">
                  <c:v>2.7959697732997481E-2</c:v>
                </c:pt>
                <c:pt idx="12">
                  <c:v>0.18034096963239213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1.200600300150075E-2</c:v>
                </c:pt>
                <c:pt idx="17" formatCode="0.0%">
                  <c:v>1.8042511122095897E-2</c:v>
                </c:pt>
                <c:pt idx="18">
                  <c:v>5.7211925866236905E-2</c:v>
                </c:pt>
                <c:pt idx="19">
                  <c:v>2.2195196108239588E-2</c:v>
                </c:pt>
                <c:pt idx="20">
                  <c:v>0.21267372179013133</c:v>
                </c:pt>
                <c:pt idx="21">
                  <c:v>0.25445568400770713</c:v>
                </c:pt>
                <c:pt idx="22">
                  <c:v>1.9995768091409225E-2</c:v>
                </c:pt>
                <c:pt idx="23">
                  <c:v>2.5152552463164161E-2</c:v>
                </c:pt>
                <c:pt idx="24">
                  <c:v>2.9057996903656069E-2</c:v>
                </c:pt>
                <c:pt idx="25">
                  <c:v>0.39366515837104071</c:v>
                </c:pt>
                <c:pt idx="26">
                  <c:v>1</c:v>
                </c:pt>
                <c:pt idx="27">
                  <c:v>3.3260306711810399E-2</c:v>
                </c:pt>
                <c:pt idx="28">
                  <c:v>3.5154707044107968E-2</c:v>
                </c:pt>
                <c:pt idx="29">
                  <c:v>5.2336448598130844E-2</c:v>
                </c:pt>
                <c:pt idx="30">
                  <c:v>4.8888888888888891E-2</c:v>
                </c:pt>
                <c:pt idx="31">
                  <c:v>2.4922918807810893E-2</c:v>
                </c:pt>
                <c:pt idx="32">
                  <c:v>7.9064587973273939E-2</c:v>
                </c:pt>
                <c:pt idx="33">
                  <c:v>4.4973544973544971E-2</c:v>
                </c:pt>
                <c:pt idx="34">
                  <c:v>5.4982817869415807E-2</c:v>
                </c:pt>
                <c:pt idx="35">
                  <c:v>8.2278481012658222E-2</c:v>
                </c:pt>
                <c:pt idx="36">
                  <c:v>4.9425788632068618E-2</c:v>
                </c:pt>
                <c:pt idx="37">
                  <c:v>9.593628382659064E-3</c:v>
                </c:pt>
                <c:pt idx="38">
                  <c:v>3.1179213857428383E-2</c:v>
                </c:pt>
                <c:pt idx="39">
                  <c:v>0.73387533875338751</c:v>
                </c:pt>
                <c:pt idx="40">
                  <c:v>0.64445027551823664</c:v>
                </c:pt>
                <c:pt idx="42">
                  <c:v>5.0209205020920501E-2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CF-40C2-AFC7-B4BAD2E1F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2046271424"/>
        <c:axId val="664107056"/>
      </c:barChart>
      <c:lineChart>
        <c:grouping val="standard"/>
        <c:varyColors val="0"/>
        <c:ser>
          <c:idx val="1"/>
          <c:order val="1"/>
          <c:tx>
            <c:strRef>
              <c:f>Emails!$L$2</c:f>
              <c:strCache>
                <c:ptCount val="1"/>
                <c:pt idx="0">
                  <c:v>CTO 
(Benchmark)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Emails!$A$3:$A$45</c:f>
              <c:strCache>
                <c:ptCount val="43"/>
                <c:pt idx="0">
                  <c:v>Call for Proposals Email #1 (All Prospects)</c:v>
                </c:pt>
                <c:pt idx="1">
                  <c:v>Call for Proposals Email #2 (All Prospects)</c:v>
                </c:pt>
                <c:pt idx="2">
                  <c:v>Call for Proposals Email #3 (All Prospects)</c:v>
                </c:pt>
                <c:pt idx="3">
                  <c:v>Call for Proposals Email #4a (Past Submitters)</c:v>
                </c:pt>
                <c:pt idx="4">
                  <c:v>Call for Proposals Email #4b (All Prospects)
</c:v>
                </c:pt>
                <c:pt idx="5">
                  <c:v>Call for Proposals Email #5 (All Prospects)</c:v>
                </c:pt>
                <c:pt idx="6">
                  <c:v>INTL Email #1 - Survey (International Attendees)</c:v>
                </c:pt>
                <c:pt idx="7">
                  <c:v>Call for Proposals Email #6 (All Prospects)</c:v>
                </c:pt>
                <c:pt idx="8">
                  <c:v>Call for Proposals Email #7 (All Prospects)</c:v>
                </c:pt>
                <c:pt idx="9">
                  <c:v>Call for Proposals Email #8 (All Prospects)</c:v>
                </c:pt>
                <c:pt idx="10">
                  <c:v>Call for Proposals &amp; State-of-the-Art Speakers Email #9.5 Deadline Extended (All Prospects)</c:v>
                </c:pt>
                <c:pt idx="11">
                  <c:v>Call for Abstracts Email #10 (All Prospects)</c:v>
                </c:pt>
                <c:pt idx="12">
                  <c:v>Email #9 - Call for Proposals - 24 Hours Left 8/21 (All Prospects)</c:v>
                </c:pt>
                <c:pt idx="13">
                  <c:v>Call for Abstracts Email #10.5</c:v>
                </c:pt>
                <c:pt idx="14">
                  <c:v>Awareness Email #1 Save the Date</c:v>
                </c:pt>
                <c:pt idx="15">
                  <c:v>Awareness Email #2 Save the Date</c:v>
                </c:pt>
                <c:pt idx="16">
                  <c:v>Call for Abstracts Email #11a</c:v>
                </c:pt>
                <c:pt idx="17">
                  <c:v>Call For Abstracts Email #11b</c:v>
                </c:pt>
                <c:pt idx="18">
                  <c:v>Call for Abstracts Email #12a Visa Focus (International)</c:v>
                </c:pt>
                <c:pt idx="19">
                  <c:v>Call for Abstracts Email
 #12b</c:v>
                </c:pt>
                <c:pt idx="20">
                  <c:v>Call for Abstracts Email #13</c:v>
                </c:pt>
                <c:pt idx="21">
                  <c:v>Awareness Email #3 Save the Date</c:v>
                </c:pt>
                <c:pt idx="22">
                  <c:v>Call for Abstracts Email #14 </c:v>
                </c:pt>
                <c:pt idx="23">
                  <c:v>Call for Abstracts Email #15</c:v>
                </c:pt>
                <c:pt idx="24">
                  <c:v>Call for Abstracts Email #16</c:v>
                </c:pt>
                <c:pt idx="25">
                  <c:v>Call for Abstracts Email #17</c:v>
                </c:pt>
                <c:pt idx="26">
                  <c:v>Call for Abstracts Email #18</c:v>
                </c:pt>
                <c:pt idx="27">
                  <c:v>Call for Abstracts Email #19 (+ resend)</c:v>
                </c:pt>
                <c:pt idx="28">
                  <c:v>Awareness Email #4 Save the Date</c:v>
                </c:pt>
                <c:pt idx="29">
                  <c:v>Awareness Email #5A Save the Date</c:v>
                </c:pt>
                <c:pt idx="30">
                  <c:v>Awareness Email #5B Save the Date</c:v>
                </c:pt>
                <c:pt idx="31">
                  <c:v>Call for Abstracts Email #19.5</c:v>
                </c:pt>
                <c:pt idx="32">
                  <c:v>Call for Late-Breaking Abstracts Email #20</c:v>
                </c:pt>
                <c:pt idx="33">
                  <c:v>Awareness Email #6 Save the Date</c:v>
                </c:pt>
                <c:pt idx="34">
                  <c:v>Call for Late Breaking Abstracts Email #21a</c:v>
                </c:pt>
                <c:pt idx="35">
                  <c:v>Call for Late Breaking Abstracts Email #21b</c:v>
                </c:pt>
                <c:pt idx="36">
                  <c:v>Registration Email #1</c:v>
                </c:pt>
                <c:pt idx="37">
                  <c:v>Call for Late Breaking Abstracts Email #22</c:v>
                </c:pt>
                <c:pt idx="38">
                  <c:v>Registration Email #2</c:v>
                </c:pt>
                <c:pt idx="39">
                  <c:v>Registration Email #2 - Resend</c:v>
                </c:pt>
                <c:pt idx="40">
                  <c:v>Registration Email #2.5</c:v>
                </c:pt>
                <c:pt idx="41">
                  <c:v>Registration Email #2.5 Send to Non-Openers</c:v>
                </c:pt>
                <c:pt idx="42">
                  <c:v>Registration Email #3c</c:v>
                </c:pt>
              </c:strCache>
            </c:strRef>
          </c:cat>
          <c:val>
            <c:numRef>
              <c:f>Emails!$L$3:$L$45</c:f>
              <c:numCache>
                <c:formatCode>0%</c:formatCode>
                <c:ptCount val="43"/>
                <c:pt idx="0">
                  <c:v>0.06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0.06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CF-40C2-AFC7-B4BAD2E1F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6271424"/>
        <c:axId val="664107056"/>
      </c:lineChart>
      <c:catAx>
        <c:axId val="2046271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107056"/>
        <c:crosses val="autoZero"/>
        <c:auto val="1"/>
        <c:lblAlgn val="ctr"/>
        <c:lblOffset val="100"/>
        <c:noMultiLvlLbl val="0"/>
      </c:catAx>
      <c:valAx>
        <c:axId val="66410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27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Email: </a:t>
            </a:r>
          </a:p>
          <a:p>
            <a:pPr>
              <a:defRPr/>
            </a:pPr>
            <a:r>
              <a:rPr lang="en-US"/>
              <a:t>Click-To-Open Rate (Save the Date)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Emails!$K$2</c:f>
              <c:strCache>
                <c:ptCount val="1"/>
                <c:pt idx="0">
                  <c:v>Click-To-Open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2"/>
              <c:layout>
                <c:manualLayout>
                  <c:x val="-3.1210031772522285E-2"/>
                  <c:y val="-7.751185201108780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4E-4A20-8028-76F39407AA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Emails!$A$3:$A$45</c:f>
              <c:strCache>
                <c:ptCount val="43"/>
                <c:pt idx="0">
                  <c:v>Call for Proposals Email #1 (All Prospects)</c:v>
                </c:pt>
                <c:pt idx="1">
                  <c:v>Call for Proposals Email #2 (All Prospects)</c:v>
                </c:pt>
                <c:pt idx="2">
                  <c:v>Call for Proposals Email #3 (All Prospects)</c:v>
                </c:pt>
                <c:pt idx="3">
                  <c:v>Call for Proposals Email #4a (Past Submitters)</c:v>
                </c:pt>
                <c:pt idx="4">
                  <c:v>Call for Proposals Email #4b (All Prospects)
</c:v>
                </c:pt>
                <c:pt idx="5">
                  <c:v>Call for Proposals Email #5 (All Prospects)</c:v>
                </c:pt>
                <c:pt idx="6">
                  <c:v>INTL Email #1 - Survey (International Attendees)</c:v>
                </c:pt>
                <c:pt idx="7">
                  <c:v>Call for Proposals Email #6 (All Prospects)</c:v>
                </c:pt>
                <c:pt idx="8">
                  <c:v>Call for Proposals Email #7 (All Prospects)</c:v>
                </c:pt>
                <c:pt idx="9">
                  <c:v>Call for Proposals Email #8 (All Prospects)</c:v>
                </c:pt>
                <c:pt idx="10">
                  <c:v>Call for Proposals &amp; State-of-the-Art Speakers Email #9.5 Deadline Extended (All Prospects)</c:v>
                </c:pt>
                <c:pt idx="11">
                  <c:v>Call for Abstracts Email #10 (All Prospects)</c:v>
                </c:pt>
                <c:pt idx="12">
                  <c:v>Email #9 - Call for Proposals - 24 Hours Left 8/21 (All Prospects)</c:v>
                </c:pt>
                <c:pt idx="13">
                  <c:v>Call for Abstracts Email #10.5</c:v>
                </c:pt>
                <c:pt idx="14">
                  <c:v>Awareness Email #1 Save the Date</c:v>
                </c:pt>
                <c:pt idx="15">
                  <c:v>Awareness Email #2 Save the Date</c:v>
                </c:pt>
                <c:pt idx="16">
                  <c:v>Call for Abstracts Email #11a</c:v>
                </c:pt>
                <c:pt idx="17">
                  <c:v>Call For Abstracts Email #11b</c:v>
                </c:pt>
                <c:pt idx="18">
                  <c:v>Call for Abstracts Email #12a Visa Focus (International)</c:v>
                </c:pt>
                <c:pt idx="19">
                  <c:v>Call for Abstracts Email
 #12b</c:v>
                </c:pt>
                <c:pt idx="20">
                  <c:v>Call for Abstracts Email #13</c:v>
                </c:pt>
                <c:pt idx="21">
                  <c:v>Awareness Email #3 Save the Date</c:v>
                </c:pt>
                <c:pt idx="22">
                  <c:v>Call for Abstracts Email #14 </c:v>
                </c:pt>
                <c:pt idx="23">
                  <c:v>Call for Abstracts Email #15</c:v>
                </c:pt>
                <c:pt idx="24">
                  <c:v>Call for Abstracts Email #16</c:v>
                </c:pt>
                <c:pt idx="25">
                  <c:v>Call for Abstracts Email #17</c:v>
                </c:pt>
                <c:pt idx="26">
                  <c:v>Call for Abstracts Email #18</c:v>
                </c:pt>
                <c:pt idx="27">
                  <c:v>Call for Abstracts Email #19 (+ resend)</c:v>
                </c:pt>
                <c:pt idx="28">
                  <c:v>Awareness Email #4 Save the Date</c:v>
                </c:pt>
                <c:pt idx="29">
                  <c:v>Awareness Email #5A Save the Date</c:v>
                </c:pt>
                <c:pt idx="30">
                  <c:v>Awareness Email #5B Save the Date</c:v>
                </c:pt>
                <c:pt idx="31">
                  <c:v>Call for Abstracts Email #19.5</c:v>
                </c:pt>
                <c:pt idx="32">
                  <c:v>Call for Late-Breaking Abstracts Email #20</c:v>
                </c:pt>
                <c:pt idx="33">
                  <c:v>Awareness Email #6 Save the Date</c:v>
                </c:pt>
                <c:pt idx="34">
                  <c:v>Call for Late Breaking Abstracts Email #21a</c:v>
                </c:pt>
                <c:pt idx="35">
                  <c:v>Call for Late Breaking Abstracts Email #21b</c:v>
                </c:pt>
                <c:pt idx="36">
                  <c:v>Registration Email #1</c:v>
                </c:pt>
                <c:pt idx="37">
                  <c:v>Call for Late Breaking Abstracts Email #22</c:v>
                </c:pt>
                <c:pt idx="38">
                  <c:v>Registration Email #2</c:v>
                </c:pt>
                <c:pt idx="39">
                  <c:v>Registration Email #2 - Resend</c:v>
                </c:pt>
                <c:pt idx="40">
                  <c:v>Registration Email #2.5</c:v>
                </c:pt>
                <c:pt idx="41">
                  <c:v>Registration Email #2.5 Send to Non-Openers</c:v>
                </c:pt>
                <c:pt idx="42">
                  <c:v>Registration Email #3c</c:v>
                </c:pt>
              </c:strCache>
            </c:strRef>
          </c:cat>
          <c:val>
            <c:numRef>
              <c:f>Emails!$K$3:$K$45</c:f>
              <c:numCache>
                <c:formatCode>0.00%</c:formatCode>
                <c:ptCount val="43"/>
                <c:pt idx="0">
                  <c:v>6.4891380518570421E-2</c:v>
                </c:pt>
                <c:pt idx="1">
                  <c:v>0.40721442885771542</c:v>
                </c:pt>
                <c:pt idx="2">
                  <c:v>0.1896712520401026</c:v>
                </c:pt>
                <c:pt idx="3">
                  <c:v>0.22580645161290322</c:v>
                </c:pt>
                <c:pt idx="4">
                  <c:v>0.20259533898305085</c:v>
                </c:pt>
                <c:pt idx="5">
                  <c:v>0.15491780440234049</c:v>
                </c:pt>
                <c:pt idx="6">
                  <c:v>0.1703056768558952</c:v>
                </c:pt>
                <c:pt idx="7">
                  <c:v>3.5225806451612905E-2</c:v>
                </c:pt>
                <c:pt idx="8">
                  <c:v>4.7492063492063495E-2</c:v>
                </c:pt>
                <c:pt idx="9">
                  <c:v>3.2334697109674015E-2</c:v>
                </c:pt>
                <c:pt idx="10">
                  <c:v>2.8527182329448203E-2</c:v>
                </c:pt>
                <c:pt idx="11">
                  <c:v>2.7959697732997481E-2</c:v>
                </c:pt>
                <c:pt idx="12">
                  <c:v>0.18034096963239213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1.200600300150075E-2</c:v>
                </c:pt>
                <c:pt idx="17" formatCode="0.0%">
                  <c:v>1.8042511122095897E-2</c:v>
                </c:pt>
                <c:pt idx="18">
                  <c:v>5.7211925866236905E-2</c:v>
                </c:pt>
                <c:pt idx="19">
                  <c:v>2.2195196108239588E-2</c:v>
                </c:pt>
                <c:pt idx="20">
                  <c:v>0.21267372179013133</c:v>
                </c:pt>
                <c:pt idx="21">
                  <c:v>0.25445568400770713</c:v>
                </c:pt>
                <c:pt idx="22">
                  <c:v>1.9995768091409225E-2</c:v>
                </c:pt>
                <c:pt idx="23">
                  <c:v>2.5152552463164161E-2</c:v>
                </c:pt>
                <c:pt idx="24">
                  <c:v>2.9057996903656069E-2</c:v>
                </c:pt>
                <c:pt idx="25">
                  <c:v>0.39366515837104071</c:v>
                </c:pt>
                <c:pt idx="26">
                  <c:v>1</c:v>
                </c:pt>
                <c:pt idx="27">
                  <c:v>3.3260306711810399E-2</c:v>
                </c:pt>
                <c:pt idx="28">
                  <c:v>3.5154707044107968E-2</c:v>
                </c:pt>
                <c:pt idx="29">
                  <c:v>5.2336448598130844E-2</c:v>
                </c:pt>
                <c:pt idx="30">
                  <c:v>4.8888888888888891E-2</c:v>
                </c:pt>
                <c:pt idx="31">
                  <c:v>2.4922918807810893E-2</c:v>
                </c:pt>
                <c:pt idx="32">
                  <c:v>7.9064587973273939E-2</c:v>
                </c:pt>
                <c:pt idx="33">
                  <c:v>4.4973544973544971E-2</c:v>
                </c:pt>
                <c:pt idx="34">
                  <c:v>5.4982817869415807E-2</c:v>
                </c:pt>
                <c:pt idx="35">
                  <c:v>8.2278481012658222E-2</c:v>
                </c:pt>
                <c:pt idx="36">
                  <c:v>4.9425788632068618E-2</c:v>
                </c:pt>
                <c:pt idx="37">
                  <c:v>9.593628382659064E-3</c:v>
                </c:pt>
                <c:pt idx="38">
                  <c:v>3.1179213857428383E-2</c:v>
                </c:pt>
                <c:pt idx="39">
                  <c:v>0.73387533875338751</c:v>
                </c:pt>
                <c:pt idx="40">
                  <c:v>0.64445027551823664</c:v>
                </c:pt>
                <c:pt idx="42">
                  <c:v>5.0209205020920501E-2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8-4D66-B4DF-CF84FBCB6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2046271424"/>
        <c:axId val="664107056"/>
      </c:barChart>
      <c:lineChart>
        <c:grouping val="standard"/>
        <c:varyColors val="0"/>
        <c:ser>
          <c:idx val="1"/>
          <c:order val="1"/>
          <c:tx>
            <c:strRef>
              <c:f>Emails!$L$2</c:f>
              <c:strCache>
                <c:ptCount val="1"/>
                <c:pt idx="0">
                  <c:v>CTO 
(Benchmark)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Emails!$A$3:$A$45</c:f>
              <c:strCache>
                <c:ptCount val="43"/>
                <c:pt idx="0">
                  <c:v>Call for Proposals Email #1 (All Prospects)</c:v>
                </c:pt>
                <c:pt idx="1">
                  <c:v>Call for Proposals Email #2 (All Prospects)</c:v>
                </c:pt>
                <c:pt idx="2">
                  <c:v>Call for Proposals Email #3 (All Prospects)</c:v>
                </c:pt>
                <c:pt idx="3">
                  <c:v>Call for Proposals Email #4a (Past Submitters)</c:v>
                </c:pt>
                <c:pt idx="4">
                  <c:v>Call for Proposals Email #4b (All Prospects)
</c:v>
                </c:pt>
                <c:pt idx="5">
                  <c:v>Call for Proposals Email #5 (All Prospects)</c:v>
                </c:pt>
                <c:pt idx="6">
                  <c:v>INTL Email #1 - Survey (International Attendees)</c:v>
                </c:pt>
                <c:pt idx="7">
                  <c:v>Call for Proposals Email #6 (All Prospects)</c:v>
                </c:pt>
                <c:pt idx="8">
                  <c:v>Call for Proposals Email #7 (All Prospects)</c:v>
                </c:pt>
                <c:pt idx="9">
                  <c:v>Call for Proposals Email #8 (All Prospects)</c:v>
                </c:pt>
                <c:pt idx="10">
                  <c:v>Call for Proposals &amp; State-of-the-Art Speakers Email #9.5 Deadline Extended (All Prospects)</c:v>
                </c:pt>
                <c:pt idx="11">
                  <c:v>Call for Abstracts Email #10 (All Prospects)</c:v>
                </c:pt>
                <c:pt idx="12">
                  <c:v>Email #9 - Call for Proposals - 24 Hours Left 8/21 (All Prospects)</c:v>
                </c:pt>
                <c:pt idx="13">
                  <c:v>Call for Abstracts Email #10.5</c:v>
                </c:pt>
                <c:pt idx="14">
                  <c:v>Awareness Email #1 Save the Date</c:v>
                </c:pt>
                <c:pt idx="15">
                  <c:v>Awareness Email #2 Save the Date</c:v>
                </c:pt>
                <c:pt idx="16">
                  <c:v>Call for Abstracts Email #11a</c:v>
                </c:pt>
                <c:pt idx="17">
                  <c:v>Call For Abstracts Email #11b</c:v>
                </c:pt>
                <c:pt idx="18">
                  <c:v>Call for Abstracts Email #12a Visa Focus (International)</c:v>
                </c:pt>
                <c:pt idx="19">
                  <c:v>Call for Abstracts Email
 #12b</c:v>
                </c:pt>
                <c:pt idx="20">
                  <c:v>Call for Abstracts Email #13</c:v>
                </c:pt>
                <c:pt idx="21">
                  <c:v>Awareness Email #3 Save the Date</c:v>
                </c:pt>
                <c:pt idx="22">
                  <c:v>Call for Abstracts Email #14 </c:v>
                </c:pt>
                <c:pt idx="23">
                  <c:v>Call for Abstracts Email #15</c:v>
                </c:pt>
                <c:pt idx="24">
                  <c:v>Call for Abstracts Email #16</c:v>
                </c:pt>
                <c:pt idx="25">
                  <c:v>Call for Abstracts Email #17</c:v>
                </c:pt>
                <c:pt idx="26">
                  <c:v>Call for Abstracts Email #18</c:v>
                </c:pt>
                <c:pt idx="27">
                  <c:v>Call for Abstracts Email #19 (+ resend)</c:v>
                </c:pt>
                <c:pt idx="28">
                  <c:v>Awareness Email #4 Save the Date</c:v>
                </c:pt>
                <c:pt idx="29">
                  <c:v>Awareness Email #5A Save the Date</c:v>
                </c:pt>
                <c:pt idx="30">
                  <c:v>Awareness Email #5B Save the Date</c:v>
                </c:pt>
                <c:pt idx="31">
                  <c:v>Call for Abstracts Email #19.5</c:v>
                </c:pt>
                <c:pt idx="32">
                  <c:v>Call for Late-Breaking Abstracts Email #20</c:v>
                </c:pt>
                <c:pt idx="33">
                  <c:v>Awareness Email #6 Save the Date</c:v>
                </c:pt>
                <c:pt idx="34">
                  <c:v>Call for Late Breaking Abstracts Email #21a</c:v>
                </c:pt>
                <c:pt idx="35">
                  <c:v>Call for Late Breaking Abstracts Email #21b</c:v>
                </c:pt>
                <c:pt idx="36">
                  <c:v>Registration Email #1</c:v>
                </c:pt>
                <c:pt idx="37">
                  <c:v>Call for Late Breaking Abstracts Email #22</c:v>
                </c:pt>
                <c:pt idx="38">
                  <c:v>Registration Email #2</c:v>
                </c:pt>
                <c:pt idx="39">
                  <c:v>Registration Email #2 - Resend</c:v>
                </c:pt>
                <c:pt idx="40">
                  <c:v>Registration Email #2.5</c:v>
                </c:pt>
                <c:pt idx="41">
                  <c:v>Registration Email #2.5 Send to Non-Openers</c:v>
                </c:pt>
                <c:pt idx="42">
                  <c:v>Registration Email #3c</c:v>
                </c:pt>
              </c:strCache>
            </c:strRef>
          </c:cat>
          <c:val>
            <c:numRef>
              <c:f>Emails!$L$3:$L$45</c:f>
              <c:numCache>
                <c:formatCode>0%</c:formatCode>
                <c:ptCount val="43"/>
                <c:pt idx="0">
                  <c:v>0.06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0.06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58-4D66-B4DF-CF84FBCB6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6271424"/>
        <c:axId val="664107056"/>
      </c:lineChart>
      <c:catAx>
        <c:axId val="2046271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107056"/>
        <c:crosses val="autoZero"/>
        <c:auto val="1"/>
        <c:lblAlgn val="ctr"/>
        <c:lblOffset val="100"/>
        <c:noMultiLvlLbl val="0"/>
      </c:catAx>
      <c:valAx>
        <c:axId val="66410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27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Email: Open Rate (by email name) Save the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Emails!$G$2</c:f>
              <c:strCache>
                <c:ptCount val="1"/>
                <c:pt idx="0">
                  <c:v>Open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Emails!$A$3:$A$45</c:f>
              <c:strCache>
                <c:ptCount val="43"/>
                <c:pt idx="0">
                  <c:v>Call for Proposals Email #1 (All Prospects)</c:v>
                </c:pt>
                <c:pt idx="1">
                  <c:v>Call for Proposals Email #2 (All Prospects)</c:v>
                </c:pt>
                <c:pt idx="2">
                  <c:v>Call for Proposals Email #3 (All Prospects)</c:v>
                </c:pt>
                <c:pt idx="3">
                  <c:v>Call for Proposals Email #4a (Past Submitters)</c:v>
                </c:pt>
                <c:pt idx="4">
                  <c:v>Call for Proposals Email #4b (All Prospects)
</c:v>
                </c:pt>
                <c:pt idx="5">
                  <c:v>Call for Proposals Email #5 (All Prospects)</c:v>
                </c:pt>
                <c:pt idx="6">
                  <c:v>INTL Email #1 - Survey (International Attendees)</c:v>
                </c:pt>
                <c:pt idx="7">
                  <c:v>Call for Proposals Email #6 (All Prospects)</c:v>
                </c:pt>
                <c:pt idx="8">
                  <c:v>Call for Proposals Email #7 (All Prospects)</c:v>
                </c:pt>
                <c:pt idx="9">
                  <c:v>Call for Proposals Email #8 (All Prospects)</c:v>
                </c:pt>
                <c:pt idx="10">
                  <c:v>Call for Proposals &amp; State-of-the-Art Speakers Email #9.5 Deadline Extended (All Prospects)</c:v>
                </c:pt>
                <c:pt idx="11">
                  <c:v>Call for Abstracts Email #10 (All Prospects)</c:v>
                </c:pt>
                <c:pt idx="12">
                  <c:v>Email #9 - Call for Proposals - 24 Hours Left 8/21 (All Prospects)</c:v>
                </c:pt>
                <c:pt idx="13">
                  <c:v>Call for Abstracts Email #10.5</c:v>
                </c:pt>
                <c:pt idx="14">
                  <c:v>Awareness Email #1 Save the Date</c:v>
                </c:pt>
                <c:pt idx="15">
                  <c:v>Awareness Email #2 Save the Date</c:v>
                </c:pt>
                <c:pt idx="16">
                  <c:v>Call for Abstracts Email #11a</c:v>
                </c:pt>
                <c:pt idx="17">
                  <c:v>Call For Abstracts Email #11b</c:v>
                </c:pt>
                <c:pt idx="18">
                  <c:v>Call for Abstracts Email #12a Visa Focus (International)</c:v>
                </c:pt>
                <c:pt idx="19">
                  <c:v>Call for Abstracts Email
 #12b</c:v>
                </c:pt>
                <c:pt idx="20">
                  <c:v>Call for Abstracts Email #13</c:v>
                </c:pt>
                <c:pt idx="21">
                  <c:v>Awareness Email #3 Save the Date</c:v>
                </c:pt>
                <c:pt idx="22">
                  <c:v>Call for Abstracts Email #14 </c:v>
                </c:pt>
                <c:pt idx="23">
                  <c:v>Call for Abstracts Email #15</c:v>
                </c:pt>
                <c:pt idx="24">
                  <c:v>Call for Abstracts Email #16</c:v>
                </c:pt>
                <c:pt idx="25">
                  <c:v>Call for Abstracts Email #17</c:v>
                </c:pt>
                <c:pt idx="26">
                  <c:v>Call for Abstracts Email #18</c:v>
                </c:pt>
                <c:pt idx="27">
                  <c:v>Call for Abstracts Email #19 (+ resend)</c:v>
                </c:pt>
                <c:pt idx="28">
                  <c:v>Awareness Email #4 Save the Date</c:v>
                </c:pt>
                <c:pt idx="29">
                  <c:v>Awareness Email #5A Save the Date</c:v>
                </c:pt>
                <c:pt idx="30">
                  <c:v>Awareness Email #5B Save the Date</c:v>
                </c:pt>
                <c:pt idx="31">
                  <c:v>Call for Abstracts Email #19.5</c:v>
                </c:pt>
                <c:pt idx="32">
                  <c:v>Call for Late-Breaking Abstracts Email #20</c:v>
                </c:pt>
                <c:pt idx="33">
                  <c:v>Awareness Email #6 Save the Date</c:v>
                </c:pt>
                <c:pt idx="34">
                  <c:v>Call for Late Breaking Abstracts Email #21a</c:v>
                </c:pt>
                <c:pt idx="35">
                  <c:v>Call for Late Breaking Abstracts Email #21b</c:v>
                </c:pt>
                <c:pt idx="36">
                  <c:v>Registration Email #1</c:v>
                </c:pt>
                <c:pt idx="37">
                  <c:v>Call for Late Breaking Abstracts Email #22</c:v>
                </c:pt>
                <c:pt idx="38">
                  <c:v>Registration Email #2</c:v>
                </c:pt>
                <c:pt idx="39">
                  <c:v>Registration Email #2 - Resend</c:v>
                </c:pt>
                <c:pt idx="40">
                  <c:v>Registration Email #2.5</c:v>
                </c:pt>
                <c:pt idx="41">
                  <c:v>Registration Email #2.5 Send to Non-Openers</c:v>
                </c:pt>
                <c:pt idx="42">
                  <c:v>Registration Email #3c</c:v>
                </c:pt>
              </c:strCache>
            </c:strRef>
          </c:cat>
          <c:val>
            <c:numRef>
              <c:f>Emails!$G$3:$G$45</c:f>
              <c:numCache>
                <c:formatCode>0.0%</c:formatCode>
                <c:ptCount val="43"/>
                <c:pt idx="0">
                  <c:v>0.40899999999999997</c:v>
                </c:pt>
                <c:pt idx="1">
                  <c:v>0.57599999999999996</c:v>
                </c:pt>
                <c:pt idx="2" formatCode="0%">
                  <c:v>0.49</c:v>
                </c:pt>
                <c:pt idx="3">
                  <c:v>0.70499999999999996</c:v>
                </c:pt>
                <c:pt idx="4">
                  <c:v>0.443</c:v>
                </c:pt>
                <c:pt idx="5">
                  <c:v>0.41499999999999998</c:v>
                </c:pt>
                <c:pt idx="6">
                  <c:v>0.51100000000000001</c:v>
                </c:pt>
                <c:pt idx="7">
                  <c:v>0.51200000000000001</c:v>
                </c:pt>
                <c:pt idx="8" formatCode="0.00%">
                  <c:v>0.46</c:v>
                </c:pt>
                <c:pt idx="9" formatCode="0.00%">
                  <c:v>0.443</c:v>
                </c:pt>
                <c:pt idx="10" formatCode="0.00%">
                  <c:v>0.43</c:v>
                </c:pt>
                <c:pt idx="11" formatCode="0.00%">
                  <c:v>0.443</c:v>
                </c:pt>
                <c:pt idx="12" formatCode="0.00%">
                  <c:v>0.42</c:v>
                </c:pt>
                <c:pt idx="13" formatCode="0.00%">
                  <c:v>9.5000000000000001E-2</c:v>
                </c:pt>
                <c:pt idx="14" formatCode="0.00%">
                  <c:v>1.6E-2</c:v>
                </c:pt>
                <c:pt idx="15" formatCode="0.00%">
                  <c:v>0.01</c:v>
                </c:pt>
                <c:pt idx="16" formatCode="0.00%">
                  <c:v>0.433</c:v>
                </c:pt>
                <c:pt idx="17" formatCode="0.00%">
                  <c:v>0.44</c:v>
                </c:pt>
                <c:pt idx="18" formatCode="0.00%">
                  <c:v>0.46700000000000003</c:v>
                </c:pt>
                <c:pt idx="19" formatCode="0%">
                  <c:v>0.42</c:v>
                </c:pt>
                <c:pt idx="20" formatCode="0%">
                  <c:v>0.43</c:v>
                </c:pt>
                <c:pt idx="21">
                  <c:v>0.45500000000000002</c:v>
                </c:pt>
                <c:pt idx="22">
                  <c:v>0.52400000000000002</c:v>
                </c:pt>
                <c:pt idx="23">
                  <c:v>0.36499999999999999</c:v>
                </c:pt>
                <c:pt idx="24">
                  <c:v>0.45800000000000002</c:v>
                </c:pt>
                <c:pt idx="25">
                  <c:v>3.5999999999999997E-2</c:v>
                </c:pt>
                <c:pt idx="26">
                  <c:v>1.2E-2</c:v>
                </c:pt>
                <c:pt idx="27">
                  <c:v>0.52700000000000002</c:v>
                </c:pt>
                <c:pt idx="28">
                  <c:v>0.41599999999999998</c:v>
                </c:pt>
                <c:pt idx="29">
                  <c:v>0.376</c:v>
                </c:pt>
                <c:pt idx="30">
                  <c:v>0.39400000000000002</c:v>
                </c:pt>
                <c:pt idx="31">
                  <c:v>0.42899999999999999</c:v>
                </c:pt>
                <c:pt idx="32">
                  <c:v>0.39600000000000002</c:v>
                </c:pt>
                <c:pt idx="33">
                  <c:v>0.41699999999999998</c:v>
                </c:pt>
                <c:pt idx="34">
                  <c:v>0.38400000000000001</c:v>
                </c:pt>
                <c:pt idx="35">
                  <c:v>0.38500000000000001</c:v>
                </c:pt>
                <c:pt idx="36">
                  <c:v>0.376</c:v>
                </c:pt>
                <c:pt idx="37">
                  <c:v>0.61099999999999999</c:v>
                </c:pt>
                <c:pt idx="38">
                  <c:v>0.41399999999999998</c:v>
                </c:pt>
                <c:pt idx="39">
                  <c:v>0.17399999999999999</c:v>
                </c:pt>
                <c:pt idx="40">
                  <c:v>0.41799999999999998</c:v>
                </c:pt>
                <c:pt idx="42">
                  <c:v>0.55500000000000005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6-41B8-AD62-412A4EAAA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6663424"/>
        <c:axId val="1060714320"/>
        <c:extLst/>
      </c:barChart>
      <c:lineChart>
        <c:grouping val="standard"/>
        <c:varyColors val="0"/>
        <c:ser>
          <c:idx val="1"/>
          <c:order val="1"/>
          <c:tx>
            <c:strRef>
              <c:f>Emails!$H$2</c:f>
              <c:strCache>
                <c:ptCount val="1"/>
                <c:pt idx="0">
                  <c:v>Open Rate (Benchmark)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Emails!$A$3:$A$45</c:f>
              <c:strCache>
                <c:ptCount val="43"/>
                <c:pt idx="0">
                  <c:v>Call for Proposals Email #1 (All Prospects)</c:v>
                </c:pt>
                <c:pt idx="1">
                  <c:v>Call for Proposals Email #2 (All Prospects)</c:v>
                </c:pt>
                <c:pt idx="2">
                  <c:v>Call for Proposals Email #3 (All Prospects)</c:v>
                </c:pt>
                <c:pt idx="3">
                  <c:v>Call for Proposals Email #4a (Past Submitters)</c:v>
                </c:pt>
                <c:pt idx="4">
                  <c:v>Call for Proposals Email #4b (All Prospects)
</c:v>
                </c:pt>
                <c:pt idx="5">
                  <c:v>Call for Proposals Email #5 (All Prospects)</c:v>
                </c:pt>
                <c:pt idx="6">
                  <c:v>INTL Email #1 - Survey (International Attendees)</c:v>
                </c:pt>
                <c:pt idx="7">
                  <c:v>Call for Proposals Email #6 (All Prospects)</c:v>
                </c:pt>
                <c:pt idx="8">
                  <c:v>Call for Proposals Email #7 (All Prospects)</c:v>
                </c:pt>
                <c:pt idx="9">
                  <c:v>Call for Proposals Email #8 (All Prospects)</c:v>
                </c:pt>
                <c:pt idx="10">
                  <c:v>Call for Proposals &amp; State-of-the-Art Speakers Email #9.5 Deadline Extended (All Prospects)</c:v>
                </c:pt>
                <c:pt idx="11">
                  <c:v>Call for Abstracts Email #10 (All Prospects)</c:v>
                </c:pt>
                <c:pt idx="12">
                  <c:v>Email #9 - Call for Proposals - 24 Hours Left 8/21 (All Prospects)</c:v>
                </c:pt>
                <c:pt idx="13">
                  <c:v>Call for Abstracts Email #10.5</c:v>
                </c:pt>
                <c:pt idx="14">
                  <c:v>Awareness Email #1 Save the Date</c:v>
                </c:pt>
                <c:pt idx="15">
                  <c:v>Awareness Email #2 Save the Date</c:v>
                </c:pt>
                <c:pt idx="16">
                  <c:v>Call for Abstracts Email #11a</c:v>
                </c:pt>
                <c:pt idx="17">
                  <c:v>Call For Abstracts Email #11b</c:v>
                </c:pt>
                <c:pt idx="18">
                  <c:v>Call for Abstracts Email #12a Visa Focus (International)</c:v>
                </c:pt>
                <c:pt idx="19">
                  <c:v>Call for Abstracts Email
 #12b</c:v>
                </c:pt>
                <c:pt idx="20">
                  <c:v>Call for Abstracts Email #13</c:v>
                </c:pt>
                <c:pt idx="21">
                  <c:v>Awareness Email #3 Save the Date</c:v>
                </c:pt>
                <c:pt idx="22">
                  <c:v>Call for Abstracts Email #14 </c:v>
                </c:pt>
                <c:pt idx="23">
                  <c:v>Call for Abstracts Email #15</c:v>
                </c:pt>
                <c:pt idx="24">
                  <c:v>Call for Abstracts Email #16</c:v>
                </c:pt>
                <c:pt idx="25">
                  <c:v>Call for Abstracts Email #17</c:v>
                </c:pt>
                <c:pt idx="26">
                  <c:v>Call for Abstracts Email #18</c:v>
                </c:pt>
                <c:pt idx="27">
                  <c:v>Call for Abstracts Email #19 (+ resend)</c:v>
                </c:pt>
                <c:pt idx="28">
                  <c:v>Awareness Email #4 Save the Date</c:v>
                </c:pt>
                <c:pt idx="29">
                  <c:v>Awareness Email #5A Save the Date</c:v>
                </c:pt>
                <c:pt idx="30">
                  <c:v>Awareness Email #5B Save the Date</c:v>
                </c:pt>
                <c:pt idx="31">
                  <c:v>Call for Abstracts Email #19.5</c:v>
                </c:pt>
                <c:pt idx="32">
                  <c:v>Call for Late-Breaking Abstracts Email #20</c:v>
                </c:pt>
                <c:pt idx="33">
                  <c:v>Awareness Email #6 Save the Date</c:v>
                </c:pt>
                <c:pt idx="34">
                  <c:v>Call for Late Breaking Abstracts Email #21a</c:v>
                </c:pt>
                <c:pt idx="35">
                  <c:v>Call for Late Breaking Abstracts Email #21b</c:v>
                </c:pt>
                <c:pt idx="36">
                  <c:v>Registration Email #1</c:v>
                </c:pt>
                <c:pt idx="37">
                  <c:v>Call for Late Breaking Abstracts Email #22</c:v>
                </c:pt>
                <c:pt idx="38">
                  <c:v>Registration Email #2</c:v>
                </c:pt>
                <c:pt idx="39">
                  <c:v>Registration Email #2 - Resend</c:v>
                </c:pt>
                <c:pt idx="40">
                  <c:v>Registration Email #2.5</c:v>
                </c:pt>
                <c:pt idx="41">
                  <c:v>Registration Email #2.5 Send to Non-Openers</c:v>
                </c:pt>
                <c:pt idx="42">
                  <c:v>Registration Email #3c</c:v>
                </c:pt>
              </c:strCache>
            </c:strRef>
          </c:cat>
          <c:val>
            <c:numRef>
              <c:f>Emails!$H$3:$H$45</c:f>
              <c:numCache>
                <c:formatCode>0%</c:formatCode>
                <c:ptCount val="43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0.15</c:v>
                </c:pt>
                <c:pt idx="18">
                  <c:v>0.15</c:v>
                </c:pt>
                <c:pt idx="19">
                  <c:v>0.15</c:v>
                </c:pt>
                <c:pt idx="20">
                  <c:v>0.15</c:v>
                </c:pt>
                <c:pt idx="21">
                  <c:v>0.15</c:v>
                </c:pt>
                <c:pt idx="22">
                  <c:v>0.15</c:v>
                </c:pt>
                <c:pt idx="23">
                  <c:v>0.15</c:v>
                </c:pt>
                <c:pt idx="24">
                  <c:v>0.15</c:v>
                </c:pt>
                <c:pt idx="25">
                  <c:v>0.15</c:v>
                </c:pt>
                <c:pt idx="26">
                  <c:v>0.15</c:v>
                </c:pt>
                <c:pt idx="27">
                  <c:v>0.15</c:v>
                </c:pt>
                <c:pt idx="28">
                  <c:v>0.15</c:v>
                </c:pt>
                <c:pt idx="29">
                  <c:v>0.15</c:v>
                </c:pt>
                <c:pt idx="30">
                  <c:v>0.15</c:v>
                </c:pt>
                <c:pt idx="31">
                  <c:v>0.15</c:v>
                </c:pt>
                <c:pt idx="32">
                  <c:v>0.15</c:v>
                </c:pt>
                <c:pt idx="33">
                  <c:v>0.15</c:v>
                </c:pt>
                <c:pt idx="34">
                  <c:v>0.15</c:v>
                </c:pt>
                <c:pt idx="35">
                  <c:v>0.15</c:v>
                </c:pt>
                <c:pt idx="36">
                  <c:v>0.15</c:v>
                </c:pt>
                <c:pt idx="37">
                  <c:v>0.15</c:v>
                </c:pt>
                <c:pt idx="38">
                  <c:v>0.15</c:v>
                </c:pt>
                <c:pt idx="39">
                  <c:v>0.15</c:v>
                </c:pt>
                <c:pt idx="40">
                  <c:v>0.15</c:v>
                </c:pt>
                <c:pt idx="41">
                  <c:v>0.15</c:v>
                </c:pt>
                <c:pt idx="42">
                  <c:v>0.15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656-41B8-AD62-412A4EAAA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663424"/>
        <c:axId val="1060714320"/>
      </c:lineChart>
      <c:catAx>
        <c:axId val="4366634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714320"/>
        <c:crosses val="autoZero"/>
        <c:auto val="1"/>
        <c:lblAlgn val="ctr"/>
        <c:lblOffset val="100"/>
        <c:noMultiLvlLbl val="0"/>
      </c:catAx>
      <c:valAx>
        <c:axId val="106071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6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2023 - 2026 Registration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'OLD Total Registrations'!$A$28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'OLD Total Registrations'!$B$26:$Z$26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'OLD Total Registrations'!$B$28:$Z$28</c:f>
              <c:numCache>
                <c:formatCode>0</c:formatCode>
                <c:ptCount val="25"/>
                <c:pt idx="1">
                  <c:v>0</c:v>
                </c:pt>
                <c:pt idx="2">
                  <c:v>4</c:v>
                </c:pt>
                <c:pt idx="3">
                  <c:v>22</c:v>
                </c:pt>
                <c:pt idx="4">
                  <c:v>43</c:v>
                </c:pt>
                <c:pt idx="5">
                  <c:v>183</c:v>
                </c:pt>
                <c:pt idx="6">
                  <c:v>237</c:v>
                </c:pt>
                <c:pt idx="7">
                  <c:v>510</c:v>
                </c:pt>
                <c:pt idx="8">
                  <c:v>644</c:v>
                </c:pt>
                <c:pt idx="9">
                  <c:v>807</c:v>
                </c:pt>
                <c:pt idx="10">
                  <c:v>995</c:v>
                </c:pt>
                <c:pt idx="11">
                  <c:v>1231</c:v>
                </c:pt>
                <c:pt idx="12">
                  <c:v>1392</c:v>
                </c:pt>
                <c:pt idx="13">
                  <c:v>1540</c:v>
                </c:pt>
                <c:pt idx="14">
                  <c:v>1717</c:v>
                </c:pt>
                <c:pt idx="15">
                  <c:v>1919</c:v>
                </c:pt>
                <c:pt idx="16">
                  <c:v>2164</c:v>
                </c:pt>
                <c:pt idx="17">
                  <c:v>2421</c:v>
                </c:pt>
                <c:pt idx="18">
                  <c:v>2917</c:v>
                </c:pt>
                <c:pt idx="19">
                  <c:v>3946</c:v>
                </c:pt>
                <c:pt idx="20">
                  <c:v>4103</c:v>
                </c:pt>
                <c:pt idx="21">
                  <c:v>4266</c:v>
                </c:pt>
                <c:pt idx="22">
                  <c:v>4551</c:v>
                </c:pt>
                <c:pt idx="23">
                  <c:v>4807</c:v>
                </c:pt>
                <c:pt idx="24">
                  <c:v>4977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93-2448-BAB9-B3BCCC8DAF1D}"/>
            </c:ext>
          </c:extLst>
        </c:ser>
        <c:ser>
          <c:idx val="1"/>
          <c:order val="1"/>
          <c:tx>
            <c:strRef>
              <c:f>'OLD Total Registrations'!$A$29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'OLD Total Registrations'!$B$26:$Z$26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'OLD Total Registrations'!$B$29:$Z$29</c:f>
              <c:numCache>
                <c:formatCode>0</c:formatCode>
                <c:ptCount val="2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62</c:v>
                </c:pt>
                <c:pt idx="10">
                  <c:v>539</c:v>
                </c:pt>
                <c:pt idx="11">
                  <c:v>1022</c:v>
                </c:pt>
                <c:pt idx="12">
                  <c:v>1905</c:v>
                </c:pt>
                <c:pt idx="13">
                  <c:v>2060</c:v>
                </c:pt>
                <c:pt idx="14">
                  <c:v>2244</c:v>
                </c:pt>
                <c:pt idx="15">
                  <c:v>2383</c:v>
                </c:pt>
                <c:pt idx="16">
                  <c:v>2580</c:v>
                </c:pt>
                <c:pt idx="17">
                  <c:v>2904</c:v>
                </c:pt>
                <c:pt idx="18">
                  <c:v>3130</c:v>
                </c:pt>
                <c:pt idx="19">
                  <c:v>3491</c:v>
                </c:pt>
                <c:pt idx="20">
                  <c:v>3690</c:v>
                </c:pt>
                <c:pt idx="21">
                  <c:v>3907</c:v>
                </c:pt>
                <c:pt idx="22">
                  <c:v>4178</c:v>
                </c:pt>
                <c:pt idx="23">
                  <c:v>4619</c:v>
                </c:pt>
                <c:pt idx="24">
                  <c:v>4653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93-2448-BAB9-B3BCCC8DAF1D}"/>
            </c:ext>
          </c:extLst>
        </c:ser>
        <c:ser>
          <c:idx val="2"/>
          <c:order val="2"/>
          <c:tx>
            <c:strRef>
              <c:f>'OLD Total Registrations'!$A$30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'OLD Total Registrations'!$B$26:$Z$26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'OLD Total Registrations'!$B$30:$Z$30</c:f>
              <c:numCache>
                <c:formatCode>0</c:formatCode>
                <c:ptCount val="25"/>
                <c:pt idx="0">
                  <c:v>76</c:v>
                </c:pt>
                <c:pt idx="1">
                  <c:v>154</c:v>
                </c:pt>
                <c:pt idx="2">
                  <c:v>174</c:v>
                </c:pt>
                <c:pt idx="3">
                  <c:v>327</c:v>
                </c:pt>
                <c:pt idx="4">
                  <c:v>411</c:v>
                </c:pt>
                <c:pt idx="5">
                  <c:v>475</c:v>
                </c:pt>
                <c:pt idx="6">
                  <c:v>603</c:v>
                </c:pt>
                <c:pt idx="7">
                  <c:v>867</c:v>
                </c:pt>
                <c:pt idx="8">
                  <c:v>1666</c:v>
                </c:pt>
                <c:pt idx="9">
                  <c:v>1775</c:v>
                </c:pt>
                <c:pt idx="10">
                  <c:v>1885</c:v>
                </c:pt>
                <c:pt idx="11">
                  <c:v>1973</c:v>
                </c:pt>
                <c:pt idx="12">
                  <c:v>2051</c:v>
                </c:pt>
                <c:pt idx="13">
                  <c:v>2134</c:v>
                </c:pt>
                <c:pt idx="14">
                  <c:v>2289</c:v>
                </c:pt>
                <c:pt idx="15">
                  <c:v>2453</c:v>
                </c:pt>
                <c:pt idx="16">
                  <c:v>2875</c:v>
                </c:pt>
                <c:pt idx="17">
                  <c:v>3000</c:v>
                </c:pt>
                <c:pt idx="18">
                  <c:v>3043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93-2448-BAB9-B3BCCC8DA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8024071"/>
        <c:axId val="985676808"/>
      </c:lineChart>
      <c:catAx>
        <c:axId val="1528024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676808"/>
        <c:crosses val="autoZero"/>
        <c:auto val="1"/>
        <c:lblAlgn val="ctr"/>
        <c:lblOffset val="100"/>
        <c:noMultiLvlLbl val="0"/>
      </c:catAx>
      <c:valAx>
        <c:axId val="98567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024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Registration</a:t>
            </a:r>
            <a:r>
              <a:rPr lang="en-US" baseline="0"/>
              <a:t> Open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Open Rate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D0E-214D-9B5A-2204F353653C}"/>
              </c:ext>
            </c:extLst>
          </c:dPt>
          <c:dLbls>
            <c:dLbl>
              <c:idx val="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0E-214D-9B5A-2204F35365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'Emails (2)'!$A$204:$A$210</c:f>
              <c:strCache>
                <c:ptCount val="7"/>
                <c:pt idx="0">
                  <c:v>Registration Email #2.5</c:v>
                </c:pt>
                <c:pt idx="1">
                  <c:v>Registration Email #3a</c:v>
                </c:pt>
                <c:pt idx="2">
                  <c:v>Registration Email #3b</c:v>
                </c:pt>
                <c:pt idx="3">
                  <c:v>Registration Email #3c</c:v>
                </c:pt>
                <c:pt idx="4">
                  <c:v>Registration Email #4a</c:v>
                </c:pt>
                <c:pt idx="5">
                  <c:v>Registration Email #4b</c:v>
                </c:pt>
                <c:pt idx="6">
                  <c:v>Registration Email #4c</c:v>
                </c:pt>
              </c:strCache>
            </c:strRef>
          </c:cat>
          <c:val>
            <c:numRef>
              <c:f>'Emails (2)'!$B$204:$B$210</c:f>
              <c:numCache>
                <c:formatCode>0.0%</c:formatCode>
                <c:ptCount val="7"/>
                <c:pt idx="0">
                  <c:v>0.41799999999999998</c:v>
                </c:pt>
                <c:pt idx="1">
                  <c:v>0.49</c:v>
                </c:pt>
                <c:pt idx="2">
                  <c:v>0.442</c:v>
                </c:pt>
                <c:pt idx="3">
                  <c:v>0.55500000000000005</c:v>
                </c:pt>
                <c:pt idx="4">
                  <c:v>0.49199999999999999</c:v>
                </c:pt>
                <c:pt idx="5">
                  <c:v>0.39100000000000001</c:v>
                </c:pt>
                <c:pt idx="6" formatCode="0.00%">
                  <c:v>0.45100000000000001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0E-214D-9B5A-2204F3536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0066752"/>
        <c:axId val="460072128"/>
      </c:barChart>
      <c:lineChart>
        <c:grouping val="standard"/>
        <c:varyColors val="0"/>
        <c:ser>
          <c:idx val="1"/>
          <c:order val="1"/>
          <c:tx>
            <c:v>Open Rate 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'Emails (2)'!$A$204:$A$210</c:f>
              <c:strCache>
                <c:ptCount val="7"/>
                <c:pt idx="0">
                  <c:v>Registration Email #2.5</c:v>
                </c:pt>
                <c:pt idx="1">
                  <c:v>Registration Email #3a</c:v>
                </c:pt>
                <c:pt idx="2">
                  <c:v>Registration Email #3b</c:v>
                </c:pt>
                <c:pt idx="3">
                  <c:v>Registration Email #3c</c:v>
                </c:pt>
                <c:pt idx="4">
                  <c:v>Registration Email #4a</c:v>
                </c:pt>
                <c:pt idx="5">
                  <c:v>Registration Email #4b</c:v>
                </c:pt>
                <c:pt idx="6">
                  <c:v>Registration Email #4c</c:v>
                </c:pt>
              </c:strCache>
            </c:strRef>
          </c:cat>
          <c:val>
            <c:numRef>
              <c:f>'Emails (2)'!$C$204:$C$210</c:f>
              <c:numCache>
                <c:formatCode>0%</c:formatCode>
                <c:ptCount val="7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0E-214D-9B5A-2204F3536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066752"/>
        <c:axId val="460072128"/>
      </c:lineChart>
      <c:catAx>
        <c:axId val="46006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072128"/>
        <c:crosses val="autoZero"/>
        <c:auto val="1"/>
        <c:lblAlgn val="ctr"/>
        <c:lblOffset val="100"/>
        <c:noMultiLvlLbl val="0"/>
      </c:catAx>
      <c:valAx>
        <c:axId val="46007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06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Registration</a:t>
            </a:r>
            <a:r>
              <a:rPr lang="en-US" baseline="0"/>
              <a:t> Open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Open Rate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300-4EDE-B3B3-2D8DA3B87C67}"/>
              </c:ext>
            </c:extLst>
          </c:dPt>
          <c:dLbls>
            <c:dLbl>
              <c:idx val="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00-4EDE-B3B3-2D8DA3B87C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'Emails (2)'!$A$204:$A$210</c:f>
              <c:strCache>
                <c:ptCount val="7"/>
                <c:pt idx="0">
                  <c:v>Registration Email #2.5</c:v>
                </c:pt>
                <c:pt idx="1">
                  <c:v>Registration Email #3a</c:v>
                </c:pt>
                <c:pt idx="2">
                  <c:v>Registration Email #3b</c:v>
                </c:pt>
                <c:pt idx="3">
                  <c:v>Registration Email #3c</c:v>
                </c:pt>
                <c:pt idx="4">
                  <c:v>Registration Email #4a</c:v>
                </c:pt>
                <c:pt idx="5">
                  <c:v>Registration Email #4b</c:v>
                </c:pt>
                <c:pt idx="6">
                  <c:v>Registration Email #4c</c:v>
                </c:pt>
              </c:strCache>
            </c:strRef>
          </c:cat>
          <c:val>
            <c:numRef>
              <c:f>'Emails (2)'!$B$204:$B$210</c:f>
              <c:numCache>
                <c:formatCode>0.0%</c:formatCode>
                <c:ptCount val="7"/>
                <c:pt idx="0">
                  <c:v>0.41799999999999998</c:v>
                </c:pt>
                <c:pt idx="1">
                  <c:v>0.49</c:v>
                </c:pt>
                <c:pt idx="2">
                  <c:v>0.442</c:v>
                </c:pt>
                <c:pt idx="3">
                  <c:v>0.55500000000000005</c:v>
                </c:pt>
                <c:pt idx="4">
                  <c:v>0.49199999999999999</c:v>
                </c:pt>
                <c:pt idx="5">
                  <c:v>0.39100000000000001</c:v>
                </c:pt>
                <c:pt idx="6" formatCode="0.00%">
                  <c:v>0.45100000000000001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00-4EDE-B3B3-2D8DA3B87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0066752"/>
        <c:axId val="460072128"/>
      </c:barChart>
      <c:lineChart>
        <c:grouping val="standard"/>
        <c:varyColors val="0"/>
        <c:ser>
          <c:idx val="1"/>
          <c:order val="1"/>
          <c:tx>
            <c:v>Open Rate 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'Emails (2)'!$A$204:$A$210</c:f>
              <c:strCache>
                <c:ptCount val="7"/>
                <c:pt idx="0">
                  <c:v>Registration Email #2.5</c:v>
                </c:pt>
                <c:pt idx="1">
                  <c:v>Registration Email #3a</c:v>
                </c:pt>
                <c:pt idx="2">
                  <c:v>Registration Email #3b</c:v>
                </c:pt>
                <c:pt idx="3">
                  <c:v>Registration Email #3c</c:v>
                </c:pt>
                <c:pt idx="4">
                  <c:v>Registration Email #4a</c:v>
                </c:pt>
                <c:pt idx="5">
                  <c:v>Registration Email #4b</c:v>
                </c:pt>
                <c:pt idx="6">
                  <c:v>Registration Email #4c</c:v>
                </c:pt>
              </c:strCache>
            </c:strRef>
          </c:cat>
          <c:val>
            <c:numRef>
              <c:f>'Emails (2)'!$C$204:$C$210</c:f>
              <c:numCache>
                <c:formatCode>0%</c:formatCode>
                <c:ptCount val="7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00-4EDE-B3B3-2D8DA3B87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066752"/>
        <c:axId val="460072128"/>
      </c:lineChart>
      <c:catAx>
        <c:axId val="46006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072128"/>
        <c:crosses val="autoZero"/>
        <c:auto val="1"/>
        <c:lblAlgn val="ctr"/>
        <c:lblOffset val="100"/>
        <c:noMultiLvlLbl val="0"/>
      </c:catAx>
      <c:valAx>
        <c:axId val="46007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06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Call for Abstracts: Open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'Emails (2)'!$B$1:$B$2</c:f>
              <c:strCache>
                <c:ptCount val="2"/>
                <c:pt idx="0">
                  <c:v>ATC</c:v>
                </c:pt>
                <c:pt idx="1">
                  <c:v>Open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'Emails (2)'!$A$3:$A$20</c:f>
              <c:strCache>
                <c:ptCount val="18"/>
                <c:pt idx="0">
                  <c:v>Call for Abstracts Email #10 </c:v>
                </c:pt>
                <c:pt idx="1">
                  <c:v>Call for Abstracts Email #10.5</c:v>
                </c:pt>
                <c:pt idx="2">
                  <c:v>Call for Abstracts Email #11a</c:v>
                </c:pt>
                <c:pt idx="3">
                  <c:v>Call For Abstracts Email #11b</c:v>
                </c:pt>
                <c:pt idx="4">
                  <c:v>Call for Abstracts Email #12a</c:v>
                </c:pt>
                <c:pt idx="5">
                  <c:v>Call for Abstracts Email
 #12b</c:v>
                </c:pt>
                <c:pt idx="6">
                  <c:v>Call for Abstracts Email #13</c:v>
                </c:pt>
                <c:pt idx="7">
                  <c:v>Call for Abstracts Email #14 </c:v>
                </c:pt>
                <c:pt idx="8">
                  <c:v>Call for Abstracts Email #15</c:v>
                </c:pt>
                <c:pt idx="9">
                  <c:v>Call for Abstracts Email #16</c:v>
                </c:pt>
                <c:pt idx="10">
                  <c:v>Call for Abstracts Email #17</c:v>
                </c:pt>
                <c:pt idx="11">
                  <c:v>Call for Abstracts Email #18</c:v>
                </c:pt>
                <c:pt idx="12">
                  <c:v>Call for Abstracts Email #19 (+ resend)</c:v>
                </c:pt>
                <c:pt idx="13">
                  <c:v>Call for Abstracts Email #19.5</c:v>
                </c:pt>
                <c:pt idx="14">
                  <c:v>Call for Late-Breaking Abstracts Email #20</c:v>
                </c:pt>
                <c:pt idx="15">
                  <c:v>Call for Late Breaking Abstracts Email #21a</c:v>
                </c:pt>
                <c:pt idx="16">
                  <c:v>Call for Late Breaking Abstracts Email #21b</c:v>
                </c:pt>
                <c:pt idx="17">
                  <c:v>Call for Late Breaking Abstracts Email #22</c:v>
                </c:pt>
              </c:strCache>
            </c:strRef>
          </c:cat>
          <c:val>
            <c:numRef>
              <c:f>'Emails (2)'!$B$3:$B$20</c:f>
              <c:numCache>
                <c:formatCode>0.00%</c:formatCode>
                <c:ptCount val="18"/>
                <c:pt idx="0">
                  <c:v>0.443</c:v>
                </c:pt>
                <c:pt idx="1">
                  <c:v>9.5000000000000001E-2</c:v>
                </c:pt>
                <c:pt idx="2">
                  <c:v>0.433</c:v>
                </c:pt>
                <c:pt idx="3">
                  <c:v>0.44</c:v>
                </c:pt>
                <c:pt idx="4">
                  <c:v>0.46700000000000003</c:v>
                </c:pt>
                <c:pt idx="5" formatCode="0%">
                  <c:v>0.42</c:v>
                </c:pt>
                <c:pt idx="6" formatCode="0%">
                  <c:v>0.43</c:v>
                </c:pt>
                <c:pt idx="7" formatCode="0.0%">
                  <c:v>0.52400000000000002</c:v>
                </c:pt>
                <c:pt idx="8" formatCode="0.0%">
                  <c:v>0.36499999999999999</c:v>
                </c:pt>
                <c:pt idx="9" formatCode="0.0%">
                  <c:v>0.45800000000000002</c:v>
                </c:pt>
                <c:pt idx="10" formatCode="0.0%">
                  <c:v>3.5999999999999997E-2</c:v>
                </c:pt>
                <c:pt idx="11" formatCode="0.0%">
                  <c:v>1.2E-2</c:v>
                </c:pt>
                <c:pt idx="12" formatCode="0.0%">
                  <c:v>0.52700000000000002</c:v>
                </c:pt>
                <c:pt idx="13" formatCode="0.0%">
                  <c:v>0.42899999999999999</c:v>
                </c:pt>
                <c:pt idx="14" formatCode="0.0%">
                  <c:v>0.39600000000000002</c:v>
                </c:pt>
                <c:pt idx="15" formatCode="0.0%">
                  <c:v>0.38400000000000001</c:v>
                </c:pt>
                <c:pt idx="16" formatCode="0.0%">
                  <c:v>0.38500000000000001</c:v>
                </c:pt>
                <c:pt idx="17" formatCode="0.0%">
                  <c:v>0.61099999999999999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C1-7841-B388-2C3D40139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51990815"/>
        <c:axId val="1710399519"/>
      </c:barChart>
      <c:lineChart>
        <c:grouping val="standard"/>
        <c:varyColors val="0"/>
        <c:ser>
          <c:idx val="2"/>
          <c:order val="1"/>
          <c:tx>
            <c:strRef>
              <c:f>'Emails (2)'!$C$1:$C$2</c:f>
              <c:strCache>
                <c:ptCount val="2"/>
                <c:pt idx="0">
                  <c:v>ATC</c:v>
                </c:pt>
                <c:pt idx="1">
                  <c:v>Open Rate (Benchmark)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'Emails (2)'!$A$3:$A$20</c:f>
              <c:strCache>
                <c:ptCount val="18"/>
                <c:pt idx="0">
                  <c:v>Call for Abstracts Email #10 </c:v>
                </c:pt>
                <c:pt idx="1">
                  <c:v>Call for Abstracts Email #10.5</c:v>
                </c:pt>
                <c:pt idx="2">
                  <c:v>Call for Abstracts Email #11a</c:v>
                </c:pt>
                <c:pt idx="3">
                  <c:v>Call For Abstracts Email #11b</c:v>
                </c:pt>
                <c:pt idx="4">
                  <c:v>Call for Abstracts Email #12a</c:v>
                </c:pt>
                <c:pt idx="5">
                  <c:v>Call for Abstracts Email
 #12b</c:v>
                </c:pt>
                <c:pt idx="6">
                  <c:v>Call for Abstracts Email #13</c:v>
                </c:pt>
                <c:pt idx="7">
                  <c:v>Call for Abstracts Email #14 </c:v>
                </c:pt>
                <c:pt idx="8">
                  <c:v>Call for Abstracts Email #15</c:v>
                </c:pt>
                <c:pt idx="9">
                  <c:v>Call for Abstracts Email #16</c:v>
                </c:pt>
                <c:pt idx="10">
                  <c:v>Call for Abstracts Email #17</c:v>
                </c:pt>
                <c:pt idx="11">
                  <c:v>Call for Abstracts Email #18</c:v>
                </c:pt>
                <c:pt idx="12">
                  <c:v>Call for Abstracts Email #19 (+ resend)</c:v>
                </c:pt>
                <c:pt idx="13">
                  <c:v>Call for Abstracts Email #19.5</c:v>
                </c:pt>
                <c:pt idx="14">
                  <c:v>Call for Late-Breaking Abstracts Email #20</c:v>
                </c:pt>
                <c:pt idx="15">
                  <c:v>Call for Late Breaking Abstracts Email #21a</c:v>
                </c:pt>
                <c:pt idx="16">
                  <c:v>Call for Late Breaking Abstracts Email #21b</c:v>
                </c:pt>
                <c:pt idx="17">
                  <c:v>Call for Late Breaking Abstracts Email #22</c:v>
                </c:pt>
              </c:strCache>
            </c:strRef>
          </c:cat>
          <c:val>
            <c:numRef>
              <c:f>'Emails (2)'!$C$3:$C$20</c:f>
              <c:numCache>
                <c:formatCode>0%</c:formatCode>
                <c:ptCount val="18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C1-7841-B388-2C3D40139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1990815"/>
        <c:axId val="1710399519"/>
      </c:lineChart>
      <c:catAx>
        <c:axId val="165199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399519"/>
        <c:crosses val="autoZero"/>
        <c:auto val="1"/>
        <c:lblAlgn val="ctr"/>
        <c:lblOffset val="100"/>
        <c:noMultiLvlLbl val="0"/>
      </c:catAx>
      <c:valAx>
        <c:axId val="171039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99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Call for Abstracts: Click-Through</a:t>
            </a:r>
            <a:r>
              <a:rPr lang="en-US" baseline="0"/>
              <a:t>-Rate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'Emails (2)'!$D$2</c:f>
              <c:strCache>
                <c:ptCount val="1"/>
                <c:pt idx="0">
                  <c:v>Click-Through Rate
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'Emails (2)'!$A$3:$A$20</c:f>
              <c:strCache>
                <c:ptCount val="18"/>
                <c:pt idx="0">
                  <c:v>Call for Abstracts Email #10 </c:v>
                </c:pt>
                <c:pt idx="1">
                  <c:v>Call for Abstracts Email #10.5</c:v>
                </c:pt>
                <c:pt idx="2">
                  <c:v>Call for Abstracts Email #11a</c:v>
                </c:pt>
                <c:pt idx="3">
                  <c:v>Call For Abstracts Email #11b</c:v>
                </c:pt>
                <c:pt idx="4">
                  <c:v>Call for Abstracts Email #12a</c:v>
                </c:pt>
                <c:pt idx="5">
                  <c:v>Call for Abstracts Email
 #12b</c:v>
                </c:pt>
                <c:pt idx="6">
                  <c:v>Call for Abstracts Email #13</c:v>
                </c:pt>
                <c:pt idx="7">
                  <c:v>Call for Abstracts Email #14 </c:v>
                </c:pt>
                <c:pt idx="8">
                  <c:v>Call for Abstracts Email #15</c:v>
                </c:pt>
                <c:pt idx="9">
                  <c:v>Call for Abstracts Email #16</c:v>
                </c:pt>
                <c:pt idx="10">
                  <c:v>Call for Abstracts Email #17</c:v>
                </c:pt>
                <c:pt idx="11">
                  <c:v>Call for Abstracts Email #18</c:v>
                </c:pt>
                <c:pt idx="12">
                  <c:v>Call for Abstracts Email #19 (+ resend)</c:v>
                </c:pt>
                <c:pt idx="13">
                  <c:v>Call for Abstracts Email #19.5</c:v>
                </c:pt>
                <c:pt idx="14">
                  <c:v>Call for Late-Breaking Abstracts Email #20</c:v>
                </c:pt>
                <c:pt idx="15">
                  <c:v>Call for Late Breaking Abstracts Email #21a</c:v>
                </c:pt>
                <c:pt idx="16">
                  <c:v>Call for Late Breaking Abstracts Email #21b</c:v>
                </c:pt>
                <c:pt idx="17">
                  <c:v>Call for Late Breaking Abstracts Email #22</c:v>
                </c:pt>
              </c:strCache>
            </c:strRef>
          </c:cat>
          <c:val>
            <c:numRef>
              <c:f>'Emails (2)'!$D$3:$D$20</c:f>
              <c:numCache>
                <c:formatCode>0.00%</c:formatCode>
                <c:ptCount val="18"/>
                <c:pt idx="0">
                  <c:v>1.2376651613982272E-2</c:v>
                </c:pt>
                <c:pt idx="1">
                  <c:v>9.5465850392194379E-2</c:v>
                </c:pt>
                <c:pt idx="2">
                  <c:v>5.0000000000000001E-3</c:v>
                </c:pt>
                <c:pt idx="3">
                  <c:v>7.9339202260623846E-3</c:v>
                </c:pt>
                <c:pt idx="4">
                  <c:v>2.7E-2</c:v>
                </c:pt>
                <c:pt idx="5">
                  <c:v>8.9999999999999998E-4</c:v>
                </c:pt>
                <c:pt idx="6">
                  <c:v>9.0999999999999998E-2</c:v>
                </c:pt>
                <c:pt idx="7">
                  <c:v>1.0374924521051765E-2</c:v>
                </c:pt>
                <c:pt idx="8">
                  <c:v>9.1882781492959274E-3</c:v>
                </c:pt>
                <c:pt idx="9">
                  <c:v>1.2999999999999999E-2</c:v>
                </c:pt>
                <c:pt idx="10">
                  <c:v>1.4E-2</c:v>
                </c:pt>
                <c:pt idx="11">
                  <c:v>1.2E-2</c:v>
                </c:pt>
                <c:pt idx="12">
                  <c:v>1.7999999999999999E-2</c:v>
                </c:pt>
                <c:pt idx="13">
                  <c:v>1.0685172945582728E-2</c:v>
                </c:pt>
                <c:pt idx="14">
                  <c:v>3.1175853887325498E-2</c:v>
                </c:pt>
                <c:pt idx="15">
                  <c:v>2.1000000000000001E-2</c:v>
                </c:pt>
                <c:pt idx="16">
                  <c:v>3.2000000000000001E-2</c:v>
                </c:pt>
                <c:pt idx="17">
                  <c:v>5.8664010183186672E-3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AF-7644-8D06-8E84448DD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1990815"/>
        <c:axId val="1710399519"/>
      </c:barChart>
      <c:lineChart>
        <c:grouping val="standard"/>
        <c:varyColors val="0"/>
        <c:ser>
          <c:idx val="1"/>
          <c:order val="1"/>
          <c:tx>
            <c:strRef>
              <c:f>'Emails (2)'!$E$2</c:f>
              <c:strCache>
                <c:ptCount val="1"/>
                <c:pt idx="0">
                  <c:v>CTR 
(Benchmark)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'Emails (2)'!$A$3:$A$20</c:f>
              <c:strCache>
                <c:ptCount val="18"/>
                <c:pt idx="0">
                  <c:v>Call for Abstracts Email #10 </c:v>
                </c:pt>
                <c:pt idx="1">
                  <c:v>Call for Abstracts Email #10.5</c:v>
                </c:pt>
                <c:pt idx="2">
                  <c:v>Call for Abstracts Email #11a</c:v>
                </c:pt>
                <c:pt idx="3">
                  <c:v>Call For Abstracts Email #11b</c:v>
                </c:pt>
                <c:pt idx="4">
                  <c:v>Call for Abstracts Email #12a</c:v>
                </c:pt>
                <c:pt idx="5">
                  <c:v>Call for Abstracts Email
 #12b</c:v>
                </c:pt>
                <c:pt idx="6">
                  <c:v>Call for Abstracts Email #13</c:v>
                </c:pt>
                <c:pt idx="7">
                  <c:v>Call for Abstracts Email #14 </c:v>
                </c:pt>
                <c:pt idx="8">
                  <c:v>Call for Abstracts Email #15</c:v>
                </c:pt>
                <c:pt idx="9">
                  <c:v>Call for Abstracts Email #16</c:v>
                </c:pt>
                <c:pt idx="10">
                  <c:v>Call for Abstracts Email #17</c:v>
                </c:pt>
                <c:pt idx="11">
                  <c:v>Call for Abstracts Email #18</c:v>
                </c:pt>
                <c:pt idx="12">
                  <c:v>Call for Abstracts Email #19 (+ resend)</c:v>
                </c:pt>
                <c:pt idx="13">
                  <c:v>Call for Abstracts Email #19.5</c:v>
                </c:pt>
                <c:pt idx="14">
                  <c:v>Call for Late-Breaking Abstracts Email #20</c:v>
                </c:pt>
                <c:pt idx="15">
                  <c:v>Call for Late Breaking Abstracts Email #21a</c:v>
                </c:pt>
                <c:pt idx="16">
                  <c:v>Call for Late Breaking Abstracts Email #21b</c:v>
                </c:pt>
                <c:pt idx="17">
                  <c:v>Call for Late Breaking Abstracts Email #22</c:v>
                </c:pt>
              </c:strCache>
            </c:strRef>
          </c:cat>
          <c:val>
            <c:numRef>
              <c:f>'Emails (2)'!$E$3:$E$20</c:f>
              <c:numCache>
                <c:formatCode>0%</c:formatCode>
                <c:ptCount val="18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AF-7644-8D06-8E84448DD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1990815"/>
        <c:axId val="1710399519"/>
      </c:lineChart>
      <c:catAx>
        <c:axId val="165199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399519"/>
        <c:crosses val="autoZero"/>
        <c:auto val="1"/>
        <c:lblAlgn val="ctr"/>
        <c:lblOffset val="100"/>
        <c:noMultiLvlLbl val="0"/>
      </c:catAx>
      <c:valAx>
        <c:axId val="171039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99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Call for Abstracts: Click-to-Open</a:t>
            </a:r>
            <a:r>
              <a:rPr lang="en-US" baseline="0"/>
              <a:t>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'Emails (2)'!$F$2</c:f>
              <c:strCache>
                <c:ptCount val="1"/>
                <c:pt idx="0">
                  <c:v>Click-To-Open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'Emails (2)'!$A$3:$A$20</c:f>
              <c:strCache>
                <c:ptCount val="18"/>
                <c:pt idx="0">
                  <c:v>Call for Abstracts Email #10 </c:v>
                </c:pt>
                <c:pt idx="1">
                  <c:v>Call for Abstracts Email #10.5</c:v>
                </c:pt>
                <c:pt idx="2">
                  <c:v>Call for Abstracts Email #11a</c:v>
                </c:pt>
                <c:pt idx="3">
                  <c:v>Call For Abstracts Email #11b</c:v>
                </c:pt>
                <c:pt idx="4">
                  <c:v>Call for Abstracts Email #12a</c:v>
                </c:pt>
                <c:pt idx="5">
                  <c:v>Call for Abstracts Email
 #12b</c:v>
                </c:pt>
                <c:pt idx="6">
                  <c:v>Call for Abstracts Email #13</c:v>
                </c:pt>
                <c:pt idx="7">
                  <c:v>Call for Abstracts Email #14 </c:v>
                </c:pt>
                <c:pt idx="8">
                  <c:v>Call for Abstracts Email #15</c:v>
                </c:pt>
                <c:pt idx="9">
                  <c:v>Call for Abstracts Email #16</c:v>
                </c:pt>
                <c:pt idx="10">
                  <c:v>Call for Abstracts Email #17</c:v>
                </c:pt>
                <c:pt idx="11">
                  <c:v>Call for Abstracts Email #18</c:v>
                </c:pt>
                <c:pt idx="12">
                  <c:v>Call for Abstracts Email #19 (+ resend)</c:v>
                </c:pt>
                <c:pt idx="13">
                  <c:v>Call for Abstracts Email #19.5</c:v>
                </c:pt>
                <c:pt idx="14">
                  <c:v>Call for Late-Breaking Abstracts Email #20</c:v>
                </c:pt>
                <c:pt idx="15">
                  <c:v>Call for Late Breaking Abstracts Email #21a</c:v>
                </c:pt>
                <c:pt idx="16">
                  <c:v>Call for Late Breaking Abstracts Email #21b</c:v>
                </c:pt>
                <c:pt idx="17">
                  <c:v>Call for Late Breaking Abstracts Email #22</c:v>
                </c:pt>
              </c:strCache>
            </c:strRef>
          </c:cat>
          <c:val>
            <c:numRef>
              <c:f>'Emails (2)'!$F$3:$F$20</c:f>
              <c:numCache>
                <c:formatCode>0.00%</c:formatCode>
                <c:ptCount val="18"/>
                <c:pt idx="0">
                  <c:v>2.7959697732997481E-2</c:v>
                </c:pt>
                <c:pt idx="1">
                  <c:v>1</c:v>
                </c:pt>
                <c:pt idx="2">
                  <c:v>1.200600300150075E-2</c:v>
                </c:pt>
                <c:pt idx="3" formatCode="0.0%">
                  <c:v>1.8042511122095897E-2</c:v>
                </c:pt>
                <c:pt idx="4">
                  <c:v>5.7211925866236905E-2</c:v>
                </c:pt>
                <c:pt idx="5">
                  <c:v>2.2195196108239588E-2</c:v>
                </c:pt>
                <c:pt idx="6">
                  <c:v>0.21267372179013133</c:v>
                </c:pt>
                <c:pt idx="7">
                  <c:v>1.9995768091409225E-2</c:v>
                </c:pt>
                <c:pt idx="8">
                  <c:v>2.5152552463164161E-2</c:v>
                </c:pt>
                <c:pt idx="9">
                  <c:v>2.9057996903656069E-2</c:v>
                </c:pt>
                <c:pt idx="10">
                  <c:v>0.39366515837104071</c:v>
                </c:pt>
                <c:pt idx="11">
                  <c:v>1</c:v>
                </c:pt>
                <c:pt idx="12">
                  <c:v>3.3260306711810399E-2</c:v>
                </c:pt>
                <c:pt idx="13">
                  <c:v>2.4922918807810893E-2</c:v>
                </c:pt>
                <c:pt idx="14">
                  <c:v>7.9064587973273939E-2</c:v>
                </c:pt>
                <c:pt idx="15">
                  <c:v>5.4982817869415807E-2</c:v>
                </c:pt>
                <c:pt idx="16">
                  <c:v>8.2278481012658222E-2</c:v>
                </c:pt>
                <c:pt idx="17">
                  <c:v>9.593628382659064E-3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06-524F-85C2-393CA39ED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1990815"/>
        <c:axId val="1710399519"/>
      </c:barChart>
      <c:lineChart>
        <c:grouping val="standard"/>
        <c:varyColors val="0"/>
        <c:ser>
          <c:idx val="1"/>
          <c:order val="1"/>
          <c:tx>
            <c:strRef>
              <c:f>'Emails (2)'!$G$2</c:f>
              <c:strCache>
                <c:ptCount val="1"/>
                <c:pt idx="0">
                  <c:v>CTO 
(Benchmark)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'Emails (2)'!$A$3:$A$20</c:f>
              <c:strCache>
                <c:ptCount val="18"/>
                <c:pt idx="0">
                  <c:v>Call for Abstracts Email #10 </c:v>
                </c:pt>
                <c:pt idx="1">
                  <c:v>Call for Abstracts Email #10.5</c:v>
                </c:pt>
                <c:pt idx="2">
                  <c:v>Call for Abstracts Email #11a</c:v>
                </c:pt>
                <c:pt idx="3">
                  <c:v>Call For Abstracts Email #11b</c:v>
                </c:pt>
                <c:pt idx="4">
                  <c:v>Call for Abstracts Email #12a</c:v>
                </c:pt>
                <c:pt idx="5">
                  <c:v>Call for Abstracts Email
 #12b</c:v>
                </c:pt>
                <c:pt idx="6">
                  <c:v>Call for Abstracts Email #13</c:v>
                </c:pt>
                <c:pt idx="7">
                  <c:v>Call for Abstracts Email #14 </c:v>
                </c:pt>
                <c:pt idx="8">
                  <c:v>Call for Abstracts Email #15</c:v>
                </c:pt>
                <c:pt idx="9">
                  <c:v>Call for Abstracts Email #16</c:v>
                </c:pt>
                <c:pt idx="10">
                  <c:v>Call for Abstracts Email #17</c:v>
                </c:pt>
                <c:pt idx="11">
                  <c:v>Call for Abstracts Email #18</c:v>
                </c:pt>
                <c:pt idx="12">
                  <c:v>Call for Abstracts Email #19 (+ resend)</c:v>
                </c:pt>
                <c:pt idx="13">
                  <c:v>Call for Abstracts Email #19.5</c:v>
                </c:pt>
                <c:pt idx="14">
                  <c:v>Call for Late-Breaking Abstracts Email #20</c:v>
                </c:pt>
                <c:pt idx="15">
                  <c:v>Call for Late Breaking Abstracts Email #21a</c:v>
                </c:pt>
                <c:pt idx="16">
                  <c:v>Call for Late Breaking Abstracts Email #21b</c:v>
                </c:pt>
                <c:pt idx="17">
                  <c:v>Call for Late Breaking Abstracts Email #22</c:v>
                </c:pt>
              </c:strCache>
            </c:strRef>
          </c:cat>
          <c:val>
            <c:numRef>
              <c:f>'Emails (2)'!$G$3:$G$20</c:f>
              <c:numCache>
                <c:formatCode>0%</c:formatCode>
                <c:ptCount val="18"/>
                <c:pt idx="0">
                  <c:v>0.06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06-524F-85C2-393CA39ED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1990815"/>
        <c:axId val="1710399519"/>
      </c:lineChart>
      <c:catAx>
        <c:axId val="165199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399519"/>
        <c:crosses val="autoZero"/>
        <c:auto val="1"/>
        <c:lblAlgn val="ctr"/>
        <c:lblOffset val="100"/>
        <c:noMultiLvlLbl val="0"/>
      </c:catAx>
      <c:valAx>
        <c:axId val="171039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99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Save the Date: Click-to-Open</a:t>
            </a:r>
            <a:r>
              <a:rPr lang="en-US" baseline="0"/>
              <a:t>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'Emails (2)'!$F$38</c:f>
              <c:strCache>
                <c:ptCount val="1"/>
                <c:pt idx="0">
                  <c:v>Click-To-Open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'Emails (2)'!$A$39:$A$41</c:f>
              <c:strCache>
                <c:ptCount val="3"/>
                <c:pt idx="0">
                  <c:v>Save the Date Email #1</c:v>
                </c:pt>
                <c:pt idx="1">
                  <c:v>Save the Date Email #2</c:v>
                </c:pt>
                <c:pt idx="2">
                  <c:v>Save the Date Email #3</c:v>
                </c:pt>
              </c:strCache>
            </c:strRef>
          </c:cat>
          <c:val>
            <c:numRef>
              <c:f>'Emails (2)'!$F$39:$F$41</c:f>
              <c:numCache>
                <c:formatCode>0.00%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0.25445568400770713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A-C840-958E-655BA3D4B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1990815"/>
        <c:axId val="1710399519"/>
      </c:barChart>
      <c:lineChart>
        <c:grouping val="standard"/>
        <c:varyColors val="0"/>
        <c:ser>
          <c:idx val="1"/>
          <c:order val="1"/>
          <c:tx>
            <c:strRef>
              <c:f>'Emails (2)'!$G$38</c:f>
              <c:strCache>
                <c:ptCount val="1"/>
                <c:pt idx="0">
                  <c:v>CTO 
(Benchmark)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'Emails (2)'!$G$39:$G$41</c:f>
              <c:numCache>
                <c:formatCode>0%</c:formatCode>
                <c:ptCount val="3"/>
                <c:pt idx="0">
                  <c:v>0.06</c:v>
                </c:pt>
                <c:pt idx="1">
                  <c:v>0.06</c:v>
                </c:pt>
                <c:pt idx="2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FA-C840-958E-655BA3D4B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1990815"/>
        <c:axId val="1710399519"/>
      </c:lineChart>
      <c:catAx>
        <c:axId val="165199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399519"/>
        <c:crosses val="autoZero"/>
        <c:auto val="1"/>
        <c:lblAlgn val="ctr"/>
        <c:lblOffset val="100"/>
        <c:noMultiLvlLbl val="0"/>
      </c:catAx>
      <c:valAx>
        <c:axId val="171039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99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Save the Date: Click-Through-</a:t>
            </a:r>
            <a:r>
              <a:rPr lang="en-US" baseline="0"/>
              <a:t>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'Emails (2)'!$D$38</c:f>
              <c:strCache>
                <c:ptCount val="1"/>
                <c:pt idx="0">
                  <c:v>Click-Through Rate
(clicks / devilieries)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'Emails (2)'!$A$39:$A$41</c:f>
              <c:strCache>
                <c:ptCount val="3"/>
                <c:pt idx="0">
                  <c:v>Save the Date Email #1</c:v>
                </c:pt>
                <c:pt idx="1">
                  <c:v>Save the Date Email #2</c:v>
                </c:pt>
                <c:pt idx="2">
                  <c:v>Save the Date Email #3</c:v>
                </c:pt>
              </c:strCache>
            </c:strRef>
          </c:cat>
          <c:val>
            <c:numRef>
              <c:f>'Emails (2)'!$D$39:$D$41</c:f>
              <c:numCache>
                <c:formatCode>0.00%</c:formatCode>
                <c:ptCount val="3"/>
                <c:pt idx="0">
                  <c:v>1.5995958915642365E-2</c:v>
                </c:pt>
                <c:pt idx="1">
                  <c:v>0.01</c:v>
                </c:pt>
                <c:pt idx="2">
                  <c:v>0.11579351161771154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28-744A-9F08-5CA314719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1990815"/>
        <c:axId val="1710399519"/>
      </c:barChart>
      <c:lineChart>
        <c:grouping val="standard"/>
        <c:varyColors val="0"/>
        <c:ser>
          <c:idx val="1"/>
          <c:order val="1"/>
          <c:tx>
            <c:strRef>
              <c:f>'Emails (2)'!$E$38</c:f>
              <c:strCache>
                <c:ptCount val="1"/>
                <c:pt idx="0">
                  <c:v>CTR 
(Benchmark)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'Emails (2)'!$A$39:$A$41</c:f>
              <c:strCache>
                <c:ptCount val="3"/>
                <c:pt idx="0">
                  <c:v>Save the Date Email #1</c:v>
                </c:pt>
                <c:pt idx="1">
                  <c:v>Save the Date Email #2</c:v>
                </c:pt>
                <c:pt idx="2">
                  <c:v>Save the Date Email #3</c:v>
                </c:pt>
              </c:strCache>
            </c:strRef>
          </c:cat>
          <c:val>
            <c:numRef>
              <c:f>'Emails (2)'!$E$39:$E$41</c:f>
              <c:numCache>
                <c:formatCode>0%</c:formatCode>
                <c:ptCount val="3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28-744A-9F08-5CA314719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1990815"/>
        <c:axId val="1710399519"/>
      </c:lineChart>
      <c:catAx>
        <c:axId val="165199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399519"/>
        <c:crosses val="autoZero"/>
        <c:auto val="1"/>
        <c:lblAlgn val="ctr"/>
        <c:lblOffset val="100"/>
        <c:noMultiLvlLbl val="0"/>
      </c:catAx>
      <c:valAx>
        <c:axId val="171039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99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Save the Date: Open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'Emails (2)'!$B$38</c:f>
              <c:strCache>
                <c:ptCount val="1"/>
                <c:pt idx="0">
                  <c:v>Open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'Emails (2)'!$A$39:$A$41</c:f>
              <c:strCache>
                <c:ptCount val="3"/>
                <c:pt idx="0">
                  <c:v>Save the Date Email #1</c:v>
                </c:pt>
                <c:pt idx="1">
                  <c:v>Save the Date Email #2</c:v>
                </c:pt>
                <c:pt idx="2">
                  <c:v>Save the Date Email #3</c:v>
                </c:pt>
              </c:strCache>
            </c:strRef>
          </c:cat>
          <c:val>
            <c:numRef>
              <c:f>'Emails (2)'!$B$39:$B$41</c:f>
              <c:numCache>
                <c:formatCode>0.00%</c:formatCode>
                <c:ptCount val="3"/>
                <c:pt idx="0">
                  <c:v>1.6E-2</c:v>
                </c:pt>
                <c:pt idx="1">
                  <c:v>0.01</c:v>
                </c:pt>
                <c:pt idx="2" formatCode="0.0%">
                  <c:v>0.45500000000000002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F9-934B-A896-8AC3AA8AE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1990815"/>
        <c:axId val="1710399519"/>
      </c:barChart>
      <c:lineChart>
        <c:grouping val="standard"/>
        <c:varyColors val="0"/>
        <c:ser>
          <c:idx val="1"/>
          <c:order val="1"/>
          <c:tx>
            <c:strRef>
              <c:f>'Emails (2)'!$C$38</c:f>
              <c:strCache>
                <c:ptCount val="1"/>
                <c:pt idx="0">
                  <c:v>Open Rate (Benchmark)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'Emails (2)'!$A$39:$A$41</c:f>
              <c:strCache>
                <c:ptCount val="3"/>
                <c:pt idx="0">
                  <c:v>Save the Date Email #1</c:v>
                </c:pt>
                <c:pt idx="1">
                  <c:v>Save the Date Email #2</c:v>
                </c:pt>
                <c:pt idx="2">
                  <c:v>Save the Date Email #3</c:v>
                </c:pt>
              </c:strCache>
            </c:strRef>
          </c:cat>
          <c:val>
            <c:numRef>
              <c:f>'Emails (2)'!$C$39:$C$41</c:f>
              <c:numCache>
                <c:formatCode>0%</c:formatCode>
                <c:ptCount val="3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F9-934B-A896-8AC3AA8AE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1990815"/>
        <c:axId val="1710399519"/>
      </c:lineChart>
      <c:catAx>
        <c:axId val="165199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399519"/>
        <c:crosses val="autoZero"/>
        <c:auto val="1"/>
        <c:lblAlgn val="ctr"/>
        <c:lblOffset val="100"/>
        <c:noMultiLvlLbl val="0"/>
      </c:catAx>
      <c:valAx>
        <c:axId val="171039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99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 Rate</a:t>
            </a:r>
          </a:p>
        </c:rich>
      </c:tx>
      <c:layout>
        <c:manualLayout>
          <c:xMode val="edge"/>
          <c:yMode val="edge"/>
          <c:x val="0.40276555802419534"/>
          <c:y val="3.0128796895345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Open Rate</c:v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'Emails (2)'!$A$107:$A$109</c:f>
              <c:strCache>
                <c:ptCount val="3"/>
                <c:pt idx="0">
                  <c:v>Awareness Email #4 Save the Date</c:v>
                </c:pt>
                <c:pt idx="1">
                  <c:v>Awareness Email #5A Save the Date</c:v>
                </c:pt>
                <c:pt idx="2">
                  <c:v>Awareness Email #5B Save the Date</c:v>
                </c:pt>
              </c:strCache>
            </c:strRef>
          </c:cat>
          <c:val>
            <c:numRef>
              <c:f>'Emails (2)'!$B$107:$B$109</c:f>
              <c:numCache>
                <c:formatCode>0.0%</c:formatCode>
                <c:ptCount val="3"/>
                <c:pt idx="0">
                  <c:v>0.41599999999999998</c:v>
                </c:pt>
                <c:pt idx="1">
                  <c:v>0.376</c:v>
                </c:pt>
                <c:pt idx="2">
                  <c:v>0.39400000000000002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CF-4CC2-8CF6-6BBBF9C1C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5406471"/>
        <c:axId val="1905408519"/>
      </c:barChart>
      <c:lineChart>
        <c:grouping val="standard"/>
        <c:varyColors val="0"/>
        <c:ser>
          <c:idx val="1"/>
          <c:order val="1"/>
          <c:tx>
            <c:v>Open Rate Average</c:v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'Emails (2)'!$A$107:$A$109</c:f>
              <c:strCache>
                <c:ptCount val="3"/>
                <c:pt idx="0">
                  <c:v>Awareness Email #4 Save the Date</c:v>
                </c:pt>
                <c:pt idx="1">
                  <c:v>Awareness Email #5A Save the Date</c:v>
                </c:pt>
                <c:pt idx="2">
                  <c:v>Awareness Email #5B Save the Date</c:v>
                </c:pt>
              </c:strCache>
            </c:strRef>
          </c:cat>
          <c:val>
            <c:numRef>
              <c:f>'Emails (2)'!$C$107:$C$109</c:f>
              <c:numCache>
                <c:formatCode>0%</c:formatCode>
                <c:ptCount val="3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16-A741-9205-4A3C5D415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5406471"/>
        <c:axId val="1905408519"/>
      </c:lineChart>
      <c:catAx>
        <c:axId val="1905406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408519"/>
        <c:crosses val="autoZero"/>
        <c:auto val="1"/>
        <c:lblAlgn val="ctr"/>
        <c:lblOffset val="100"/>
        <c:noMultiLvlLbl val="0"/>
      </c:catAx>
      <c:valAx>
        <c:axId val="1905408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406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991019384295716"/>
          <c:y val="0.90079308228832511"/>
          <c:w val="0.56887462534933941"/>
          <c:h val="7.17728796671558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Click-to-Open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Click-to-Open Rate</c:v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'Emails (2)'!$A$134:$A$136</c:f>
              <c:strCache>
                <c:ptCount val="3"/>
                <c:pt idx="0">
                  <c:v>Awareness Email #4 Save the Date</c:v>
                </c:pt>
                <c:pt idx="1">
                  <c:v>Awareness Email #5A Save the Date</c:v>
                </c:pt>
                <c:pt idx="2">
                  <c:v>Awareness Email #5B Save the Date</c:v>
                </c:pt>
              </c:strCache>
            </c:strRef>
          </c:cat>
          <c:val>
            <c:numRef>
              <c:f>'Emails (2)'!$B$134:$B$136</c:f>
              <c:numCache>
                <c:formatCode>0.00%</c:formatCode>
                <c:ptCount val="3"/>
                <c:pt idx="0">
                  <c:v>3.5154707044107968E-2</c:v>
                </c:pt>
                <c:pt idx="1">
                  <c:v>5.2336448598130844E-2</c:v>
                </c:pt>
                <c:pt idx="2">
                  <c:v>4.8888888888888891E-2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8-4598-B3A5-C3166767E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8304647"/>
        <c:axId val="1008306695"/>
      </c:barChart>
      <c:lineChart>
        <c:grouping val="standard"/>
        <c:varyColors val="0"/>
        <c:ser>
          <c:idx val="1"/>
          <c:order val="1"/>
          <c:tx>
            <c:v>Average Click-to-Open Rate</c:v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'Emails (2)'!$A$134:$A$136</c:f>
              <c:strCache>
                <c:ptCount val="3"/>
                <c:pt idx="0">
                  <c:v>Awareness Email #4 Save the Date</c:v>
                </c:pt>
                <c:pt idx="1">
                  <c:v>Awareness Email #5A Save the Date</c:v>
                </c:pt>
                <c:pt idx="2">
                  <c:v>Awareness Email #5B Save the Date</c:v>
                </c:pt>
              </c:strCache>
            </c:strRef>
          </c:cat>
          <c:val>
            <c:numRef>
              <c:f>'Emails (2)'!$C$134:$C$136</c:f>
              <c:numCache>
                <c:formatCode>0%</c:formatCode>
                <c:ptCount val="3"/>
                <c:pt idx="0">
                  <c:v>0.06</c:v>
                </c:pt>
                <c:pt idx="1">
                  <c:v>0.06</c:v>
                </c:pt>
                <c:pt idx="2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7F-1F40-88CC-E7639F7D2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304647"/>
        <c:axId val="1008306695"/>
      </c:lineChart>
      <c:catAx>
        <c:axId val="1008304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306695"/>
        <c:crosses val="autoZero"/>
        <c:auto val="1"/>
        <c:lblAlgn val="ctr"/>
        <c:lblOffset val="100"/>
        <c:noMultiLvlLbl val="0"/>
      </c:catAx>
      <c:valAx>
        <c:axId val="1008306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304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Save the Date Emails Open Rate</a:t>
            </a:r>
          </a:p>
        </c:rich>
      </c:tx>
      <c:layout>
        <c:manualLayout>
          <c:xMode val="edge"/>
          <c:yMode val="edge"/>
          <c:x val="0.20415001311983394"/>
          <c:y val="3.09589901761996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'Emails (2)'!$A$162:$A$168</c:f>
              <c:strCache>
                <c:ptCount val="7"/>
                <c:pt idx="0">
                  <c:v>Awareness Email #1 Save the Date</c:v>
                </c:pt>
                <c:pt idx="1">
                  <c:v>Awareness Email #2 Save the Date</c:v>
                </c:pt>
                <c:pt idx="2">
                  <c:v>Awareness Email #3 Save the Date</c:v>
                </c:pt>
                <c:pt idx="3">
                  <c:v>Awareness Email #4 Save the Date</c:v>
                </c:pt>
                <c:pt idx="4">
                  <c:v>Awareness Email #5A Save the Date</c:v>
                </c:pt>
                <c:pt idx="5">
                  <c:v>Awareness Email #5B Save the Date</c:v>
                </c:pt>
                <c:pt idx="6">
                  <c:v>Awareness Email #6 Save the Date</c:v>
                </c:pt>
              </c:strCache>
            </c:strRef>
          </c:cat>
          <c:val>
            <c:numRef>
              <c:f>'Emails (2)'!$B$162:$B$168</c:f>
              <c:numCache>
                <c:formatCode>0.00%</c:formatCode>
                <c:ptCount val="7"/>
                <c:pt idx="0">
                  <c:v>1.6E-2</c:v>
                </c:pt>
                <c:pt idx="1">
                  <c:v>0.01</c:v>
                </c:pt>
                <c:pt idx="2" formatCode="0.0%">
                  <c:v>0.45500000000000002</c:v>
                </c:pt>
                <c:pt idx="3" formatCode="0.0%">
                  <c:v>0.41599999999999998</c:v>
                </c:pt>
                <c:pt idx="4" formatCode="0.0%">
                  <c:v>0.376</c:v>
                </c:pt>
                <c:pt idx="5" formatCode="0.0%">
                  <c:v>0.39400000000000002</c:v>
                </c:pt>
                <c:pt idx="6" formatCode="0.0%">
                  <c:v>0.41699999999999998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C-40BA-895C-689C8B484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54076935"/>
        <c:axId val="1454078983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'Emails (2)'!$A$162:$A$168</c:f>
              <c:strCache>
                <c:ptCount val="7"/>
                <c:pt idx="0">
                  <c:v>Awareness Email #1 Save the Date</c:v>
                </c:pt>
                <c:pt idx="1">
                  <c:v>Awareness Email #2 Save the Date</c:v>
                </c:pt>
                <c:pt idx="2">
                  <c:v>Awareness Email #3 Save the Date</c:v>
                </c:pt>
                <c:pt idx="3">
                  <c:v>Awareness Email #4 Save the Date</c:v>
                </c:pt>
                <c:pt idx="4">
                  <c:v>Awareness Email #5A Save the Date</c:v>
                </c:pt>
                <c:pt idx="5">
                  <c:v>Awareness Email #5B Save the Date</c:v>
                </c:pt>
                <c:pt idx="6">
                  <c:v>Awareness Email #6 Save the Date</c:v>
                </c:pt>
              </c:strCache>
            </c:strRef>
          </c:cat>
          <c:val>
            <c:numRef>
              <c:f>'Emails (2)'!$C$162:$C$168</c:f>
              <c:numCache>
                <c:formatCode>0%</c:formatCode>
                <c:ptCount val="7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80-F14F-9FD7-BFB7576A6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076935"/>
        <c:axId val="1454078983"/>
      </c:lineChart>
      <c:catAx>
        <c:axId val="1454076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078983"/>
        <c:crosses val="autoZero"/>
        <c:auto val="1"/>
        <c:lblAlgn val="ctr"/>
        <c:lblOffset val="100"/>
        <c:noMultiLvlLbl val="0"/>
      </c:catAx>
      <c:valAx>
        <c:axId val="1454078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076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Save the Date Emails Click-to-Open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'Emails (2)'!$A$162:$A$168</c:f>
              <c:strCache>
                <c:ptCount val="7"/>
                <c:pt idx="0">
                  <c:v>Awareness Email #1 Save the Date</c:v>
                </c:pt>
                <c:pt idx="1">
                  <c:v>Awareness Email #2 Save the Date</c:v>
                </c:pt>
                <c:pt idx="2">
                  <c:v>Awareness Email #3 Save the Date</c:v>
                </c:pt>
                <c:pt idx="3">
                  <c:v>Awareness Email #4 Save the Date</c:v>
                </c:pt>
                <c:pt idx="4">
                  <c:v>Awareness Email #5A Save the Date</c:v>
                </c:pt>
                <c:pt idx="5">
                  <c:v>Awareness Email #5B Save the Date</c:v>
                </c:pt>
                <c:pt idx="6">
                  <c:v>Awareness Email #6 Save the Date</c:v>
                </c:pt>
              </c:strCache>
            </c:strRef>
          </c:cat>
          <c:val>
            <c:numRef>
              <c:f>'Emails (2)'!$F$162:$F$168</c:f>
              <c:numCache>
                <c:formatCode>0.00%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0.25445568400770713</c:v>
                </c:pt>
                <c:pt idx="3">
                  <c:v>3.5154707044107968E-2</c:v>
                </c:pt>
                <c:pt idx="4">
                  <c:v>5.2336448598130844E-2</c:v>
                </c:pt>
                <c:pt idx="5">
                  <c:v>4.8888888888888891E-2</c:v>
                </c:pt>
                <c:pt idx="6">
                  <c:v>4.4973544973544971E-2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E4-4A9B-91BA-518FC790C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70275591"/>
        <c:axId val="1470277639"/>
      </c:barChart>
      <c:lineChart>
        <c:grouping val="standard"/>
        <c:varyColors val="0"/>
        <c:ser>
          <c:idx val="0"/>
          <c:order val="1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'Emails (2)'!$A$162:$A$168</c:f>
              <c:strCache>
                <c:ptCount val="7"/>
                <c:pt idx="0">
                  <c:v>Awareness Email #1 Save the Date</c:v>
                </c:pt>
                <c:pt idx="1">
                  <c:v>Awareness Email #2 Save the Date</c:v>
                </c:pt>
                <c:pt idx="2">
                  <c:v>Awareness Email #3 Save the Date</c:v>
                </c:pt>
                <c:pt idx="3">
                  <c:v>Awareness Email #4 Save the Date</c:v>
                </c:pt>
                <c:pt idx="4">
                  <c:v>Awareness Email #5A Save the Date</c:v>
                </c:pt>
                <c:pt idx="5">
                  <c:v>Awareness Email #5B Save the Date</c:v>
                </c:pt>
                <c:pt idx="6">
                  <c:v>Awareness Email #6 Save the Date</c:v>
                </c:pt>
              </c:strCache>
            </c:strRef>
          </c:cat>
          <c:val>
            <c:numRef>
              <c:f>'Emails (2)'!$G$162:$G$168</c:f>
              <c:numCache>
                <c:formatCode>0%</c:formatCode>
                <c:ptCount val="7"/>
                <c:pt idx="0">
                  <c:v>0.06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1B-8440-839E-4DC538F48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0275591"/>
        <c:axId val="1470277639"/>
      </c:lineChart>
      <c:catAx>
        <c:axId val="1470275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277639"/>
        <c:crosses val="autoZero"/>
        <c:auto val="1"/>
        <c:lblAlgn val="ctr"/>
        <c:lblOffset val="100"/>
        <c:noMultiLvlLbl val="0"/>
      </c:catAx>
      <c:valAx>
        <c:axId val="1470277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275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</a:t>
            </a:r>
            <a:r>
              <a:rPr lang="en-US" baseline="0"/>
              <a:t>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'Emails (2)'!$A$202:$A$210</c:f>
              <c:strCache>
                <c:ptCount val="9"/>
                <c:pt idx="0">
                  <c:v>Registration Email #1</c:v>
                </c:pt>
                <c:pt idx="1">
                  <c:v>Registration Email #2</c:v>
                </c:pt>
                <c:pt idx="2">
                  <c:v>Registration Email #2.5</c:v>
                </c:pt>
                <c:pt idx="3">
                  <c:v>Registration Email #3a</c:v>
                </c:pt>
                <c:pt idx="4">
                  <c:v>Registration Email #3b</c:v>
                </c:pt>
                <c:pt idx="5">
                  <c:v>Registration Email #3c</c:v>
                </c:pt>
                <c:pt idx="6">
                  <c:v>Registration Email #4a</c:v>
                </c:pt>
                <c:pt idx="7">
                  <c:v>Registration Email #4b</c:v>
                </c:pt>
                <c:pt idx="8">
                  <c:v>Registration Email #4c</c:v>
                </c:pt>
              </c:strCache>
            </c:strRef>
          </c:cat>
          <c:val>
            <c:numRef>
              <c:f>'Emails (2)'!$B$202:$B$210</c:f>
              <c:numCache>
                <c:formatCode>0.0%</c:formatCode>
                <c:ptCount val="9"/>
                <c:pt idx="0">
                  <c:v>0.376</c:v>
                </c:pt>
                <c:pt idx="1">
                  <c:v>0.41399999999999998</c:v>
                </c:pt>
                <c:pt idx="2">
                  <c:v>0.41799999999999998</c:v>
                </c:pt>
                <c:pt idx="3">
                  <c:v>0.49</c:v>
                </c:pt>
                <c:pt idx="4">
                  <c:v>0.442</c:v>
                </c:pt>
                <c:pt idx="5">
                  <c:v>0.55500000000000005</c:v>
                </c:pt>
                <c:pt idx="6">
                  <c:v>0.49199999999999999</c:v>
                </c:pt>
                <c:pt idx="7">
                  <c:v>0.39100000000000001</c:v>
                </c:pt>
                <c:pt idx="8" formatCode="0.00%">
                  <c:v>0.45100000000000001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2-E341-8506-135A0BEE042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'Emails (2)'!$A$202:$A$210</c:f>
              <c:strCache>
                <c:ptCount val="9"/>
                <c:pt idx="0">
                  <c:v>Registration Email #1</c:v>
                </c:pt>
                <c:pt idx="1">
                  <c:v>Registration Email #2</c:v>
                </c:pt>
                <c:pt idx="2">
                  <c:v>Registration Email #2.5</c:v>
                </c:pt>
                <c:pt idx="3">
                  <c:v>Registration Email #3a</c:v>
                </c:pt>
                <c:pt idx="4">
                  <c:v>Registration Email #3b</c:v>
                </c:pt>
                <c:pt idx="5">
                  <c:v>Registration Email #3c</c:v>
                </c:pt>
                <c:pt idx="6">
                  <c:v>Registration Email #4a</c:v>
                </c:pt>
                <c:pt idx="7">
                  <c:v>Registration Email #4b</c:v>
                </c:pt>
                <c:pt idx="8">
                  <c:v>Registration Email #4c</c:v>
                </c:pt>
              </c:strCache>
            </c:strRef>
          </c:cat>
          <c:val>
            <c:numRef>
              <c:f>'Emails (2)'!$C$202:$C$210</c:f>
              <c:numCache>
                <c:formatCode>0%</c:formatCode>
                <c:ptCount val="9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F2-E341-8506-135A0BEE0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868672"/>
        <c:axId val="460133632"/>
      </c:barChart>
      <c:catAx>
        <c:axId val="45186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133632"/>
        <c:crosses val="autoZero"/>
        <c:auto val="1"/>
        <c:lblAlgn val="ctr"/>
        <c:lblOffset val="100"/>
        <c:noMultiLvlLbl val="0"/>
      </c:catAx>
      <c:valAx>
        <c:axId val="46013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86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 Rate - Call for Content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'Emails (2)'!$A$248:$A$252</c:f>
              <c:strCache>
                <c:ptCount val="5"/>
                <c:pt idx="0">
                  <c:v>Call for Abstracts Email #19.5</c:v>
                </c:pt>
                <c:pt idx="1">
                  <c:v>Call for Late-Breaking Abstracts Email #20</c:v>
                </c:pt>
                <c:pt idx="2">
                  <c:v>Call for Late Breaking Abstracts Email #21a</c:v>
                </c:pt>
                <c:pt idx="3">
                  <c:v>Call for Late Breaking Abstracts Email #21b</c:v>
                </c:pt>
                <c:pt idx="4">
                  <c:v>Call for Late Breaking Abstracts Email #22</c:v>
                </c:pt>
              </c:strCache>
            </c:strRef>
          </c:cat>
          <c:val>
            <c:numRef>
              <c:f>'Emails (2)'!$B$248:$B$252</c:f>
              <c:numCache>
                <c:formatCode>0.0%</c:formatCode>
                <c:ptCount val="5"/>
                <c:pt idx="0">
                  <c:v>0.42899999999999999</c:v>
                </c:pt>
                <c:pt idx="1">
                  <c:v>0.39600000000000002</c:v>
                </c:pt>
                <c:pt idx="2">
                  <c:v>0.38400000000000001</c:v>
                </c:pt>
                <c:pt idx="3">
                  <c:v>0.38500000000000001</c:v>
                </c:pt>
                <c:pt idx="4">
                  <c:v>0.61099999999999999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9-0142-936B-A3BE0F200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29130176"/>
        <c:axId val="433810368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'Emails (2)'!$A$248:$A$252</c:f>
              <c:strCache>
                <c:ptCount val="5"/>
                <c:pt idx="0">
                  <c:v>Call for Abstracts Email #19.5</c:v>
                </c:pt>
                <c:pt idx="1">
                  <c:v>Call for Late-Breaking Abstracts Email #20</c:v>
                </c:pt>
                <c:pt idx="2">
                  <c:v>Call for Late Breaking Abstracts Email #21a</c:v>
                </c:pt>
                <c:pt idx="3">
                  <c:v>Call for Late Breaking Abstracts Email #21b</c:v>
                </c:pt>
                <c:pt idx="4">
                  <c:v>Call for Late Breaking Abstracts Email #22</c:v>
                </c:pt>
              </c:strCache>
            </c:strRef>
          </c:cat>
          <c:val>
            <c:numRef>
              <c:f>'Emails (2)'!$C$248:$C$252</c:f>
              <c:numCache>
                <c:formatCode>0%</c:formatCode>
                <c:ptCount val="5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E9-0142-936B-A3BE0F200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9130176"/>
        <c:axId val="433810368"/>
      </c:lineChart>
      <c:catAx>
        <c:axId val="42913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810368"/>
        <c:crosses val="autoZero"/>
        <c:auto val="1"/>
        <c:lblAlgn val="ctr"/>
        <c:lblOffset val="100"/>
        <c:noMultiLvlLbl val="0"/>
      </c:catAx>
      <c:valAx>
        <c:axId val="43381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3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Click-to-Open</a:t>
            </a:r>
            <a:r>
              <a:rPr lang="en-US" baseline="0"/>
              <a:t> Rate - Call for Content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Click-to-Open Rate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'Emails (2)'!$A$248:$A$252</c:f>
              <c:strCache>
                <c:ptCount val="5"/>
                <c:pt idx="0">
                  <c:v>Call for Abstracts Email #19.5</c:v>
                </c:pt>
                <c:pt idx="1">
                  <c:v>Call for Late-Breaking Abstracts Email #20</c:v>
                </c:pt>
                <c:pt idx="2">
                  <c:v>Call for Late Breaking Abstracts Email #21a</c:v>
                </c:pt>
                <c:pt idx="3">
                  <c:v>Call for Late Breaking Abstracts Email #21b</c:v>
                </c:pt>
                <c:pt idx="4">
                  <c:v>Call for Late Breaking Abstracts Email #22</c:v>
                </c:pt>
              </c:strCache>
            </c:strRef>
          </c:cat>
          <c:val>
            <c:numRef>
              <c:f>'Emails (2)'!$F$248:$F$252</c:f>
              <c:numCache>
                <c:formatCode>0.00%</c:formatCode>
                <c:ptCount val="5"/>
                <c:pt idx="0">
                  <c:v>2.4922918807810893E-2</c:v>
                </c:pt>
                <c:pt idx="1">
                  <c:v>7.9064587973273939E-2</c:v>
                </c:pt>
                <c:pt idx="2">
                  <c:v>5.4982817869415807E-2</c:v>
                </c:pt>
                <c:pt idx="3">
                  <c:v>8.2278481012658222E-2</c:v>
                </c:pt>
                <c:pt idx="4">
                  <c:v>9.5999999999999992E-3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E2-DD4F-8BAE-30BD58D48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51826944"/>
        <c:axId val="451825152"/>
      </c:barChart>
      <c:lineChart>
        <c:grouping val="standard"/>
        <c:varyColors val="0"/>
        <c:ser>
          <c:idx val="1"/>
          <c:order val="1"/>
          <c:tx>
            <c:v>Click-to-Open Rate (Benchmark)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'Emails (2)'!$A$248:$A$252</c:f>
              <c:strCache>
                <c:ptCount val="5"/>
                <c:pt idx="0">
                  <c:v>Call for Abstracts Email #19.5</c:v>
                </c:pt>
                <c:pt idx="1">
                  <c:v>Call for Late-Breaking Abstracts Email #20</c:v>
                </c:pt>
                <c:pt idx="2">
                  <c:v>Call for Late Breaking Abstracts Email #21a</c:v>
                </c:pt>
                <c:pt idx="3">
                  <c:v>Call for Late Breaking Abstracts Email #21b</c:v>
                </c:pt>
                <c:pt idx="4">
                  <c:v>Call for Late Breaking Abstracts Email #22</c:v>
                </c:pt>
              </c:strCache>
            </c:strRef>
          </c:cat>
          <c:val>
            <c:numRef>
              <c:f>'Emails (2)'!$G$248:$G$252</c:f>
              <c:numCache>
                <c:formatCode>0%</c:formatCode>
                <c:ptCount val="5"/>
                <c:pt idx="0">
                  <c:v>0.06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E2-DD4F-8BAE-30BD58D48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1826944"/>
        <c:axId val="451825152"/>
      </c:lineChart>
      <c:catAx>
        <c:axId val="45182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825152"/>
        <c:crosses val="autoZero"/>
        <c:auto val="1"/>
        <c:lblAlgn val="ctr"/>
        <c:lblOffset val="100"/>
        <c:noMultiLvlLbl val="0"/>
      </c:catAx>
      <c:valAx>
        <c:axId val="45182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82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Registration</a:t>
            </a:r>
            <a:r>
              <a:rPr lang="en-US" baseline="0"/>
              <a:t> Open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Open Rate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'Emails (2)'!$A$211:$A$216</c:f>
              <c:strCache>
                <c:ptCount val="6"/>
                <c:pt idx="0">
                  <c:v>Registration Email #5</c:v>
                </c:pt>
                <c:pt idx="1">
                  <c:v>Registration Email #6</c:v>
                </c:pt>
                <c:pt idx="2">
                  <c:v>Registration Email #7a</c:v>
                </c:pt>
                <c:pt idx="3">
                  <c:v>Registration Email #7b</c:v>
                </c:pt>
                <c:pt idx="4">
                  <c:v>Registration Email #7d</c:v>
                </c:pt>
                <c:pt idx="5">
                  <c:v>Registration Email #7e</c:v>
                </c:pt>
              </c:strCache>
            </c:strRef>
          </c:cat>
          <c:val>
            <c:numRef>
              <c:f>'Emails (2)'!$B$211:$B$216</c:f>
              <c:numCache>
                <c:formatCode>0.00%</c:formatCode>
                <c:ptCount val="6"/>
                <c:pt idx="0">
                  <c:v>0.41499999999999998</c:v>
                </c:pt>
                <c:pt idx="1">
                  <c:v>0.374</c:v>
                </c:pt>
                <c:pt idx="2">
                  <c:v>0.39</c:v>
                </c:pt>
                <c:pt idx="3">
                  <c:v>0.47199999999999998</c:v>
                </c:pt>
                <c:pt idx="4">
                  <c:v>0.46200000000000002</c:v>
                </c:pt>
                <c:pt idx="5">
                  <c:v>0.38300000000000001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D-7D40-9FC2-86D43BDB2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0066752"/>
        <c:axId val="460072128"/>
      </c:barChart>
      <c:lineChart>
        <c:grouping val="standard"/>
        <c:varyColors val="0"/>
        <c:ser>
          <c:idx val="1"/>
          <c:order val="1"/>
          <c:tx>
            <c:v>Open Rate 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'Emails (2)'!$A$211:$A$216</c:f>
              <c:strCache>
                <c:ptCount val="6"/>
                <c:pt idx="0">
                  <c:v>Registration Email #5</c:v>
                </c:pt>
                <c:pt idx="1">
                  <c:v>Registration Email #6</c:v>
                </c:pt>
                <c:pt idx="2">
                  <c:v>Registration Email #7a</c:v>
                </c:pt>
                <c:pt idx="3">
                  <c:v>Registration Email #7b</c:v>
                </c:pt>
                <c:pt idx="4">
                  <c:v>Registration Email #7d</c:v>
                </c:pt>
                <c:pt idx="5">
                  <c:v>Registration Email #7e</c:v>
                </c:pt>
              </c:strCache>
            </c:strRef>
          </c:cat>
          <c:val>
            <c:numRef>
              <c:f>'Emails (2)'!$C$211:$C$216</c:f>
              <c:numCache>
                <c:formatCode>0%</c:formatCode>
                <c:ptCount val="6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3D-7D40-9FC2-86D43BDB2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066752"/>
        <c:axId val="460072128"/>
      </c:lineChart>
      <c:catAx>
        <c:axId val="46006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072128"/>
        <c:crosses val="autoZero"/>
        <c:auto val="1"/>
        <c:lblAlgn val="ctr"/>
        <c:lblOffset val="100"/>
        <c:noMultiLvlLbl val="0"/>
      </c:catAx>
      <c:valAx>
        <c:axId val="46007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06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Registration</a:t>
            </a:r>
            <a:r>
              <a:rPr lang="en-US" baseline="0"/>
              <a:t> Open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Open Rate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'Emails (2)'!$A$226:$A$237</c:f>
              <c:strCache>
                <c:ptCount val="12"/>
                <c:pt idx="0">
                  <c:v>Registration Email #15a</c:v>
                </c:pt>
                <c:pt idx="1">
                  <c:v>Registration Email #15b</c:v>
                </c:pt>
                <c:pt idx="2">
                  <c:v>Registration Email #16a</c:v>
                </c:pt>
                <c:pt idx="3">
                  <c:v>Registration Email #16b</c:v>
                </c:pt>
                <c:pt idx="4">
                  <c:v>Registration Email #16c</c:v>
                </c:pt>
                <c:pt idx="5">
                  <c:v>Registration Email #16d</c:v>
                </c:pt>
                <c:pt idx="6">
                  <c:v>Registration Email #17</c:v>
                </c:pt>
                <c:pt idx="7">
                  <c:v>Registration Email #18a</c:v>
                </c:pt>
                <c:pt idx="8">
                  <c:v>Registration Email #18b</c:v>
                </c:pt>
                <c:pt idx="9">
                  <c:v>Registration Email #19a</c:v>
                </c:pt>
                <c:pt idx="10">
                  <c:v>Registration Email #19b</c:v>
                </c:pt>
                <c:pt idx="11">
                  <c:v>Registration Email #20</c:v>
                </c:pt>
              </c:strCache>
            </c:strRef>
          </c:cat>
          <c:val>
            <c:numRef>
              <c:f>'Emails (2)'!$B$226:$B$237</c:f>
              <c:numCache>
                <c:formatCode>0.00%</c:formatCode>
                <c:ptCount val="12"/>
                <c:pt idx="0">
                  <c:v>0.43</c:v>
                </c:pt>
                <c:pt idx="1">
                  <c:v>0.373</c:v>
                </c:pt>
                <c:pt idx="2">
                  <c:v>0.40799999999999997</c:v>
                </c:pt>
                <c:pt idx="3">
                  <c:v>0.47799999999999998</c:v>
                </c:pt>
                <c:pt idx="4">
                  <c:v>0.43</c:v>
                </c:pt>
                <c:pt idx="5">
                  <c:v>0.38700000000000001</c:v>
                </c:pt>
                <c:pt idx="6">
                  <c:v>0.47099999999999997</c:v>
                </c:pt>
                <c:pt idx="7">
                  <c:v>0.41399999999999998</c:v>
                </c:pt>
                <c:pt idx="8">
                  <c:v>0.39400000000000002</c:v>
                </c:pt>
                <c:pt idx="9">
                  <c:v>0.436</c:v>
                </c:pt>
                <c:pt idx="10">
                  <c:v>0.41</c:v>
                </c:pt>
                <c:pt idx="1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4C-7440-8174-71114EEAF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0066752"/>
        <c:axId val="460072128"/>
      </c:barChart>
      <c:lineChart>
        <c:grouping val="standard"/>
        <c:varyColors val="0"/>
        <c:ser>
          <c:idx val="1"/>
          <c:order val="1"/>
          <c:tx>
            <c:v>Open Rate 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'Emails (2)'!$A$226:$A$237</c:f>
              <c:strCache>
                <c:ptCount val="12"/>
                <c:pt idx="0">
                  <c:v>Registration Email #15a</c:v>
                </c:pt>
                <c:pt idx="1">
                  <c:v>Registration Email #15b</c:v>
                </c:pt>
                <c:pt idx="2">
                  <c:v>Registration Email #16a</c:v>
                </c:pt>
                <c:pt idx="3">
                  <c:v>Registration Email #16b</c:v>
                </c:pt>
                <c:pt idx="4">
                  <c:v>Registration Email #16c</c:v>
                </c:pt>
                <c:pt idx="5">
                  <c:v>Registration Email #16d</c:v>
                </c:pt>
                <c:pt idx="6">
                  <c:v>Registration Email #17</c:v>
                </c:pt>
                <c:pt idx="7">
                  <c:v>Registration Email #18a</c:v>
                </c:pt>
                <c:pt idx="8">
                  <c:v>Registration Email #18b</c:v>
                </c:pt>
                <c:pt idx="9">
                  <c:v>Registration Email #19a</c:v>
                </c:pt>
                <c:pt idx="10">
                  <c:v>Registration Email #19b</c:v>
                </c:pt>
                <c:pt idx="11">
                  <c:v>Registration Email #20</c:v>
                </c:pt>
              </c:strCache>
            </c:strRef>
          </c:cat>
          <c:val>
            <c:numRef>
              <c:f>'Emails (2)'!$C$226:$C$237</c:f>
              <c:numCache>
                <c:formatCode>0%</c:formatCode>
                <c:ptCount val="12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4C-7440-8174-71114EEAF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066752"/>
        <c:axId val="460072128"/>
      </c:lineChart>
      <c:catAx>
        <c:axId val="46006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072128"/>
        <c:crosses val="autoZero"/>
        <c:auto val="1"/>
        <c:lblAlgn val="ctr"/>
        <c:lblOffset val="100"/>
        <c:noMultiLvlLbl val="0"/>
      </c:catAx>
      <c:valAx>
        <c:axId val="46007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06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Registration</a:t>
            </a:r>
            <a:r>
              <a:rPr lang="en-US" baseline="0"/>
              <a:t> Click-to-Open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Click-to-Open Rate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'Emails (2)'!$A$226:$A$237</c:f>
              <c:strCache>
                <c:ptCount val="12"/>
                <c:pt idx="0">
                  <c:v>Registration Email #15a</c:v>
                </c:pt>
                <c:pt idx="1">
                  <c:v>Registration Email #15b</c:v>
                </c:pt>
                <c:pt idx="2">
                  <c:v>Registration Email #16a</c:v>
                </c:pt>
                <c:pt idx="3">
                  <c:v>Registration Email #16b</c:v>
                </c:pt>
                <c:pt idx="4">
                  <c:v>Registration Email #16c</c:v>
                </c:pt>
                <c:pt idx="5">
                  <c:v>Registration Email #16d</c:v>
                </c:pt>
                <c:pt idx="6">
                  <c:v>Registration Email #17</c:v>
                </c:pt>
                <c:pt idx="7">
                  <c:v>Registration Email #18a</c:v>
                </c:pt>
                <c:pt idx="8">
                  <c:v>Registration Email #18b</c:v>
                </c:pt>
                <c:pt idx="9">
                  <c:v>Registration Email #19a</c:v>
                </c:pt>
                <c:pt idx="10">
                  <c:v>Registration Email #19b</c:v>
                </c:pt>
                <c:pt idx="11">
                  <c:v>Registration Email #20</c:v>
                </c:pt>
              </c:strCache>
            </c:strRef>
          </c:cat>
          <c:val>
            <c:numRef>
              <c:f>'Emails (2)'!$F$226:$F$237</c:f>
              <c:numCache>
                <c:formatCode>0.00%</c:formatCode>
                <c:ptCount val="12"/>
                <c:pt idx="0">
                  <c:v>0.15683453237410072</c:v>
                </c:pt>
                <c:pt idx="1">
                  <c:v>0.13131749460043196</c:v>
                </c:pt>
                <c:pt idx="2">
                  <c:v>0.16</c:v>
                </c:pt>
                <c:pt idx="3">
                  <c:v>0.16666666666666666</c:v>
                </c:pt>
                <c:pt idx="4">
                  <c:v>8.5245901639344257E-2</c:v>
                </c:pt>
                <c:pt idx="5">
                  <c:v>0.20219435736677116</c:v>
                </c:pt>
                <c:pt idx="6">
                  <c:v>0.10524534686971235</c:v>
                </c:pt>
                <c:pt idx="7">
                  <c:v>0.12748344370860928</c:v>
                </c:pt>
                <c:pt idx="8">
                  <c:v>0.10097493036211699</c:v>
                </c:pt>
                <c:pt idx="9">
                  <c:v>4.1095890410958902E-2</c:v>
                </c:pt>
                <c:pt idx="10">
                  <c:v>8.9679043423536817E-2</c:v>
                </c:pt>
                <c:pt idx="11">
                  <c:v>0.44159999999999999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D6-BE4F-BAE3-7EA3F3A77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0066752"/>
        <c:axId val="460072128"/>
      </c:barChart>
      <c:lineChart>
        <c:grouping val="standard"/>
        <c:varyColors val="0"/>
        <c:ser>
          <c:idx val="1"/>
          <c:order val="1"/>
          <c:tx>
            <c:v>Average Click-to-Open Rate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'Emails (2)'!$A$226:$A$237</c:f>
              <c:strCache>
                <c:ptCount val="12"/>
                <c:pt idx="0">
                  <c:v>Registration Email #15a</c:v>
                </c:pt>
                <c:pt idx="1">
                  <c:v>Registration Email #15b</c:v>
                </c:pt>
                <c:pt idx="2">
                  <c:v>Registration Email #16a</c:v>
                </c:pt>
                <c:pt idx="3">
                  <c:v>Registration Email #16b</c:v>
                </c:pt>
                <c:pt idx="4">
                  <c:v>Registration Email #16c</c:v>
                </c:pt>
                <c:pt idx="5">
                  <c:v>Registration Email #16d</c:v>
                </c:pt>
                <c:pt idx="6">
                  <c:v>Registration Email #17</c:v>
                </c:pt>
                <c:pt idx="7">
                  <c:v>Registration Email #18a</c:v>
                </c:pt>
                <c:pt idx="8">
                  <c:v>Registration Email #18b</c:v>
                </c:pt>
                <c:pt idx="9">
                  <c:v>Registration Email #19a</c:v>
                </c:pt>
                <c:pt idx="10">
                  <c:v>Registration Email #19b</c:v>
                </c:pt>
                <c:pt idx="11">
                  <c:v>Registration Email #20</c:v>
                </c:pt>
              </c:strCache>
            </c:strRef>
          </c:cat>
          <c:val>
            <c:numRef>
              <c:f>'Emails (2)'!$G$226:$G$237</c:f>
              <c:numCache>
                <c:formatCode>0%</c:formatCode>
                <c:ptCount val="12"/>
                <c:pt idx="0">
                  <c:v>0.06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D6-BE4F-BAE3-7EA3F3A77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066752"/>
        <c:axId val="460072128"/>
      </c:lineChart>
      <c:catAx>
        <c:axId val="46006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072128"/>
        <c:crosses val="autoZero"/>
        <c:auto val="1"/>
        <c:lblAlgn val="ctr"/>
        <c:lblOffset val="100"/>
        <c:noMultiLvlLbl val="0"/>
      </c:catAx>
      <c:valAx>
        <c:axId val="46007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06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Nurture Email Open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Open Rate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'Emails (2)'!$A$257:$A$260</c:f>
              <c:strCache>
                <c:ptCount val="4"/>
                <c:pt idx="0">
                  <c:v>Nurture Email #1</c:v>
                </c:pt>
                <c:pt idx="1">
                  <c:v>Nurture Email #2</c:v>
                </c:pt>
                <c:pt idx="2">
                  <c:v>Nurture Email #3</c:v>
                </c:pt>
                <c:pt idx="3">
                  <c:v>Nurture Email #4</c:v>
                </c:pt>
              </c:strCache>
            </c:strRef>
          </c:cat>
          <c:val>
            <c:numRef>
              <c:f>'Emails (2)'!$B$257:$B$260</c:f>
              <c:numCache>
                <c:formatCode>0.00%</c:formatCode>
                <c:ptCount val="4"/>
                <c:pt idx="0">
                  <c:v>0.50900000000000001</c:v>
                </c:pt>
                <c:pt idx="1">
                  <c:v>0.56100000000000005</c:v>
                </c:pt>
                <c:pt idx="2">
                  <c:v>0.57399999999999995</c:v>
                </c:pt>
                <c:pt idx="3">
                  <c:v>0.64600000000000002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8-0E4C-821D-8D48A61B0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59808192"/>
        <c:axId val="1555167680"/>
      </c:barChart>
      <c:lineChart>
        <c:grouping val="standard"/>
        <c:varyColors val="0"/>
        <c:ser>
          <c:idx val="1"/>
          <c:order val="1"/>
          <c:tx>
            <c:v>Average Open Rate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'Emails (2)'!$A$257:$A$260</c:f>
              <c:strCache>
                <c:ptCount val="4"/>
                <c:pt idx="0">
                  <c:v>Nurture Email #1</c:v>
                </c:pt>
                <c:pt idx="1">
                  <c:v>Nurture Email #2</c:v>
                </c:pt>
                <c:pt idx="2">
                  <c:v>Nurture Email #3</c:v>
                </c:pt>
                <c:pt idx="3">
                  <c:v>Nurture Email #4</c:v>
                </c:pt>
              </c:strCache>
            </c:strRef>
          </c:cat>
          <c:val>
            <c:numRef>
              <c:f>'Emails (2)'!$C$257:$C$260</c:f>
              <c:numCache>
                <c:formatCode>0%</c:formatCode>
                <c:ptCount val="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18-0E4C-821D-8D48A61B0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808192"/>
        <c:axId val="1555167680"/>
      </c:lineChart>
      <c:catAx>
        <c:axId val="15598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167680"/>
        <c:crosses val="autoZero"/>
        <c:auto val="1"/>
        <c:lblAlgn val="ctr"/>
        <c:lblOffset val="100"/>
        <c:noMultiLvlLbl val="0"/>
      </c:catAx>
      <c:valAx>
        <c:axId val="155516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0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Nurture Email Click-to-Open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Click-to-Open Rate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'Emails (2)'!$A$257:$A$260</c:f>
              <c:strCache>
                <c:ptCount val="4"/>
                <c:pt idx="0">
                  <c:v>Nurture Email #1</c:v>
                </c:pt>
                <c:pt idx="1">
                  <c:v>Nurture Email #2</c:v>
                </c:pt>
                <c:pt idx="2">
                  <c:v>Nurture Email #3</c:v>
                </c:pt>
                <c:pt idx="3">
                  <c:v>Nurture Email #4</c:v>
                </c:pt>
              </c:strCache>
            </c:strRef>
          </c:cat>
          <c:val>
            <c:numRef>
              <c:f>'Emails (2)'!$F$257:$F$260</c:f>
              <c:numCache>
                <c:formatCode>0.00%</c:formatCode>
                <c:ptCount val="4"/>
                <c:pt idx="0">
                  <c:v>0.1040339702760085</c:v>
                </c:pt>
                <c:pt idx="1">
                  <c:v>0.16080402010050251</c:v>
                </c:pt>
                <c:pt idx="2">
                  <c:v>0.469558599695586</c:v>
                </c:pt>
                <c:pt idx="3">
                  <c:v>0.34572490706319703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9-D045-A62E-99628D6C3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59808192"/>
        <c:axId val="1555167680"/>
      </c:barChart>
      <c:lineChart>
        <c:grouping val="standard"/>
        <c:varyColors val="0"/>
        <c:ser>
          <c:idx val="1"/>
          <c:order val="1"/>
          <c:tx>
            <c:v>Average Click-to-Open Rate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'Emails (2)'!$A$257:$A$260</c:f>
              <c:strCache>
                <c:ptCount val="4"/>
                <c:pt idx="0">
                  <c:v>Nurture Email #1</c:v>
                </c:pt>
                <c:pt idx="1">
                  <c:v>Nurture Email #2</c:v>
                </c:pt>
                <c:pt idx="2">
                  <c:v>Nurture Email #3</c:v>
                </c:pt>
                <c:pt idx="3">
                  <c:v>Nurture Email #4</c:v>
                </c:pt>
              </c:strCache>
            </c:strRef>
          </c:cat>
          <c:val>
            <c:numRef>
              <c:f>'Emails (2)'!$G$257:$G$260</c:f>
              <c:numCache>
                <c:formatCode>0%</c:formatCode>
                <c:ptCount val="4"/>
                <c:pt idx="0">
                  <c:v>0.06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99-D045-A62E-99628D6C3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808192"/>
        <c:axId val="1555167680"/>
      </c:lineChart>
      <c:catAx>
        <c:axId val="15598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167680"/>
        <c:crosses val="autoZero"/>
        <c:auto val="1"/>
        <c:lblAlgn val="ctr"/>
        <c:lblOffset val="100"/>
        <c:noMultiLvlLbl val="0"/>
      </c:catAx>
      <c:valAx>
        <c:axId val="155516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0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'Emails (2)'!$B$298</c:f>
              <c:strCache>
                <c:ptCount val="1"/>
                <c:pt idx="0">
                  <c:v>Responses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'Emails (2)'!$A$299:$A$303</c:f>
              <c:strCache>
                <c:ptCount val="5"/>
                <c:pt idx="0">
                  <c:v>Scientific Sessions &amp; Latest Research</c:v>
                </c:pt>
                <c:pt idx="1">
                  <c:v>Networking &amp; Reconnecting With Colleagues</c:v>
                </c:pt>
                <c:pt idx="2">
                  <c:v>Meet-the-Expert Sessions</c:v>
                </c:pt>
                <c:pt idx="3">
                  <c:v>Exploring the Exhibit Hall</c:v>
                </c:pt>
                <c:pt idx="4">
                  <c:v>Career Development Opportunities</c:v>
                </c:pt>
              </c:strCache>
            </c:strRef>
          </c:cat>
          <c:val>
            <c:numRef>
              <c:f>'Emails (2)'!$B$299:$B$303</c:f>
              <c:numCache>
                <c:formatCode>General</c:formatCode>
                <c:ptCount val="5"/>
                <c:pt idx="0">
                  <c:v>50</c:v>
                </c:pt>
                <c:pt idx="1">
                  <c:v>16</c:v>
                </c:pt>
                <c:pt idx="2">
                  <c:v>8</c:v>
                </c:pt>
                <c:pt idx="3">
                  <c:v>9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9-0645-898A-CBBBDDFB6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1467520"/>
        <c:axId val="1517220992"/>
      </c:barChart>
      <c:catAx>
        <c:axId val="157146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220992"/>
        <c:crosses val="autoZero"/>
        <c:auto val="1"/>
        <c:lblAlgn val="ctr"/>
        <c:lblOffset val="100"/>
        <c:noMultiLvlLbl val="0"/>
      </c:catAx>
      <c:valAx>
        <c:axId val="151722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6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Organic Social Following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'Organic Social (Monthly)'!$G$2:$G$4</c:f>
              <c:strCache>
                <c:ptCount val="3"/>
                <c:pt idx="0">
                  <c:v>LinkedIn</c:v>
                </c:pt>
                <c:pt idx="2">
                  <c:v>Followers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'Organic Social (Monthly)'!$A$10:$A$14</c:f>
              <c:numCache>
                <c:formatCode>mmm\-yy</c:formatCode>
                <c:ptCount val="5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</c:numCache>
            </c:numRef>
          </c:cat>
          <c:val>
            <c:numRef>
              <c:f>'Organic Social (Monthly)'!$G$10:$G$14</c:f>
              <c:numCache>
                <c:formatCode>General</c:formatCode>
                <c:ptCount val="5"/>
                <c:pt idx="0">
                  <c:v>1490</c:v>
                </c:pt>
                <c:pt idx="1">
                  <c:v>1491</c:v>
                </c:pt>
                <c:pt idx="2">
                  <c:v>1506</c:v>
                </c:pt>
                <c:pt idx="3">
                  <c:v>1516</c:v>
                </c:pt>
                <c:pt idx="4">
                  <c:v>1520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98-D244-A2CC-00938D6D3F37}"/>
            </c:ext>
          </c:extLst>
        </c:ser>
        <c:ser>
          <c:idx val="1"/>
          <c:order val="1"/>
          <c:tx>
            <c:strRef>
              <c:f>'Organic Social (Monthly)'!$H$2:$H$4</c:f>
              <c:strCache>
                <c:ptCount val="3"/>
                <c:pt idx="0">
                  <c:v>Instagram</c:v>
                </c:pt>
                <c:pt idx="2">
                  <c:v>Followers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'Organic Social (Monthly)'!$A$10:$A$14</c:f>
              <c:numCache>
                <c:formatCode>mmm\-yy</c:formatCode>
                <c:ptCount val="5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</c:numCache>
            </c:numRef>
          </c:cat>
          <c:val>
            <c:numRef>
              <c:f>'Organic Social (Monthly)'!$H$10:$H$14</c:f>
              <c:numCache>
                <c:formatCode>General</c:formatCode>
                <c:ptCount val="5"/>
                <c:pt idx="0">
                  <c:v>922</c:v>
                </c:pt>
                <c:pt idx="1">
                  <c:v>925</c:v>
                </c:pt>
                <c:pt idx="2">
                  <c:v>941</c:v>
                </c:pt>
                <c:pt idx="3">
                  <c:v>942</c:v>
                </c:pt>
                <c:pt idx="4">
                  <c:v>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98-D244-A2CC-00938D6D3F37}"/>
            </c:ext>
          </c:extLst>
        </c:ser>
        <c:ser>
          <c:idx val="2"/>
          <c:order val="2"/>
          <c:tx>
            <c:strRef>
              <c:f>'Organic Social (Monthly)'!$I$2:$I$4</c:f>
              <c:strCache>
                <c:ptCount val="3"/>
                <c:pt idx="0">
                  <c:v>Facebook</c:v>
                </c:pt>
                <c:pt idx="2">
                  <c:v>Followers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'Organic Social (Monthly)'!$A$10:$A$14</c:f>
              <c:numCache>
                <c:formatCode>mmm\-yy</c:formatCode>
                <c:ptCount val="5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</c:numCache>
            </c:numRef>
          </c:cat>
          <c:val>
            <c:numRef>
              <c:f>'Organic Social (Monthly)'!$I$10:$I$14</c:f>
              <c:numCache>
                <c:formatCode>General</c:formatCode>
                <c:ptCount val="5"/>
                <c:pt idx="0">
                  <c:v>2309</c:v>
                </c:pt>
                <c:pt idx="1">
                  <c:v>2304</c:v>
                </c:pt>
                <c:pt idx="2">
                  <c:v>2300</c:v>
                </c:pt>
                <c:pt idx="3">
                  <c:v>2306</c:v>
                </c:pt>
                <c:pt idx="4">
                  <c:v>2307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98-D244-A2CC-00938D6D3F37}"/>
            </c:ext>
          </c:extLst>
        </c:ser>
        <c:ser>
          <c:idx val="3"/>
          <c:order val="3"/>
          <c:tx>
            <c:strRef>
              <c:f>'Organic Social (Monthly)'!$J$2:$J$4</c:f>
              <c:strCache>
                <c:ptCount val="3"/>
                <c:pt idx="0">
                  <c:v>X</c:v>
                </c:pt>
                <c:pt idx="2">
                  <c:v>Followers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'Organic Social (Monthly)'!$A$10:$A$14</c:f>
              <c:numCache>
                <c:formatCode>mmm\-yy</c:formatCode>
                <c:ptCount val="5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</c:numCache>
            </c:numRef>
          </c:cat>
          <c:val>
            <c:numRef>
              <c:f>'Organic Social (Monthly)'!$J$10:$J$14</c:f>
              <c:numCache>
                <c:formatCode>General</c:formatCode>
                <c:ptCount val="5"/>
                <c:pt idx="0">
                  <c:v>5626</c:v>
                </c:pt>
                <c:pt idx="1">
                  <c:v>5639</c:v>
                </c:pt>
                <c:pt idx="2">
                  <c:v>5665</c:v>
                </c:pt>
                <c:pt idx="3">
                  <c:v>5679</c:v>
                </c:pt>
                <c:pt idx="4">
                  <c:v>5678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98-D244-A2CC-00938D6D3F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59578895"/>
        <c:axId val="1479793967"/>
      </c:barChart>
      <c:dateAx>
        <c:axId val="165957889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793967"/>
        <c:crosses val="autoZero"/>
        <c:auto val="1"/>
        <c:lblOffset val="100"/>
        <c:baseTimeUnit val="months"/>
      </c:dateAx>
      <c:valAx>
        <c:axId val="147979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57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Organic Social Impressions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'Organic Social (Monthly)'!$B$2:$B$4</c:f>
              <c:strCache>
                <c:ptCount val="3"/>
                <c:pt idx="0">
                  <c:v>LinkedIn</c:v>
                </c:pt>
                <c:pt idx="2">
                  <c:v>Impressions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'Organic Social (Monthly)'!$A$10:$A$14</c:f>
              <c:numCache>
                <c:formatCode>mmm\-yy</c:formatCode>
                <c:ptCount val="5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</c:numCache>
            </c:numRef>
          </c:cat>
          <c:val>
            <c:numRef>
              <c:f>'Organic Social (Monthly)'!$B$10:$B$14</c:f>
              <c:numCache>
                <c:formatCode>General</c:formatCode>
                <c:ptCount val="5"/>
                <c:pt idx="0">
                  <c:v>882</c:v>
                </c:pt>
                <c:pt idx="1">
                  <c:v>2174</c:v>
                </c:pt>
                <c:pt idx="2" formatCode="#,##0">
                  <c:v>2041</c:v>
                </c:pt>
                <c:pt idx="3">
                  <c:v>863</c:v>
                </c:pt>
                <c:pt idx="4">
                  <c:v>1174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C8-5042-A70A-5B9712A5DC92}"/>
            </c:ext>
          </c:extLst>
        </c:ser>
        <c:ser>
          <c:idx val="1"/>
          <c:order val="1"/>
          <c:tx>
            <c:strRef>
              <c:f>'Organic Social (Monthly)'!$C$2:$C$4</c:f>
              <c:strCache>
                <c:ptCount val="3"/>
                <c:pt idx="0">
                  <c:v>Instagram</c:v>
                </c:pt>
                <c:pt idx="2">
                  <c:v>Impressions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'Organic Social (Monthly)'!$A$10:$A$14</c:f>
              <c:numCache>
                <c:formatCode>mmm\-yy</c:formatCode>
                <c:ptCount val="5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</c:numCache>
            </c:numRef>
          </c:cat>
          <c:val>
            <c:numRef>
              <c:f>'Organic Social (Monthly)'!$C$10:$C$14</c:f>
              <c:numCache>
                <c:formatCode>General</c:formatCode>
                <c:ptCount val="5"/>
                <c:pt idx="0">
                  <c:v>428</c:v>
                </c:pt>
                <c:pt idx="1">
                  <c:v>1316</c:v>
                </c:pt>
                <c:pt idx="2">
                  <c:v>3626</c:v>
                </c:pt>
                <c:pt idx="3">
                  <c:v>1835</c:v>
                </c:pt>
                <c:pt idx="4" formatCode="#,##0">
                  <c:v>3915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C8-5042-A70A-5B9712A5DC92}"/>
            </c:ext>
          </c:extLst>
        </c:ser>
        <c:ser>
          <c:idx val="2"/>
          <c:order val="2"/>
          <c:tx>
            <c:strRef>
              <c:f>'Organic Social (Monthly)'!$D$2:$D$4</c:f>
              <c:strCache>
                <c:ptCount val="3"/>
                <c:pt idx="0">
                  <c:v>Facebook</c:v>
                </c:pt>
                <c:pt idx="2">
                  <c:v>Impressions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'Organic Social (Monthly)'!$A$10:$A$14</c:f>
              <c:numCache>
                <c:formatCode>mmm\-yy</c:formatCode>
                <c:ptCount val="5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</c:numCache>
            </c:numRef>
          </c:cat>
          <c:val>
            <c:numRef>
              <c:f>'Organic Social (Monthly)'!$D$10:$D$14</c:f>
              <c:numCache>
                <c:formatCode>General</c:formatCode>
                <c:ptCount val="5"/>
                <c:pt idx="0">
                  <c:v>697</c:v>
                </c:pt>
                <c:pt idx="1">
                  <c:v>356</c:v>
                </c:pt>
                <c:pt idx="2">
                  <c:v>1100</c:v>
                </c:pt>
                <c:pt idx="3">
                  <c:v>273</c:v>
                </c:pt>
                <c:pt idx="4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C8-5042-A70A-5B9712A5DC92}"/>
            </c:ext>
          </c:extLst>
        </c:ser>
        <c:ser>
          <c:idx val="3"/>
          <c:order val="3"/>
          <c:tx>
            <c:strRef>
              <c:f>'Organic Social (Monthly)'!$E$2:$E$4</c:f>
              <c:strCache>
                <c:ptCount val="3"/>
                <c:pt idx="0">
                  <c:v>X</c:v>
                </c:pt>
                <c:pt idx="2">
                  <c:v>Impressions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'Organic Social (Monthly)'!$A$10:$A$14</c:f>
              <c:numCache>
                <c:formatCode>mmm\-yy</c:formatCode>
                <c:ptCount val="5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</c:numCache>
            </c:numRef>
          </c:cat>
          <c:val>
            <c:numRef>
              <c:f>'Organic Social (Monthly)'!$E$10:$E$14</c:f>
              <c:numCache>
                <c:formatCode>General</c:formatCode>
                <c:ptCount val="5"/>
                <c:pt idx="0">
                  <c:v>1248</c:v>
                </c:pt>
                <c:pt idx="1">
                  <c:v>1965</c:v>
                </c:pt>
                <c:pt idx="2">
                  <c:v>3108</c:v>
                </c:pt>
                <c:pt idx="3">
                  <c:v>2599</c:v>
                </c:pt>
                <c:pt idx="4">
                  <c:v>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C8-5042-A70A-5B9712A5D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7125344"/>
        <c:axId val="1456542255"/>
      </c:barChart>
      <c:dateAx>
        <c:axId val="119712534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542255"/>
        <c:crosses val="autoZero"/>
        <c:auto val="1"/>
        <c:lblOffset val="100"/>
        <c:baseTimeUnit val="months"/>
      </c:dateAx>
      <c:valAx>
        <c:axId val="145654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12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Website Traffic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'Website (Monthly)'!$C$3</c:f>
              <c:strCache>
                <c:ptCount val="1"/>
                <c:pt idx="0">
                  <c:v>New Website Users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'Website (Monthly)'!$A$11:$A$22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'Website (Monthly)'!$C$11:$C$22</c:f>
              <c:numCache>
                <c:formatCode>0</c:formatCode>
                <c:ptCount val="12"/>
                <c:pt idx="0">
                  <c:v>4446</c:v>
                </c:pt>
                <c:pt idx="1">
                  <c:v>5587</c:v>
                </c:pt>
                <c:pt idx="2">
                  <c:v>7313</c:v>
                </c:pt>
                <c:pt idx="3">
                  <c:v>5370</c:v>
                </c:pt>
                <c:pt idx="4">
                  <c:v>10990</c:v>
                </c:pt>
                <c:pt idx="5">
                  <c:v>10095</c:v>
                </c:pt>
                <c:pt idx="6">
                  <c:v>4105</c:v>
                </c:pt>
                <c:pt idx="7">
                  <c:v>10801</c:v>
                </c:pt>
                <c:pt idx="8">
                  <c:v>14750</c:v>
                </c:pt>
                <c:pt idx="9">
                  <c:v>12555</c:v>
                </c:pt>
                <c:pt idx="10">
                  <c:v>16955</c:v>
                </c:pt>
                <c:pt idx="11">
                  <c:v>26735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C-6E41-99C1-B58A3FE26A39}"/>
            </c:ext>
          </c:extLst>
        </c:ser>
        <c:ser>
          <c:idx val="1"/>
          <c:order val="1"/>
          <c:tx>
            <c:strRef>
              <c:f>'Website (Monthly)'!$D$3</c:f>
              <c:strCache>
                <c:ptCount val="1"/>
                <c:pt idx="0">
                  <c:v>Total Website Users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'Website (Monthly)'!$A$11:$A$22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'Website (Monthly)'!$D$11:$D$22</c:f>
              <c:numCache>
                <c:formatCode>0</c:formatCode>
                <c:ptCount val="12"/>
                <c:pt idx="0">
                  <c:v>4560</c:v>
                </c:pt>
                <c:pt idx="1">
                  <c:v>5820</c:v>
                </c:pt>
                <c:pt idx="2">
                  <c:v>7662</c:v>
                </c:pt>
                <c:pt idx="3">
                  <c:v>5820</c:v>
                </c:pt>
                <c:pt idx="4">
                  <c:v>11550</c:v>
                </c:pt>
                <c:pt idx="5">
                  <c:v>11542</c:v>
                </c:pt>
                <c:pt idx="6">
                  <c:v>4965</c:v>
                </c:pt>
                <c:pt idx="7">
                  <c:v>11747</c:v>
                </c:pt>
                <c:pt idx="8">
                  <c:v>16596</c:v>
                </c:pt>
                <c:pt idx="9">
                  <c:v>14968</c:v>
                </c:pt>
                <c:pt idx="10">
                  <c:v>19017</c:v>
                </c:pt>
                <c:pt idx="11">
                  <c:v>28853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2C-6E41-99C1-B58A3FE26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470288"/>
        <c:axId val="1168472000"/>
      </c:barChart>
      <c:catAx>
        <c:axId val="116847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472000"/>
        <c:crosses val="autoZero"/>
        <c:auto val="1"/>
        <c:lblAlgn val="ctr"/>
        <c:lblOffset val="100"/>
        <c:noMultiLvlLbl val="0"/>
      </c:catAx>
      <c:valAx>
        <c:axId val="116847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47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ATC 2026 Revenue vs. Spend</a:t>
            </a:r>
          </a:p>
        </c:rich>
      </c:tx>
      <c:layout>
        <c:manualLayout>
          <c:xMode val="edge"/>
          <c:yMode val="edge"/>
          <c:x val="0.403907551228948"/>
          <c:y val="2.902560763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Spend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Sheet1!$C$3:$C$4</c:f>
              <c:strCache>
                <c:ptCount val="2"/>
                <c:pt idx="0">
                  <c:v>Paid Advertising Revenue</c:v>
                </c:pt>
                <c:pt idx="1">
                  <c:v>Ad Spend</c:v>
                </c:pt>
              </c:strCache>
            </c:strRef>
          </c:cat>
          <c:val>
            <c:numRef>
              <c:f>Sheet1!$D$3:$D$4</c:f>
              <c:numCache>
                <c:formatCode>_([$$-409]* #,##0.00_);_([$$-409]* \(#,##0.00\);_([$$-409]* "-"??_);_(@_)</c:formatCode>
                <c:ptCount val="2"/>
                <c:pt idx="0">
                  <c:v>1638500</c:v>
                </c:pt>
                <c:pt idx="1">
                  <c:v>13700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EA-4487-B8EF-C122DBF72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746824"/>
        <c:axId val="1987757064"/>
      </c:barChart>
      <c:catAx>
        <c:axId val="1987746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57064"/>
        <c:crosses val="autoZero"/>
        <c:auto val="1"/>
        <c:lblAlgn val="ctr"/>
        <c:lblOffset val="100"/>
        <c:noMultiLvlLbl val="0"/>
      </c:catAx>
      <c:valAx>
        <c:axId val="1987757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746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ATC</a:t>
            </a:r>
            <a:r>
              <a:rPr lang="en-US" baseline="0"/>
              <a:t> Ads Spend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Sheet1!$D$24</c:f>
              <c:strCache>
                <c:ptCount val="1"/>
                <c:pt idx="0">
                  <c:v>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Sheet1!$C$25:$C$28</c:f>
              <c:strCache>
                <c:ptCount val="4"/>
                <c:pt idx="0">
                  <c:v>Meta</c:v>
                </c:pt>
                <c:pt idx="1">
                  <c:v>LinkedIn</c:v>
                </c:pt>
                <c:pt idx="2">
                  <c:v>Search</c:v>
                </c:pt>
                <c:pt idx="3">
                  <c:v>Google Display</c:v>
                </c:pt>
              </c:strCache>
            </c:strRef>
          </c:cat>
          <c:val>
            <c:numRef>
              <c:f>Sheet1!$D$25:$D$28</c:f>
              <c:numCache>
                <c:formatCode>_("$"* #,##0.00_);_("$"* \(#,##0.00\);_("$"* "-"??_);_(@_)</c:formatCode>
                <c:ptCount val="4"/>
                <c:pt idx="0">
                  <c:v>5617.42</c:v>
                </c:pt>
                <c:pt idx="1">
                  <c:v>1136.3499999999999</c:v>
                </c:pt>
                <c:pt idx="2">
                  <c:v>5517.19</c:v>
                </c:pt>
                <c:pt idx="3">
                  <c:v>1997.36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C-FC47-90BE-FD61858DB3A1}"/>
            </c:ext>
          </c:extLst>
        </c:ser>
        <c:ser>
          <c:idx val="1"/>
          <c:order val="1"/>
          <c:tx>
            <c:strRef>
              <c:f>Sheet1!$E$24</c:f>
              <c:strCache>
                <c:ptCount val="1"/>
                <c:pt idx="0">
                  <c:v>Budget Left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8.0448751400387403E-2"/>
                  <c:y val="-7.24825235789359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40F-8D48-9FA7-14E7EE239BD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0F-8D48-9FA7-14E7EE239BD9}"/>
                </c:ext>
              </c:extLst>
            </c:dLbl>
            <c:dLbl>
              <c:idx val="2"/>
              <c:layout>
                <c:manualLayout>
                  <c:x val="-7.0232225608182795E-17"/>
                  <c:y val="-8.335490211577627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0F-8D48-9FA7-14E7EE239BD9}"/>
                </c:ext>
              </c:extLst>
            </c:dLbl>
            <c:dLbl>
              <c:idx val="3"/>
              <c:layout>
                <c:manualLayout>
                  <c:x val="0"/>
                  <c:y val="-5.798601886314871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0F-8D48-9FA7-14E7EE239BD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Sheet1!$C$25:$C$28</c:f>
              <c:strCache>
                <c:ptCount val="4"/>
                <c:pt idx="0">
                  <c:v>Meta</c:v>
                </c:pt>
                <c:pt idx="1">
                  <c:v>LinkedIn</c:v>
                </c:pt>
                <c:pt idx="2">
                  <c:v>Search</c:v>
                </c:pt>
                <c:pt idx="3">
                  <c:v>Google Display</c:v>
                </c:pt>
              </c:strCache>
            </c:strRef>
          </c:cat>
          <c:val>
            <c:numRef>
              <c:f>Sheet1!$E$25:$E$28</c:f>
              <c:numCache>
                <c:formatCode>_("$"* #,##0.00_);_("$"* \(#,##0.00\);_("$"* "-"??_);_(@_)</c:formatCode>
                <c:ptCount val="4"/>
                <c:pt idx="0">
                  <c:v>246.22999999999956</c:v>
                </c:pt>
                <c:pt idx="1">
                  <c:v>0</c:v>
                </c:pt>
                <c:pt idx="2">
                  <c:v>482.8100000000004</c:v>
                </c:pt>
                <c:pt idx="3">
                  <c:v>2.6400000000001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CC-FC47-90BE-FD61858DB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3650112"/>
        <c:axId val="1555144128"/>
      </c:barChart>
      <c:catAx>
        <c:axId val="1713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144128"/>
        <c:crosses val="autoZero"/>
        <c:auto val="1"/>
        <c:lblAlgn val="ctr"/>
        <c:lblOffset val="100"/>
        <c:noMultiLvlLbl val="0"/>
      </c:catAx>
      <c:valAx>
        <c:axId val="155514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6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Registrations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Registrations'!$A$10:$C$10</c:f>
              <c:strCache>
                <c:ptCount val="3"/>
                <c:pt idx="0">
                  <c:v>2023</c:v>
                </c:pt>
                <c:pt idx="1">
                  <c:v>0</c:v>
                </c:pt>
                <c:pt idx="2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'Total Registrations'!$D$7:$Z$7</c:f>
              <c:numCache>
                <c:formatCode>General</c:formatCode>
                <c:ptCount val="23"/>
                <c:pt idx="0">
                  <c:v>22</c:v>
                </c:pt>
                <c:pt idx="1">
                  <c:v>21</c:v>
                </c:pt>
                <c:pt idx="2">
                  <c:v>20</c:v>
                </c:pt>
                <c:pt idx="3">
                  <c:v>19</c:v>
                </c:pt>
                <c:pt idx="4">
                  <c:v>18</c:v>
                </c:pt>
                <c:pt idx="5">
                  <c:v>17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13</c:v>
                </c:pt>
                <c:pt idx="10">
                  <c:v>12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3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</c:numCache>
            </c:numRef>
          </c:cat>
          <c:val>
            <c:numRef>
              <c:f>'Total Registrations'!$D$10:$Z$10</c:f>
              <c:numCache>
                <c:formatCode>0</c:formatCode>
                <c:ptCount val="23"/>
                <c:pt idx="0">
                  <c:v>4</c:v>
                </c:pt>
                <c:pt idx="1">
                  <c:v>18</c:v>
                </c:pt>
                <c:pt idx="2">
                  <c:v>21</c:v>
                </c:pt>
                <c:pt idx="3">
                  <c:v>140</c:v>
                </c:pt>
                <c:pt idx="4">
                  <c:v>54</c:v>
                </c:pt>
                <c:pt idx="5">
                  <c:v>273</c:v>
                </c:pt>
                <c:pt idx="6">
                  <c:v>134</c:v>
                </c:pt>
                <c:pt idx="7">
                  <c:v>163</c:v>
                </c:pt>
                <c:pt idx="8">
                  <c:v>188</c:v>
                </c:pt>
                <c:pt idx="9">
                  <c:v>236</c:v>
                </c:pt>
                <c:pt idx="10">
                  <c:v>161</c:v>
                </c:pt>
                <c:pt idx="11">
                  <c:v>148</c:v>
                </c:pt>
                <c:pt idx="12">
                  <c:v>177</c:v>
                </c:pt>
                <c:pt idx="13">
                  <c:v>202</c:v>
                </c:pt>
                <c:pt idx="14">
                  <c:v>245</c:v>
                </c:pt>
                <c:pt idx="15">
                  <c:v>257</c:v>
                </c:pt>
                <c:pt idx="16">
                  <c:v>496</c:v>
                </c:pt>
                <c:pt idx="17">
                  <c:v>1029</c:v>
                </c:pt>
                <c:pt idx="18">
                  <c:v>157</c:v>
                </c:pt>
                <c:pt idx="19">
                  <c:v>163</c:v>
                </c:pt>
                <c:pt idx="20">
                  <c:v>285</c:v>
                </c:pt>
                <c:pt idx="21">
                  <c:v>256</c:v>
                </c:pt>
                <c:pt idx="22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7-B643-94BE-BA3F9646077E}"/>
            </c:ext>
          </c:extLst>
        </c:ser>
        <c:ser>
          <c:idx val="1"/>
          <c:order val="1"/>
          <c:tx>
            <c:strRef>
              <c:f>'Total Registrations'!$A$11:$C$11</c:f>
              <c:strCache>
                <c:ptCount val="3"/>
                <c:pt idx="0">
                  <c:v>2024</c:v>
                </c:pt>
                <c:pt idx="1">
                  <c:v>0</c:v>
                </c:pt>
                <c:pt idx="2">
                  <c:v>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'Total Registrations'!$D$7:$Z$7</c:f>
              <c:numCache>
                <c:formatCode>General</c:formatCode>
                <c:ptCount val="23"/>
                <c:pt idx="0">
                  <c:v>22</c:v>
                </c:pt>
                <c:pt idx="1">
                  <c:v>21</c:v>
                </c:pt>
                <c:pt idx="2">
                  <c:v>20</c:v>
                </c:pt>
                <c:pt idx="3">
                  <c:v>19</c:v>
                </c:pt>
                <c:pt idx="4">
                  <c:v>18</c:v>
                </c:pt>
                <c:pt idx="5">
                  <c:v>17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13</c:v>
                </c:pt>
                <c:pt idx="10">
                  <c:v>12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3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</c:numCache>
            </c:numRef>
          </c:cat>
          <c:val>
            <c:numRef>
              <c:f>'Total Registrations'!$D$11:$Z$11</c:f>
              <c:numCache>
                <c:formatCode>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62</c:v>
                </c:pt>
                <c:pt idx="8">
                  <c:v>477</c:v>
                </c:pt>
                <c:pt idx="9">
                  <c:v>483</c:v>
                </c:pt>
                <c:pt idx="10">
                  <c:v>883</c:v>
                </c:pt>
                <c:pt idx="11">
                  <c:v>155</c:v>
                </c:pt>
                <c:pt idx="12">
                  <c:v>184</c:v>
                </c:pt>
                <c:pt idx="13">
                  <c:v>139</c:v>
                </c:pt>
                <c:pt idx="14">
                  <c:v>197</c:v>
                </c:pt>
                <c:pt idx="15">
                  <c:v>324</c:v>
                </c:pt>
                <c:pt idx="16">
                  <c:v>226</c:v>
                </c:pt>
                <c:pt idx="17">
                  <c:v>361</c:v>
                </c:pt>
                <c:pt idx="18">
                  <c:v>199</c:v>
                </c:pt>
                <c:pt idx="19">
                  <c:v>217</c:v>
                </c:pt>
                <c:pt idx="20">
                  <c:v>271</c:v>
                </c:pt>
                <c:pt idx="21">
                  <c:v>441</c:v>
                </c:pt>
                <c:pt idx="22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87-B643-94BE-BA3F9646077E}"/>
            </c:ext>
          </c:extLst>
        </c:ser>
        <c:ser>
          <c:idx val="2"/>
          <c:order val="2"/>
          <c:tx>
            <c:strRef>
              <c:f>'Total Registrations'!$A$12:$C$12</c:f>
              <c:strCache>
                <c:ptCount val="3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'Total Registrations'!$D$7:$Z$7</c:f>
              <c:numCache>
                <c:formatCode>General</c:formatCode>
                <c:ptCount val="23"/>
                <c:pt idx="0">
                  <c:v>22</c:v>
                </c:pt>
                <c:pt idx="1">
                  <c:v>21</c:v>
                </c:pt>
                <c:pt idx="2">
                  <c:v>20</c:v>
                </c:pt>
                <c:pt idx="3">
                  <c:v>19</c:v>
                </c:pt>
                <c:pt idx="4">
                  <c:v>18</c:v>
                </c:pt>
                <c:pt idx="5">
                  <c:v>17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13</c:v>
                </c:pt>
                <c:pt idx="10">
                  <c:v>12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3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</c:numCache>
            </c:numRef>
          </c:cat>
          <c:val>
            <c:numRef>
              <c:f>'Total Registrations'!$D$12:$Z$12</c:f>
              <c:numCache>
                <c:formatCode>0</c:formatCode>
                <c:ptCount val="23"/>
                <c:pt idx="7">
                  <c:v>791</c:v>
                </c:pt>
                <c:pt idx="8">
                  <c:v>113</c:v>
                </c:pt>
                <c:pt idx="9">
                  <c:v>119</c:v>
                </c:pt>
                <c:pt idx="10">
                  <c:v>89</c:v>
                </c:pt>
                <c:pt idx="11">
                  <c:v>78</c:v>
                </c:pt>
                <c:pt idx="12">
                  <c:v>77</c:v>
                </c:pt>
                <c:pt idx="13">
                  <c:v>171</c:v>
                </c:pt>
                <c:pt idx="14">
                  <c:v>163</c:v>
                </c:pt>
                <c:pt idx="15">
                  <c:v>422</c:v>
                </c:pt>
                <c:pt idx="16">
                  <c:v>130</c:v>
                </c:pt>
                <c:pt idx="17">
                  <c:v>133</c:v>
                </c:pt>
                <c:pt idx="18">
                  <c:v>140</c:v>
                </c:pt>
                <c:pt idx="19">
                  <c:v>181</c:v>
                </c:pt>
                <c:pt idx="20">
                  <c:v>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87-B643-94BE-BA3F96460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01968"/>
        <c:axId val="96301488"/>
      </c:lineChart>
      <c:catAx>
        <c:axId val="9630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01488"/>
        <c:crosses val="autoZero"/>
        <c:auto val="1"/>
        <c:lblAlgn val="ctr"/>
        <c:lblOffset val="100"/>
        <c:noMultiLvlLbl val="0"/>
      </c:catAx>
      <c:valAx>
        <c:axId val="9630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0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2023 - 2026 Registration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Registrations'!$A$33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'Total Registrations'!$B$31:$Z$31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'Total Registrations'!$B$33:$Z$33</c:f>
              <c:numCache>
                <c:formatCode>0</c:formatCode>
                <c:ptCount val="25"/>
                <c:pt idx="1">
                  <c:v>0</c:v>
                </c:pt>
                <c:pt idx="2">
                  <c:v>4</c:v>
                </c:pt>
                <c:pt idx="3">
                  <c:v>22</c:v>
                </c:pt>
                <c:pt idx="4">
                  <c:v>43</c:v>
                </c:pt>
                <c:pt idx="5">
                  <c:v>183</c:v>
                </c:pt>
                <c:pt idx="6">
                  <c:v>237</c:v>
                </c:pt>
                <c:pt idx="7">
                  <c:v>510</c:v>
                </c:pt>
                <c:pt idx="8">
                  <c:v>644</c:v>
                </c:pt>
                <c:pt idx="9">
                  <c:v>807</c:v>
                </c:pt>
                <c:pt idx="10">
                  <c:v>995</c:v>
                </c:pt>
                <c:pt idx="11">
                  <c:v>1231</c:v>
                </c:pt>
                <c:pt idx="12">
                  <c:v>1392</c:v>
                </c:pt>
                <c:pt idx="13">
                  <c:v>1540</c:v>
                </c:pt>
                <c:pt idx="14">
                  <c:v>1717</c:v>
                </c:pt>
                <c:pt idx="15">
                  <c:v>1919</c:v>
                </c:pt>
                <c:pt idx="16">
                  <c:v>2164</c:v>
                </c:pt>
                <c:pt idx="17">
                  <c:v>2421</c:v>
                </c:pt>
                <c:pt idx="18">
                  <c:v>2917</c:v>
                </c:pt>
                <c:pt idx="19">
                  <c:v>3946</c:v>
                </c:pt>
                <c:pt idx="20">
                  <c:v>4103</c:v>
                </c:pt>
                <c:pt idx="21">
                  <c:v>4266</c:v>
                </c:pt>
                <c:pt idx="22">
                  <c:v>4551</c:v>
                </c:pt>
                <c:pt idx="23">
                  <c:v>4807</c:v>
                </c:pt>
                <c:pt idx="24">
                  <c:v>4977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7D-5A4C-96BE-A2C0D58CD7DB}"/>
            </c:ext>
          </c:extLst>
        </c:ser>
        <c:ser>
          <c:idx val="1"/>
          <c:order val="1"/>
          <c:tx>
            <c:strRef>
              <c:f>'Total Registrations'!$A$34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'Total Registrations'!$B$31:$Z$31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'Total Registrations'!$B$34:$Z$34</c:f>
              <c:numCache>
                <c:formatCode>0</c:formatCode>
                <c:ptCount val="2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62</c:v>
                </c:pt>
                <c:pt idx="10">
                  <c:v>539</c:v>
                </c:pt>
                <c:pt idx="11">
                  <c:v>1022</c:v>
                </c:pt>
                <c:pt idx="12">
                  <c:v>1905</c:v>
                </c:pt>
                <c:pt idx="13">
                  <c:v>2060</c:v>
                </c:pt>
                <c:pt idx="14">
                  <c:v>2244</c:v>
                </c:pt>
                <c:pt idx="15">
                  <c:v>2383</c:v>
                </c:pt>
                <c:pt idx="16">
                  <c:v>2580</c:v>
                </c:pt>
                <c:pt idx="17">
                  <c:v>2904</c:v>
                </c:pt>
                <c:pt idx="18">
                  <c:v>3130</c:v>
                </c:pt>
                <c:pt idx="19">
                  <c:v>3491</c:v>
                </c:pt>
                <c:pt idx="20">
                  <c:v>3690</c:v>
                </c:pt>
                <c:pt idx="21">
                  <c:v>3907</c:v>
                </c:pt>
                <c:pt idx="22">
                  <c:v>4178</c:v>
                </c:pt>
                <c:pt idx="23">
                  <c:v>4619</c:v>
                </c:pt>
                <c:pt idx="24">
                  <c:v>4653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7D-5A4C-96BE-A2C0D58CD7DB}"/>
            </c:ext>
          </c:extLst>
        </c:ser>
        <c:ser>
          <c:idx val="2"/>
          <c:order val="2"/>
          <c:tx>
            <c:strRef>
              <c:f>'Total Registrations'!$A$35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'Total Registrations'!$B$31:$Z$31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'Total Registrations'!$B$35:$Z$35</c:f>
            </c:numRef>
          </c:val>
          <c:smooth val="0"/>
          <c:extLst>
            <c:ext xmlns:c16="http://schemas.microsoft.com/office/drawing/2014/chart" uri="{C3380CC4-5D6E-409C-BE32-E72D297353CC}">
              <c16:uniqueId val="{00000002-507D-5A4C-96BE-A2C0D58CD7DB}"/>
            </c:ext>
          </c:extLst>
        </c:ser>
        <c:ser>
          <c:idx val="3"/>
          <c:order val="3"/>
          <c:tx>
            <c:strRef>
              <c:f>'Total Registrations'!$A$36</c:f>
              <c:strCache>
                <c:ptCount val="1"/>
                <c:pt idx="0">
                  <c:v>2026 REG TEAM NUMBERS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'Total Registrations'!$B$31:$Z$31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'Total Registrations'!$B$36:$Z$36</c:f>
              <c:numCache>
                <c:formatCode>General</c:formatCode>
                <c:ptCount val="25"/>
                <c:pt idx="8">
                  <c:v>851</c:v>
                </c:pt>
                <c:pt idx="9">
                  <c:v>1642</c:v>
                </c:pt>
                <c:pt idx="10">
                  <c:v>1755</c:v>
                </c:pt>
                <c:pt idx="11">
                  <c:v>1874</c:v>
                </c:pt>
                <c:pt idx="12">
                  <c:v>1963</c:v>
                </c:pt>
                <c:pt idx="13">
                  <c:v>2041</c:v>
                </c:pt>
                <c:pt idx="14">
                  <c:v>2118</c:v>
                </c:pt>
                <c:pt idx="15">
                  <c:v>2289</c:v>
                </c:pt>
                <c:pt idx="16">
                  <c:v>2452</c:v>
                </c:pt>
                <c:pt idx="17">
                  <c:v>2874</c:v>
                </c:pt>
                <c:pt idx="18" formatCode="0">
                  <c:v>3004</c:v>
                </c:pt>
                <c:pt idx="19" formatCode="0">
                  <c:v>3137</c:v>
                </c:pt>
                <c:pt idx="20" formatCode="0">
                  <c:v>3277</c:v>
                </c:pt>
                <c:pt idx="21" formatCode="0">
                  <c:v>3471</c:v>
                </c:pt>
                <c:pt idx="22" formatCode="0">
                  <c:v>3964</c:v>
                </c:pt>
                <c:pt idx="23" formatCode="0">
                  <c:v>0</c:v>
                </c:pt>
                <c:pt idx="24" formatCode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15-214C-B90C-7CA32DAF3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8024071"/>
        <c:axId val="985676808"/>
      </c:lineChart>
      <c:catAx>
        <c:axId val="1528024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676808"/>
        <c:crosses val="autoZero"/>
        <c:auto val="1"/>
        <c:lblAlgn val="ctr"/>
        <c:lblOffset val="100"/>
        <c:noMultiLvlLbl val="0"/>
      </c:catAx>
      <c:valAx>
        <c:axId val="98567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024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A4-6947-90AE-33C2A5AFCC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A4-6947-90AE-33C2A5AFCC50}"/>
              </c:ext>
            </c:extLst>
          </c:dPt>
          <c:cat>
            <c:strRef>
              <c:f>'Total Registrations'!$A$56:$A$57</c:f>
              <c:strCache>
                <c:ptCount val="2"/>
                <c:pt idx="0">
                  <c:v>Paid Attendees</c:v>
                </c:pt>
                <c:pt idx="1">
                  <c:v>Comp Attendees</c:v>
                </c:pt>
              </c:strCache>
            </c:strRef>
          </c:cat>
          <c:val>
            <c:numRef>
              <c:f>'Total Registrations'!$B$56:$B$57</c:f>
              <c:numCache>
                <c:formatCode>0</c:formatCode>
                <c:ptCount val="2"/>
                <c:pt idx="0">
                  <c:v>1476</c:v>
                </c:pt>
                <c:pt idx="1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A4-6947-90AE-33C2A5AFC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2023 - 2026 Paid Registration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Registrations'!$A$47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'Total Registrations'!$B$38:$Z$38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'Total Registrations'!$B$47:$Z$47</c:f>
              <c:numCache>
                <c:formatCode>0</c:formatCode>
                <c:ptCount val="2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247</c:v>
                </c:pt>
                <c:pt idx="8">
                  <c:v>365</c:v>
                </c:pt>
                <c:pt idx="9">
                  <c:v>486</c:v>
                </c:pt>
                <c:pt idx="10">
                  <c:v>650</c:v>
                </c:pt>
                <c:pt idx="11">
                  <c:v>829</c:v>
                </c:pt>
                <c:pt idx="12">
                  <c:v>990</c:v>
                </c:pt>
                <c:pt idx="13">
                  <c:v>1127</c:v>
                </c:pt>
                <c:pt idx="14">
                  <c:v>1271</c:v>
                </c:pt>
                <c:pt idx="15">
                  <c:v>1435</c:v>
                </c:pt>
                <c:pt idx="16">
                  <c:v>1638</c:v>
                </c:pt>
                <c:pt idx="17">
                  <c:v>1861</c:v>
                </c:pt>
                <c:pt idx="18">
                  <c:v>2265</c:v>
                </c:pt>
                <c:pt idx="19">
                  <c:v>3088</c:v>
                </c:pt>
                <c:pt idx="20">
                  <c:v>3209</c:v>
                </c:pt>
                <c:pt idx="21">
                  <c:v>3317</c:v>
                </c:pt>
                <c:pt idx="22">
                  <c:v>3403</c:v>
                </c:pt>
                <c:pt idx="23">
                  <c:v>3548</c:v>
                </c:pt>
                <c:pt idx="24">
                  <c:v>3634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E2-5743-BCB1-129996DEE726}"/>
            </c:ext>
          </c:extLst>
        </c:ser>
        <c:ser>
          <c:idx val="1"/>
          <c:order val="1"/>
          <c:tx>
            <c:strRef>
              <c:f>'Total Registrations'!$A$48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'Total Registrations'!$B$38:$Z$38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'Total Registrations'!$B$48:$Z$48</c:f>
              <c:numCache>
                <c:formatCode>0</c:formatCode>
                <c:ptCount val="2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55</c:v>
                </c:pt>
                <c:pt idx="10">
                  <c:v>372</c:v>
                </c:pt>
                <c:pt idx="11">
                  <c:v>766</c:v>
                </c:pt>
                <c:pt idx="12">
                  <c:v>1577</c:v>
                </c:pt>
                <c:pt idx="13">
                  <c:v>1698</c:v>
                </c:pt>
                <c:pt idx="14">
                  <c:v>1857</c:v>
                </c:pt>
                <c:pt idx="15">
                  <c:v>1974</c:v>
                </c:pt>
                <c:pt idx="16">
                  <c:v>2143</c:v>
                </c:pt>
                <c:pt idx="17">
                  <c:v>2421</c:v>
                </c:pt>
                <c:pt idx="18">
                  <c:v>2565</c:v>
                </c:pt>
                <c:pt idx="19">
                  <c:v>2837</c:v>
                </c:pt>
                <c:pt idx="20">
                  <c:v>2959</c:v>
                </c:pt>
                <c:pt idx="21">
                  <c:v>3100</c:v>
                </c:pt>
                <c:pt idx="22">
                  <c:v>3254</c:v>
                </c:pt>
                <c:pt idx="23">
                  <c:v>3509</c:v>
                </c:pt>
                <c:pt idx="24">
                  <c:v>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E2-5743-BCB1-129996DEE726}"/>
            </c:ext>
          </c:extLst>
        </c:ser>
        <c:ser>
          <c:idx val="2"/>
          <c:order val="2"/>
          <c:tx>
            <c:strRef>
              <c:f>'Total Registrations'!$A$49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21"/>
              <c:layout>
                <c:manualLayout>
                  <c:x val="-1.3560455699017968E-2"/>
                  <c:y val="6.600753633590525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19-084E-80D5-788E5B3E71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'Total Registrations'!$B$38:$Z$38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'Total Registrations'!$B$49:$Z$49</c:f>
              <c:numCache>
                <c:formatCode>0</c:formatCode>
                <c:ptCount val="25"/>
                <c:pt idx="0">
                  <c:v>13</c:v>
                </c:pt>
                <c:pt idx="1">
                  <c:v>31</c:v>
                </c:pt>
                <c:pt idx="2">
                  <c:v>35</c:v>
                </c:pt>
                <c:pt idx="3">
                  <c:v>150</c:v>
                </c:pt>
                <c:pt idx="4">
                  <c:v>204</c:v>
                </c:pt>
                <c:pt idx="5">
                  <c:v>249</c:v>
                </c:pt>
                <c:pt idx="6">
                  <c:v>364</c:v>
                </c:pt>
                <c:pt idx="7">
                  <c:v>595</c:v>
                </c:pt>
                <c:pt idx="8" formatCode="General">
                  <c:v>577</c:v>
                </c:pt>
                <c:pt idx="9" formatCode="General">
                  <c:v>1320</c:v>
                </c:pt>
                <c:pt idx="10" formatCode="General">
                  <c:v>1419</c:v>
                </c:pt>
                <c:pt idx="11" formatCode="General">
                  <c:v>1520</c:v>
                </c:pt>
                <c:pt idx="12" formatCode="General">
                  <c:v>1596</c:v>
                </c:pt>
                <c:pt idx="13" formatCode="General">
                  <c:v>1661</c:v>
                </c:pt>
                <c:pt idx="14" formatCode="General">
                  <c:v>1729</c:v>
                </c:pt>
                <c:pt idx="15" formatCode="General">
                  <c:v>1863</c:v>
                </c:pt>
                <c:pt idx="16" formatCode="General">
                  <c:v>2008</c:v>
                </c:pt>
                <c:pt idx="17">
                  <c:v>2366</c:v>
                </c:pt>
                <c:pt idx="18">
                  <c:v>2468</c:v>
                </c:pt>
                <c:pt idx="19">
                  <c:v>2561</c:v>
                </c:pt>
                <c:pt idx="20">
                  <c:v>2656</c:v>
                </c:pt>
                <c:pt idx="21">
                  <c:v>2788</c:v>
                </c:pt>
                <c:pt idx="22">
                  <c:v>2948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E2-5743-BCB1-129996DEE726}"/>
            </c:ext>
          </c:extLst>
        </c:ser>
        <c:ser>
          <c:idx val="3"/>
          <c:order val="3"/>
          <c:tx>
            <c:strRef>
              <c:f>'Total Registrations'!$A$50</c:f>
              <c:strCache>
                <c:ptCount val="1"/>
                <c:pt idx="0">
                  <c:v>PROJECTED PAID 2026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'Total Registrations'!$B$38:$Z$38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'Total Registrations'!$B$50:$Z$50</c:f>
              <c:numCache>
                <c:formatCode>General</c:formatCode>
                <c:ptCount val="25"/>
                <c:pt idx="1">
                  <c:v>25</c:v>
                </c:pt>
                <c:pt idx="2">
                  <c:v>75</c:v>
                </c:pt>
                <c:pt idx="3">
                  <c:v>125</c:v>
                </c:pt>
                <c:pt idx="4">
                  <c:v>300</c:v>
                </c:pt>
                <c:pt idx="5">
                  <c:v>540</c:v>
                </c:pt>
                <c:pt idx="6">
                  <c:v>720</c:v>
                </c:pt>
                <c:pt idx="7">
                  <c:v>1080</c:v>
                </c:pt>
                <c:pt idx="8" formatCode="0">
                  <c:v>1438</c:v>
                </c:pt>
                <c:pt idx="9" formatCode="0">
                  <c:v>1500</c:v>
                </c:pt>
                <c:pt idx="10" formatCode="0">
                  <c:v>1562</c:v>
                </c:pt>
                <c:pt idx="11" formatCode="0">
                  <c:v>1624</c:v>
                </c:pt>
                <c:pt idx="12" formatCode="0">
                  <c:v>1686</c:v>
                </c:pt>
                <c:pt idx="13" formatCode="0">
                  <c:v>1748</c:v>
                </c:pt>
                <c:pt idx="14" formatCode="0">
                  <c:v>1810</c:v>
                </c:pt>
                <c:pt idx="15" formatCode="0">
                  <c:v>1872</c:v>
                </c:pt>
                <c:pt idx="16" formatCode="0">
                  <c:v>1934</c:v>
                </c:pt>
                <c:pt idx="17" formatCode="0">
                  <c:v>1996</c:v>
                </c:pt>
                <c:pt idx="18" formatCode="0">
                  <c:v>2055</c:v>
                </c:pt>
                <c:pt idx="19" formatCode="0">
                  <c:v>2230</c:v>
                </c:pt>
                <c:pt idx="20" formatCode="0">
                  <c:v>2430</c:v>
                </c:pt>
                <c:pt idx="21" formatCode="0">
                  <c:v>2630</c:v>
                </c:pt>
                <c:pt idx="22" formatCode="0">
                  <c:v>2830</c:v>
                </c:pt>
                <c:pt idx="23" formatCode="0">
                  <c:v>3055</c:v>
                </c:pt>
                <c:pt idx="24">
                  <c:v>3098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E2-5743-BCB1-129996DEE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8024071"/>
        <c:axId val="985676808"/>
      </c:lineChart>
      <c:catAx>
        <c:axId val="1528024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676808"/>
        <c:crosses val="autoZero"/>
        <c:auto val="1"/>
        <c:lblAlgn val="ctr"/>
        <c:lblOffset val="100"/>
        <c:noMultiLvlLbl val="0"/>
      </c:catAx>
      <c:valAx>
        <c:axId val="98567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024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2024 - 2026 Paid Registration</a:t>
            </a:r>
          </a:p>
        </c:rich>
      </c:tx>
      <c:layout>
        <c:manualLayout>
          <c:xMode val="edge"/>
          <c:yMode val="edge"/>
          <c:x val="0.30205038832988801"/>
          <c:y val="2.39920337212267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'Total Registrations'!$A$48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'Total Registrations'!$B$38:$Z$38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'Total Registrations'!$B$48:$Z$48</c:f>
              <c:numCache>
                <c:formatCode>0</c:formatCode>
                <c:ptCount val="2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55</c:v>
                </c:pt>
                <c:pt idx="10">
                  <c:v>372</c:v>
                </c:pt>
                <c:pt idx="11">
                  <c:v>766</c:v>
                </c:pt>
                <c:pt idx="12">
                  <c:v>1577</c:v>
                </c:pt>
                <c:pt idx="13">
                  <c:v>1698</c:v>
                </c:pt>
                <c:pt idx="14">
                  <c:v>1857</c:v>
                </c:pt>
                <c:pt idx="15">
                  <c:v>1974</c:v>
                </c:pt>
                <c:pt idx="16">
                  <c:v>2143</c:v>
                </c:pt>
                <c:pt idx="17">
                  <c:v>2421</c:v>
                </c:pt>
                <c:pt idx="18">
                  <c:v>2565</c:v>
                </c:pt>
                <c:pt idx="19">
                  <c:v>2837</c:v>
                </c:pt>
                <c:pt idx="20">
                  <c:v>2959</c:v>
                </c:pt>
                <c:pt idx="21">
                  <c:v>3100</c:v>
                </c:pt>
                <c:pt idx="22">
                  <c:v>3254</c:v>
                </c:pt>
                <c:pt idx="23">
                  <c:v>3509</c:v>
                </c:pt>
                <c:pt idx="24">
                  <c:v>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6D-1D46-91EB-27B542EE0F43}"/>
            </c:ext>
          </c:extLst>
        </c:ser>
        <c:ser>
          <c:idx val="2"/>
          <c:order val="1"/>
          <c:tx>
            <c:strRef>
              <c:f>'Total Registrations'!$A$49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'Total Registrations'!$B$38:$Z$38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'Total Registrations'!$B$49:$Z$49</c:f>
              <c:numCache>
                <c:formatCode>0</c:formatCode>
                <c:ptCount val="25"/>
                <c:pt idx="0">
                  <c:v>13</c:v>
                </c:pt>
                <c:pt idx="1">
                  <c:v>31</c:v>
                </c:pt>
                <c:pt idx="2">
                  <c:v>35</c:v>
                </c:pt>
                <c:pt idx="3">
                  <c:v>150</c:v>
                </c:pt>
                <c:pt idx="4">
                  <c:v>204</c:v>
                </c:pt>
                <c:pt idx="5">
                  <c:v>249</c:v>
                </c:pt>
                <c:pt idx="6">
                  <c:v>364</c:v>
                </c:pt>
                <c:pt idx="7">
                  <c:v>595</c:v>
                </c:pt>
                <c:pt idx="8" formatCode="General">
                  <c:v>577</c:v>
                </c:pt>
                <c:pt idx="9" formatCode="General">
                  <c:v>1320</c:v>
                </c:pt>
                <c:pt idx="10" formatCode="General">
                  <c:v>1419</c:v>
                </c:pt>
                <c:pt idx="11" formatCode="General">
                  <c:v>1520</c:v>
                </c:pt>
                <c:pt idx="12" formatCode="General">
                  <c:v>1596</c:v>
                </c:pt>
                <c:pt idx="13" formatCode="General">
                  <c:v>1661</c:v>
                </c:pt>
                <c:pt idx="14" formatCode="General">
                  <c:v>1729</c:v>
                </c:pt>
                <c:pt idx="15" formatCode="General">
                  <c:v>1863</c:v>
                </c:pt>
                <c:pt idx="16" formatCode="General">
                  <c:v>2008</c:v>
                </c:pt>
                <c:pt idx="17">
                  <c:v>2366</c:v>
                </c:pt>
                <c:pt idx="18">
                  <c:v>2468</c:v>
                </c:pt>
                <c:pt idx="19">
                  <c:v>2561</c:v>
                </c:pt>
                <c:pt idx="20">
                  <c:v>2656</c:v>
                </c:pt>
                <c:pt idx="21">
                  <c:v>2788</c:v>
                </c:pt>
                <c:pt idx="22">
                  <c:v>2948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6D-1D46-91EB-27B542EE0F43}"/>
            </c:ext>
          </c:extLst>
        </c:ser>
        <c:ser>
          <c:idx val="3"/>
          <c:order val="2"/>
          <c:tx>
            <c:strRef>
              <c:f>'Total Registrations'!$A$50</c:f>
              <c:strCache>
                <c:ptCount val="1"/>
                <c:pt idx="0">
                  <c:v>PROJECTED PAID 2026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'Total Registrations'!$B$38:$Z$38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'Total Registrations'!$B$50:$Z$50</c:f>
              <c:numCache>
                <c:formatCode>General</c:formatCode>
                <c:ptCount val="25"/>
                <c:pt idx="1">
                  <c:v>25</c:v>
                </c:pt>
                <c:pt idx="2">
                  <c:v>75</c:v>
                </c:pt>
                <c:pt idx="3">
                  <c:v>125</c:v>
                </c:pt>
                <c:pt idx="4">
                  <c:v>300</c:v>
                </c:pt>
                <c:pt idx="5">
                  <c:v>540</c:v>
                </c:pt>
                <c:pt idx="6">
                  <c:v>720</c:v>
                </c:pt>
                <c:pt idx="7">
                  <c:v>1080</c:v>
                </c:pt>
                <c:pt idx="8" formatCode="0">
                  <c:v>1438</c:v>
                </c:pt>
                <c:pt idx="9" formatCode="0">
                  <c:v>1500</c:v>
                </c:pt>
                <c:pt idx="10" formatCode="0">
                  <c:v>1562</c:v>
                </c:pt>
                <c:pt idx="11" formatCode="0">
                  <c:v>1624</c:v>
                </c:pt>
                <c:pt idx="12" formatCode="0">
                  <c:v>1686</c:v>
                </c:pt>
                <c:pt idx="13" formatCode="0">
                  <c:v>1748</c:v>
                </c:pt>
                <c:pt idx="14" formatCode="0">
                  <c:v>1810</c:v>
                </c:pt>
                <c:pt idx="15" formatCode="0">
                  <c:v>1872</c:v>
                </c:pt>
                <c:pt idx="16" formatCode="0">
                  <c:v>1934</c:v>
                </c:pt>
                <c:pt idx="17" formatCode="0">
                  <c:v>1996</c:v>
                </c:pt>
                <c:pt idx="18" formatCode="0">
                  <c:v>2055</c:v>
                </c:pt>
                <c:pt idx="19" formatCode="0">
                  <c:v>2230</c:v>
                </c:pt>
                <c:pt idx="20" formatCode="0">
                  <c:v>2430</c:v>
                </c:pt>
                <c:pt idx="21" formatCode="0">
                  <c:v>2630</c:v>
                </c:pt>
                <c:pt idx="22" formatCode="0">
                  <c:v>2830</c:v>
                </c:pt>
                <c:pt idx="23" formatCode="0">
                  <c:v>3055</c:v>
                </c:pt>
                <c:pt idx="24">
                  <c:v>3098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6D-1D46-91EB-27B542EE0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8024071"/>
        <c:axId val="985676808"/>
      </c:lineChart>
      <c:catAx>
        <c:axId val="1528024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676808"/>
        <c:crosses val="autoZero"/>
        <c:auto val="1"/>
        <c:lblAlgn val="ctr"/>
        <c:lblOffset val="100"/>
        <c:noMultiLvlLbl val="0"/>
      </c:catAx>
      <c:valAx>
        <c:axId val="98567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024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2023 - 2026 Comp Registration</a:t>
            </a:r>
          </a:p>
        </c:rich>
      </c:tx>
      <c:layout>
        <c:manualLayout>
          <c:xMode val="edge"/>
          <c:yMode val="edge"/>
          <c:x val="0.33859151690505374"/>
          <c:y val="2.3072482461297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Registrations'!$A$40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'Total Registrations'!$B$31:$Z$31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'Total Registrations'!$B$40:$Z$40</c:f>
              <c:numCache>
                <c:formatCode>0</c:formatCode>
                <c:ptCount val="25"/>
                <c:pt idx="1">
                  <c:v>0</c:v>
                </c:pt>
                <c:pt idx="2">
                  <c:v>4</c:v>
                </c:pt>
                <c:pt idx="3">
                  <c:v>22</c:v>
                </c:pt>
                <c:pt idx="4">
                  <c:v>43</c:v>
                </c:pt>
                <c:pt idx="5">
                  <c:v>183</c:v>
                </c:pt>
                <c:pt idx="6">
                  <c:v>237</c:v>
                </c:pt>
                <c:pt idx="7">
                  <c:v>263</c:v>
                </c:pt>
                <c:pt idx="8">
                  <c:v>279</c:v>
                </c:pt>
                <c:pt idx="9">
                  <c:v>321</c:v>
                </c:pt>
                <c:pt idx="10">
                  <c:v>345</c:v>
                </c:pt>
                <c:pt idx="11">
                  <c:v>402</c:v>
                </c:pt>
                <c:pt idx="12">
                  <c:v>402</c:v>
                </c:pt>
                <c:pt idx="13">
                  <c:v>413</c:v>
                </c:pt>
                <c:pt idx="14">
                  <c:v>446</c:v>
                </c:pt>
                <c:pt idx="15">
                  <c:v>484</c:v>
                </c:pt>
                <c:pt idx="16">
                  <c:v>526</c:v>
                </c:pt>
                <c:pt idx="17">
                  <c:v>560</c:v>
                </c:pt>
                <c:pt idx="18">
                  <c:v>652</c:v>
                </c:pt>
                <c:pt idx="19">
                  <c:v>858</c:v>
                </c:pt>
                <c:pt idx="20">
                  <c:v>894</c:v>
                </c:pt>
                <c:pt idx="21">
                  <c:v>949</c:v>
                </c:pt>
                <c:pt idx="22">
                  <c:v>1148</c:v>
                </c:pt>
                <c:pt idx="23">
                  <c:v>1259</c:v>
                </c:pt>
                <c:pt idx="24">
                  <c:v>1343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C0-8145-AED8-4EEF77841135}"/>
            </c:ext>
          </c:extLst>
        </c:ser>
        <c:ser>
          <c:idx val="1"/>
          <c:order val="1"/>
          <c:tx>
            <c:strRef>
              <c:f>'Total Registrations'!$A$41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'Total Registrations'!$B$31:$Z$31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'Total Registrations'!$B$41:$Z$41</c:f>
              <c:numCache>
                <c:formatCode>0</c:formatCode>
                <c:ptCount val="2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</c:v>
                </c:pt>
                <c:pt idx="10">
                  <c:v>167</c:v>
                </c:pt>
                <c:pt idx="11">
                  <c:v>256</c:v>
                </c:pt>
                <c:pt idx="12">
                  <c:v>328</c:v>
                </c:pt>
                <c:pt idx="13">
                  <c:v>362</c:v>
                </c:pt>
                <c:pt idx="14">
                  <c:v>387</c:v>
                </c:pt>
                <c:pt idx="15">
                  <c:v>409</c:v>
                </c:pt>
                <c:pt idx="16">
                  <c:v>437</c:v>
                </c:pt>
                <c:pt idx="17">
                  <c:v>483</c:v>
                </c:pt>
                <c:pt idx="18">
                  <c:v>565</c:v>
                </c:pt>
                <c:pt idx="19">
                  <c:v>654</c:v>
                </c:pt>
                <c:pt idx="20">
                  <c:v>731</c:v>
                </c:pt>
                <c:pt idx="21">
                  <c:v>807</c:v>
                </c:pt>
                <c:pt idx="22">
                  <c:v>924</c:v>
                </c:pt>
                <c:pt idx="23">
                  <c:v>1110</c:v>
                </c:pt>
                <c:pt idx="24">
                  <c:v>1125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C0-8145-AED8-4EEF77841135}"/>
            </c:ext>
          </c:extLst>
        </c:ser>
        <c:ser>
          <c:idx val="2"/>
          <c:order val="2"/>
          <c:tx>
            <c:strRef>
              <c:f>'Total Registrations'!$A$42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'Total Registrations'!$B$31:$Z$31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'Total Registrations'!$B$42:$Z$42</c:f>
            </c:numRef>
          </c:val>
          <c:smooth val="0"/>
          <c:extLst>
            <c:ext xmlns:c16="http://schemas.microsoft.com/office/drawing/2014/chart" uri="{C3380CC4-5D6E-409C-BE32-E72D297353CC}">
              <c16:uniqueId val="{00000002-33C0-8145-AED8-4EEF77841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8024071"/>
        <c:axId val="985676808"/>
      </c:lineChart>
      <c:catAx>
        <c:axId val="1528024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676808"/>
        <c:crosses val="autoZero"/>
        <c:auto val="1"/>
        <c:lblAlgn val="ctr"/>
        <c:lblOffset val="100"/>
        <c:noMultiLvlLbl val="0"/>
      </c:catAx>
      <c:valAx>
        <c:axId val="98567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024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2023 - 2026 Registrations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Registrations'!$A$47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'Total Registrations'!$B$45:$Z$45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'Total Registrations'!$B$47:$Z$47</c:f>
              <c:numCache>
                <c:formatCode>0</c:formatCode>
                <c:ptCount val="2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247</c:v>
                </c:pt>
                <c:pt idx="8">
                  <c:v>365</c:v>
                </c:pt>
                <c:pt idx="9">
                  <c:v>486</c:v>
                </c:pt>
                <c:pt idx="10">
                  <c:v>650</c:v>
                </c:pt>
                <c:pt idx="11">
                  <c:v>829</c:v>
                </c:pt>
                <c:pt idx="12">
                  <c:v>990</c:v>
                </c:pt>
                <c:pt idx="13">
                  <c:v>1127</c:v>
                </c:pt>
                <c:pt idx="14">
                  <c:v>1271</c:v>
                </c:pt>
                <c:pt idx="15">
                  <c:v>1435</c:v>
                </c:pt>
                <c:pt idx="16">
                  <c:v>1638</c:v>
                </c:pt>
                <c:pt idx="17">
                  <c:v>1861</c:v>
                </c:pt>
                <c:pt idx="18">
                  <c:v>2265</c:v>
                </c:pt>
                <c:pt idx="19">
                  <c:v>3088</c:v>
                </c:pt>
                <c:pt idx="20">
                  <c:v>3209</c:v>
                </c:pt>
                <c:pt idx="21">
                  <c:v>3317</c:v>
                </c:pt>
                <c:pt idx="22">
                  <c:v>3403</c:v>
                </c:pt>
                <c:pt idx="23">
                  <c:v>3548</c:v>
                </c:pt>
                <c:pt idx="24">
                  <c:v>3634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48-A040-827E-1C14FD946899}"/>
            </c:ext>
          </c:extLst>
        </c:ser>
        <c:ser>
          <c:idx val="1"/>
          <c:order val="1"/>
          <c:tx>
            <c:strRef>
              <c:f>'Total Registrations'!$A$48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'Total Registrations'!$B$45:$Z$45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'Total Registrations'!$B$48:$Z$48</c:f>
              <c:numCache>
                <c:formatCode>0</c:formatCode>
                <c:ptCount val="2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55</c:v>
                </c:pt>
                <c:pt idx="10">
                  <c:v>372</c:v>
                </c:pt>
                <c:pt idx="11">
                  <c:v>766</c:v>
                </c:pt>
                <c:pt idx="12">
                  <c:v>1577</c:v>
                </c:pt>
                <c:pt idx="13">
                  <c:v>1698</c:v>
                </c:pt>
                <c:pt idx="14">
                  <c:v>1857</c:v>
                </c:pt>
                <c:pt idx="15">
                  <c:v>1974</c:v>
                </c:pt>
                <c:pt idx="16">
                  <c:v>2143</c:v>
                </c:pt>
                <c:pt idx="17">
                  <c:v>2421</c:v>
                </c:pt>
                <c:pt idx="18">
                  <c:v>2565</c:v>
                </c:pt>
                <c:pt idx="19">
                  <c:v>2837</c:v>
                </c:pt>
                <c:pt idx="20">
                  <c:v>2959</c:v>
                </c:pt>
                <c:pt idx="21">
                  <c:v>3100</c:v>
                </c:pt>
                <c:pt idx="22">
                  <c:v>3254</c:v>
                </c:pt>
                <c:pt idx="23">
                  <c:v>3509</c:v>
                </c:pt>
                <c:pt idx="24">
                  <c:v>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48-A040-827E-1C14FD946899}"/>
            </c:ext>
          </c:extLst>
        </c:ser>
        <c:ser>
          <c:idx val="2"/>
          <c:order val="2"/>
          <c:tx>
            <c:strRef>
              <c:f>'Total Registrations'!$A$49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'Total Registrations'!$B$45:$Z$45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'Total Registrations'!$B$49:$Z$49</c:f>
              <c:numCache>
                <c:formatCode>0</c:formatCode>
                <c:ptCount val="25"/>
                <c:pt idx="0">
                  <c:v>13</c:v>
                </c:pt>
                <c:pt idx="1">
                  <c:v>31</c:v>
                </c:pt>
                <c:pt idx="2">
                  <c:v>35</c:v>
                </c:pt>
                <c:pt idx="3">
                  <c:v>150</c:v>
                </c:pt>
                <c:pt idx="4">
                  <c:v>204</c:v>
                </c:pt>
                <c:pt idx="5">
                  <c:v>249</c:v>
                </c:pt>
                <c:pt idx="6">
                  <c:v>364</c:v>
                </c:pt>
                <c:pt idx="7">
                  <c:v>595</c:v>
                </c:pt>
                <c:pt idx="8" formatCode="General">
                  <c:v>577</c:v>
                </c:pt>
                <c:pt idx="9" formatCode="General">
                  <c:v>1320</c:v>
                </c:pt>
                <c:pt idx="10" formatCode="General">
                  <c:v>1419</c:v>
                </c:pt>
                <c:pt idx="11" formatCode="General">
                  <c:v>1520</c:v>
                </c:pt>
                <c:pt idx="12" formatCode="General">
                  <c:v>1596</c:v>
                </c:pt>
                <c:pt idx="13" formatCode="General">
                  <c:v>1661</c:v>
                </c:pt>
                <c:pt idx="14" formatCode="General">
                  <c:v>1729</c:v>
                </c:pt>
                <c:pt idx="15" formatCode="General">
                  <c:v>1863</c:v>
                </c:pt>
                <c:pt idx="16" formatCode="General">
                  <c:v>2008</c:v>
                </c:pt>
                <c:pt idx="17">
                  <c:v>2366</c:v>
                </c:pt>
                <c:pt idx="18">
                  <c:v>2468</c:v>
                </c:pt>
                <c:pt idx="19">
                  <c:v>2561</c:v>
                </c:pt>
                <c:pt idx="20">
                  <c:v>2656</c:v>
                </c:pt>
                <c:pt idx="21">
                  <c:v>2788</c:v>
                </c:pt>
                <c:pt idx="22">
                  <c:v>2948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48-A040-827E-1C14FD946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2016896"/>
        <c:axId val="1801978752"/>
      </c:lineChart>
      <c:catAx>
        <c:axId val="180201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978752"/>
        <c:crosses val="autoZero"/>
        <c:auto val="1"/>
        <c:lblAlgn val="ctr"/>
        <c:lblOffset val="100"/>
        <c:noMultiLvlLbl val="0"/>
      </c:catAx>
      <c:valAx>
        <c:axId val="180197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01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 Over</a:t>
            </a:r>
            <a:r>
              <a:rPr lang="en-US" baseline="0"/>
              <a:t> Week Registrations by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'GA4 Registrations'!$A$7</c:f>
              <c:strCache>
                <c:ptCount val="1"/>
                <c:pt idx="0">
                  <c:v>Organic Search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'GA4 Registrations'!$B$4:$F$4</c:f>
              <c:numCache>
                <c:formatCode>General</c:formatCode>
                <c:ptCount val="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</c:numCache>
            </c:numRef>
          </c:cat>
          <c:val>
            <c:numRef>
              <c:f>'GA4 Registrations'!$B$7:$F$7</c:f>
              <c:numCache>
                <c:formatCode>0</c:formatCode>
                <c:ptCount val="5"/>
                <c:pt idx="0">
                  <c:v>14</c:v>
                </c:pt>
                <c:pt idx="1">
                  <c:v>10</c:v>
                </c:pt>
                <c:pt idx="2">
                  <c:v>0</c:v>
                </c:pt>
                <c:pt idx="3">
                  <c:v>44</c:v>
                </c:pt>
                <c:pt idx="4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64-43DC-8CB2-BDC94DB84995}"/>
            </c:ext>
          </c:extLst>
        </c:ser>
        <c:ser>
          <c:idx val="1"/>
          <c:order val="1"/>
          <c:tx>
            <c:strRef>
              <c:f>'GA4 Registrations'!$A$8</c:f>
              <c:strCache>
                <c:ptCount val="1"/>
                <c:pt idx="0">
                  <c:v>Email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'GA4 Registrations'!$B$4:$F$4</c:f>
              <c:numCache>
                <c:formatCode>General</c:formatCode>
                <c:ptCount val="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</c:numCache>
            </c:numRef>
          </c:cat>
          <c:val>
            <c:numRef>
              <c:f>'GA4 Registrations'!$B$8:$F$8</c:f>
              <c:numCache>
                <c:formatCode>0</c:formatCode>
                <c:ptCount val="5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48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64-43DC-8CB2-BDC94DB84995}"/>
            </c:ext>
          </c:extLst>
        </c:ser>
        <c:ser>
          <c:idx val="2"/>
          <c:order val="2"/>
          <c:tx>
            <c:strRef>
              <c:f>'GA4 Registrations'!$A$9</c:f>
              <c:strCache>
                <c:ptCount val="1"/>
                <c:pt idx="0">
                  <c:v>Direct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'GA4 Registrations'!$B$4:$F$4</c:f>
              <c:numCache>
                <c:formatCode>General</c:formatCode>
                <c:ptCount val="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</c:numCache>
            </c:numRef>
          </c:cat>
          <c:val>
            <c:numRef>
              <c:f>'GA4 Registrations'!$B$9:$F$9</c:f>
              <c:numCache>
                <c:formatCode>0</c:formatCode>
                <c:ptCount val="5"/>
                <c:pt idx="0">
                  <c:v>16</c:v>
                </c:pt>
                <c:pt idx="1">
                  <c:v>20</c:v>
                </c:pt>
                <c:pt idx="2">
                  <c:v>5</c:v>
                </c:pt>
                <c:pt idx="3">
                  <c:v>25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64-43DC-8CB2-BDC94DB84995}"/>
            </c:ext>
          </c:extLst>
        </c:ser>
        <c:ser>
          <c:idx val="3"/>
          <c:order val="3"/>
          <c:tx>
            <c:strRef>
              <c:f>'GA4 Registrations'!$A$10</c:f>
              <c:strCache>
                <c:ptCount val="1"/>
                <c:pt idx="0">
                  <c:v>Paid Social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'GA4 Registrations'!$B$4:$F$4</c:f>
              <c:numCache>
                <c:formatCode>General</c:formatCode>
                <c:ptCount val="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</c:numCache>
            </c:numRef>
          </c:cat>
          <c:val>
            <c:numRef>
              <c:f>'GA4 Registrations'!$B$10:$F$10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64-43DC-8CB2-BDC94DB84995}"/>
            </c:ext>
          </c:extLst>
        </c:ser>
        <c:ser>
          <c:idx val="4"/>
          <c:order val="4"/>
          <c:tx>
            <c:strRef>
              <c:f>'GA4 Registrations'!$A$11</c:f>
              <c:strCache>
                <c:ptCount val="1"/>
                <c:pt idx="0">
                  <c:v>Referral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'GA4 Registrations'!$B$4:$F$4</c:f>
              <c:numCache>
                <c:formatCode>General</c:formatCode>
                <c:ptCount val="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</c:numCache>
            </c:numRef>
          </c:cat>
          <c:val>
            <c:numRef>
              <c:f>'GA4 Registrations'!$B$11:$F$11</c:f>
              <c:numCache>
                <c:formatCode>0</c:formatCode>
                <c:ptCount val="5"/>
                <c:pt idx="0">
                  <c:v>59</c:v>
                </c:pt>
                <c:pt idx="1">
                  <c:v>55</c:v>
                </c:pt>
                <c:pt idx="2">
                  <c:v>19</c:v>
                </c:pt>
                <c:pt idx="3">
                  <c:v>19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D64-43DC-8CB2-BDC94DB84995}"/>
            </c:ext>
          </c:extLst>
        </c:ser>
        <c:ser>
          <c:idx val="5"/>
          <c:order val="5"/>
          <c:tx>
            <c:strRef>
              <c:f>'GA4 Registrations'!$A$12</c:f>
              <c:strCache>
                <c:ptCount val="1"/>
                <c:pt idx="0">
                  <c:v>Paid Search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'GA4 Registrations'!$B$4:$F$4</c:f>
              <c:numCache>
                <c:formatCode>General</c:formatCode>
                <c:ptCount val="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</c:numCache>
            </c:numRef>
          </c:cat>
          <c:val>
            <c:numRef>
              <c:f>'GA4 Registrations'!$B$12:$F$12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29-A442-8DA8-4109C0B49D5E}"/>
            </c:ext>
          </c:extLst>
        </c:ser>
        <c:ser>
          <c:idx val="6"/>
          <c:order val="6"/>
          <c:tx>
            <c:strRef>
              <c:f>'GA4 Registrations'!$A$13</c:f>
              <c:strCache>
                <c:ptCount val="1"/>
                <c:pt idx="0">
                  <c:v>Unassigned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'GA4 Registrations'!$B$4:$F$4</c:f>
              <c:numCache>
                <c:formatCode>General</c:formatCode>
                <c:ptCount val="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</c:numCache>
            </c:numRef>
          </c:cat>
          <c:val>
            <c:numRef>
              <c:f>'GA4 Registrations'!$B$13:$F$13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29-A442-8DA8-4109C0B49D5E}"/>
            </c:ext>
          </c:extLst>
        </c:ser>
        <c:ser>
          <c:idx val="7"/>
          <c:order val="7"/>
          <c:tx>
            <c:strRef>
              <c:f>'GA4 Registrations'!$A$14</c:f>
              <c:strCache>
                <c:ptCount val="1"/>
                <c:pt idx="0">
                  <c:v>Organic Social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'GA4 Registrations'!$B$4:$F$4</c:f>
              <c:numCache>
                <c:formatCode>General</c:formatCode>
                <c:ptCount val="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</c:numCache>
            </c:numRef>
          </c:cat>
          <c:val>
            <c:numRef>
              <c:f>'GA4 Registrations'!$B$14:$F$14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29-A442-8DA8-4109C0B49D5E}"/>
            </c:ext>
          </c:extLst>
        </c:ser>
        <c:ser>
          <c:idx val="8"/>
          <c:order val="8"/>
          <c:tx>
            <c:strRef>
              <c:f>'GA4 Registrations'!$A$15</c:f>
              <c:strCache>
                <c:ptCount val="1"/>
                <c:pt idx="0">
                  <c:v>Cross-network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'GA4 Registrations'!$B$4:$F$4</c:f>
              <c:numCache>
                <c:formatCode>General</c:formatCode>
                <c:ptCount val="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</c:numCache>
            </c:numRef>
          </c:cat>
          <c:val>
            <c:numRef>
              <c:f>'GA4 Registrations'!$B$15:$F$15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29-A442-8DA8-4109C0B49D5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01896199"/>
        <c:axId val="901898247"/>
      </c:lineChart>
      <c:catAx>
        <c:axId val="901896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898247"/>
        <c:crosses val="autoZero"/>
        <c:auto val="1"/>
        <c:lblAlgn val="ctr"/>
        <c:lblOffset val="100"/>
        <c:noMultiLvlLbl val="0"/>
      </c:catAx>
      <c:valAx>
        <c:axId val="901898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896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Registrations to Date by Traffic Source</a:t>
            </a:r>
          </a:p>
        </c:rich>
      </c:tx>
      <c:layout>
        <c:manualLayout>
          <c:xMode val="edge"/>
          <c:yMode val="edge"/>
          <c:x val="0.19561590667989215"/>
          <c:y val="2.49646473236525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'GA4 Registrations'!$C$34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E83-1049-A4E9-1167A36D11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83-1049-A4E9-1167A36D11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83-1049-A4E9-1167A36D11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E83-1049-A4E9-1167A36D11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E83-1049-A4E9-1167A36D11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E83-1049-A4E9-1167A36D11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9DE-439C-969D-A1E86C85CE2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9DE-439C-969D-A1E86C85CE2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A82-E047-9D6E-15FAAC63A14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E83-1049-A4E9-1167A36D11CE}"/>
                </c:ext>
              </c:extLst>
            </c:dLbl>
            <c:dLbl>
              <c:idx val="5"/>
              <c:layout>
                <c:manualLayout>
                  <c:x val="0.12075311048859272"/>
                  <c:y val="0.1383979579792256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E83-1049-A4E9-1167A36D11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'GA4 Registrations'!$B$36:$B$44</c:f>
              <c:strCache>
                <c:ptCount val="9"/>
                <c:pt idx="0">
                  <c:v>Organic Search</c:v>
                </c:pt>
                <c:pt idx="1">
                  <c:v>Email</c:v>
                </c:pt>
                <c:pt idx="2">
                  <c:v>Direct</c:v>
                </c:pt>
                <c:pt idx="3">
                  <c:v>Paid Social </c:v>
                </c:pt>
                <c:pt idx="4">
                  <c:v>Referral</c:v>
                </c:pt>
                <c:pt idx="5">
                  <c:v>Paid Search</c:v>
                </c:pt>
                <c:pt idx="6">
                  <c:v>Unassigned</c:v>
                </c:pt>
                <c:pt idx="7">
                  <c:v>Organic Social</c:v>
                </c:pt>
                <c:pt idx="8">
                  <c:v>Cross Network</c:v>
                </c:pt>
              </c:strCache>
            </c:strRef>
          </c:cat>
          <c:val>
            <c:numRef>
              <c:f>'GA4 Registrations'!$C$36:$C$44</c:f>
              <c:numCache>
                <c:formatCode>0</c:formatCode>
                <c:ptCount val="9"/>
                <c:pt idx="0">
                  <c:v>975</c:v>
                </c:pt>
                <c:pt idx="1">
                  <c:v>446</c:v>
                </c:pt>
                <c:pt idx="2">
                  <c:v>966</c:v>
                </c:pt>
                <c:pt idx="3">
                  <c:v>7</c:v>
                </c:pt>
                <c:pt idx="4">
                  <c:v>677</c:v>
                </c:pt>
                <c:pt idx="5">
                  <c:v>896</c:v>
                </c:pt>
                <c:pt idx="6">
                  <c:v>15</c:v>
                </c:pt>
                <c:pt idx="7">
                  <c:v>5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E-EC4A-B1EA-A5FE8D7F2394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International Registrations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Registrations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'GA4 Registrations'!$B$58:$B$59</c:f>
              <c:strCache>
                <c:ptCount val="2"/>
                <c:pt idx="0">
                  <c:v>Email #3b</c:v>
                </c:pt>
                <c:pt idx="1">
                  <c:v>Email #4b</c:v>
                </c:pt>
              </c:strCache>
            </c:strRef>
          </c:cat>
          <c:val>
            <c:numRef>
              <c:f>'GA4 Registrations'!$C$58:$C$59</c:f>
              <c:numCache>
                <c:formatCode>0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4B-44F8-A904-894A1FD2C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3588359"/>
        <c:axId val="2023590407"/>
      </c:barChart>
      <c:catAx>
        <c:axId val="2023588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590407"/>
        <c:crosses val="autoZero"/>
        <c:auto val="1"/>
        <c:lblAlgn val="ctr"/>
        <c:lblOffset val="100"/>
        <c:noMultiLvlLbl val="0"/>
      </c:catAx>
      <c:valAx>
        <c:axId val="2023590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588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Late-Breaking Abstract Submissions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Abstracts!$B$3:$B$4</c:f>
              <c:numCache>
                <c:formatCode>General</c:formatCode>
                <c:ptCount val="2"/>
                <c:pt idx="0">
                  <c:v>2024</c:v>
                </c:pt>
                <c:pt idx="1">
                  <c:v>2026</c:v>
                </c:pt>
              </c:numCache>
            </c:numRef>
          </c:cat>
          <c:val>
            <c:numRef>
              <c:f>Abstracts!$C$3:$C$4</c:f>
              <c:numCache>
                <c:formatCode>General</c:formatCode>
                <c:ptCount val="2"/>
                <c:pt idx="0">
                  <c:v>112</c:v>
                </c:pt>
                <c:pt idx="1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36-5F4F-BC0F-EC63AC9E5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1246336"/>
        <c:axId val="1011248048"/>
      </c:barChart>
      <c:catAx>
        <c:axId val="101124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248048"/>
        <c:crosses val="autoZero"/>
        <c:auto val="1"/>
        <c:lblAlgn val="ctr"/>
        <c:lblOffset val="100"/>
        <c:noMultiLvlLbl val="0"/>
      </c:catAx>
      <c:valAx>
        <c:axId val="101124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24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Registrations: </a:t>
            </a:r>
          </a:p>
          <a:p>
            <a:pPr>
              <a:defRPr b="1"/>
            </a:pPr>
            <a:r>
              <a:rPr lang="en-US" b="1"/>
              <a:t>Pass Type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'Pass Types'!$C$25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'Pass Types'!$A$26:$A$29</c:f>
              <c:strCache>
                <c:ptCount val="4"/>
                <c:pt idx="0">
                  <c:v>Member Doctoral</c:v>
                </c:pt>
                <c:pt idx="1">
                  <c:v>Non-Member</c:v>
                </c:pt>
                <c:pt idx="2">
                  <c:v>Member Non-MD Doctoral</c:v>
                </c:pt>
                <c:pt idx="3">
                  <c:v>Member Non-Doctoral</c:v>
                </c:pt>
              </c:strCache>
            </c:strRef>
          </c:cat>
          <c:val>
            <c:numRef>
              <c:f>'Pass Types'!$C$26:$C$29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4A7B-2C44-A2EC-EF48F8DBEEAA}"/>
            </c:ext>
          </c:extLst>
        </c:ser>
        <c:ser>
          <c:idx val="1"/>
          <c:order val="1"/>
          <c:tx>
            <c:strRef>
              <c:f>'Pass Types'!$D$25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'Pass Types'!$A$26:$A$29</c:f>
              <c:strCache>
                <c:ptCount val="4"/>
                <c:pt idx="0">
                  <c:v>Member Doctoral</c:v>
                </c:pt>
                <c:pt idx="1">
                  <c:v>Non-Member</c:v>
                </c:pt>
                <c:pt idx="2">
                  <c:v>Member Non-MD Doctoral</c:v>
                </c:pt>
                <c:pt idx="3">
                  <c:v>Member Non-Doctoral</c:v>
                </c:pt>
              </c:strCache>
            </c:strRef>
          </c:cat>
          <c:val>
            <c:numRef>
              <c:f>'Pass Types'!$D$26:$D$29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4A7B-2C44-A2EC-EF48F8DBEEAA}"/>
            </c:ext>
          </c:extLst>
        </c:ser>
        <c:ser>
          <c:idx val="2"/>
          <c:order val="2"/>
          <c:tx>
            <c:strRef>
              <c:f>'Pass Types'!$E$25</c:f>
              <c:strCache>
                <c:ptCount val="1"/>
                <c:pt idx="0">
                  <c:v>2024 Registrations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'Pass Types'!$A$26:$A$29</c:f>
              <c:strCache>
                <c:ptCount val="4"/>
                <c:pt idx="0">
                  <c:v>Member Doctoral</c:v>
                </c:pt>
                <c:pt idx="1">
                  <c:v>Non-Member</c:v>
                </c:pt>
                <c:pt idx="2">
                  <c:v>Member Non-MD Doctoral</c:v>
                </c:pt>
                <c:pt idx="3">
                  <c:v>Member Non-Doctoral</c:v>
                </c:pt>
              </c:strCache>
            </c:strRef>
          </c:cat>
          <c:val>
            <c:numRef>
              <c:f>'Pass Types'!$E$26:$E$29</c:f>
              <c:numCache>
                <c:formatCode>General</c:formatCode>
                <c:ptCount val="4"/>
                <c:pt idx="0">
                  <c:v>1030</c:v>
                </c:pt>
                <c:pt idx="1">
                  <c:v>649</c:v>
                </c:pt>
                <c:pt idx="2">
                  <c:v>313</c:v>
                </c:pt>
                <c:pt idx="3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7B-2C44-A2EC-EF48F8DBE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5254511"/>
        <c:axId val="655273231"/>
      </c:barChart>
      <c:catAx>
        <c:axId val="65525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273231"/>
        <c:crosses val="autoZero"/>
        <c:auto val="1"/>
        <c:lblAlgn val="ctr"/>
        <c:lblOffset val="100"/>
        <c:noMultiLvlLbl val="0"/>
      </c:catAx>
      <c:valAx>
        <c:axId val="65527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25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2024 Registrations</a:t>
            </a:r>
            <a:r>
              <a:rPr lang="en-US" sz="1400" b="1" baseline="0"/>
              <a:t>:</a:t>
            </a:r>
          </a:p>
          <a:p>
            <a:pPr>
              <a:defRPr b="1"/>
            </a:pPr>
            <a:r>
              <a:rPr lang="en-US" sz="1400" b="1" baseline="0"/>
              <a:t>Pass Types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'Pass Types'!$C$3</c:f>
              <c:strCache>
                <c:ptCount val="1"/>
                <c:pt idx="0">
                  <c:v>2024 Registrations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E4-1842-916D-91A2CBAEF0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E4-1842-916D-91A2CBAEF0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AE4-1842-916D-91A2CBAEF0B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AE4-1842-916D-91A2CBAEF0B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52C-6247-8592-20E2079845B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52C-6247-8592-20E2079845B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52C-6247-8592-20E2079845B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52C-6247-8592-20E2079845B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52C-6247-8592-20E2079845B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52C-6247-8592-20E2079845BA}"/>
              </c:ext>
            </c:extLst>
          </c:dPt>
          <c:dLbls>
            <c:dLbl>
              <c:idx val="0"/>
              <c:layout>
                <c:manualLayout>
                  <c:x val="0.15098504607594199"/>
                  <c:y val="2.0175918119451179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AE4-1842-916D-91A2CBAEF0B0}"/>
                </c:ext>
              </c:extLst>
            </c:dLbl>
            <c:dLbl>
              <c:idx val="1"/>
              <c:layout>
                <c:manualLayout>
                  <c:x val="-0.12500912417040358"/>
                  <c:y val="6.456293798224599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AE4-1842-916D-91A2CBAEF0B0}"/>
                </c:ext>
              </c:extLst>
            </c:dLbl>
            <c:dLbl>
              <c:idx val="6"/>
              <c:layout>
                <c:manualLayout>
                  <c:x val="-0.10715067786034595"/>
                  <c:y val="-9.482681516142399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52C-6247-8592-20E2079845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'Pass Types'!$A$4:$A$13</c:f>
              <c:strCache>
                <c:ptCount val="10"/>
                <c:pt idx="0">
                  <c:v>Member Doctoral</c:v>
                </c:pt>
                <c:pt idx="1">
                  <c:v>Non-Member</c:v>
                </c:pt>
                <c:pt idx="2">
                  <c:v>Member Non-MD Doctoral</c:v>
                </c:pt>
                <c:pt idx="3">
                  <c:v>Member Non-Doctoral</c:v>
                </c:pt>
                <c:pt idx="4">
                  <c:v>Member trainee</c:v>
                </c:pt>
                <c:pt idx="5">
                  <c:v>Exhibitor</c:v>
                </c:pt>
                <c:pt idx="6">
                  <c:v>Speaker In-Person </c:v>
                </c:pt>
                <c:pt idx="7">
                  <c:v>Member Senior Emeritus</c:v>
                </c:pt>
                <c:pt idx="8">
                  <c:v>Medical Student</c:v>
                </c:pt>
                <c:pt idx="9">
                  <c:v>Patient</c:v>
                </c:pt>
              </c:strCache>
            </c:strRef>
          </c:cat>
          <c:val>
            <c:numRef>
              <c:f>'Pass Types'!$C$4:$C$13</c:f>
              <c:numCache>
                <c:formatCode>General</c:formatCode>
                <c:ptCount val="10"/>
                <c:pt idx="0">
                  <c:v>1030</c:v>
                </c:pt>
                <c:pt idx="1">
                  <c:v>649</c:v>
                </c:pt>
                <c:pt idx="2">
                  <c:v>313</c:v>
                </c:pt>
                <c:pt idx="3">
                  <c:v>298</c:v>
                </c:pt>
                <c:pt idx="4">
                  <c:v>492</c:v>
                </c:pt>
                <c:pt idx="5">
                  <c:v>280</c:v>
                </c:pt>
                <c:pt idx="6">
                  <c:v>274</c:v>
                </c:pt>
                <c:pt idx="7">
                  <c:v>15</c:v>
                </c:pt>
                <c:pt idx="8">
                  <c:v>101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AE4-1842-916D-91A2CBAEF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'OLD Total Registrations'!$A$7:$C$7</c:f>
              <c:strCache>
                <c:ptCount val="3"/>
                <c:pt idx="0">
                  <c:v>2023</c:v>
                </c:pt>
                <c:pt idx="1">
                  <c:v>0</c:v>
                </c:pt>
                <c:pt idx="2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'OLD Total Registrations'!$D$4:$Z$4</c:f>
              <c:numCache>
                <c:formatCode>General</c:formatCode>
                <c:ptCount val="23"/>
                <c:pt idx="0">
                  <c:v>22</c:v>
                </c:pt>
                <c:pt idx="1">
                  <c:v>21</c:v>
                </c:pt>
                <c:pt idx="2">
                  <c:v>20</c:v>
                </c:pt>
                <c:pt idx="3">
                  <c:v>19</c:v>
                </c:pt>
                <c:pt idx="4">
                  <c:v>18</c:v>
                </c:pt>
                <c:pt idx="5">
                  <c:v>17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13</c:v>
                </c:pt>
                <c:pt idx="10">
                  <c:v>12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3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</c:numCache>
            </c:numRef>
          </c:cat>
          <c:val>
            <c:numRef>
              <c:f>'OLD Total Registrations'!$D$7:$Z$7</c:f>
              <c:numCache>
                <c:formatCode>0</c:formatCode>
                <c:ptCount val="23"/>
                <c:pt idx="0">
                  <c:v>4</c:v>
                </c:pt>
                <c:pt idx="1">
                  <c:v>18</c:v>
                </c:pt>
                <c:pt idx="2">
                  <c:v>21</c:v>
                </c:pt>
                <c:pt idx="3">
                  <c:v>140</c:v>
                </c:pt>
                <c:pt idx="4">
                  <c:v>54</c:v>
                </c:pt>
                <c:pt idx="5">
                  <c:v>273</c:v>
                </c:pt>
                <c:pt idx="6">
                  <c:v>134</c:v>
                </c:pt>
                <c:pt idx="7">
                  <c:v>163</c:v>
                </c:pt>
                <c:pt idx="8">
                  <c:v>188</c:v>
                </c:pt>
                <c:pt idx="9">
                  <c:v>236</c:v>
                </c:pt>
                <c:pt idx="10">
                  <c:v>161</c:v>
                </c:pt>
                <c:pt idx="11">
                  <c:v>148</c:v>
                </c:pt>
                <c:pt idx="12">
                  <c:v>177</c:v>
                </c:pt>
                <c:pt idx="13">
                  <c:v>202</c:v>
                </c:pt>
                <c:pt idx="14">
                  <c:v>245</c:v>
                </c:pt>
                <c:pt idx="15">
                  <c:v>257</c:v>
                </c:pt>
                <c:pt idx="16">
                  <c:v>496</c:v>
                </c:pt>
                <c:pt idx="17">
                  <c:v>1029</c:v>
                </c:pt>
                <c:pt idx="18">
                  <c:v>157</c:v>
                </c:pt>
                <c:pt idx="19">
                  <c:v>163</c:v>
                </c:pt>
                <c:pt idx="20">
                  <c:v>285</c:v>
                </c:pt>
                <c:pt idx="21">
                  <c:v>256</c:v>
                </c:pt>
                <c:pt idx="22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42-4915-86C3-873C741F87C7}"/>
            </c:ext>
          </c:extLst>
        </c:ser>
        <c:ser>
          <c:idx val="1"/>
          <c:order val="1"/>
          <c:tx>
            <c:strRef>
              <c:f>'OLD Total Registrations'!$A$8:$C$8</c:f>
              <c:strCache>
                <c:ptCount val="3"/>
                <c:pt idx="0">
                  <c:v>2024</c:v>
                </c:pt>
                <c:pt idx="1">
                  <c:v>0</c:v>
                </c:pt>
                <c:pt idx="2">
                  <c:v>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'OLD Total Registrations'!$D$4:$Z$4</c:f>
              <c:numCache>
                <c:formatCode>General</c:formatCode>
                <c:ptCount val="23"/>
                <c:pt idx="0">
                  <c:v>22</c:v>
                </c:pt>
                <c:pt idx="1">
                  <c:v>21</c:v>
                </c:pt>
                <c:pt idx="2">
                  <c:v>20</c:v>
                </c:pt>
                <c:pt idx="3">
                  <c:v>19</c:v>
                </c:pt>
                <c:pt idx="4">
                  <c:v>18</c:v>
                </c:pt>
                <c:pt idx="5">
                  <c:v>17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13</c:v>
                </c:pt>
                <c:pt idx="10">
                  <c:v>12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3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</c:numCache>
            </c:numRef>
          </c:cat>
          <c:val>
            <c:numRef>
              <c:f>'OLD Total Registrations'!$D$8:$Z$8</c:f>
              <c:numCache>
                <c:formatCode>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62</c:v>
                </c:pt>
                <c:pt idx="8">
                  <c:v>477</c:v>
                </c:pt>
                <c:pt idx="9">
                  <c:v>483</c:v>
                </c:pt>
                <c:pt idx="10">
                  <c:v>883</c:v>
                </c:pt>
                <c:pt idx="11">
                  <c:v>155</c:v>
                </c:pt>
                <c:pt idx="12">
                  <c:v>184</c:v>
                </c:pt>
                <c:pt idx="13">
                  <c:v>139</c:v>
                </c:pt>
                <c:pt idx="14">
                  <c:v>197</c:v>
                </c:pt>
                <c:pt idx="15">
                  <c:v>324</c:v>
                </c:pt>
                <c:pt idx="16">
                  <c:v>226</c:v>
                </c:pt>
                <c:pt idx="17">
                  <c:v>361</c:v>
                </c:pt>
                <c:pt idx="18">
                  <c:v>199</c:v>
                </c:pt>
                <c:pt idx="19">
                  <c:v>217</c:v>
                </c:pt>
                <c:pt idx="20">
                  <c:v>271</c:v>
                </c:pt>
                <c:pt idx="21">
                  <c:v>441</c:v>
                </c:pt>
                <c:pt idx="22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42-4915-86C3-873C741F87C7}"/>
            </c:ext>
          </c:extLst>
        </c:ser>
        <c:ser>
          <c:idx val="2"/>
          <c:order val="2"/>
          <c:tx>
            <c:strRef>
              <c:f>'OLD Total Registrations'!$A$9:$C$9</c:f>
              <c:strCache>
                <c:ptCount val="3"/>
                <c:pt idx="0">
                  <c:v>2026</c:v>
                </c:pt>
                <c:pt idx="1">
                  <c:v>76</c:v>
                </c:pt>
                <c:pt idx="2">
                  <c:v>78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'OLD Total Registrations'!$D$4:$Z$4</c:f>
              <c:numCache>
                <c:formatCode>General</c:formatCode>
                <c:ptCount val="23"/>
                <c:pt idx="0">
                  <c:v>22</c:v>
                </c:pt>
                <c:pt idx="1">
                  <c:v>21</c:v>
                </c:pt>
                <c:pt idx="2">
                  <c:v>20</c:v>
                </c:pt>
                <c:pt idx="3">
                  <c:v>19</c:v>
                </c:pt>
                <c:pt idx="4">
                  <c:v>18</c:v>
                </c:pt>
                <c:pt idx="5">
                  <c:v>17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13</c:v>
                </c:pt>
                <c:pt idx="10">
                  <c:v>12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3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</c:numCache>
            </c:numRef>
          </c:cat>
          <c:val>
            <c:numRef>
              <c:f>'OLD Total Registrations'!$D$9:$Z$9</c:f>
              <c:numCache>
                <c:formatCode>0</c:formatCode>
                <c:ptCount val="23"/>
                <c:pt idx="0">
                  <c:v>20</c:v>
                </c:pt>
                <c:pt idx="1">
                  <c:v>153</c:v>
                </c:pt>
                <c:pt idx="2">
                  <c:v>84</c:v>
                </c:pt>
                <c:pt idx="3">
                  <c:v>64</c:v>
                </c:pt>
                <c:pt idx="4">
                  <c:v>128</c:v>
                </c:pt>
                <c:pt idx="5">
                  <c:v>264</c:v>
                </c:pt>
                <c:pt idx="6">
                  <c:v>799</c:v>
                </c:pt>
                <c:pt idx="7">
                  <c:v>109</c:v>
                </c:pt>
                <c:pt idx="8">
                  <c:v>110</c:v>
                </c:pt>
                <c:pt idx="9">
                  <c:v>88</c:v>
                </c:pt>
                <c:pt idx="10">
                  <c:v>78</c:v>
                </c:pt>
                <c:pt idx="11">
                  <c:v>75</c:v>
                </c:pt>
                <c:pt idx="12">
                  <c:v>156</c:v>
                </c:pt>
                <c:pt idx="13">
                  <c:v>164</c:v>
                </c:pt>
                <c:pt idx="14">
                  <c:v>422</c:v>
                </c:pt>
                <c:pt idx="15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42-4915-86C3-873C741F8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01968"/>
        <c:axId val="96301488"/>
      </c:lineChart>
      <c:catAx>
        <c:axId val="9630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01488"/>
        <c:crosses val="autoZero"/>
        <c:auto val="1"/>
        <c:lblAlgn val="ctr"/>
        <c:lblOffset val="100"/>
        <c:noMultiLvlLbl val="0"/>
      </c:catAx>
      <c:valAx>
        <c:axId val="9630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0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2023 - 2026 Registration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'OLD Total Registrations'!$A$28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'OLD Total Registrations'!$B$26:$Z$26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'OLD Total Registrations'!$B$28:$Z$28</c:f>
              <c:numCache>
                <c:formatCode>0</c:formatCode>
                <c:ptCount val="25"/>
                <c:pt idx="1">
                  <c:v>0</c:v>
                </c:pt>
                <c:pt idx="2">
                  <c:v>4</c:v>
                </c:pt>
                <c:pt idx="3">
                  <c:v>22</c:v>
                </c:pt>
                <c:pt idx="4">
                  <c:v>43</c:v>
                </c:pt>
                <c:pt idx="5">
                  <c:v>183</c:v>
                </c:pt>
                <c:pt idx="6">
                  <c:v>237</c:v>
                </c:pt>
                <c:pt idx="7">
                  <c:v>510</c:v>
                </c:pt>
                <c:pt idx="8">
                  <c:v>644</c:v>
                </c:pt>
                <c:pt idx="9">
                  <c:v>807</c:v>
                </c:pt>
                <c:pt idx="10">
                  <c:v>995</c:v>
                </c:pt>
                <c:pt idx="11">
                  <c:v>1231</c:v>
                </c:pt>
                <c:pt idx="12">
                  <c:v>1392</c:v>
                </c:pt>
                <c:pt idx="13">
                  <c:v>1540</c:v>
                </c:pt>
                <c:pt idx="14">
                  <c:v>1717</c:v>
                </c:pt>
                <c:pt idx="15">
                  <c:v>1919</c:v>
                </c:pt>
                <c:pt idx="16">
                  <c:v>2164</c:v>
                </c:pt>
                <c:pt idx="17">
                  <c:v>2421</c:v>
                </c:pt>
                <c:pt idx="18">
                  <c:v>2917</c:v>
                </c:pt>
                <c:pt idx="19">
                  <c:v>3946</c:v>
                </c:pt>
                <c:pt idx="20">
                  <c:v>4103</c:v>
                </c:pt>
                <c:pt idx="21">
                  <c:v>4266</c:v>
                </c:pt>
                <c:pt idx="22">
                  <c:v>4551</c:v>
                </c:pt>
                <c:pt idx="23">
                  <c:v>4807</c:v>
                </c:pt>
                <c:pt idx="24">
                  <c:v>4977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83-4AA1-A905-0F12CE5BD29E}"/>
            </c:ext>
          </c:extLst>
        </c:ser>
        <c:ser>
          <c:idx val="1"/>
          <c:order val="1"/>
          <c:tx>
            <c:strRef>
              <c:f>'OLD Total Registrations'!$A$29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'OLD Total Registrations'!$B$26:$Z$26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'OLD Total Registrations'!$B$29:$Z$29</c:f>
              <c:numCache>
                <c:formatCode>0</c:formatCode>
                <c:ptCount val="2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62</c:v>
                </c:pt>
                <c:pt idx="10">
                  <c:v>539</c:v>
                </c:pt>
                <c:pt idx="11">
                  <c:v>1022</c:v>
                </c:pt>
                <c:pt idx="12">
                  <c:v>1905</c:v>
                </c:pt>
                <c:pt idx="13">
                  <c:v>2060</c:v>
                </c:pt>
                <c:pt idx="14">
                  <c:v>2244</c:v>
                </c:pt>
                <c:pt idx="15">
                  <c:v>2383</c:v>
                </c:pt>
                <c:pt idx="16">
                  <c:v>2580</c:v>
                </c:pt>
                <c:pt idx="17">
                  <c:v>2904</c:v>
                </c:pt>
                <c:pt idx="18">
                  <c:v>3130</c:v>
                </c:pt>
                <c:pt idx="19">
                  <c:v>3491</c:v>
                </c:pt>
                <c:pt idx="20">
                  <c:v>3690</c:v>
                </c:pt>
                <c:pt idx="21">
                  <c:v>3907</c:v>
                </c:pt>
                <c:pt idx="22">
                  <c:v>4178</c:v>
                </c:pt>
                <c:pt idx="23">
                  <c:v>4619</c:v>
                </c:pt>
                <c:pt idx="24">
                  <c:v>4653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83-4AA1-A905-0F12CE5BD29E}"/>
            </c:ext>
          </c:extLst>
        </c:ser>
        <c:ser>
          <c:idx val="2"/>
          <c:order val="2"/>
          <c:tx>
            <c:strRef>
              <c:f>'OLD Total Registrations'!$A$30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'OLD Total Registrations'!$B$26:$Z$26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'OLD Total Registrations'!$B$30:$Z$30</c:f>
              <c:numCache>
                <c:formatCode>0</c:formatCode>
                <c:ptCount val="25"/>
                <c:pt idx="0">
                  <c:v>76</c:v>
                </c:pt>
                <c:pt idx="1">
                  <c:v>154</c:v>
                </c:pt>
                <c:pt idx="2">
                  <c:v>174</c:v>
                </c:pt>
                <c:pt idx="3">
                  <c:v>327</c:v>
                </c:pt>
                <c:pt idx="4">
                  <c:v>411</c:v>
                </c:pt>
                <c:pt idx="5">
                  <c:v>475</c:v>
                </c:pt>
                <c:pt idx="6">
                  <c:v>603</c:v>
                </c:pt>
                <c:pt idx="7">
                  <c:v>867</c:v>
                </c:pt>
                <c:pt idx="8">
                  <c:v>1666</c:v>
                </c:pt>
                <c:pt idx="9">
                  <c:v>1775</c:v>
                </c:pt>
                <c:pt idx="10">
                  <c:v>1885</c:v>
                </c:pt>
                <c:pt idx="11">
                  <c:v>1973</c:v>
                </c:pt>
                <c:pt idx="12">
                  <c:v>2051</c:v>
                </c:pt>
                <c:pt idx="13">
                  <c:v>2134</c:v>
                </c:pt>
                <c:pt idx="14">
                  <c:v>2289</c:v>
                </c:pt>
                <c:pt idx="15">
                  <c:v>2453</c:v>
                </c:pt>
                <c:pt idx="16">
                  <c:v>2875</c:v>
                </c:pt>
                <c:pt idx="17">
                  <c:v>3000</c:v>
                </c:pt>
                <c:pt idx="18">
                  <c:v>3043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83-4AA1-A905-0F12CE5BD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8024071"/>
        <c:axId val="985676808"/>
      </c:lineChart>
      <c:catAx>
        <c:axId val="1528024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676808"/>
        <c:crosses val="autoZero"/>
        <c:auto val="1"/>
        <c:lblAlgn val="ctr"/>
        <c:lblOffset val="100"/>
        <c:noMultiLvlLbl val="0"/>
      </c:catAx>
      <c:valAx>
        <c:axId val="98567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024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75-4881-BE59-DD9123D57D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75-4881-BE59-DD9123D57D4F}"/>
              </c:ext>
            </c:extLst>
          </c:dPt>
          <c:cat>
            <c:strRef>
              <c:f>'OLD Total Registrations'!$A$52:$A$53</c:f>
              <c:strCache>
                <c:ptCount val="2"/>
                <c:pt idx="0">
                  <c:v>Paid Attendees</c:v>
                </c:pt>
                <c:pt idx="1">
                  <c:v>Comp Attendees</c:v>
                </c:pt>
              </c:strCache>
            </c:strRef>
          </c:cat>
          <c:val>
            <c:numRef>
              <c:f>'OLD Total Registrations'!$B$52:$B$53</c:f>
              <c:numCache>
                <c:formatCode>0</c:formatCode>
                <c:ptCount val="2"/>
                <c:pt idx="0">
                  <c:v>2469</c:v>
                </c:pt>
                <c:pt idx="1">
                  <c:v>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A-4B42-9D13-8B845F3A5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2023 - 2026 Paid Registration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'OLD Total Registrations'!$A$42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'OLD Total Registrations'!$B$33:$Z$33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'OLD Total Registrations'!$B$42:$Z$42</c:f>
              <c:numCache>
                <c:formatCode>0</c:formatCode>
                <c:ptCount val="2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247</c:v>
                </c:pt>
                <c:pt idx="8">
                  <c:v>365</c:v>
                </c:pt>
                <c:pt idx="9">
                  <c:v>486</c:v>
                </c:pt>
                <c:pt idx="10">
                  <c:v>650</c:v>
                </c:pt>
                <c:pt idx="11">
                  <c:v>829</c:v>
                </c:pt>
                <c:pt idx="12">
                  <c:v>990</c:v>
                </c:pt>
                <c:pt idx="13">
                  <c:v>1127</c:v>
                </c:pt>
                <c:pt idx="14">
                  <c:v>1271</c:v>
                </c:pt>
                <c:pt idx="15">
                  <c:v>1435</c:v>
                </c:pt>
                <c:pt idx="16">
                  <c:v>1638</c:v>
                </c:pt>
                <c:pt idx="17">
                  <c:v>1861</c:v>
                </c:pt>
                <c:pt idx="18">
                  <c:v>2265</c:v>
                </c:pt>
                <c:pt idx="19">
                  <c:v>3088</c:v>
                </c:pt>
                <c:pt idx="20">
                  <c:v>3209</c:v>
                </c:pt>
                <c:pt idx="21">
                  <c:v>3317</c:v>
                </c:pt>
                <c:pt idx="22">
                  <c:v>3403</c:v>
                </c:pt>
                <c:pt idx="23">
                  <c:v>3548</c:v>
                </c:pt>
                <c:pt idx="24">
                  <c:v>3634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83-4AA1-A905-0F12CE5BD29E}"/>
            </c:ext>
          </c:extLst>
        </c:ser>
        <c:ser>
          <c:idx val="1"/>
          <c:order val="1"/>
          <c:tx>
            <c:strRef>
              <c:f>'OLD Total Registrations'!$A$43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'OLD Total Registrations'!$B$33:$Z$33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'OLD Total Registrations'!$B$43:$Z$43</c:f>
              <c:numCache>
                <c:formatCode>0</c:formatCode>
                <c:ptCount val="2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55</c:v>
                </c:pt>
                <c:pt idx="10">
                  <c:v>372</c:v>
                </c:pt>
                <c:pt idx="11">
                  <c:v>766</c:v>
                </c:pt>
                <c:pt idx="12">
                  <c:v>1577</c:v>
                </c:pt>
                <c:pt idx="13">
                  <c:v>1698</c:v>
                </c:pt>
                <c:pt idx="14">
                  <c:v>1857</c:v>
                </c:pt>
                <c:pt idx="15">
                  <c:v>1974</c:v>
                </c:pt>
                <c:pt idx="16">
                  <c:v>2143</c:v>
                </c:pt>
                <c:pt idx="17">
                  <c:v>2421</c:v>
                </c:pt>
                <c:pt idx="18">
                  <c:v>2565</c:v>
                </c:pt>
                <c:pt idx="19">
                  <c:v>2837</c:v>
                </c:pt>
                <c:pt idx="20">
                  <c:v>2959</c:v>
                </c:pt>
                <c:pt idx="21">
                  <c:v>3100</c:v>
                </c:pt>
                <c:pt idx="22">
                  <c:v>3254</c:v>
                </c:pt>
                <c:pt idx="23">
                  <c:v>3509</c:v>
                </c:pt>
                <c:pt idx="24">
                  <c:v>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83-4AA1-A905-0F12CE5BD29E}"/>
            </c:ext>
          </c:extLst>
        </c:ser>
        <c:ser>
          <c:idx val="2"/>
          <c:order val="2"/>
          <c:tx>
            <c:strRef>
              <c:f>'OLD Total Registrations'!$A$44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'OLD Total Registrations'!$B$33:$Z$33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'OLD Total Registrations'!$B$44:$Z$44</c:f>
              <c:numCache>
                <c:formatCode>0</c:formatCode>
                <c:ptCount val="25"/>
                <c:pt idx="0">
                  <c:v>13</c:v>
                </c:pt>
                <c:pt idx="1">
                  <c:v>31</c:v>
                </c:pt>
                <c:pt idx="2">
                  <c:v>35</c:v>
                </c:pt>
                <c:pt idx="3">
                  <c:v>150</c:v>
                </c:pt>
                <c:pt idx="4">
                  <c:v>204</c:v>
                </c:pt>
                <c:pt idx="5">
                  <c:v>249</c:v>
                </c:pt>
                <c:pt idx="6">
                  <c:v>364</c:v>
                </c:pt>
                <c:pt idx="7">
                  <c:v>595</c:v>
                </c:pt>
                <c:pt idx="8">
                  <c:v>1343</c:v>
                </c:pt>
                <c:pt idx="9">
                  <c:v>1440</c:v>
                </c:pt>
                <c:pt idx="10">
                  <c:v>1531</c:v>
                </c:pt>
                <c:pt idx="11">
                  <c:v>1606</c:v>
                </c:pt>
                <c:pt idx="12">
                  <c:v>1673</c:v>
                </c:pt>
                <c:pt idx="13">
                  <c:v>1739</c:v>
                </c:pt>
                <c:pt idx="14">
                  <c:v>1864</c:v>
                </c:pt>
                <c:pt idx="15">
                  <c:v>2014</c:v>
                </c:pt>
                <c:pt idx="16">
                  <c:v>2371</c:v>
                </c:pt>
                <c:pt idx="17">
                  <c:v>2469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83-4AA1-A905-0F12CE5BD29E}"/>
            </c:ext>
          </c:extLst>
        </c:ser>
        <c:ser>
          <c:idx val="3"/>
          <c:order val="3"/>
          <c:tx>
            <c:strRef>
              <c:f>'OLD Total Registrations'!$A$46</c:f>
              <c:strCache>
                <c:ptCount val="1"/>
                <c:pt idx="0">
                  <c:v>PROJECTED PAID 2026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'OLD Total Registrations'!$B$33:$Z$33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'OLD Total Registrations'!$B$46:$Z$46</c:f>
              <c:numCache>
                <c:formatCode>0</c:formatCode>
                <c:ptCount val="25"/>
                <c:pt idx="1">
                  <c:v>25</c:v>
                </c:pt>
                <c:pt idx="2">
                  <c:v>75</c:v>
                </c:pt>
                <c:pt idx="3">
                  <c:v>125</c:v>
                </c:pt>
                <c:pt idx="4">
                  <c:v>300</c:v>
                </c:pt>
                <c:pt idx="5">
                  <c:v>540</c:v>
                </c:pt>
                <c:pt idx="6">
                  <c:v>720</c:v>
                </c:pt>
                <c:pt idx="7">
                  <c:v>1080</c:v>
                </c:pt>
                <c:pt idx="8">
                  <c:v>1438</c:v>
                </c:pt>
                <c:pt idx="9">
                  <c:v>1500</c:v>
                </c:pt>
                <c:pt idx="10">
                  <c:v>1562</c:v>
                </c:pt>
                <c:pt idx="11">
                  <c:v>1624</c:v>
                </c:pt>
                <c:pt idx="12">
                  <c:v>1686</c:v>
                </c:pt>
                <c:pt idx="13">
                  <c:v>1748</c:v>
                </c:pt>
                <c:pt idx="14">
                  <c:v>1810</c:v>
                </c:pt>
                <c:pt idx="15">
                  <c:v>1872</c:v>
                </c:pt>
                <c:pt idx="16">
                  <c:v>1934</c:v>
                </c:pt>
                <c:pt idx="17">
                  <c:v>1996</c:v>
                </c:pt>
                <c:pt idx="18">
                  <c:v>2055</c:v>
                </c:pt>
                <c:pt idx="19">
                  <c:v>2230</c:v>
                </c:pt>
                <c:pt idx="20">
                  <c:v>2430</c:v>
                </c:pt>
                <c:pt idx="21">
                  <c:v>2630</c:v>
                </c:pt>
                <c:pt idx="22">
                  <c:v>2830</c:v>
                </c:pt>
                <c:pt idx="23">
                  <c:v>3055</c:v>
                </c:pt>
                <c:pt idx="24" formatCode="General">
                  <c:v>3172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9A-45EA-8231-8F72E7226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8024071"/>
        <c:axId val="985676808"/>
      </c:lineChart>
      <c:catAx>
        <c:axId val="1528024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676808"/>
        <c:crosses val="autoZero"/>
        <c:auto val="1"/>
        <c:lblAlgn val="ctr"/>
        <c:lblOffset val="100"/>
        <c:noMultiLvlLbl val="0"/>
      </c:catAx>
      <c:valAx>
        <c:axId val="98567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024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2024 - 2026 Paid Registration</a:t>
            </a:r>
          </a:p>
        </c:rich>
      </c:tx>
      <c:layout>
        <c:manualLayout>
          <c:xMode val="edge"/>
          <c:yMode val="edge"/>
          <c:x val="0.30205038832988801"/>
          <c:y val="2.39920337212267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'OLD Total Registrations'!$A$43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'OLD Total Registrations'!$B$33:$Z$33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'OLD Total Registrations'!$B$43:$Z$43</c:f>
              <c:numCache>
                <c:formatCode>0</c:formatCode>
                <c:ptCount val="2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55</c:v>
                </c:pt>
                <c:pt idx="10">
                  <c:v>372</c:v>
                </c:pt>
                <c:pt idx="11">
                  <c:v>766</c:v>
                </c:pt>
                <c:pt idx="12">
                  <c:v>1577</c:v>
                </c:pt>
                <c:pt idx="13">
                  <c:v>1698</c:v>
                </c:pt>
                <c:pt idx="14">
                  <c:v>1857</c:v>
                </c:pt>
                <c:pt idx="15">
                  <c:v>1974</c:v>
                </c:pt>
                <c:pt idx="16">
                  <c:v>2143</c:v>
                </c:pt>
                <c:pt idx="17">
                  <c:v>2421</c:v>
                </c:pt>
                <c:pt idx="18">
                  <c:v>2565</c:v>
                </c:pt>
                <c:pt idx="19">
                  <c:v>2837</c:v>
                </c:pt>
                <c:pt idx="20">
                  <c:v>2959</c:v>
                </c:pt>
                <c:pt idx="21">
                  <c:v>3100</c:v>
                </c:pt>
                <c:pt idx="22">
                  <c:v>3254</c:v>
                </c:pt>
                <c:pt idx="23">
                  <c:v>3509</c:v>
                </c:pt>
                <c:pt idx="24">
                  <c:v>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1C-40E2-836B-43EF87D604E9}"/>
            </c:ext>
          </c:extLst>
        </c:ser>
        <c:ser>
          <c:idx val="2"/>
          <c:order val="1"/>
          <c:tx>
            <c:strRef>
              <c:f>'OLD Total Registrations'!$A$44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'OLD Total Registrations'!$B$33:$Z$33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'OLD Total Registrations'!$B$44:$Z$44</c:f>
              <c:numCache>
                <c:formatCode>0</c:formatCode>
                <c:ptCount val="25"/>
                <c:pt idx="0">
                  <c:v>13</c:v>
                </c:pt>
                <c:pt idx="1">
                  <c:v>31</c:v>
                </c:pt>
                <c:pt idx="2">
                  <c:v>35</c:v>
                </c:pt>
                <c:pt idx="3">
                  <c:v>150</c:v>
                </c:pt>
                <c:pt idx="4">
                  <c:v>204</c:v>
                </c:pt>
                <c:pt idx="5">
                  <c:v>249</c:v>
                </c:pt>
                <c:pt idx="6">
                  <c:v>364</c:v>
                </c:pt>
                <c:pt idx="7">
                  <c:v>595</c:v>
                </c:pt>
                <c:pt idx="8">
                  <c:v>1343</c:v>
                </c:pt>
                <c:pt idx="9">
                  <c:v>1440</c:v>
                </c:pt>
                <c:pt idx="10">
                  <c:v>1531</c:v>
                </c:pt>
                <c:pt idx="11">
                  <c:v>1606</c:v>
                </c:pt>
                <c:pt idx="12">
                  <c:v>1673</c:v>
                </c:pt>
                <c:pt idx="13">
                  <c:v>1739</c:v>
                </c:pt>
                <c:pt idx="14">
                  <c:v>1864</c:v>
                </c:pt>
                <c:pt idx="15">
                  <c:v>2014</c:v>
                </c:pt>
                <c:pt idx="16">
                  <c:v>2371</c:v>
                </c:pt>
                <c:pt idx="17">
                  <c:v>2469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1C-40E2-836B-43EF87D604E9}"/>
            </c:ext>
          </c:extLst>
        </c:ser>
        <c:ser>
          <c:idx val="3"/>
          <c:order val="2"/>
          <c:tx>
            <c:strRef>
              <c:f>'OLD Total Registrations'!$A$46</c:f>
              <c:strCache>
                <c:ptCount val="1"/>
                <c:pt idx="0">
                  <c:v>PROJECTED PAID 2026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'OLD Total Registrations'!$B$33:$Z$33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'OLD Total Registrations'!$B$46:$Z$46</c:f>
              <c:numCache>
                <c:formatCode>0</c:formatCode>
                <c:ptCount val="25"/>
                <c:pt idx="1">
                  <c:v>25</c:v>
                </c:pt>
                <c:pt idx="2">
                  <c:v>75</c:v>
                </c:pt>
                <c:pt idx="3">
                  <c:v>125</c:v>
                </c:pt>
                <c:pt idx="4">
                  <c:v>300</c:v>
                </c:pt>
                <c:pt idx="5">
                  <c:v>540</c:v>
                </c:pt>
                <c:pt idx="6">
                  <c:v>720</c:v>
                </c:pt>
                <c:pt idx="7">
                  <c:v>1080</c:v>
                </c:pt>
                <c:pt idx="8">
                  <c:v>1438</c:v>
                </c:pt>
                <c:pt idx="9">
                  <c:v>1500</c:v>
                </c:pt>
                <c:pt idx="10">
                  <c:v>1562</c:v>
                </c:pt>
                <c:pt idx="11">
                  <c:v>1624</c:v>
                </c:pt>
                <c:pt idx="12">
                  <c:v>1686</c:v>
                </c:pt>
                <c:pt idx="13">
                  <c:v>1748</c:v>
                </c:pt>
                <c:pt idx="14">
                  <c:v>1810</c:v>
                </c:pt>
                <c:pt idx="15">
                  <c:v>1872</c:v>
                </c:pt>
                <c:pt idx="16">
                  <c:v>1934</c:v>
                </c:pt>
                <c:pt idx="17">
                  <c:v>1996</c:v>
                </c:pt>
                <c:pt idx="18">
                  <c:v>2055</c:v>
                </c:pt>
                <c:pt idx="19">
                  <c:v>2230</c:v>
                </c:pt>
                <c:pt idx="20">
                  <c:v>2430</c:v>
                </c:pt>
                <c:pt idx="21">
                  <c:v>2630</c:v>
                </c:pt>
                <c:pt idx="22">
                  <c:v>2830</c:v>
                </c:pt>
                <c:pt idx="23">
                  <c:v>3055</c:v>
                </c:pt>
                <c:pt idx="24" formatCode="General">
                  <c:v>3172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1C-40E2-836B-43EF87D60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8024071"/>
        <c:axId val="985676808"/>
      </c:lineChart>
      <c:catAx>
        <c:axId val="1528024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676808"/>
        <c:crosses val="autoZero"/>
        <c:auto val="1"/>
        <c:lblAlgn val="ctr"/>
        <c:lblOffset val="100"/>
        <c:noMultiLvlLbl val="0"/>
      </c:catAx>
      <c:valAx>
        <c:axId val="98567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024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2023 - 2026 Comp Registration</a:t>
            </a:r>
          </a:p>
        </c:rich>
      </c:tx>
      <c:layout>
        <c:manualLayout>
          <c:xMode val="edge"/>
          <c:yMode val="edge"/>
          <c:x val="0.33859151690505374"/>
          <c:y val="2.3072482461297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'OLD Total Registrations'!$A$35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'OLD Total Registrations'!$B$26:$Z$26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'OLD Total Registrations'!$B$35:$Z$35</c:f>
              <c:numCache>
                <c:formatCode>0</c:formatCode>
                <c:ptCount val="25"/>
                <c:pt idx="1">
                  <c:v>0</c:v>
                </c:pt>
                <c:pt idx="2">
                  <c:v>4</c:v>
                </c:pt>
                <c:pt idx="3">
                  <c:v>22</c:v>
                </c:pt>
                <c:pt idx="4">
                  <c:v>43</c:v>
                </c:pt>
                <c:pt idx="5">
                  <c:v>183</c:v>
                </c:pt>
                <c:pt idx="6">
                  <c:v>237</c:v>
                </c:pt>
                <c:pt idx="7">
                  <c:v>263</c:v>
                </c:pt>
                <c:pt idx="8">
                  <c:v>279</c:v>
                </c:pt>
                <c:pt idx="9">
                  <c:v>321</c:v>
                </c:pt>
                <c:pt idx="10">
                  <c:v>345</c:v>
                </c:pt>
                <c:pt idx="11">
                  <c:v>402</c:v>
                </c:pt>
                <c:pt idx="12">
                  <c:v>402</c:v>
                </c:pt>
                <c:pt idx="13">
                  <c:v>413</c:v>
                </c:pt>
                <c:pt idx="14">
                  <c:v>446</c:v>
                </c:pt>
                <c:pt idx="15">
                  <c:v>484</c:v>
                </c:pt>
                <c:pt idx="16">
                  <c:v>526</c:v>
                </c:pt>
                <c:pt idx="17">
                  <c:v>560</c:v>
                </c:pt>
                <c:pt idx="18">
                  <c:v>652</c:v>
                </c:pt>
                <c:pt idx="19">
                  <c:v>858</c:v>
                </c:pt>
                <c:pt idx="20">
                  <c:v>894</c:v>
                </c:pt>
                <c:pt idx="21">
                  <c:v>949</c:v>
                </c:pt>
                <c:pt idx="22">
                  <c:v>1148</c:v>
                </c:pt>
                <c:pt idx="23">
                  <c:v>1259</c:v>
                </c:pt>
                <c:pt idx="24">
                  <c:v>1343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B5-445B-9DC6-883DBC486C87}"/>
            </c:ext>
          </c:extLst>
        </c:ser>
        <c:ser>
          <c:idx val="1"/>
          <c:order val="1"/>
          <c:tx>
            <c:strRef>
              <c:f>'OLD Total Registrations'!$A$36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'OLD Total Registrations'!$B$26:$Z$26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'OLD Total Registrations'!$B$36:$Z$36</c:f>
              <c:numCache>
                <c:formatCode>0</c:formatCode>
                <c:ptCount val="2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</c:v>
                </c:pt>
                <c:pt idx="10">
                  <c:v>167</c:v>
                </c:pt>
                <c:pt idx="11">
                  <c:v>256</c:v>
                </c:pt>
                <c:pt idx="12">
                  <c:v>328</c:v>
                </c:pt>
                <c:pt idx="13">
                  <c:v>362</c:v>
                </c:pt>
                <c:pt idx="14">
                  <c:v>387</c:v>
                </c:pt>
                <c:pt idx="15">
                  <c:v>409</c:v>
                </c:pt>
                <c:pt idx="16">
                  <c:v>437</c:v>
                </c:pt>
                <c:pt idx="17">
                  <c:v>483</c:v>
                </c:pt>
                <c:pt idx="18">
                  <c:v>565</c:v>
                </c:pt>
                <c:pt idx="19">
                  <c:v>654</c:v>
                </c:pt>
                <c:pt idx="20">
                  <c:v>731</c:v>
                </c:pt>
                <c:pt idx="21">
                  <c:v>807</c:v>
                </c:pt>
                <c:pt idx="22">
                  <c:v>924</c:v>
                </c:pt>
                <c:pt idx="23">
                  <c:v>1110</c:v>
                </c:pt>
                <c:pt idx="24">
                  <c:v>1125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B5-445B-9DC6-883DBC486C87}"/>
            </c:ext>
          </c:extLst>
        </c:ser>
        <c:ser>
          <c:idx val="2"/>
          <c:order val="2"/>
          <c:tx>
            <c:strRef>
              <c:f>'OLD Total Registrations'!$A$37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'OLD Total Registrations'!$B$26:$Z$26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</c:numCache>
            </c:numRef>
          </c:cat>
          <c:val>
            <c:numRef>
              <c:f>'OLD Total Registrations'!$B$37:$Z$37</c:f>
              <c:numCache>
                <c:formatCode>0</c:formatCode>
                <c:ptCount val="25"/>
                <c:pt idx="0">
                  <c:v>63</c:v>
                </c:pt>
                <c:pt idx="1">
                  <c:v>123</c:v>
                </c:pt>
                <c:pt idx="2">
                  <c:v>139</c:v>
                </c:pt>
                <c:pt idx="3">
                  <c:v>177</c:v>
                </c:pt>
                <c:pt idx="4">
                  <c:v>207</c:v>
                </c:pt>
                <c:pt idx="5">
                  <c:v>226</c:v>
                </c:pt>
                <c:pt idx="6">
                  <c:v>239</c:v>
                </c:pt>
                <c:pt idx="7">
                  <c:v>272</c:v>
                </c:pt>
                <c:pt idx="8">
                  <c:v>323</c:v>
                </c:pt>
                <c:pt idx="9">
                  <c:v>335</c:v>
                </c:pt>
                <c:pt idx="10">
                  <c:v>354</c:v>
                </c:pt>
                <c:pt idx="11">
                  <c:v>367</c:v>
                </c:pt>
                <c:pt idx="12">
                  <c:v>378</c:v>
                </c:pt>
                <c:pt idx="13">
                  <c:v>387</c:v>
                </c:pt>
                <c:pt idx="14">
                  <c:v>418</c:v>
                </c:pt>
                <c:pt idx="15">
                  <c:v>432</c:v>
                </c:pt>
                <c:pt idx="16">
                  <c:v>497</c:v>
                </c:pt>
                <c:pt idx="17">
                  <c:v>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B5-445B-9DC6-883DBC486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8024071"/>
        <c:axId val="985676808"/>
      </c:lineChart>
      <c:catAx>
        <c:axId val="1528024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676808"/>
        <c:crosses val="autoZero"/>
        <c:auto val="1"/>
        <c:lblAlgn val="ctr"/>
        <c:lblOffset val="100"/>
        <c:noMultiLvlLbl val="0"/>
      </c:catAx>
      <c:valAx>
        <c:axId val="98567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024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2023 - 2026 Registrations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Registrations'!$A$47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'Total Registrations'!$J$45:$R$45</c:f>
              <c:numCache>
                <c:formatCode>General</c:formatCode>
                <c:ptCount val="9"/>
                <c:pt idx="0">
                  <c:v>16</c:v>
                </c:pt>
                <c:pt idx="1">
                  <c:v>15</c:v>
                </c:pt>
                <c:pt idx="2">
                  <c:v>14</c:v>
                </c:pt>
                <c:pt idx="3">
                  <c:v>13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</c:numCache>
            </c:numRef>
          </c:cat>
          <c:val>
            <c:numRef>
              <c:f>'Total Registrations'!$J$47:$R$47</c:f>
              <c:numCache>
                <c:formatCode>0</c:formatCode>
                <c:ptCount val="9"/>
                <c:pt idx="0">
                  <c:v>365</c:v>
                </c:pt>
                <c:pt idx="1">
                  <c:v>486</c:v>
                </c:pt>
                <c:pt idx="2">
                  <c:v>650</c:v>
                </c:pt>
                <c:pt idx="3">
                  <c:v>829</c:v>
                </c:pt>
                <c:pt idx="4">
                  <c:v>990</c:v>
                </c:pt>
                <c:pt idx="5">
                  <c:v>1127</c:v>
                </c:pt>
                <c:pt idx="6">
                  <c:v>1271</c:v>
                </c:pt>
                <c:pt idx="7">
                  <c:v>1435</c:v>
                </c:pt>
                <c:pt idx="8">
                  <c:v>1638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40-0B48-8706-C298B68641BB}"/>
            </c:ext>
          </c:extLst>
        </c:ser>
        <c:ser>
          <c:idx val="1"/>
          <c:order val="1"/>
          <c:tx>
            <c:strRef>
              <c:f>'Total Registrations'!$A$48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'Total Registrations'!$J$45:$R$45</c:f>
              <c:numCache>
                <c:formatCode>General</c:formatCode>
                <c:ptCount val="9"/>
                <c:pt idx="0">
                  <c:v>16</c:v>
                </c:pt>
                <c:pt idx="1">
                  <c:v>15</c:v>
                </c:pt>
                <c:pt idx="2">
                  <c:v>14</c:v>
                </c:pt>
                <c:pt idx="3">
                  <c:v>13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</c:numCache>
            </c:numRef>
          </c:cat>
          <c:val>
            <c:numRef>
              <c:f>'Total Registrations'!$J$48:$R$48</c:f>
              <c:numCache>
                <c:formatCode>0</c:formatCode>
                <c:ptCount val="9"/>
                <c:pt idx="0">
                  <c:v>0</c:v>
                </c:pt>
                <c:pt idx="1">
                  <c:v>55</c:v>
                </c:pt>
                <c:pt idx="2">
                  <c:v>372</c:v>
                </c:pt>
                <c:pt idx="3">
                  <c:v>766</c:v>
                </c:pt>
                <c:pt idx="4">
                  <c:v>1577</c:v>
                </c:pt>
                <c:pt idx="5">
                  <c:v>1698</c:v>
                </c:pt>
                <c:pt idx="6">
                  <c:v>1857</c:v>
                </c:pt>
                <c:pt idx="7">
                  <c:v>1974</c:v>
                </c:pt>
                <c:pt idx="8">
                  <c:v>2143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40-0B48-8706-C298B68641BB}"/>
            </c:ext>
          </c:extLst>
        </c:ser>
        <c:ser>
          <c:idx val="2"/>
          <c:order val="2"/>
          <c:tx>
            <c:strRef>
              <c:f>'Total Registrations'!$A$49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'Total Registrations'!$J$45:$R$45</c:f>
              <c:numCache>
                <c:formatCode>General</c:formatCode>
                <c:ptCount val="9"/>
                <c:pt idx="0">
                  <c:v>16</c:v>
                </c:pt>
                <c:pt idx="1">
                  <c:v>15</c:v>
                </c:pt>
                <c:pt idx="2">
                  <c:v>14</c:v>
                </c:pt>
                <c:pt idx="3">
                  <c:v>13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</c:numCache>
            </c:numRef>
          </c:cat>
          <c:val>
            <c:numRef>
              <c:f>'Total Registrations'!$J$49:$R$49</c:f>
              <c:numCache>
                <c:formatCode>General</c:formatCode>
                <c:ptCount val="9"/>
                <c:pt idx="0">
                  <c:v>577</c:v>
                </c:pt>
                <c:pt idx="1">
                  <c:v>1320</c:v>
                </c:pt>
                <c:pt idx="2">
                  <c:v>1419</c:v>
                </c:pt>
                <c:pt idx="3">
                  <c:v>1520</c:v>
                </c:pt>
                <c:pt idx="4">
                  <c:v>1596</c:v>
                </c:pt>
                <c:pt idx="5">
                  <c:v>1661</c:v>
                </c:pt>
                <c:pt idx="6">
                  <c:v>1729</c:v>
                </c:pt>
                <c:pt idx="7">
                  <c:v>1863</c:v>
                </c:pt>
                <c:pt idx="8">
                  <c:v>2008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40-0B48-8706-C298B68641BB}"/>
            </c:ext>
          </c:extLst>
        </c:ser>
        <c:ser>
          <c:idx val="3"/>
          <c:order val="3"/>
          <c:tx>
            <c:strRef>
              <c:f>'Total Registrations'!$A$50</c:f>
              <c:strCache>
                <c:ptCount val="1"/>
                <c:pt idx="0">
                  <c:v>PROJECTED PAID 2026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'Total Registrations'!$J$45:$R$45</c:f>
              <c:numCache>
                <c:formatCode>General</c:formatCode>
                <c:ptCount val="9"/>
                <c:pt idx="0">
                  <c:v>16</c:v>
                </c:pt>
                <c:pt idx="1">
                  <c:v>15</c:v>
                </c:pt>
                <c:pt idx="2">
                  <c:v>14</c:v>
                </c:pt>
                <c:pt idx="3">
                  <c:v>13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</c:numCache>
            </c:numRef>
          </c:cat>
          <c:val>
            <c:numRef>
              <c:f>'Total Registrations'!$J$50:$R$50</c:f>
              <c:numCache>
                <c:formatCode>0</c:formatCode>
                <c:ptCount val="9"/>
                <c:pt idx="0">
                  <c:v>1438</c:v>
                </c:pt>
                <c:pt idx="1">
                  <c:v>1500</c:v>
                </c:pt>
                <c:pt idx="2">
                  <c:v>1562</c:v>
                </c:pt>
                <c:pt idx="3">
                  <c:v>1624</c:v>
                </c:pt>
                <c:pt idx="4">
                  <c:v>1686</c:v>
                </c:pt>
                <c:pt idx="5">
                  <c:v>1748</c:v>
                </c:pt>
                <c:pt idx="6">
                  <c:v>1810</c:v>
                </c:pt>
                <c:pt idx="7">
                  <c:v>1872</c:v>
                </c:pt>
                <c:pt idx="8">
                  <c:v>1934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40-0B48-8706-C298B6864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2016896"/>
        <c:axId val="1801978752"/>
      </c:lineChart>
      <c:catAx>
        <c:axId val="180201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978752"/>
        <c:crosses val="autoZero"/>
        <c:auto val="1"/>
        <c:lblAlgn val="ctr"/>
        <c:lblOffset val="100"/>
        <c:noMultiLvlLbl val="0"/>
      </c:catAx>
      <c:valAx>
        <c:axId val="180197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01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image" Target="../media/image1.png"/><Relationship Id="rId26" Type="http://schemas.openxmlformats.org/officeDocument/2006/relationships/chart" Target="../charts/chart25.xml"/><Relationship Id="rId39" Type="http://schemas.openxmlformats.org/officeDocument/2006/relationships/chart" Target="../charts/chart38.xml"/><Relationship Id="rId21" Type="http://schemas.openxmlformats.org/officeDocument/2006/relationships/chart" Target="../charts/chart20.xml"/><Relationship Id="rId34" Type="http://schemas.openxmlformats.org/officeDocument/2006/relationships/chart" Target="../charts/chart33.xml"/><Relationship Id="rId42" Type="http://schemas.openxmlformats.org/officeDocument/2006/relationships/chart" Target="../charts/chart41.xml"/><Relationship Id="rId47" Type="http://schemas.openxmlformats.org/officeDocument/2006/relationships/chart" Target="../charts/chart46.xml"/><Relationship Id="rId50" Type="http://schemas.openxmlformats.org/officeDocument/2006/relationships/chart" Target="../charts/chart49.xml"/><Relationship Id="rId55" Type="http://schemas.openxmlformats.org/officeDocument/2006/relationships/chart" Target="../charts/chart54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8.xml"/><Relationship Id="rId11" Type="http://schemas.openxmlformats.org/officeDocument/2006/relationships/chart" Target="../charts/chart11.xml"/><Relationship Id="rId24" Type="http://schemas.openxmlformats.org/officeDocument/2006/relationships/chart" Target="../charts/chart23.xml"/><Relationship Id="rId32" Type="http://schemas.openxmlformats.org/officeDocument/2006/relationships/chart" Target="../charts/chart31.xml"/><Relationship Id="rId37" Type="http://schemas.openxmlformats.org/officeDocument/2006/relationships/chart" Target="../charts/chart36.xml"/><Relationship Id="rId40" Type="http://schemas.openxmlformats.org/officeDocument/2006/relationships/chart" Target="../charts/chart39.xml"/><Relationship Id="rId45" Type="http://schemas.openxmlformats.org/officeDocument/2006/relationships/chart" Target="../charts/chart44.xml"/><Relationship Id="rId53" Type="http://schemas.openxmlformats.org/officeDocument/2006/relationships/chart" Target="../charts/chart52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19" Type="http://schemas.openxmlformats.org/officeDocument/2006/relationships/chart" Target="../charts/chart18.xml"/><Relationship Id="rId31" Type="http://schemas.openxmlformats.org/officeDocument/2006/relationships/chart" Target="../charts/chart30.xml"/><Relationship Id="rId44" Type="http://schemas.openxmlformats.org/officeDocument/2006/relationships/chart" Target="../charts/chart43.xml"/><Relationship Id="rId52" Type="http://schemas.openxmlformats.org/officeDocument/2006/relationships/chart" Target="../charts/chart5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1.xml"/><Relationship Id="rId27" Type="http://schemas.openxmlformats.org/officeDocument/2006/relationships/chart" Target="../charts/chart26.xml"/><Relationship Id="rId30" Type="http://schemas.openxmlformats.org/officeDocument/2006/relationships/chart" Target="../charts/chart29.xml"/><Relationship Id="rId35" Type="http://schemas.openxmlformats.org/officeDocument/2006/relationships/chart" Target="../charts/chart34.xml"/><Relationship Id="rId43" Type="http://schemas.openxmlformats.org/officeDocument/2006/relationships/chart" Target="../charts/chart42.xml"/><Relationship Id="rId48" Type="http://schemas.openxmlformats.org/officeDocument/2006/relationships/chart" Target="../charts/chart47.xml"/><Relationship Id="rId56" Type="http://schemas.openxmlformats.org/officeDocument/2006/relationships/chart" Target="../charts/chart55.xml"/><Relationship Id="rId8" Type="http://schemas.openxmlformats.org/officeDocument/2006/relationships/chart" Target="../charts/chart8.xml"/><Relationship Id="rId51" Type="http://schemas.openxmlformats.org/officeDocument/2006/relationships/chart" Target="../charts/chart50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4.xml"/><Relationship Id="rId33" Type="http://schemas.openxmlformats.org/officeDocument/2006/relationships/chart" Target="../charts/chart32.xml"/><Relationship Id="rId38" Type="http://schemas.openxmlformats.org/officeDocument/2006/relationships/chart" Target="../charts/chart37.xml"/><Relationship Id="rId46" Type="http://schemas.openxmlformats.org/officeDocument/2006/relationships/chart" Target="../charts/chart45.xml"/><Relationship Id="rId20" Type="http://schemas.openxmlformats.org/officeDocument/2006/relationships/chart" Target="../charts/chart19.xml"/><Relationship Id="rId41" Type="http://schemas.openxmlformats.org/officeDocument/2006/relationships/chart" Target="../charts/chart40.xml"/><Relationship Id="rId54" Type="http://schemas.openxmlformats.org/officeDocument/2006/relationships/chart" Target="../charts/chart53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2.xml"/><Relationship Id="rId28" Type="http://schemas.openxmlformats.org/officeDocument/2006/relationships/chart" Target="../charts/chart27.xml"/><Relationship Id="rId36" Type="http://schemas.openxmlformats.org/officeDocument/2006/relationships/chart" Target="../charts/chart35.xml"/><Relationship Id="rId49" Type="http://schemas.openxmlformats.org/officeDocument/2006/relationships/chart" Target="../charts/chart48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5.xml"/><Relationship Id="rId13" Type="http://schemas.openxmlformats.org/officeDocument/2006/relationships/chart" Target="../charts/chart70.xml"/><Relationship Id="rId18" Type="http://schemas.openxmlformats.org/officeDocument/2006/relationships/chart" Target="../charts/chart75.xml"/><Relationship Id="rId3" Type="http://schemas.openxmlformats.org/officeDocument/2006/relationships/chart" Target="../charts/chart60.xml"/><Relationship Id="rId7" Type="http://schemas.openxmlformats.org/officeDocument/2006/relationships/chart" Target="../charts/chart64.xml"/><Relationship Id="rId12" Type="http://schemas.openxmlformats.org/officeDocument/2006/relationships/chart" Target="../charts/chart69.xml"/><Relationship Id="rId17" Type="http://schemas.openxmlformats.org/officeDocument/2006/relationships/chart" Target="../charts/chart74.xml"/><Relationship Id="rId2" Type="http://schemas.openxmlformats.org/officeDocument/2006/relationships/chart" Target="../charts/chart59.xml"/><Relationship Id="rId16" Type="http://schemas.openxmlformats.org/officeDocument/2006/relationships/chart" Target="../charts/chart73.xml"/><Relationship Id="rId1" Type="http://schemas.openxmlformats.org/officeDocument/2006/relationships/chart" Target="../charts/chart58.xml"/><Relationship Id="rId6" Type="http://schemas.openxmlformats.org/officeDocument/2006/relationships/chart" Target="../charts/chart63.xml"/><Relationship Id="rId11" Type="http://schemas.openxmlformats.org/officeDocument/2006/relationships/chart" Target="../charts/chart68.xml"/><Relationship Id="rId5" Type="http://schemas.openxmlformats.org/officeDocument/2006/relationships/chart" Target="../charts/chart62.xml"/><Relationship Id="rId15" Type="http://schemas.openxmlformats.org/officeDocument/2006/relationships/chart" Target="../charts/chart72.xml"/><Relationship Id="rId10" Type="http://schemas.openxmlformats.org/officeDocument/2006/relationships/chart" Target="../charts/chart67.xml"/><Relationship Id="rId19" Type="http://schemas.openxmlformats.org/officeDocument/2006/relationships/chart" Target="../charts/chart76.xml"/><Relationship Id="rId4" Type="http://schemas.openxmlformats.org/officeDocument/2006/relationships/chart" Target="../charts/chart61.xml"/><Relationship Id="rId9" Type="http://schemas.openxmlformats.org/officeDocument/2006/relationships/chart" Target="../charts/chart66.xml"/><Relationship Id="rId14" Type="http://schemas.openxmlformats.org/officeDocument/2006/relationships/chart" Target="../charts/chart7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8.xml"/><Relationship Id="rId1" Type="http://schemas.openxmlformats.org/officeDocument/2006/relationships/chart" Target="../charts/chart7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1.xml"/><Relationship Id="rId1" Type="http://schemas.openxmlformats.org/officeDocument/2006/relationships/chart" Target="../charts/chart8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4.xml"/><Relationship Id="rId7" Type="http://schemas.openxmlformats.org/officeDocument/2006/relationships/chart" Target="../charts/chart88.xml"/><Relationship Id="rId2" Type="http://schemas.openxmlformats.org/officeDocument/2006/relationships/chart" Target="../charts/chart83.xml"/><Relationship Id="rId1" Type="http://schemas.openxmlformats.org/officeDocument/2006/relationships/chart" Target="../charts/chart82.xml"/><Relationship Id="rId6" Type="http://schemas.openxmlformats.org/officeDocument/2006/relationships/chart" Target="../charts/chart87.xml"/><Relationship Id="rId5" Type="http://schemas.openxmlformats.org/officeDocument/2006/relationships/chart" Target="../charts/chart86.xml"/><Relationship Id="rId4" Type="http://schemas.openxmlformats.org/officeDocument/2006/relationships/chart" Target="../charts/chart8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1.xml"/><Relationship Id="rId2" Type="http://schemas.openxmlformats.org/officeDocument/2006/relationships/chart" Target="../charts/chart90.xml"/><Relationship Id="rId1" Type="http://schemas.openxmlformats.org/officeDocument/2006/relationships/chart" Target="../charts/chart8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2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4.xml"/><Relationship Id="rId1" Type="http://schemas.openxmlformats.org/officeDocument/2006/relationships/chart" Target="../charts/chart93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7.xml"/><Relationship Id="rId7" Type="http://schemas.openxmlformats.org/officeDocument/2006/relationships/chart" Target="../charts/chart101.xml"/><Relationship Id="rId2" Type="http://schemas.openxmlformats.org/officeDocument/2006/relationships/chart" Target="../charts/chart96.xml"/><Relationship Id="rId1" Type="http://schemas.openxmlformats.org/officeDocument/2006/relationships/chart" Target="../charts/chart95.xml"/><Relationship Id="rId6" Type="http://schemas.openxmlformats.org/officeDocument/2006/relationships/chart" Target="../charts/chart100.xml"/><Relationship Id="rId5" Type="http://schemas.openxmlformats.org/officeDocument/2006/relationships/chart" Target="../charts/chart99.xml"/><Relationship Id="rId4" Type="http://schemas.openxmlformats.org/officeDocument/2006/relationships/chart" Target="../charts/chart9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137</xdr:col>
      <xdr:colOff>23213</xdr:colOff>
      <xdr:row>72</xdr:row>
      <xdr:rowOff>26193</xdr:rowOff>
    </xdr:from>
    <xdr:to>
      <xdr:col>188</xdr:col>
      <xdr:colOff>174625</xdr:colOff>
      <xdr:row>108</xdr:row>
      <xdr:rowOff>226219</xdr:rowOff>
    </xdr:to>
    <xdr:graphicFrame macro="">
      <xdr:nvGraphicFramePr>
        <xdr:cNvPr id="62" name="Chart 5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191</xdr:col>
      <xdr:colOff>18746</xdr:colOff>
      <xdr:row>72</xdr:row>
      <xdr:rowOff>51441</xdr:rowOff>
    </xdr:from>
    <xdr:to>
      <xdr:col>241</xdr:col>
      <xdr:colOff>70114</xdr:colOff>
      <xdr:row>107</xdr:row>
      <xdr:rowOff>164040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00000000-0008-0000-0000-00003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300</xdr:col>
      <xdr:colOff>240599</xdr:colOff>
      <xdr:row>75</xdr:row>
      <xdr:rowOff>646</xdr:rowOff>
    </xdr:from>
    <xdr:to>
      <xdr:col>309</xdr:col>
      <xdr:colOff>857904</xdr:colOff>
      <xdr:row>106</xdr:row>
      <xdr:rowOff>136816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  <a:ext uri="{147F2762-F138-4A5C-976F-8EAC2B608ADB}">
              <a16:predDERef xmlns:a16="http://schemas.microsoft.com/office/drawing/2014/main" pre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309</xdr:col>
      <xdr:colOff>1075411</xdr:colOff>
      <xdr:row>75</xdr:row>
      <xdr:rowOff>6512</xdr:rowOff>
    </xdr:from>
    <xdr:to>
      <xdr:col>318</xdr:col>
      <xdr:colOff>651177</xdr:colOff>
      <xdr:row>107</xdr:row>
      <xdr:rowOff>3299</xdr:rowOff>
    </xdr:to>
    <xdr:graphicFrame macro="">
      <xdr:nvGraphicFramePr>
        <xdr:cNvPr id="36" name="Chart 10">
          <a:extLst>
            <a:ext uri="{FF2B5EF4-FFF2-40B4-BE49-F238E27FC236}">
              <a16:creationId xmlns:a16="http://schemas.microsoft.com/office/drawing/2014/main" id="{00000000-0008-0000-0000-000024000000}"/>
            </a:ext>
            <a:ext uri="{147F2762-F138-4A5C-976F-8EAC2B608ADB}">
              <a16:predDERef xmlns:a16="http://schemas.microsoft.com/office/drawing/2014/main" pre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111</xdr:col>
      <xdr:colOff>711611</xdr:colOff>
      <xdr:row>33</xdr:row>
      <xdr:rowOff>144870</xdr:rowOff>
    </xdr:from>
    <xdr:to>
      <xdr:col>213</xdr:col>
      <xdr:colOff>99566</xdr:colOff>
      <xdr:row>68</xdr:row>
      <xdr:rowOff>27552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000-000017000000}"/>
            </a:ext>
            <a:ext uri="{147F2762-F138-4A5C-976F-8EAC2B608ADB}">
              <a16:predDERef xmlns:a16="http://schemas.microsoft.com/office/drawing/2014/main" pred="{00000000-0008-0000-00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51</xdr:col>
      <xdr:colOff>518707</xdr:colOff>
      <xdr:row>33</xdr:row>
      <xdr:rowOff>143617</xdr:rowOff>
    </xdr:from>
    <xdr:to>
      <xdr:col>75</xdr:col>
      <xdr:colOff>155199</xdr:colOff>
      <xdr:row>67</xdr:row>
      <xdr:rowOff>179850</xdr:rowOff>
    </xdr:to>
    <xdr:graphicFrame macro="">
      <xdr:nvGraphicFramePr>
        <xdr:cNvPr id="10" name="Chart 23">
          <a:extLst>
            <a:ext uri="{FF2B5EF4-FFF2-40B4-BE49-F238E27FC236}">
              <a16:creationId xmlns:a16="http://schemas.microsoft.com/office/drawing/2014/main" id="{00000000-0008-0000-0000-00000A000000}"/>
            </a:ext>
            <a:ext uri="{147F2762-F138-4A5C-976F-8EAC2B608ADB}">
              <a16:predDERef xmlns:a16="http://schemas.microsoft.com/office/drawing/2014/main" pred="{00000000-0008-0000-00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217</xdr:col>
      <xdr:colOff>150633</xdr:colOff>
      <xdr:row>34</xdr:row>
      <xdr:rowOff>28221</xdr:rowOff>
    </xdr:from>
    <xdr:to>
      <xdr:col>259</xdr:col>
      <xdr:colOff>265783</xdr:colOff>
      <xdr:row>68</xdr:row>
      <xdr:rowOff>31843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000-000019000000}"/>
            </a:ext>
            <a:ext uri="{147F2762-F138-4A5C-976F-8EAC2B608ADB}">
              <a16:predDERef xmlns:a16="http://schemas.microsoft.com/office/drawing/2014/main" pre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92</xdr:col>
      <xdr:colOff>194586</xdr:colOff>
      <xdr:row>110</xdr:row>
      <xdr:rowOff>165534</xdr:rowOff>
    </xdr:from>
    <xdr:to>
      <xdr:col>126</xdr:col>
      <xdr:colOff>85712</xdr:colOff>
      <xdr:row>138</xdr:row>
      <xdr:rowOff>152400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000-00001E000000}"/>
            </a:ext>
            <a:ext uri="{147F2762-F138-4A5C-976F-8EAC2B608ADB}">
              <a16:predDERef xmlns:a16="http://schemas.microsoft.com/office/drawing/2014/main" pred="{00000000-0008-0000-00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259</xdr:col>
      <xdr:colOff>725422</xdr:colOff>
      <xdr:row>34</xdr:row>
      <xdr:rowOff>24399</xdr:rowOff>
    </xdr:from>
    <xdr:to>
      <xdr:col>279</xdr:col>
      <xdr:colOff>17897</xdr:colOff>
      <xdr:row>68</xdr:row>
      <xdr:rowOff>11842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000-00001F000000}"/>
            </a:ext>
            <a:ext uri="{147F2762-F138-4A5C-976F-8EAC2B608ADB}">
              <a16:predDERef xmlns:a16="http://schemas.microsoft.com/office/drawing/2014/main" pred="{00000000-0008-0000-00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280</xdr:col>
      <xdr:colOff>73506</xdr:colOff>
      <xdr:row>34</xdr:row>
      <xdr:rowOff>16335</xdr:rowOff>
    </xdr:from>
    <xdr:to>
      <xdr:col>288</xdr:col>
      <xdr:colOff>382155</xdr:colOff>
      <xdr:row>68</xdr:row>
      <xdr:rowOff>3777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000-000020000000}"/>
            </a:ext>
            <a:ext uri="{147F2762-F138-4A5C-976F-8EAC2B608ADB}">
              <a16:predDERef xmlns:a16="http://schemas.microsoft.com/office/drawing/2014/main" pred="{00000000-0008-0000-00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289</xdr:col>
      <xdr:colOff>427920</xdr:colOff>
      <xdr:row>33</xdr:row>
      <xdr:rowOff>186042</xdr:rowOff>
    </xdr:from>
    <xdr:to>
      <xdr:col>297</xdr:col>
      <xdr:colOff>901700</xdr:colOff>
      <xdr:row>68</xdr:row>
      <xdr:rowOff>12474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31</xdr:col>
      <xdr:colOff>0</xdr:colOff>
      <xdr:row>33</xdr:row>
      <xdr:rowOff>95250</xdr:rowOff>
    </xdr:from>
    <xdr:to>
      <xdr:col>37</xdr:col>
      <xdr:colOff>1952625</xdr:colOff>
      <xdr:row>68</xdr:row>
      <xdr:rowOff>19050</xdr:rowOff>
    </xdr:to>
    <xdr:graphicFrame macro="">
      <xdr:nvGraphicFramePr>
        <xdr:cNvPr id="5" name="Chart 7">
          <a:extLst>
            <a:ext uri="{FF2B5EF4-FFF2-40B4-BE49-F238E27FC236}">
              <a16:creationId xmlns:a16="http://schemas.microsoft.com/office/drawing/2014/main" id="{00000000-0008-0000-0000-000005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22</xdr:col>
      <xdr:colOff>1120161</xdr:colOff>
      <xdr:row>14</xdr:row>
      <xdr:rowOff>119876</xdr:rowOff>
    </xdr:from>
    <xdr:to>
      <xdr:col>27</xdr:col>
      <xdr:colOff>939065</xdr:colOff>
      <xdr:row>23</xdr:row>
      <xdr:rowOff>850733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  <a:ext uri="{147F2762-F138-4A5C-976F-8EAC2B608ADB}">
              <a16:predDERef xmlns:a16="http://schemas.microsoft.com/office/drawing/2014/main" pre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27</xdr:col>
      <xdr:colOff>1452492</xdr:colOff>
      <xdr:row>14</xdr:row>
      <xdr:rowOff>128694</xdr:rowOff>
    </xdr:from>
    <xdr:to>
      <xdr:col>32</xdr:col>
      <xdr:colOff>1901052</xdr:colOff>
      <xdr:row>23</xdr:row>
      <xdr:rowOff>821357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  <a:ext uri="{147F2762-F138-4A5C-976F-8EAC2B608ADB}">
              <a16:predDERef xmlns:a16="http://schemas.microsoft.com/office/drawing/2014/main" pre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210</xdr:col>
      <xdr:colOff>181333</xdr:colOff>
      <xdr:row>15</xdr:row>
      <xdr:rowOff>26237</xdr:rowOff>
    </xdr:from>
    <xdr:to>
      <xdr:col>260</xdr:col>
      <xdr:colOff>444772</xdr:colOff>
      <xdr:row>24</xdr:row>
      <xdr:rowOff>68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  <a:ext uri="{147F2762-F138-4A5C-976F-8EAC2B608ADB}">
              <a16:predDERef xmlns:a16="http://schemas.microsoft.com/office/drawing/2014/main" pre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261</xdr:col>
      <xdr:colOff>861274</xdr:colOff>
      <xdr:row>15</xdr:row>
      <xdr:rowOff>29223</xdr:rowOff>
    </xdr:from>
    <xdr:to>
      <xdr:col>272</xdr:col>
      <xdr:colOff>19317</xdr:colOff>
      <xdr:row>24</xdr:row>
      <xdr:rowOff>15992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  <a:ext uri="{147F2762-F138-4A5C-976F-8EAC2B608ADB}">
              <a16:predDERef xmlns:a16="http://schemas.microsoft.com/office/drawing/2014/main" pred="{00000000-0008-0000-00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273</xdr:col>
      <xdr:colOff>307816</xdr:colOff>
      <xdr:row>15</xdr:row>
      <xdr:rowOff>18274</xdr:rowOff>
    </xdr:from>
    <xdr:to>
      <xdr:col>283</xdr:col>
      <xdr:colOff>725762</xdr:colOff>
      <xdr:row>24</xdr:row>
      <xdr:rowOff>5043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000-000014000000}"/>
            </a:ext>
            <a:ext uri="{147F2762-F138-4A5C-976F-8EAC2B608ADB}">
              <a16:predDERef xmlns:a16="http://schemas.microsoft.com/office/drawing/2014/main" pred="{00000000-0008-0000-00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3</xdr:col>
      <xdr:colOff>212862</xdr:colOff>
      <xdr:row>4</xdr:row>
      <xdr:rowOff>116174</xdr:rowOff>
    </xdr:from>
    <xdr:to>
      <xdr:col>4</xdr:col>
      <xdr:colOff>573150</xdr:colOff>
      <xdr:row>9</xdr:row>
      <xdr:rowOff>155102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/>
      </xdr:blipFill>
      <xdr:spPr>
        <a:xfrm>
          <a:off x="2969339" y="2468560"/>
          <a:ext cx="2419048" cy="976997"/>
        </a:xfrm>
        <a:prstGeom prst="rect">
          <a:avLst/>
        </a:prstGeom>
      </xdr:spPr>
    </xdr:pic>
    <xdr:clientData/>
  </xdr:twoCellAnchor>
  <xdr:twoCellAnchor>
    <xdr:from>
      <xdr:col>31</xdr:col>
      <xdr:colOff>1931898</xdr:colOff>
      <xdr:row>111</xdr:row>
      <xdr:rowOff>105164</xdr:rowOff>
    </xdr:from>
    <xdr:to>
      <xdr:col>37</xdr:col>
      <xdr:colOff>1552224</xdr:colOff>
      <xdr:row>139</xdr:row>
      <xdr:rowOff>33253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000-000022000000}"/>
            </a:ext>
            <a:ext uri="{147F2762-F138-4A5C-976F-8EAC2B608ADB}">
              <a16:predDERef xmlns:a16="http://schemas.microsoft.com/office/drawing/2014/main" pred="{00000000-0008-0000-00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131</xdr:col>
      <xdr:colOff>141515</xdr:colOff>
      <xdr:row>110</xdr:row>
      <xdr:rowOff>134257</xdr:rowOff>
    </xdr:from>
    <xdr:to>
      <xdr:col>189</xdr:col>
      <xdr:colOff>158449</xdr:colOff>
      <xdr:row>139</xdr:row>
      <xdr:rowOff>76199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000-000026000000}"/>
            </a:ext>
            <a:ext uri="{147F2762-F138-4A5C-976F-8EAC2B608ADB}">
              <a16:predDERef xmlns:a16="http://schemas.microsoft.com/office/drawing/2014/main" pred="{00000000-0008-0000-00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258</xdr:col>
      <xdr:colOff>962780</xdr:colOff>
      <xdr:row>111</xdr:row>
      <xdr:rowOff>108857</xdr:rowOff>
    </xdr:from>
    <xdr:to>
      <xdr:col>269</xdr:col>
      <xdr:colOff>116114</xdr:colOff>
      <xdr:row>140</xdr:row>
      <xdr:rowOff>101599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000-000028000000}"/>
            </a:ext>
            <a:ext uri="{147F2762-F138-4A5C-976F-8EAC2B608ADB}">
              <a16:predDERef xmlns:a16="http://schemas.microsoft.com/office/drawing/2014/main" pred="{00000000-0008-0000-00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269</xdr:col>
      <xdr:colOff>657981</xdr:colOff>
      <xdr:row>111</xdr:row>
      <xdr:rowOff>108857</xdr:rowOff>
    </xdr:from>
    <xdr:to>
      <xdr:col>279</xdr:col>
      <xdr:colOff>133048</xdr:colOff>
      <xdr:row>140</xdr:row>
      <xdr:rowOff>152399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000-000029000000}"/>
            </a:ext>
            <a:ext uri="{147F2762-F138-4A5C-976F-8EAC2B608ADB}">
              <a16:predDERef xmlns:a16="http://schemas.microsoft.com/office/drawing/2014/main" pred="{00000000-0008-0000-00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111</xdr:row>
      <xdr:rowOff>145143</xdr:rowOff>
    </xdr:from>
    <xdr:to>
      <xdr:col>11</xdr:col>
      <xdr:colOff>880807</xdr:colOff>
      <xdr:row>140</xdr:row>
      <xdr:rowOff>34530</xdr:rowOff>
    </xdr:to>
    <xdr:graphicFrame macro="">
      <xdr:nvGraphicFramePr>
        <xdr:cNvPr id="15" name="Chart 41">
          <a:extLst>
            <a:ext uri="{FF2B5EF4-FFF2-40B4-BE49-F238E27FC236}">
              <a16:creationId xmlns:a16="http://schemas.microsoft.com/office/drawing/2014/main" id="{00000000-0008-0000-0000-00000F000000}"/>
            </a:ext>
            <a:ext uri="{147F2762-F138-4A5C-976F-8EAC2B608ADB}">
              <a16:predDERef xmlns:a16="http://schemas.microsoft.com/office/drawing/2014/main" pred="{00000000-0008-0000-00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11</xdr:col>
      <xdr:colOff>1399153</xdr:colOff>
      <xdr:row>112</xdr:row>
      <xdr:rowOff>152399</xdr:rowOff>
    </xdr:from>
    <xdr:to>
      <xdr:col>24</xdr:col>
      <xdr:colOff>482600</xdr:colOff>
      <xdr:row>139</xdr:row>
      <xdr:rowOff>150676</xdr:rowOff>
    </xdr:to>
    <xdr:graphicFrame macro="">
      <xdr:nvGraphicFramePr>
        <xdr:cNvPr id="17" name="Chart 42">
          <a:extLst>
            <a:ext uri="{FF2B5EF4-FFF2-40B4-BE49-F238E27FC236}">
              <a16:creationId xmlns:a16="http://schemas.microsoft.com/office/drawing/2014/main" id="{00000000-0008-0000-0000-000011000000}"/>
            </a:ext>
            <a:ext uri="{147F2762-F138-4A5C-976F-8EAC2B608ADB}">
              <a16:predDERef xmlns:a16="http://schemas.microsoft.com/office/drawing/2014/main" pre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25</xdr:col>
      <xdr:colOff>116114</xdr:colOff>
      <xdr:row>111</xdr:row>
      <xdr:rowOff>73984</xdr:rowOff>
    </xdr:from>
    <xdr:to>
      <xdr:col>31</xdr:col>
      <xdr:colOff>1346200</xdr:colOff>
      <xdr:row>139</xdr:row>
      <xdr:rowOff>104735</xdr:rowOff>
    </xdr:to>
    <xdr:graphicFrame macro="">
      <xdr:nvGraphicFramePr>
        <xdr:cNvPr id="19" name="Chart 43">
          <a:extLst>
            <a:ext uri="{FF2B5EF4-FFF2-40B4-BE49-F238E27FC236}">
              <a16:creationId xmlns:a16="http://schemas.microsoft.com/office/drawing/2014/main" id="{00000000-0008-0000-0000-000013000000}"/>
            </a:ext>
            <a:ext uri="{147F2762-F138-4A5C-976F-8EAC2B608ADB}">
              <a16:predDERef xmlns:a16="http://schemas.microsoft.com/office/drawing/2014/main" pre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6198</xdr:colOff>
      <xdr:row>70</xdr:row>
      <xdr:rowOff>196547</xdr:rowOff>
    </xdr:from>
    <xdr:to>
      <xdr:col>26</xdr:col>
      <xdr:colOff>277813</xdr:colOff>
      <xdr:row>107</xdr:row>
      <xdr:rowOff>181428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  <a:ext uri="{147F2762-F138-4A5C-976F-8EAC2B608ADB}">
              <a16:predDERef xmlns:a16="http://schemas.microsoft.com/office/drawing/2014/main" pred="{00000000-0008-0000-00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26</xdr:col>
      <xdr:colOff>709840</xdr:colOff>
      <xdr:row>71</xdr:row>
      <xdr:rowOff>79374</xdr:rowOff>
    </xdr:from>
    <xdr:to>
      <xdr:col>43</xdr:col>
      <xdr:colOff>59532</xdr:colOff>
      <xdr:row>107</xdr:row>
      <xdr:rowOff>178594</xdr:rowOff>
    </xdr:to>
    <xdr:graphicFrame macro="">
      <xdr:nvGraphicFramePr>
        <xdr:cNvPr id="21" name="Chart 1">
          <a:extLst>
            <a:ext uri="{FF2B5EF4-FFF2-40B4-BE49-F238E27FC236}">
              <a16:creationId xmlns:a16="http://schemas.microsoft.com/office/drawing/2014/main" id="{00000000-0008-0000-0000-000015000000}"/>
            </a:ext>
            <a:ext uri="{147F2762-F138-4A5C-976F-8EAC2B608ADB}">
              <a16:predDERef xmlns:a16="http://schemas.microsoft.com/office/drawing/2014/main" pre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17</xdr:col>
      <xdr:colOff>659562</xdr:colOff>
      <xdr:row>14</xdr:row>
      <xdr:rowOff>159127</xdr:rowOff>
    </xdr:from>
    <xdr:to>
      <xdr:col>22</xdr:col>
      <xdr:colOff>614054</xdr:colOff>
      <xdr:row>24</xdr:row>
      <xdr:rowOff>35248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12</xdr:col>
      <xdr:colOff>510788</xdr:colOff>
      <xdr:row>13</xdr:row>
      <xdr:rowOff>111579</xdr:rowOff>
    </xdr:from>
    <xdr:to>
      <xdr:col>17</xdr:col>
      <xdr:colOff>107598</xdr:colOff>
      <xdr:row>23</xdr:row>
      <xdr:rowOff>802781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33</xdr:col>
      <xdr:colOff>286870</xdr:colOff>
      <xdr:row>14</xdr:row>
      <xdr:rowOff>138953</xdr:rowOff>
    </xdr:from>
    <xdr:to>
      <xdr:col>38</xdr:col>
      <xdr:colOff>1600200</xdr:colOff>
      <xdr:row>24</xdr:row>
      <xdr:rowOff>25400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000-00001C000000}"/>
            </a:ext>
            <a:ext uri="{147F2762-F138-4A5C-976F-8EAC2B608ADB}">
              <a16:predDERef xmlns:a16="http://schemas.microsoft.com/office/drawing/2014/main" pre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39</xdr:col>
      <xdr:colOff>0</xdr:colOff>
      <xdr:row>15</xdr:row>
      <xdr:rowOff>0</xdr:rowOff>
    </xdr:from>
    <xdr:to>
      <xdr:col>44</xdr:col>
      <xdr:colOff>1313330</xdr:colOff>
      <xdr:row>24</xdr:row>
      <xdr:rowOff>89647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000-000021000000}"/>
            </a:ext>
            <a:ext uri="{147F2762-F138-4A5C-976F-8EAC2B608ADB}">
              <a16:predDERef xmlns:a16="http://schemas.microsoft.com/office/drawing/2014/main" pred="{00000000-0008-0000-00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44</xdr:col>
      <xdr:colOff>1981200</xdr:colOff>
      <xdr:row>15</xdr:row>
      <xdr:rowOff>25400</xdr:rowOff>
    </xdr:from>
    <xdr:to>
      <xdr:col>51</xdr:col>
      <xdr:colOff>1110130</xdr:colOff>
      <xdr:row>24</xdr:row>
      <xdr:rowOff>115047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000-000023000000}"/>
            </a:ext>
            <a:ext uri="{147F2762-F138-4A5C-976F-8EAC2B608ADB}">
              <a16:predDERef xmlns:a16="http://schemas.microsoft.com/office/drawing/2014/main" pred="{00000000-0008-0000-00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53</xdr:col>
      <xdr:colOff>0</xdr:colOff>
      <xdr:row>15</xdr:row>
      <xdr:rowOff>0</xdr:rowOff>
    </xdr:from>
    <xdr:to>
      <xdr:col>91</xdr:col>
      <xdr:colOff>170330</xdr:colOff>
      <xdr:row>24</xdr:row>
      <xdr:rowOff>89647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000-000025000000}"/>
            </a:ext>
            <a:ext uri="{147F2762-F138-4A5C-976F-8EAC2B608ADB}">
              <a16:predDERef xmlns:a16="http://schemas.microsoft.com/office/drawing/2014/main" pred="{00000000-0008-0000-00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</xdr:col>
      <xdr:colOff>0</xdr:colOff>
      <xdr:row>163</xdr:row>
      <xdr:rowOff>0</xdr:rowOff>
    </xdr:from>
    <xdr:to>
      <xdr:col>4</xdr:col>
      <xdr:colOff>1981200</xdr:colOff>
      <xdr:row>191</xdr:row>
      <xdr:rowOff>127000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000-000027000000}"/>
            </a:ext>
            <a:ext uri="{147F2762-F138-4A5C-976F-8EAC2B608ADB}">
              <a16:predDERef xmlns:a16="http://schemas.microsoft.com/office/drawing/2014/main" pred="{00000000-0008-0000-00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</xdr:col>
      <xdr:colOff>50799</xdr:colOff>
      <xdr:row>193</xdr:row>
      <xdr:rowOff>88520</xdr:rowOff>
    </xdr:from>
    <xdr:to>
      <xdr:col>4</xdr:col>
      <xdr:colOff>1938866</xdr:colOff>
      <xdr:row>219</xdr:row>
      <xdr:rowOff>152399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000-00002D000000}"/>
            </a:ext>
            <a:ext uri="{147F2762-F138-4A5C-976F-8EAC2B608ADB}">
              <a16:predDERef xmlns:a16="http://schemas.microsoft.com/office/drawing/2014/main" pred="{00000000-0008-0000-00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227463</xdr:colOff>
      <xdr:row>222</xdr:row>
      <xdr:rowOff>24642</xdr:rowOff>
    </xdr:from>
    <xdr:to>
      <xdr:col>4</xdr:col>
      <xdr:colOff>1869112</xdr:colOff>
      <xdr:row>247</xdr:row>
      <xdr:rowOff>56029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000-00002E000000}"/>
            </a:ext>
            <a:ext uri="{147F2762-F138-4A5C-976F-8EAC2B608ADB}">
              <a16:predDERef xmlns:a16="http://schemas.microsoft.com/office/drawing/2014/main" pred="{00000000-0008-0000-00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0</xdr:colOff>
      <xdr:row>163</xdr:row>
      <xdr:rowOff>0</xdr:rowOff>
    </xdr:from>
    <xdr:to>
      <xdr:col>9</xdr:col>
      <xdr:colOff>1950720</xdr:colOff>
      <xdr:row>191</xdr:row>
      <xdr:rowOff>127000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000-00002F000000}"/>
            </a:ext>
            <a:ext uri="{147F2762-F138-4A5C-976F-8EAC2B608ADB}">
              <a16:predDERef xmlns:a16="http://schemas.microsoft.com/office/drawing/2014/main" pred="{00000000-0008-0000-0000-00002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21</xdr:col>
      <xdr:colOff>0</xdr:colOff>
      <xdr:row>163</xdr:row>
      <xdr:rowOff>0</xdr:rowOff>
    </xdr:from>
    <xdr:to>
      <xdr:col>24</xdr:col>
      <xdr:colOff>1889760</xdr:colOff>
      <xdr:row>191</xdr:row>
      <xdr:rowOff>127000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000000-0008-0000-0000-000032000000}"/>
            </a:ext>
            <a:ext uri="{147F2762-F138-4A5C-976F-8EAC2B608ADB}">
              <a16:predDERef xmlns:a16="http://schemas.microsoft.com/office/drawing/2014/main" pred="{00000000-0008-0000-00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26</xdr:col>
      <xdr:colOff>0</xdr:colOff>
      <xdr:row>163</xdr:row>
      <xdr:rowOff>0</xdr:rowOff>
    </xdr:from>
    <xdr:to>
      <xdr:col>29</xdr:col>
      <xdr:colOff>1889760</xdr:colOff>
      <xdr:row>191</xdr:row>
      <xdr:rowOff>127000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0000000-0008-0000-0000-000033000000}"/>
            </a:ext>
            <a:ext uri="{147F2762-F138-4A5C-976F-8EAC2B608ADB}">
              <a16:predDERef xmlns:a16="http://schemas.microsoft.com/office/drawing/2014/main" pred="{00000000-0008-0000-00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6</xdr:col>
      <xdr:colOff>0</xdr:colOff>
      <xdr:row>193</xdr:row>
      <xdr:rowOff>101600</xdr:rowOff>
    </xdr:from>
    <xdr:to>
      <xdr:col>9</xdr:col>
      <xdr:colOff>1955800</xdr:colOff>
      <xdr:row>219</xdr:row>
      <xdr:rowOff>165479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00000000-0008-0000-0000-000034000000}"/>
            </a:ext>
            <a:ext uri="{147F2762-F138-4A5C-976F-8EAC2B608ADB}">
              <a16:predDERef xmlns:a16="http://schemas.microsoft.com/office/drawing/2014/main" pred="{00000000-0008-0000-0000-00003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21</xdr:col>
      <xdr:colOff>0</xdr:colOff>
      <xdr:row>193</xdr:row>
      <xdr:rowOff>0</xdr:rowOff>
    </xdr:from>
    <xdr:to>
      <xdr:col>24</xdr:col>
      <xdr:colOff>1905000</xdr:colOff>
      <xdr:row>219</xdr:row>
      <xdr:rowOff>63879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000-000037000000}"/>
            </a:ext>
            <a:ext uri="{147F2762-F138-4A5C-976F-8EAC2B608ADB}">
              <a16:predDERef xmlns:a16="http://schemas.microsoft.com/office/drawing/2014/main" pred="{00000000-0008-0000-0000-00003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26</xdr:col>
      <xdr:colOff>0</xdr:colOff>
      <xdr:row>193</xdr:row>
      <xdr:rowOff>0</xdr:rowOff>
    </xdr:from>
    <xdr:to>
      <xdr:col>29</xdr:col>
      <xdr:colOff>1905000</xdr:colOff>
      <xdr:row>219</xdr:row>
      <xdr:rowOff>63879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0000000-0008-0000-0000-000038000000}"/>
            </a:ext>
            <a:ext uri="{147F2762-F138-4A5C-976F-8EAC2B608ADB}">
              <a16:predDERef xmlns:a16="http://schemas.microsoft.com/office/drawing/2014/main" pred="{00000000-0008-0000-00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6</xdr:col>
      <xdr:colOff>0</xdr:colOff>
      <xdr:row>222</xdr:row>
      <xdr:rowOff>0</xdr:rowOff>
    </xdr:from>
    <xdr:to>
      <xdr:col>9</xdr:col>
      <xdr:colOff>1884443</xdr:colOff>
      <xdr:row>247</xdr:row>
      <xdr:rowOff>31387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00000000-0008-0000-0000-000039000000}"/>
            </a:ext>
            <a:ext uri="{147F2762-F138-4A5C-976F-8EAC2B608ADB}">
              <a16:predDERef xmlns:a16="http://schemas.microsoft.com/office/drawing/2014/main" pred="{00000000-0008-0000-0000-00003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21</xdr:col>
      <xdr:colOff>0</xdr:colOff>
      <xdr:row>222</xdr:row>
      <xdr:rowOff>0</xdr:rowOff>
    </xdr:from>
    <xdr:to>
      <xdr:col>24</xdr:col>
      <xdr:colOff>1847090</xdr:colOff>
      <xdr:row>247</xdr:row>
      <xdr:rowOff>31387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0000000-0008-0000-0000-00003C000000}"/>
            </a:ext>
            <a:ext uri="{147F2762-F138-4A5C-976F-8EAC2B608ADB}">
              <a16:predDERef xmlns:a16="http://schemas.microsoft.com/office/drawing/2014/main" pred="{00000000-0008-0000-0000-00003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26</xdr:col>
      <xdr:colOff>0</xdr:colOff>
      <xdr:row>222</xdr:row>
      <xdr:rowOff>0</xdr:rowOff>
    </xdr:from>
    <xdr:to>
      <xdr:col>29</xdr:col>
      <xdr:colOff>1847090</xdr:colOff>
      <xdr:row>247</xdr:row>
      <xdr:rowOff>31387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00000000-0008-0000-0000-00003D000000}"/>
            </a:ext>
            <a:ext uri="{147F2762-F138-4A5C-976F-8EAC2B608ADB}">
              <a16:predDERef xmlns:a16="http://schemas.microsoft.com/office/drawing/2014/main" pred="{00000000-0008-0000-0000-00003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201318</xdr:colOff>
      <xdr:row>248</xdr:row>
      <xdr:rowOff>66323</xdr:rowOff>
    </xdr:from>
    <xdr:to>
      <xdr:col>5</xdr:col>
      <xdr:colOff>931333</xdr:colOff>
      <xdr:row>268</xdr:row>
      <xdr:rowOff>169333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  <a:ext uri="{147F2762-F138-4A5C-976F-8EAC2B608ADB}">
              <a16:predDERef xmlns:a16="http://schemas.microsoft.com/office/drawing/2014/main" pred="{00000000-0008-0000-00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5</xdr:col>
      <xdr:colOff>1912356</xdr:colOff>
      <xdr:row>248</xdr:row>
      <xdr:rowOff>163924</xdr:rowOff>
    </xdr:from>
    <xdr:to>
      <xdr:col>11</xdr:col>
      <xdr:colOff>102053</xdr:colOff>
      <xdr:row>272</xdr:row>
      <xdr:rowOff>153081</xdr:rowOff>
    </xdr:to>
    <xdr:graphicFrame macro="">
      <xdr:nvGraphicFramePr>
        <xdr:cNvPr id="29" name="Chart 25">
          <a:extLst>
            <a:ext uri="{FF2B5EF4-FFF2-40B4-BE49-F238E27FC236}">
              <a16:creationId xmlns:a16="http://schemas.microsoft.com/office/drawing/2014/main" id="{00000000-0008-0000-0000-00001D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242</xdr:col>
      <xdr:colOff>63499</xdr:colOff>
      <xdr:row>72</xdr:row>
      <xdr:rowOff>31750</xdr:rowOff>
    </xdr:from>
    <xdr:to>
      <xdr:col>266</xdr:col>
      <xdr:colOff>80698</xdr:colOff>
      <xdr:row>107</xdr:row>
      <xdr:rowOff>152286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  <a:ext uri="{147F2762-F138-4A5C-976F-8EAC2B608ADB}">
              <a16:predDERef xmlns:a16="http://schemas.microsoft.com/office/drawing/2014/main" pred="{00000000-0008-0000-00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40</xdr:col>
      <xdr:colOff>0</xdr:colOff>
      <xdr:row>113</xdr:row>
      <xdr:rowOff>0</xdr:rowOff>
    </xdr:from>
    <xdr:to>
      <xdr:col>46</xdr:col>
      <xdr:colOff>1567322</xdr:colOff>
      <xdr:row>140</xdr:row>
      <xdr:rowOff>121349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  <a:ext uri="{147F2762-F138-4A5C-976F-8EAC2B608ADB}">
              <a16:predDERef xmlns:a16="http://schemas.microsoft.com/office/drawing/2014/main" pre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43</xdr:col>
      <xdr:colOff>260158</xdr:colOff>
      <xdr:row>71</xdr:row>
      <xdr:rowOff>182877</xdr:rowOff>
    </xdr:from>
    <xdr:to>
      <xdr:col>51</xdr:col>
      <xdr:colOff>1077578</xdr:colOff>
      <xdr:row>108</xdr:row>
      <xdr:rowOff>82742</xdr:rowOff>
    </xdr:to>
    <xdr:graphicFrame macro="">
      <xdr:nvGraphicFramePr>
        <xdr:cNvPr id="48" name="Chart 25">
          <a:extLst>
            <a:ext uri="{FF2B5EF4-FFF2-40B4-BE49-F238E27FC236}">
              <a16:creationId xmlns:a16="http://schemas.microsoft.com/office/drawing/2014/main" id="{00000000-0008-0000-0000-000030000000}"/>
            </a:ext>
            <a:ext uri="{147F2762-F138-4A5C-976F-8EAC2B608ADB}">
              <a16:predDERef xmlns:a16="http://schemas.microsoft.com/office/drawing/2014/main" pre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93</xdr:col>
      <xdr:colOff>24342</xdr:colOff>
      <xdr:row>71</xdr:row>
      <xdr:rowOff>147108</xdr:rowOff>
    </xdr:from>
    <xdr:to>
      <xdr:col>134</xdr:col>
      <xdr:colOff>100542</xdr:colOff>
      <xdr:row>107</xdr:row>
      <xdr:rowOff>183887</xdr:rowOff>
    </xdr:to>
    <xdr:graphicFrame macro="">
      <xdr:nvGraphicFramePr>
        <xdr:cNvPr id="59" name="Chart 1">
          <a:extLst>
            <a:ext uri="{FF2B5EF4-FFF2-40B4-BE49-F238E27FC236}">
              <a16:creationId xmlns:a16="http://schemas.microsoft.com/office/drawing/2014/main" id="{00000000-0008-0000-0000-00003B000000}"/>
            </a:ext>
            <a:ext uri="{147F2762-F138-4A5C-976F-8EAC2B608ADB}">
              <a16:predDERef xmlns:a16="http://schemas.microsoft.com/office/drawing/2014/main" pred="{00000000-0008-0000-00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277</xdr:col>
      <xdr:colOff>1046079</xdr:colOff>
      <xdr:row>72</xdr:row>
      <xdr:rowOff>163763</xdr:rowOff>
    </xdr:from>
    <xdr:to>
      <xdr:col>289</xdr:col>
      <xdr:colOff>305732</xdr:colOff>
      <xdr:row>108</xdr:row>
      <xdr:rowOff>83773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00000000-0008-0000-0000-000035000000}"/>
            </a:ext>
            <a:ext uri="{147F2762-F138-4A5C-976F-8EAC2B608ADB}">
              <a16:predDERef xmlns:a16="http://schemas.microsoft.com/office/drawing/2014/main" pred="{00000000-0008-0000-0000-00003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266</xdr:col>
      <xdr:colOff>389912</xdr:colOff>
      <xdr:row>72</xdr:row>
      <xdr:rowOff>79095</xdr:rowOff>
    </xdr:from>
    <xdr:to>
      <xdr:col>277</xdr:col>
      <xdr:colOff>750232</xdr:colOff>
      <xdr:row>107</xdr:row>
      <xdr:rowOff>189605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00000000-0008-0000-0000-000036000000}"/>
            </a:ext>
            <a:ext uri="{147F2762-F138-4A5C-976F-8EAC2B608ADB}">
              <a16:predDERef xmlns:a16="http://schemas.microsoft.com/office/drawing/2014/main" pred="{00000000-0008-0000-00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289</xdr:col>
      <xdr:colOff>465668</xdr:colOff>
      <xdr:row>72</xdr:row>
      <xdr:rowOff>84666</xdr:rowOff>
    </xdr:from>
    <xdr:to>
      <xdr:col>299</xdr:col>
      <xdr:colOff>931336</xdr:colOff>
      <xdr:row>108</xdr:row>
      <xdr:rowOff>110510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  <a:ext uri="{147F2762-F138-4A5C-976F-8EAC2B608ADB}">
              <a16:predDERef xmlns:a16="http://schemas.microsoft.com/office/drawing/2014/main" pred="{00000000-0008-0000-00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51</xdr:col>
      <xdr:colOff>1651000</xdr:colOff>
      <xdr:row>72</xdr:row>
      <xdr:rowOff>45509</xdr:rowOff>
    </xdr:from>
    <xdr:to>
      <xdr:col>90</xdr:col>
      <xdr:colOff>40317</xdr:colOff>
      <xdr:row>108</xdr:row>
      <xdr:rowOff>79113</xdr:rowOff>
    </xdr:to>
    <xdr:graphicFrame macro="">
      <xdr:nvGraphicFramePr>
        <xdr:cNvPr id="26" name="Chart 1">
          <a:extLst>
            <a:ext uri="{FF2B5EF4-FFF2-40B4-BE49-F238E27FC236}">
              <a16:creationId xmlns:a16="http://schemas.microsoft.com/office/drawing/2014/main" id="{00000000-0008-0000-0000-00001A000000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1</xdr:col>
      <xdr:colOff>0</xdr:colOff>
      <xdr:row>34</xdr:row>
      <xdr:rowOff>7956</xdr:rowOff>
    </xdr:from>
    <xdr:to>
      <xdr:col>7</xdr:col>
      <xdr:colOff>987778</xdr:colOff>
      <xdr:row>65</xdr:row>
      <xdr:rowOff>120952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000-000016000000}"/>
            </a:ext>
            <a:ext uri="{147F2762-F138-4A5C-976F-8EAC2B608ADB}">
              <a16:predDERef xmlns:a16="http://schemas.microsoft.com/office/drawing/2014/main" pred="{00000000-0008-0000-00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113</xdr:row>
      <xdr:rowOff>60778</xdr:rowOff>
    </xdr:from>
    <xdr:to>
      <xdr:col>9</xdr:col>
      <xdr:colOff>397434</xdr:colOff>
      <xdr:row>141</xdr:row>
      <xdr:rowOff>125241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00000000-0008-0000-0200-000005000000}"/>
            </a:ext>
            <a:ext uri="{147F2762-F138-4A5C-976F-8EAC2B608ADB}">
              <a16:predDERef xmlns:a16="http://schemas.microsoft.com/office/drawing/2014/main" pred="{49B80C0A-456F-0F5D-B04E-643B694389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113</xdr:row>
      <xdr:rowOff>60778</xdr:rowOff>
    </xdr:from>
    <xdr:to>
      <xdr:col>9</xdr:col>
      <xdr:colOff>397434</xdr:colOff>
      <xdr:row>141</xdr:row>
      <xdr:rowOff>125241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F180F1EA-9475-4224-A23C-FE73BF97190E}"/>
            </a:ext>
            <a:ext uri="{147F2762-F138-4A5C-976F-8EAC2B608ADB}">
              <a16:predDERef xmlns:a16="http://schemas.microsoft.com/office/drawing/2014/main" pred="{49B80C0A-456F-0F5D-B04E-643B694389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781024</xdr:colOff>
      <xdr:row>4</xdr:row>
      <xdr:rowOff>21103</xdr:rowOff>
    </xdr:from>
    <xdr:to>
      <xdr:col>15</xdr:col>
      <xdr:colOff>416873</xdr:colOff>
      <xdr:row>30</xdr:row>
      <xdr:rowOff>126231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836465</xdr:colOff>
      <xdr:row>27</xdr:row>
      <xdr:rowOff>145830</xdr:rowOff>
    </xdr:from>
    <xdr:to>
      <xdr:col>22</xdr:col>
      <xdr:colOff>595802</xdr:colOff>
      <xdr:row>41</xdr:row>
      <xdr:rowOff>109753</xdr:rowOff>
    </xdr:to>
    <xdr:graphicFrame macro="">
      <xdr:nvGraphicFramePr>
        <xdr:cNvPr id="20" name="Chart 3">
          <a:extLst>
            <a:ext uri="{FF2B5EF4-FFF2-40B4-BE49-F238E27FC236}">
              <a16:creationId xmlns:a16="http://schemas.microsoft.com/office/drawing/2014/main" id="{00000000-0008-0000-0300-000014000000}"/>
            </a:ext>
            <a:ext uri="{147F2762-F138-4A5C-976F-8EAC2B608ADB}">
              <a16:predDERef xmlns:a16="http://schemas.microsoft.com/office/drawing/2014/main" pred="{00000000-0008-0000-0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391976</xdr:colOff>
      <xdr:row>38</xdr:row>
      <xdr:rowOff>141110</xdr:rowOff>
    </xdr:from>
    <xdr:to>
      <xdr:col>15</xdr:col>
      <xdr:colOff>151313</xdr:colOff>
      <xdr:row>64</xdr:row>
      <xdr:rowOff>61817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  <a:ext uri="{147F2762-F138-4A5C-976F-8EAC2B608ADB}">
              <a16:predDERef xmlns:a16="http://schemas.microsoft.com/office/drawing/2014/main" pred="{00000000-0008-0000-03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595802</xdr:colOff>
      <xdr:row>47</xdr:row>
      <xdr:rowOff>31358</xdr:rowOff>
    </xdr:from>
    <xdr:to>
      <xdr:col>5</xdr:col>
      <xdr:colOff>323781</xdr:colOff>
      <xdr:row>72</xdr:row>
      <xdr:rowOff>171569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  <a:ext uri="{147F2762-F138-4A5C-976F-8EAC2B608ADB}">
              <a16:predDERef xmlns:a16="http://schemas.microsoft.com/office/drawing/2014/main" pre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783951</xdr:colOff>
      <xdr:row>76</xdr:row>
      <xdr:rowOff>15679</xdr:rowOff>
    </xdr:from>
    <xdr:to>
      <xdr:col>5</xdr:col>
      <xdr:colOff>511930</xdr:colOff>
      <xdr:row>101</xdr:row>
      <xdr:rowOff>155890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  <a:ext uri="{147F2762-F138-4A5C-976F-8EAC2B608ADB}">
              <a16:predDERef xmlns:a16="http://schemas.microsoft.com/office/drawing/2014/main" pre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1567901</xdr:colOff>
      <xdr:row>76</xdr:row>
      <xdr:rowOff>47037</xdr:rowOff>
    </xdr:from>
    <xdr:to>
      <xdr:col>12</xdr:col>
      <xdr:colOff>590324</xdr:colOff>
      <xdr:row>102</xdr:row>
      <xdr:rowOff>14779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  <a:ext uri="{147F2762-F138-4A5C-976F-8EAC2B608ADB}">
              <a16:predDERef xmlns:a16="http://schemas.microsoft.com/office/drawing/2014/main" pre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571500</xdr:colOff>
      <xdr:row>114</xdr:row>
      <xdr:rowOff>66675</xdr:rowOff>
    </xdr:from>
    <xdr:to>
      <xdr:col>4</xdr:col>
      <xdr:colOff>1123950</xdr:colOff>
      <xdr:row>130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  <a:ext uri="{147F2762-F138-4A5C-976F-8EAC2B608ADB}">
              <a16:predDERef xmlns:a16="http://schemas.microsoft.com/office/drawing/2014/main" pre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190500</xdr:colOff>
      <xdr:row>139</xdr:row>
      <xdr:rowOff>95250</xdr:rowOff>
    </xdr:from>
    <xdr:to>
      <xdr:col>4</xdr:col>
      <xdr:colOff>742950</xdr:colOff>
      <xdr:row>155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  <a:ext uri="{147F2762-F138-4A5C-976F-8EAC2B608ADB}">
              <a16:predDERef xmlns:a16="http://schemas.microsoft.com/office/drawing/2014/main" pre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752475</xdr:colOff>
      <xdr:row>170</xdr:row>
      <xdr:rowOff>123825</xdr:rowOff>
    </xdr:from>
    <xdr:to>
      <xdr:col>3</xdr:col>
      <xdr:colOff>504825</xdr:colOff>
      <xdr:row>186</xdr:row>
      <xdr:rowOff>123825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  <a:ext uri="{147F2762-F138-4A5C-976F-8EAC2B608ADB}">
              <a16:predDERef xmlns:a16="http://schemas.microsoft.com/office/drawing/2014/main" pre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38100</xdr:colOff>
      <xdr:row>170</xdr:row>
      <xdr:rowOff>95250</xdr:rowOff>
    </xdr:from>
    <xdr:to>
      <xdr:col>8</xdr:col>
      <xdr:colOff>571500</xdr:colOff>
      <xdr:row>186</xdr:row>
      <xdr:rowOff>95250</xdr:rowOff>
    </xdr:to>
    <xdr:graphicFrame macro="">
      <xdr:nvGraphicFramePr>
        <xdr:cNvPr id="18" name="Chart 12">
          <a:extLst>
            <a:ext uri="{FF2B5EF4-FFF2-40B4-BE49-F238E27FC236}">
              <a16:creationId xmlns:a16="http://schemas.microsoft.com/office/drawing/2014/main" id="{00000000-0008-0000-0300-000012000000}"/>
            </a:ext>
            <a:ext uri="{147F2762-F138-4A5C-976F-8EAC2B608ADB}">
              <a16:predDERef xmlns:a16="http://schemas.microsoft.com/office/drawing/2014/main" pre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981605</xdr:colOff>
      <xdr:row>203</xdr:row>
      <xdr:rowOff>58914</xdr:rowOff>
    </xdr:from>
    <xdr:to>
      <xdr:col>28</xdr:col>
      <xdr:colOff>14288</xdr:colOff>
      <xdr:row>218</xdr:row>
      <xdr:rowOff>151342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  <a:ext uri="{147F2762-F138-4A5C-976F-8EAC2B608ADB}">
              <a16:predDERef xmlns:a16="http://schemas.microsoft.com/office/drawing/2014/main" pred="{00000000-0008-0000-03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1016498</xdr:colOff>
      <xdr:row>246</xdr:row>
      <xdr:rowOff>207893</xdr:rowOff>
    </xdr:from>
    <xdr:to>
      <xdr:col>17</xdr:col>
      <xdr:colOff>65225</xdr:colOff>
      <xdr:row>253</xdr:row>
      <xdr:rowOff>125804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300-00000D000000}"/>
            </a:ext>
            <a:ext uri="{147F2762-F138-4A5C-976F-8EAC2B608ADB}">
              <a16:predDERef xmlns:a16="http://schemas.microsoft.com/office/drawing/2014/main" pre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215506</xdr:colOff>
      <xdr:row>244</xdr:row>
      <xdr:rowOff>131155</xdr:rowOff>
    </xdr:from>
    <xdr:to>
      <xdr:col>12</xdr:col>
      <xdr:colOff>362063</xdr:colOff>
      <xdr:row>252</xdr:row>
      <xdr:rowOff>394175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  <a:ext uri="{147F2762-F138-4A5C-976F-8EAC2B608ADB}">
              <a16:predDERef xmlns:a16="http://schemas.microsoft.com/office/drawing/2014/main" pre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596900</xdr:colOff>
      <xdr:row>197</xdr:row>
      <xdr:rowOff>152400</xdr:rowOff>
    </xdr:from>
    <xdr:to>
      <xdr:col>16</xdr:col>
      <xdr:colOff>751064</xdr:colOff>
      <xdr:row>210</xdr:row>
      <xdr:rowOff>82903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  <a:ext uri="{147F2762-F138-4A5C-976F-8EAC2B608ADB}">
              <a16:predDERef xmlns:a16="http://schemas.microsoft.com/office/drawing/2014/main" pred="{00000000-0008-0000-03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1</xdr:colOff>
      <xdr:row>213</xdr:row>
      <xdr:rowOff>27609</xdr:rowOff>
    </xdr:from>
    <xdr:to>
      <xdr:col>15</xdr:col>
      <xdr:colOff>662609</xdr:colOff>
      <xdr:row>240</xdr:row>
      <xdr:rowOff>165652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300-000010000000}"/>
            </a:ext>
            <a:ext uri="{147F2762-F138-4A5C-976F-8EAC2B608ADB}">
              <a16:predDERef xmlns:a16="http://schemas.microsoft.com/office/drawing/2014/main" pred="{00000000-0008-0000-0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648804</xdr:colOff>
      <xdr:row>199</xdr:row>
      <xdr:rowOff>207065</xdr:rowOff>
    </xdr:from>
    <xdr:to>
      <xdr:col>12</xdr:col>
      <xdr:colOff>455543</xdr:colOff>
      <xdr:row>210</xdr:row>
      <xdr:rowOff>124239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300-000016000000}"/>
            </a:ext>
            <a:ext uri="{147F2762-F138-4A5C-976F-8EAC2B608ADB}">
              <a16:predDERef xmlns:a16="http://schemas.microsoft.com/office/drawing/2014/main" pred="{00000000-0008-0000-0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2359163</xdr:colOff>
      <xdr:row>266</xdr:row>
      <xdr:rowOff>57151</xdr:rowOff>
    </xdr:from>
    <xdr:to>
      <xdr:col>4</xdr:col>
      <xdr:colOff>443120</xdr:colOff>
      <xdr:row>281</xdr:row>
      <xdr:rowOff>108503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300-000017000000}"/>
            </a:ext>
            <a:ext uri="{147F2762-F138-4A5C-976F-8EAC2B608ADB}">
              <a16:predDERef xmlns:a16="http://schemas.microsoft.com/office/drawing/2014/main" pred="{00000000-0008-0000-03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938696</xdr:colOff>
      <xdr:row>266</xdr:row>
      <xdr:rowOff>41414</xdr:rowOff>
    </xdr:from>
    <xdr:to>
      <xdr:col>8</xdr:col>
      <xdr:colOff>223630</xdr:colOff>
      <xdr:row>281</xdr:row>
      <xdr:rowOff>92767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300-000018000000}"/>
            </a:ext>
            <a:ext uri="{147F2762-F138-4A5C-976F-8EAC2B608ADB}">
              <a16:predDERef xmlns:a16="http://schemas.microsoft.com/office/drawing/2014/main" pred="{00000000-0008-0000-03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</xdr:col>
      <xdr:colOff>1213402</xdr:colOff>
      <xdr:row>293</xdr:row>
      <xdr:rowOff>167584</xdr:rowOff>
    </xdr:from>
    <xdr:to>
      <xdr:col>6</xdr:col>
      <xdr:colOff>1202359</xdr:colOff>
      <xdr:row>306</xdr:row>
      <xdr:rowOff>108502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300-000019000000}"/>
            </a:ext>
            <a:ext uri="{147F2762-F138-4A5C-976F-8EAC2B608ADB}">
              <a16:predDERef xmlns:a16="http://schemas.microsoft.com/office/drawing/2014/main" pred="{00000000-0008-0000-03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1524810</xdr:colOff>
      <xdr:row>56</xdr:row>
      <xdr:rowOff>27021</xdr:rowOff>
    </xdr:from>
    <xdr:to>
      <xdr:col>7</xdr:col>
      <xdr:colOff>589604</xdr:colOff>
      <xdr:row>72</xdr:row>
      <xdr:rowOff>81335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417287</xdr:colOff>
      <xdr:row>29</xdr:row>
      <xdr:rowOff>143329</xdr:rowOff>
    </xdr:from>
    <xdr:to>
      <xdr:col>4</xdr:col>
      <xdr:colOff>925287</xdr:colOff>
      <xdr:row>44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  <a:ext uri="{147F2762-F138-4A5C-976F-8EAC2B608ADB}">
              <a16:predDERef xmlns:a16="http://schemas.microsoft.com/office/drawing/2014/main" pre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730250</xdr:colOff>
      <xdr:row>7</xdr:row>
      <xdr:rowOff>171450</xdr:rowOff>
    </xdr:from>
    <xdr:to>
      <xdr:col>11</xdr:col>
      <xdr:colOff>273050</xdr:colOff>
      <xdr:row>23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CD5773-1268-63F4-B000-C9FE6F174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4</xdr:row>
      <xdr:rowOff>95250</xdr:rowOff>
    </xdr:from>
    <xdr:to>
      <xdr:col>10</xdr:col>
      <xdr:colOff>552450</xdr:colOff>
      <xdr:row>19</xdr:row>
      <xdr:rowOff>123825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234950</xdr:colOff>
      <xdr:row>24</xdr:row>
      <xdr:rowOff>101600</xdr:rowOff>
    </xdr:from>
    <xdr:to>
      <xdr:col>15</xdr:col>
      <xdr:colOff>152400</xdr:colOff>
      <xdr:row>43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  <a:ext uri="{147F2762-F138-4A5C-976F-8EAC2B608ADB}">
              <a16:predDERef xmlns:a16="http://schemas.microsoft.com/office/drawing/2014/main" pre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762491</xdr:colOff>
      <xdr:row>59</xdr:row>
      <xdr:rowOff>31032</xdr:rowOff>
    </xdr:from>
    <xdr:to>
      <xdr:col>18</xdr:col>
      <xdr:colOff>344577</xdr:colOff>
      <xdr:row>86</xdr:row>
      <xdr:rowOff>164382</xdr:rowOff>
    </xdr:to>
    <xdr:graphicFrame macro="">
      <xdr:nvGraphicFramePr>
        <xdr:cNvPr id="27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320956</xdr:colOff>
      <xdr:row>75</xdr:row>
      <xdr:rowOff>148632</xdr:rowOff>
    </xdr:from>
    <xdr:to>
      <xdr:col>11</xdr:col>
      <xdr:colOff>774841</xdr:colOff>
      <xdr:row>95</xdr:row>
      <xdr:rowOff>70443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E00-000003000000}"/>
            </a:ext>
            <a:ext uri="{147F2762-F138-4A5C-976F-8EAC2B608ADB}">
              <a16:predDERef xmlns:a16="http://schemas.microsoft.com/office/drawing/2014/main" pre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238125</xdr:colOff>
      <xdr:row>59</xdr:row>
      <xdr:rowOff>9525</xdr:rowOff>
    </xdr:from>
    <xdr:to>
      <xdr:col>2</xdr:col>
      <xdr:colOff>857250</xdr:colOff>
      <xdr:row>70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  <a:ext uri="{147F2762-F138-4A5C-976F-8EAC2B608ADB}">
              <a16:predDERef xmlns:a16="http://schemas.microsoft.com/office/drawing/2014/main" pre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254379</xdr:colOff>
      <xdr:row>54</xdr:row>
      <xdr:rowOff>63689</xdr:rowOff>
    </xdr:from>
    <xdr:to>
      <xdr:col>11</xdr:col>
      <xdr:colOff>720965</xdr:colOff>
      <xdr:row>74</xdr:row>
      <xdr:rowOff>17250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00000000-0008-0000-0E00-000005000000}"/>
            </a:ext>
            <a:ext uri="{147F2762-F138-4A5C-976F-8EAC2B608ADB}">
              <a16:predDERef xmlns:a16="http://schemas.microsoft.com/office/drawing/2014/main" pre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209550</xdr:colOff>
      <xdr:row>96</xdr:row>
      <xdr:rowOff>38100</xdr:rowOff>
    </xdr:from>
    <xdr:to>
      <xdr:col>11</xdr:col>
      <xdr:colOff>676135</xdr:colOff>
      <xdr:row>115</xdr:row>
      <xdr:rowOff>172636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E00-000006000000}"/>
            </a:ext>
            <a:ext uri="{147F2762-F138-4A5C-976F-8EAC2B608ADB}">
              <a16:predDERef xmlns:a16="http://schemas.microsoft.com/office/drawing/2014/main" pred="{00000000-0008-0000-0E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89</xdr:row>
      <xdr:rowOff>0</xdr:rowOff>
    </xdr:from>
    <xdr:to>
      <xdr:col>16</xdr:col>
      <xdr:colOff>1063485</xdr:colOff>
      <xdr:row>108</xdr:row>
      <xdr:rowOff>102786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E00-000007000000}"/>
            </a:ext>
            <a:ext uri="{147F2762-F138-4A5C-976F-8EAC2B608ADB}">
              <a16:predDERef xmlns:a16="http://schemas.microsoft.com/office/drawing/2014/main" pred="{00000000-0008-0000-0E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590542</xdr:colOff>
      <xdr:row>59</xdr:row>
      <xdr:rowOff>101134</xdr:rowOff>
    </xdr:from>
    <xdr:to>
      <xdr:col>24</xdr:col>
      <xdr:colOff>240680</xdr:colOff>
      <xdr:row>75</xdr:row>
      <xdr:rowOff>114782</xdr:rowOff>
    </xdr:to>
    <xdr:graphicFrame macro="">
      <xdr:nvGraphicFramePr>
        <xdr:cNvPr id="33" name="Chart 7">
          <a:extLst>
            <a:ext uri="{FF2B5EF4-FFF2-40B4-BE49-F238E27FC236}">
              <a16:creationId xmlns:a16="http://schemas.microsoft.com/office/drawing/2014/main" id="{00000000-0008-0000-0E00-000021000000}"/>
            </a:ext>
            <a:ext uri="{147F2762-F138-4A5C-976F-8EAC2B608ADB}">
              <a16:predDERef xmlns:a16="http://schemas.microsoft.com/office/drawing/2014/main" pred="{00000000-0008-0000-0E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381149</xdr:colOff>
      <xdr:row>15</xdr:row>
      <xdr:rowOff>127784</xdr:rowOff>
    </xdr:from>
    <xdr:to>
      <xdr:col>10</xdr:col>
      <xdr:colOff>53377</xdr:colOff>
      <xdr:row>30</xdr:row>
      <xdr:rowOff>93756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  <a:ext uri="{147F2762-F138-4A5C-976F-8EAC2B608ADB}">
              <a16:predDERef xmlns:a16="http://schemas.microsoft.com/office/drawing/2014/main" pred="{47BCCDE2-96EE-4CD7-8EC4-AC5D537ED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342900</xdr:colOff>
      <xdr:row>32</xdr:row>
      <xdr:rowOff>47625</xdr:rowOff>
    </xdr:from>
    <xdr:to>
      <xdr:col>11</xdr:col>
      <xdr:colOff>438150</xdr:colOff>
      <xdr:row>51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  <a:ext uri="{147F2762-F138-4A5C-976F-8EAC2B608ADB}">
              <a16:predDERef xmlns:a16="http://schemas.microsoft.com/office/drawing/2014/main" pred="{00000000-0008-0000-0F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266700</xdr:colOff>
      <xdr:row>51</xdr:row>
      <xdr:rowOff>142875</xdr:rowOff>
    </xdr:from>
    <xdr:to>
      <xdr:col>8</xdr:col>
      <xdr:colOff>790575</xdr:colOff>
      <xdr:row>67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  <a:ext uri="{147F2762-F138-4A5C-976F-8EAC2B608ADB}">
              <a16:predDERef xmlns:a16="http://schemas.microsoft.com/office/drawing/2014/main" pre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0</xdr:row>
      <xdr:rowOff>165100</xdr:rowOff>
    </xdr:from>
    <xdr:to>
      <xdr:col>10</xdr:col>
      <xdr:colOff>577850</xdr:colOff>
      <xdr:row>16</xdr:row>
      <xdr:rowOff>63500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298302</xdr:colOff>
      <xdr:row>23</xdr:row>
      <xdr:rowOff>164213</xdr:rowOff>
    </xdr:from>
    <xdr:to>
      <xdr:col>10</xdr:col>
      <xdr:colOff>499139</xdr:colOff>
      <xdr:row>41</xdr:row>
      <xdr:rowOff>60251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289442</xdr:colOff>
      <xdr:row>1</xdr:row>
      <xdr:rowOff>47256</xdr:rowOff>
    </xdr:from>
    <xdr:to>
      <xdr:col>10</xdr:col>
      <xdr:colOff>490279</xdr:colOff>
      <xdr:row>23</xdr:row>
      <xdr:rowOff>26938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600-000004000000}"/>
            </a:ext>
            <a:ext uri="{147F2762-F138-4A5C-976F-8EAC2B608ADB}">
              <a16:predDERef xmlns:a16="http://schemas.microsoft.com/office/drawing/2014/main" pred="{00000000-0008-0000-1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762491</xdr:colOff>
      <xdr:row>55</xdr:row>
      <xdr:rowOff>31032</xdr:rowOff>
    </xdr:from>
    <xdr:to>
      <xdr:col>18</xdr:col>
      <xdr:colOff>344577</xdr:colOff>
      <xdr:row>82</xdr:row>
      <xdr:rowOff>164382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416206</xdr:colOff>
      <xdr:row>59</xdr:row>
      <xdr:rowOff>24807</xdr:rowOff>
    </xdr:from>
    <xdr:to>
      <xdr:col>11</xdr:col>
      <xdr:colOff>69991</xdr:colOff>
      <xdr:row>78</xdr:row>
      <xdr:rowOff>156168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  <a:ext uri="{147F2762-F138-4A5C-976F-8EAC2B608ADB}">
              <a16:predDERef xmlns:a16="http://schemas.microsoft.com/office/drawing/2014/main" pred="{00000000-0008-0000-1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486027</xdr:colOff>
      <xdr:row>61</xdr:row>
      <xdr:rowOff>34087</xdr:rowOff>
    </xdr:from>
    <xdr:to>
      <xdr:col>2</xdr:col>
      <xdr:colOff>940994</xdr:colOff>
      <xdr:row>76</xdr:row>
      <xdr:rowOff>65383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900-000006000000}"/>
            </a:ext>
            <a:ext uri="{147F2762-F138-4A5C-976F-8EAC2B608ADB}">
              <a16:predDERef xmlns:a16="http://schemas.microsoft.com/office/drawing/2014/main" pre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330200</xdr:colOff>
      <xdr:row>81</xdr:row>
      <xdr:rowOff>101600</xdr:rowOff>
    </xdr:from>
    <xdr:to>
      <xdr:col>10</xdr:col>
      <xdr:colOff>796785</xdr:colOff>
      <xdr:row>101</xdr:row>
      <xdr:rowOff>55161</xdr:rowOff>
    </xdr:to>
    <xdr:graphicFrame macro="">
      <xdr:nvGraphicFramePr>
        <xdr:cNvPr id="59" name="Chart 6">
          <a:extLst>
            <a:ext uri="{FF2B5EF4-FFF2-40B4-BE49-F238E27FC236}">
              <a16:creationId xmlns:a16="http://schemas.microsoft.com/office/drawing/2014/main" id="{00000000-0008-0000-1900-00003B000000}"/>
            </a:ext>
            <a:ext uri="{147F2762-F138-4A5C-976F-8EAC2B608ADB}">
              <a16:predDERef xmlns:a16="http://schemas.microsoft.com/office/drawing/2014/main" pred="{00000000-0008-0000-1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333375</xdr:colOff>
      <xdr:row>102</xdr:row>
      <xdr:rowOff>85725</xdr:rowOff>
    </xdr:from>
    <xdr:to>
      <xdr:col>10</xdr:col>
      <xdr:colOff>799960</xdr:colOff>
      <xdr:row>122</xdr:row>
      <xdr:rowOff>39286</xdr:rowOff>
    </xdr:to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00000000-0008-0000-1900-00000D000000}"/>
            </a:ext>
            <a:ext uri="{147F2762-F138-4A5C-976F-8EAC2B608ADB}">
              <a16:predDERef xmlns:a16="http://schemas.microsoft.com/office/drawing/2014/main" pred="{00000000-0008-0000-1900-00003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85</xdr:row>
      <xdr:rowOff>0</xdr:rowOff>
    </xdr:from>
    <xdr:to>
      <xdr:col>16</xdr:col>
      <xdr:colOff>1063485</xdr:colOff>
      <xdr:row>104</xdr:row>
      <xdr:rowOff>102786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900-000004000000}"/>
            </a:ext>
            <a:ext uri="{147F2762-F138-4A5C-976F-8EAC2B608ADB}">
              <a16:predDERef xmlns:a16="http://schemas.microsoft.com/office/drawing/2014/main" pred="{00000000-0008-0000-19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740833</xdr:colOff>
      <xdr:row>58</xdr:row>
      <xdr:rowOff>84667</xdr:rowOff>
    </xdr:from>
    <xdr:to>
      <xdr:col>27</xdr:col>
      <xdr:colOff>1440346</xdr:colOff>
      <xdr:row>86</xdr:row>
      <xdr:rowOff>160261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900-000003000000}"/>
            </a:ext>
            <a:ext uri="{147F2762-F138-4A5C-976F-8EAC2B608ADB}">
              <a16:predDERef xmlns:a16="http://schemas.microsoft.com/office/drawing/2014/main" pred="{00000000-0008-0000-1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https://smithbucklin.sharepoint.com/sites/xunit-360agency/Shared%20Documents/ATC_American%20Transplant%20Congress/2026%20ATC%20-%20Boston/Marketing/ATC%202026/1.%20Marketing%20Operations/2.%20Performance%20&amp;%20Reporting/Domestic%20vs.%20International?5DC98CD9" TargetMode="External"/><Relationship Id="rId1" Type="http://schemas.openxmlformats.org/officeDocument/2006/relationships/externalLinkPath" Target="file:///\\5DC98CD9\Domestic%20vs.%20International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ithbucklin.sharepoint.com/sites/xunit-360agency/Shared%20Documents/ATC_American%20Transplant%20Congress/2026%20ATC%20-%20Boston/Marketing/ATC%202026/1.%20Marketing%20Operations/2.%20Performance%20&amp;%20Reporting/Attendee%20vs.%20Exhibito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mestic v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endee vs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27FF07-538E-48B5-A541-2F2855416C81}" name="Table1" displayName="Table1" ref="B35:C44" totalsRowShown="0">
  <autoFilter ref="B35:C44" xr:uid="{F127FF07-538E-48B5-A541-2F2855416C81}"/>
  <sortState xmlns:xlrd2="http://schemas.microsoft.com/office/spreadsheetml/2017/richdata2" ref="B36:C44">
    <sortCondition descending="1" ref="C35:C44"/>
  </sortState>
  <tableColumns count="2">
    <tableColumn id="1" xr3:uid="{68594CD9-6BDC-4DE9-817E-3FA0FCAD964F}" name="Source" dataDxfId="3"/>
    <tableColumn id="2" xr3:uid="{1E441C06-E6E9-4685-9BC6-2EB143EF885B}" name="Registrations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274164-B3D6-439C-B2EF-9490FCF37A88}" name="Table13" displayName="Table13" ref="B57:C66" totalsRowShown="0">
  <autoFilter ref="B57:C66" xr:uid="{D8274164-B3D6-439C-B2EF-9490FCF37A88}"/>
  <sortState xmlns:xlrd2="http://schemas.microsoft.com/office/spreadsheetml/2017/richdata2" ref="B58:C66">
    <sortCondition descending="1" ref="C35:C44"/>
  </sortState>
  <tableColumns count="2">
    <tableColumn id="1" xr3:uid="{FFFD8523-6F95-4D93-A503-3C6A32CED44F}" name="Source" dataDxfId="1"/>
    <tableColumn id="2" xr3:uid="{91701767-D15B-4802-8C41-140BB5854BFB}" name="Registratio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US_Activity Based Cost Tracker">
  <a:themeElements>
    <a:clrScheme name="Custom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63785"/>
      </a:accent1>
      <a:accent2>
        <a:srgbClr val="EC1C2F"/>
      </a:accent2>
      <a:accent3>
        <a:srgbClr val="009DDB"/>
      </a:accent3>
      <a:accent4>
        <a:srgbClr val="B3D235"/>
      </a:accent4>
      <a:accent5>
        <a:srgbClr val="66C8CD"/>
      </a:accent5>
      <a:accent6>
        <a:srgbClr val="132048"/>
      </a:accent6>
      <a:hlink>
        <a:srgbClr val="163785"/>
      </a:hlink>
      <a:folHlink>
        <a:srgbClr val="006078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7" dT="2025-07-10T16:27:54.19" personId="{00000000-0000-0000-0000-000000000000}" id="{1080C551-CB07-4228-B6E5-08A7437DFDEA}">
    <text>[Mention was removed] Reminder to fill in</text>
  </threadedComment>
  <threadedComment ref="I251" dT="2025-07-10T16:30:54.99" personId="{00000000-0000-0000-0000-000000000000}" id="{03BE564A-9714-4DBB-8D08-F824A09C72D2}">
    <text>[Mention was removed] The weekly conversion chart and totaly weekly impressions need a Y axis added in! Should be able to highlight the dates for that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16" dT="2025-09-08T13:55:21.08" personId="{00000000-0000-0000-0000-000000000000}" id="{7C6B5D37-B0B9-47B7-80F3-93A1ADE7F7D7}">
    <text>499 clicks, 499 opens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4" dT="2025-09-08T13:55:21.08" personId="{00000000-0000-0000-0000-000000000000}" id="{4C921AA4-BCA5-4A4B-B7CE-121D59CB54B4}">
    <text>499 clicks, 499 opens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O16" dT="2025-09-08T13:55:21.08" personId="{00000000-0000-0000-0000-000000000000}" id="{7639EFCF-F000-439B-8F49-4732BECAFE19}">
    <text>499 clicks, 499 opens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3" dT="2026-03-11T23:34:35.64" personId="{00000000-0000-0000-0000-000000000000}" id="{8B7BD5BE-F8D8-48C5-856F-B616B4E43EC3}">
    <text xml:space="preserve">We accidentally suppressed unregistered users and targeted only registered </text>
  </threadedComment>
  <threadedComment ref="A14" dT="2026-03-11T23:31:56.99" personId="{00000000-0000-0000-0000-000000000000}" id="{A41D115A-ECD6-425C-A934-2A7E2E93045E}">
    <text>Start of Phase 2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30" dT="2026-02-10T18:10:45.97" personId="{00000000-0000-0000-0000-000000000000}" id="{B733C35F-9FE4-1B4D-BB09-24C9DB0569C3}">
    <text>Add in the comp reg to add to the monthly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21" dT="2026-02-10T18:10:45.97" personId="{00000000-0000-0000-0000-000000000000}" id="{5A59319F-784E-4583-852F-DBB6B0C0C74D}">
    <text>Add in the comp reg to add to the monthly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A25" dT="2026-02-10T18:10:45.97" personId="{00000000-0000-0000-0000-000000000000}" id="{212A47F8-7DAE-42A1-8FD3-028420F80D71}">
    <text>Add in the comp reg to add to the monthly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smithbucklin.sharepoint.com/:x:/r/sites/xunit-360agency/Shared%20Documents/ATC_American%20Transplant%20Congress/2026%20ATC%20-%20Boston/Public%20Relations/2026%20Public%20Relations/ATC%202026%20PR%20Tracker.xlsx?d=wd88056a056c64bf28935ad95f5860f5e&amp;csf=1&amp;web=1&amp;e=IW84cF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9.xml"/><Relationship Id="rId6" Type="http://schemas.microsoft.com/office/2017/10/relationships/threadedComment" Target="../threadedComments/threadedComment7.xml"/><Relationship Id="rId5" Type="http://schemas.openxmlformats.org/officeDocument/2006/relationships/comments" Target="../comments7.xml"/><Relationship Id="rId4" Type="http://schemas.openxmlformats.org/officeDocument/2006/relationships/table" Target="../tables/table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8.xml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32023-8EFF-064E-961C-A8B9747E5FFE}">
  <sheetPr>
    <tabColor theme="7"/>
  </sheetPr>
  <dimension ref="A1:KL961"/>
  <sheetViews>
    <sheetView showGridLines="0" topLeftCell="A86" zoomScale="63" zoomScaleNormal="70" workbookViewId="0">
      <selection activeCell="AN123" sqref="AN123"/>
    </sheetView>
  </sheetViews>
  <sheetFormatPr defaultColWidth="14.5" defaultRowHeight="15" customHeight="1"/>
  <cols>
    <col min="1" max="1" width="3" style="107" customWidth="1"/>
    <col min="2" max="5" width="26.5" style="107" customWidth="1"/>
    <col min="6" max="7" width="27" style="107" customWidth="1"/>
    <col min="8" max="11" width="26.5" style="107" customWidth="1"/>
    <col min="12" max="50" width="27" style="107" customWidth="1"/>
    <col min="51" max="51" width="1.5" style="107" customWidth="1"/>
    <col min="52" max="52" width="26.5" style="107" customWidth="1"/>
    <col min="53" max="53" width="1.5" style="107" customWidth="1"/>
    <col min="54" max="54" width="26.5" style="107" customWidth="1"/>
    <col min="55" max="110" width="3" style="107" customWidth="1"/>
    <col min="111" max="113" width="14.5" style="107"/>
    <col min="114" max="118" width="3" style="107" customWidth="1"/>
    <col min="119" max="258" width="2.5" style="107" customWidth="1"/>
    <col min="259" max="16384" width="14.5" style="107"/>
  </cols>
  <sheetData>
    <row r="1" spans="1:298" ht="71.25" customHeight="1">
      <c r="B1" s="139" t="s">
        <v>0</v>
      </c>
      <c r="C1" s="139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  <c r="BN1" s="130"/>
      <c r="BO1" s="130"/>
      <c r="BP1" s="130"/>
      <c r="BQ1" s="130"/>
      <c r="BR1" s="130"/>
      <c r="BS1" s="130"/>
      <c r="BT1" s="130"/>
      <c r="BU1" s="130"/>
      <c r="BV1" s="130"/>
      <c r="BW1" s="130"/>
      <c r="BX1" s="130"/>
      <c r="BY1" s="130"/>
      <c r="BZ1" s="130"/>
      <c r="CA1" s="130"/>
      <c r="CB1" s="130"/>
      <c r="CC1" s="130"/>
      <c r="CD1" s="130"/>
      <c r="CE1" s="130"/>
      <c r="CF1" s="130"/>
      <c r="CG1" s="130"/>
      <c r="CH1" s="130"/>
      <c r="CI1" s="130"/>
      <c r="CJ1" s="130"/>
      <c r="CK1" s="130"/>
      <c r="CL1" s="130"/>
      <c r="CM1" s="130"/>
      <c r="CN1" s="130"/>
      <c r="CO1" s="130"/>
      <c r="CP1" s="130"/>
      <c r="CQ1" s="130"/>
      <c r="CR1" s="130"/>
      <c r="CS1" s="130"/>
      <c r="CT1" s="130"/>
      <c r="CU1" s="130"/>
      <c r="CV1" s="130"/>
      <c r="CW1" s="130"/>
      <c r="CX1" s="130"/>
      <c r="CY1" s="130"/>
      <c r="CZ1" s="130"/>
      <c r="DA1" s="130"/>
      <c r="DB1" s="130"/>
      <c r="DC1" s="130"/>
      <c r="DD1" s="130"/>
      <c r="DE1" s="130"/>
      <c r="DF1" s="130"/>
      <c r="DG1" s="130"/>
      <c r="DH1" s="130"/>
      <c r="DI1" s="130"/>
      <c r="DJ1" s="130"/>
      <c r="DK1" s="130"/>
      <c r="DL1" s="130"/>
      <c r="DM1" s="130"/>
      <c r="DN1" s="130"/>
      <c r="DO1" s="130"/>
      <c r="DP1" s="130"/>
      <c r="DQ1" s="130"/>
      <c r="DR1" s="130"/>
      <c r="DS1" s="130"/>
      <c r="DT1" s="130"/>
      <c r="DU1" s="130"/>
      <c r="DV1" s="130"/>
      <c r="DW1" s="130"/>
      <c r="DX1" s="130"/>
      <c r="DY1" s="130"/>
      <c r="DZ1" s="130"/>
      <c r="EA1" s="130"/>
      <c r="EB1" s="130"/>
      <c r="EC1" s="130"/>
      <c r="ED1" s="130"/>
      <c r="EE1" s="130"/>
      <c r="EF1" s="130"/>
      <c r="EG1" s="130"/>
      <c r="EH1" s="130"/>
      <c r="EI1" s="130"/>
      <c r="EJ1" s="130"/>
      <c r="EK1" s="130"/>
      <c r="EL1" s="130"/>
      <c r="EM1" s="130"/>
      <c r="EN1" s="130"/>
      <c r="EO1" s="130"/>
      <c r="EP1" s="130"/>
      <c r="EQ1" s="130"/>
      <c r="ER1" s="130"/>
      <c r="ES1" s="130"/>
      <c r="ET1" s="130"/>
      <c r="EU1" s="130"/>
      <c r="EV1" s="130"/>
      <c r="EW1" s="130"/>
      <c r="EX1" s="130"/>
      <c r="EY1" s="130"/>
      <c r="EZ1" s="130"/>
      <c r="FA1" s="130"/>
    </row>
    <row r="2" spans="1:298" ht="59.25" customHeight="1">
      <c r="B2" s="131" t="s">
        <v>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1"/>
      <c r="AZ2" s="131"/>
      <c r="BA2" s="131"/>
      <c r="BB2" s="131"/>
      <c r="BC2" s="131"/>
      <c r="BD2" s="131"/>
      <c r="BE2" s="131"/>
      <c r="BF2" s="131"/>
      <c r="BG2" s="131"/>
      <c r="BH2" s="131"/>
      <c r="BI2" s="131"/>
      <c r="BJ2" s="131"/>
      <c r="BK2" s="131"/>
      <c r="BL2" s="131"/>
      <c r="BM2" s="131"/>
      <c r="BN2" s="131"/>
      <c r="BO2" s="131"/>
      <c r="BP2" s="131"/>
      <c r="BQ2" s="131"/>
      <c r="BR2" s="131"/>
      <c r="BS2" s="131"/>
      <c r="BT2" s="131"/>
      <c r="BU2" s="131"/>
      <c r="BV2" s="131"/>
      <c r="BW2" s="131"/>
      <c r="BX2" s="131"/>
      <c r="BY2" s="131"/>
      <c r="BZ2" s="131"/>
      <c r="CA2" s="131"/>
      <c r="CB2" s="131"/>
      <c r="CC2" s="131"/>
      <c r="CD2" s="131"/>
      <c r="CE2" s="131"/>
      <c r="CF2" s="131"/>
      <c r="CG2" s="131"/>
      <c r="CH2" s="131"/>
      <c r="CI2" s="131"/>
      <c r="CJ2" s="131"/>
      <c r="CK2" s="131"/>
      <c r="CL2" s="131"/>
      <c r="CM2" s="131"/>
      <c r="CN2" s="131"/>
      <c r="CO2" s="131"/>
      <c r="CP2" s="131"/>
      <c r="CQ2" s="131"/>
      <c r="CR2" s="131"/>
      <c r="CS2" s="131"/>
      <c r="CT2" s="131"/>
      <c r="CU2" s="131"/>
      <c r="CV2" s="131"/>
      <c r="CW2" s="131"/>
      <c r="CX2" s="131"/>
      <c r="CY2" s="131"/>
      <c r="CZ2" s="131"/>
      <c r="DA2" s="131"/>
      <c r="DB2" s="131"/>
      <c r="DC2" s="131"/>
      <c r="DD2" s="131"/>
      <c r="DE2" s="131"/>
      <c r="DF2" s="131"/>
      <c r="DG2" s="131"/>
      <c r="DH2" s="131"/>
      <c r="DI2" s="131"/>
      <c r="DJ2" s="131"/>
      <c r="DK2" s="131"/>
      <c r="DL2" s="131"/>
      <c r="DM2" s="131"/>
      <c r="DN2" s="131"/>
      <c r="DO2" s="131"/>
      <c r="DP2" s="131"/>
      <c r="DQ2" s="131"/>
      <c r="DR2" s="131"/>
      <c r="DS2" s="131"/>
      <c r="DT2" s="131"/>
      <c r="DU2" s="131"/>
      <c r="DV2" s="131"/>
      <c r="DW2" s="131"/>
      <c r="DX2" s="131"/>
      <c r="DY2" s="131"/>
      <c r="DZ2" s="131"/>
      <c r="EA2" s="131"/>
      <c r="EB2" s="131"/>
      <c r="EC2" s="131"/>
      <c r="ED2" s="131"/>
      <c r="EE2" s="131"/>
      <c r="EF2" s="131"/>
      <c r="EG2" s="131"/>
      <c r="EH2" s="131"/>
      <c r="EI2" s="131"/>
      <c r="EJ2" s="131"/>
      <c r="EK2" s="131"/>
      <c r="EL2" s="131"/>
      <c r="EM2" s="131"/>
      <c r="EN2" s="131"/>
      <c r="EO2" s="131"/>
      <c r="EP2" s="131"/>
      <c r="EQ2" s="131"/>
      <c r="ER2" s="131"/>
      <c r="ES2" s="131"/>
      <c r="ET2" s="131"/>
      <c r="EU2" s="131"/>
      <c r="EV2" s="131"/>
      <c r="EW2" s="131"/>
      <c r="EX2" s="131"/>
      <c r="EY2" s="131"/>
      <c r="EZ2" s="131"/>
      <c r="FA2" s="131"/>
    </row>
    <row r="3" spans="1:298" ht="15" customHeight="1"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  <c r="AR3" s="131"/>
      <c r="AS3" s="131"/>
      <c r="AT3" s="131"/>
      <c r="AU3" s="131"/>
      <c r="AV3" s="131"/>
      <c r="AW3" s="131"/>
      <c r="AX3" s="131"/>
      <c r="AY3" s="131"/>
      <c r="AZ3" s="131"/>
      <c r="BA3" s="131"/>
      <c r="BB3" s="131"/>
      <c r="BC3" s="131"/>
      <c r="BD3" s="131"/>
      <c r="BE3" s="131"/>
      <c r="BF3" s="131"/>
      <c r="BG3" s="131"/>
      <c r="BH3" s="131"/>
      <c r="BI3" s="131"/>
      <c r="BJ3" s="131"/>
      <c r="BK3" s="131"/>
      <c r="BL3" s="131"/>
      <c r="BM3" s="131"/>
      <c r="BN3" s="131"/>
      <c r="BO3" s="131"/>
      <c r="BP3" s="131"/>
      <c r="BQ3" s="131"/>
      <c r="BR3" s="131"/>
      <c r="BS3" s="131"/>
      <c r="BT3" s="131"/>
      <c r="BU3" s="131"/>
      <c r="BV3" s="131"/>
      <c r="BW3" s="131"/>
      <c r="BX3" s="131"/>
      <c r="BY3" s="131"/>
      <c r="BZ3" s="131"/>
      <c r="CA3" s="131"/>
      <c r="CB3" s="131"/>
      <c r="CC3" s="131"/>
      <c r="CD3" s="131"/>
      <c r="CE3" s="131"/>
      <c r="CF3" s="131"/>
      <c r="CG3" s="131"/>
      <c r="CH3" s="131"/>
      <c r="CI3" s="131"/>
      <c r="CJ3" s="131"/>
      <c r="CK3" s="131"/>
      <c r="CL3" s="131"/>
      <c r="CM3" s="131"/>
      <c r="CN3" s="131"/>
      <c r="CO3" s="131"/>
      <c r="CP3" s="131"/>
      <c r="CQ3" s="131"/>
      <c r="CR3" s="131"/>
      <c r="CS3" s="131"/>
      <c r="CT3" s="131"/>
      <c r="CU3" s="131"/>
      <c r="CV3" s="131"/>
      <c r="CW3" s="131"/>
      <c r="CX3" s="131"/>
      <c r="CY3" s="131"/>
      <c r="CZ3" s="131"/>
      <c r="DA3" s="131"/>
      <c r="DB3" s="131"/>
      <c r="DC3" s="131"/>
      <c r="DD3" s="131"/>
      <c r="DE3" s="131"/>
      <c r="DF3" s="131"/>
      <c r="DG3" s="131"/>
      <c r="DH3" s="131"/>
      <c r="DI3" s="131"/>
      <c r="DJ3" s="131"/>
      <c r="DK3" s="131"/>
      <c r="DL3" s="131"/>
      <c r="DM3" s="131"/>
      <c r="DN3" s="131"/>
      <c r="DO3" s="131"/>
      <c r="DP3" s="131"/>
      <c r="DQ3" s="131"/>
      <c r="DR3" s="131"/>
      <c r="DS3" s="131"/>
      <c r="DT3" s="131"/>
      <c r="DU3" s="131"/>
      <c r="DV3" s="131"/>
      <c r="DW3" s="131"/>
      <c r="DX3" s="131"/>
      <c r="DY3" s="131"/>
      <c r="DZ3" s="131"/>
      <c r="EA3" s="131"/>
      <c r="EB3" s="131"/>
      <c r="EC3" s="131"/>
      <c r="ED3" s="131"/>
      <c r="EE3" s="131"/>
      <c r="EF3" s="131"/>
      <c r="EG3" s="131"/>
      <c r="EH3" s="131"/>
      <c r="EI3" s="131"/>
      <c r="EJ3" s="131"/>
      <c r="EK3" s="131"/>
      <c r="EL3" s="131"/>
      <c r="EM3" s="131"/>
      <c r="EN3" s="131"/>
      <c r="EO3" s="131"/>
      <c r="EP3" s="131"/>
      <c r="EQ3" s="131"/>
      <c r="ER3" s="131"/>
      <c r="ES3" s="131"/>
      <c r="ET3" s="131"/>
      <c r="EU3" s="131"/>
      <c r="EV3" s="131"/>
      <c r="EW3" s="131"/>
      <c r="EX3" s="131"/>
      <c r="EY3" s="131"/>
      <c r="EZ3" s="131"/>
      <c r="FA3" s="131"/>
    </row>
    <row r="4" spans="1:298" ht="41.25" customHeight="1">
      <c r="B4" s="137" t="s">
        <v>2</v>
      </c>
      <c r="C4" s="137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2"/>
      <c r="BL4" s="132"/>
      <c r="BM4" s="132"/>
      <c r="BN4" s="132"/>
      <c r="BO4" s="132"/>
      <c r="BP4" s="132"/>
      <c r="BQ4" s="132"/>
      <c r="BR4" s="132"/>
      <c r="BS4" s="132"/>
      <c r="BT4" s="132"/>
      <c r="BU4" s="132"/>
      <c r="BV4" s="132"/>
      <c r="BW4" s="132"/>
      <c r="BX4" s="132"/>
      <c r="BY4" s="132"/>
      <c r="BZ4" s="132"/>
      <c r="CA4" s="132"/>
      <c r="CB4" s="132"/>
      <c r="CC4" s="132"/>
      <c r="CD4" s="132"/>
      <c r="CE4" s="132"/>
      <c r="CF4" s="132"/>
      <c r="CG4" s="132"/>
      <c r="CH4" s="132"/>
      <c r="CI4" s="132"/>
      <c r="CJ4" s="132"/>
      <c r="CK4" s="132"/>
      <c r="CL4" s="132"/>
      <c r="CM4" s="132"/>
      <c r="CN4" s="132"/>
      <c r="CO4" s="132"/>
      <c r="CP4" s="132"/>
      <c r="CQ4" s="132"/>
      <c r="CR4" s="132"/>
      <c r="CS4" s="132"/>
      <c r="CT4" s="132"/>
      <c r="CU4" s="132"/>
      <c r="CV4" s="132"/>
      <c r="CW4" s="132"/>
      <c r="CX4" s="132"/>
      <c r="CY4" s="132"/>
      <c r="CZ4" s="132"/>
      <c r="DA4" s="132"/>
      <c r="DB4" s="132"/>
      <c r="DC4" s="132"/>
      <c r="DD4" s="132"/>
      <c r="DE4" s="132"/>
      <c r="DF4" s="132"/>
      <c r="DG4" s="133"/>
      <c r="DH4" s="133"/>
      <c r="DI4" s="133"/>
      <c r="DJ4" s="133"/>
      <c r="DK4" s="133"/>
      <c r="DL4" s="133"/>
      <c r="DM4" s="133"/>
      <c r="DN4" s="133"/>
      <c r="DO4" s="133"/>
      <c r="DP4" s="133"/>
      <c r="DQ4" s="133"/>
      <c r="DR4" s="133"/>
      <c r="DS4" s="133"/>
      <c r="DT4" s="133"/>
      <c r="DU4" s="133"/>
      <c r="DV4" s="133"/>
      <c r="DW4" s="133"/>
      <c r="DX4" s="133"/>
      <c r="DY4" s="133"/>
      <c r="DZ4" s="133"/>
      <c r="EA4" s="133"/>
      <c r="EB4" s="133"/>
      <c r="EC4" s="133"/>
      <c r="ED4" s="133"/>
      <c r="EE4" s="133"/>
      <c r="EF4" s="133"/>
      <c r="EG4" s="133"/>
      <c r="EH4" s="133"/>
      <c r="EI4" s="133"/>
      <c r="EJ4" s="133"/>
      <c r="EK4" s="133"/>
      <c r="EL4" s="133"/>
      <c r="EM4" s="133"/>
      <c r="EN4" s="133"/>
      <c r="EO4" s="133"/>
      <c r="EP4" s="133"/>
      <c r="EQ4" s="133"/>
      <c r="ER4" s="133"/>
      <c r="ES4" s="133"/>
      <c r="ET4" s="133"/>
      <c r="EU4" s="133"/>
      <c r="EV4" s="133"/>
      <c r="EW4" s="133"/>
      <c r="EX4" s="133"/>
      <c r="EY4" s="133"/>
      <c r="EZ4" s="133"/>
      <c r="FA4" s="133"/>
    </row>
    <row r="5" spans="1:298" ht="15.75" customHeight="1">
      <c r="A5" s="105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4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32"/>
      <c r="BG5" s="132"/>
      <c r="BH5" s="132"/>
      <c r="BI5" s="132"/>
      <c r="BJ5" s="132"/>
      <c r="BK5" s="132"/>
      <c r="BL5" s="132"/>
      <c r="BM5" s="132"/>
      <c r="BN5" s="132"/>
      <c r="BO5" s="132"/>
      <c r="BP5" s="132"/>
      <c r="BQ5" s="132"/>
      <c r="BR5" s="132"/>
      <c r="BS5" s="132"/>
      <c r="BT5" s="132"/>
      <c r="BU5" s="132"/>
      <c r="BV5" s="132"/>
      <c r="BW5" s="132"/>
      <c r="BX5" s="132"/>
      <c r="BY5" s="132"/>
      <c r="BZ5" s="132"/>
      <c r="CA5" s="132"/>
      <c r="CB5" s="132"/>
      <c r="CC5" s="132"/>
      <c r="CD5" s="132"/>
      <c r="CE5" s="132"/>
      <c r="CF5" s="132"/>
      <c r="CG5" s="132"/>
      <c r="CH5" s="132"/>
      <c r="CI5" s="132"/>
      <c r="CJ5" s="132"/>
      <c r="CK5" s="132"/>
      <c r="CL5" s="132"/>
      <c r="CM5" s="132"/>
      <c r="CN5" s="132"/>
      <c r="CO5" s="132"/>
      <c r="CP5" s="132"/>
      <c r="CQ5" s="132"/>
      <c r="CR5" s="132"/>
      <c r="CS5" s="132"/>
      <c r="CT5" s="132"/>
      <c r="CU5" s="132"/>
      <c r="CV5" s="132"/>
      <c r="CW5" s="132"/>
      <c r="CX5" s="132"/>
      <c r="CY5" s="132"/>
      <c r="CZ5" s="132"/>
      <c r="DA5" s="132"/>
      <c r="DB5" s="132"/>
      <c r="DC5" s="132"/>
      <c r="DD5" s="132"/>
      <c r="DE5" s="132"/>
      <c r="DF5" s="132"/>
      <c r="DG5" s="133"/>
      <c r="DH5" s="133"/>
      <c r="DI5" s="133"/>
      <c r="DJ5" s="133"/>
      <c r="DK5" s="133"/>
      <c r="DL5" s="133"/>
      <c r="DM5" s="133"/>
      <c r="DN5" s="133"/>
      <c r="DO5" s="133"/>
      <c r="DP5" s="133"/>
      <c r="DQ5" s="133"/>
      <c r="DR5" s="133"/>
      <c r="DS5" s="133"/>
      <c r="DT5" s="133"/>
      <c r="DU5" s="133"/>
      <c r="DV5" s="133"/>
      <c r="DW5" s="133"/>
      <c r="DX5" s="133"/>
      <c r="DY5" s="133"/>
      <c r="DZ5" s="133"/>
      <c r="EA5" s="133"/>
      <c r="EB5" s="133"/>
      <c r="EC5" s="133"/>
      <c r="ED5" s="133"/>
      <c r="EE5" s="133"/>
      <c r="EF5" s="133"/>
      <c r="EG5" s="133"/>
      <c r="EH5" s="133"/>
      <c r="EI5" s="133"/>
      <c r="EJ5" s="133"/>
      <c r="EK5" s="133"/>
      <c r="EL5" s="133"/>
      <c r="EM5" s="133"/>
      <c r="EN5" s="133"/>
      <c r="EO5" s="133"/>
      <c r="EP5" s="133"/>
      <c r="EQ5" s="133"/>
      <c r="ER5" s="133"/>
      <c r="ES5" s="133"/>
      <c r="ET5" s="133"/>
      <c r="EU5" s="133"/>
      <c r="EV5" s="133"/>
      <c r="EW5" s="133"/>
      <c r="EX5" s="133"/>
      <c r="EY5" s="133"/>
      <c r="EZ5" s="133"/>
      <c r="FA5" s="133"/>
    </row>
    <row r="6" spans="1:298" ht="15.75" customHeight="1">
      <c r="A6" s="105"/>
      <c r="B6" s="673"/>
      <c r="C6" s="140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  <c r="CR6" s="132"/>
      <c r="CS6" s="132"/>
      <c r="CT6" s="132"/>
      <c r="CU6" s="132"/>
      <c r="CV6" s="132"/>
      <c r="CW6" s="132"/>
      <c r="CX6" s="132"/>
      <c r="CY6" s="132"/>
      <c r="CZ6" s="132"/>
      <c r="DA6" s="132"/>
      <c r="DB6" s="132"/>
      <c r="DC6" s="132"/>
      <c r="DD6" s="132"/>
      <c r="DE6" s="132"/>
      <c r="DF6" s="132"/>
      <c r="DG6" s="133"/>
      <c r="DH6" s="133"/>
      <c r="DI6" s="133"/>
      <c r="DJ6" s="133"/>
      <c r="DK6" s="133"/>
      <c r="DL6" s="133"/>
      <c r="DM6" s="133"/>
      <c r="DN6" s="133"/>
      <c r="DO6" s="133"/>
      <c r="DP6" s="133"/>
      <c r="DQ6" s="133"/>
      <c r="DR6" s="133"/>
      <c r="DS6" s="133"/>
      <c r="DT6" s="133"/>
      <c r="DU6" s="133"/>
      <c r="DV6" s="133"/>
      <c r="DW6" s="133"/>
      <c r="DX6" s="133"/>
      <c r="DY6" s="133"/>
      <c r="DZ6" s="133"/>
      <c r="EA6" s="133"/>
      <c r="EB6" s="133"/>
      <c r="EC6" s="133"/>
      <c r="ED6" s="133"/>
      <c r="EE6" s="133"/>
      <c r="EF6" s="133"/>
      <c r="EG6" s="133"/>
      <c r="EH6" s="133"/>
      <c r="EI6" s="133"/>
      <c r="EJ6" s="133"/>
      <c r="EK6" s="133"/>
      <c r="EL6" s="133"/>
      <c r="EM6" s="133"/>
      <c r="EN6" s="133"/>
      <c r="EO6" s="133"/>
      <c r="EP6" s="133"/>
      <c r="EQ6" s="133"/>
      <c r="ER6" s="133"/>
      <c r="ES6" s="133"/>
      <c r="ET6" s="133"/>
      <c r="EU6" s="133"/>
      <c r="EV6" s="133"/>
      <c r="EW6" s="133"/>
      <c r="EX6" s="133"/>
      <c r="EY6" s="133"/>
      <c r="EZ6" s="133"/>
      <c r="FA6" s="133"/>
    </row>
    <row r="7" spans="1:298" ht="15.75" customHeight="1">
      <c r="A7" s="105"/>
      <c r="B7" s="673"/>
      <c r="C7" s="140"/>
      <c r="D7" s="136"/>
      <c r="E7" s="136"/>
      <c r="F7" s="129"/>
      <c r="G7" s="136"/>
      <c r="H7" s="129"/>
      <c r="I7" s="136"/>
      <c r="J7" s="129"/>
      <c r="K7" s="136"/>
      <c r="L7" s="129"/>
      <c r="M7" s="136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29"/>
      <c r="BJ7" s="129"/>
      <c r="BK7" s="129"/>
      <c r="BL7" s="129"/>
      <c r="BM7" s="129"/>
      <c r="BN7" s="129"/>
      <c r="BO7" s="129"/>
      <c r="BP7" s="129"/>
      <c r="BQ7" s="129"/>
      <c r="BR7" s="129"/>
      <c r="BS7" s="129"/>
      <c r="BT7" s="129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29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33"/>
      <c r="DJ7" s="133"/>
      <c r="DK7" s="133"/>
      <c r="DL7" s="133"/>
      <c r="DM7" s="133"/>
      <c r="DN7" s="133"/>
      <c r="DO7" s="133"/>
      <c r="DP7" s="133"/>
      <c r="DQ7" s="133"/>
      <c r="DR7" s="133"/>
      <c r="DS7" s="133"/>
      <c r="DT7" s="133"/>
      <c r="DU7" s="133"/>
      <c r="DV7" s="133"/>
      <c r="DW7" s="133"/>
      <c r="DX7" s="133"/>
      <c r="DY7" s="133"/>
      <c r="DZ7" s="133"/>
      <c r="EA7" s="133"/>
      <c r="EB7" s="133"/>
      <c r="EC7" s="133"/>
      <c r="ED7" s="133"/>
      <c r="EE7" s="133"/>
      <c r="EF7" s="133"/>
      <c r="EG7" s="133"/>
      <c r="EH7" s="133"/>
      <c r="EI7" s="133"/>
      <c r="EJ7" s="133"/>
      <c r="EK7" s="133"/>
      <c r="EL7" s="133"/>
      <c r="EM7" s="133"/>
      <c r="EN7" s="133"/>
      <c r="EO7" s="133"/>
      <c r="EP7" s="133"/>
      <c r="EQ7" s="133"/>
      <c r="ER7" s="133"/>
      <c r="ES7" s="133"/>
      <c r="ET7" s="133"/>
      <c r="EU7" s="133"/>
      <c r="EV7" s="133"/>
      <c r="EW7" s="133"/>
      <c r="EX7" s="133"/>
      <c r="EY7" s="133"/>
      <c r="EZ7" s="133"/>
      <c r="FA7" s="133"/>
    </row>
    <row r="8" spans="1:298" ht="15.75" customHeight="1">
      <c r="A8" s="105"/>
      <c r="B8" s="673"/>
      <c r="C8" s="140"/>
      <c r="D8" s="136"/>
      <c r="E8" s="136"/>
      <c r="F8" s="129"/>
      <c r="G8" s="136"/>
      <c r="H8" s="129"/>
      <c r="I8" s="136"/>
      <c r="J8" s="129"/>
      <c r="K8" s="136"/>
      <c r="L8" s="129"/>
      <c r="M8" s="136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29"/>
      <c r="AU8" s="129"/>
      <c r="AV8" s="129"/>
      <c r="AW8" s="129"/>
      <c r="AX8" s="129"/>
      <c r="AY8" s="129"/>
      <c r="AZ8" s="129"/>
      <c r="BA8" s="129"/>
      <c r="BB8" s="129"/>
      <c r="BC8" s="129"/>
      <c r="BD8" s="129"/>
      <c r="BE8" s="129"/>
      <c r="BF8" s="129"/>
      <c r="BG8" s="129"/>
      <c r="BH8" s="129"/>
      <c r="BI8" s="129"/>
      <c r="BJ8" s="129"/>
      <c r="BK8" s="129"/>
      <c r="BL8" s="129"/>
      <c r="BM8" s="129"/>
      <c r="BN8" s="129"/>
      <c r="BO8" s="129"/>
      <c r="BP8" s="129"/>
      <c r="BQ8" s="129"/>
      <c r="BR8" s="129"/>
      <c r="BS8" s="129"/>
      <c r="BT8" s="129"/>
      <c r="BU8" s="129"/>
      <c r="BV8" s="129"/>
      <c r="BW8" s="129"/>
      <c r="BX8" s="129"/>
      <c r="BY8" s="129"/>
      <c r="BZ8" s="129"/>
      <c r="CA8" s="129"/>
      <c r="CB8" s="129"/>
      <c r="CC8" s="129"/>
      <c r="CD8" s="129"/>
      <c r="CE8" s="129"/>
      <c r="CF8" s="129"/>
      <c r="CG8" s="129"/>
      <c r="CH8" s="129"/>
      <c r="CI8" s="129"/>
      <c r="CJ8" s="129"/>
      <c r="CK8" s="129"/>
      <c r="CL8" s="129"/>
      <c r="CM8" s="129"/>
      <c r="CN8" s="129"/>
      <c r="CO8" s="129"/>
      <c r="CP8" s="129"/>
      <c r="CQ8" s="129"/>
      <c r="CR8" s="129"/>
      <c r="CS8" s="129"/>
      <c r="CT8" s="129"/>
      <c r="CU8" s="129"/>
      <c r="CV8" s="129"/>
      <c r="CW8" s="129"/>
      <c r="CX8" s="129"/>
      <c r="CY8" s="129"/>
      <c r="CZ8" s="129"/>
      <c r="DA8" s="129"/>
      <c r="DB8" s="129"/>
      <c r="DC8" s="129"/>
      <c r="DD8" s="129"/>
      <c r="DE8" s="129"/>
      <c r="DF8" s="129"/>
      <c r="DG8" s="129"/>
      <c r="DH8" s="129"/>
      <c r="DI8" s="133"/>
      <c r="DJ8" s="133"/>
      <c r="DK8" s="133"/>
      <c r="DL8" s="133"/>
      <c r="DM8" s="133"/>
      <c r="DN8" s="133"/>
      <c r="DO8" s="133"/>
      <c r="DP8" s="133"/>
      <c r="DQ8" s="133"/>
      <c r="DR8" s="133"/>
      <c r="DS8" s="133"/>
      <c r="DT8" s="133"/>
      <c r="DU8" s="133"/>
      <c r="DV8" s="133"/>
      <c r="DW8" s="133"/>
      <c r="DX8" s="133"/>
      <c r="DY8" s="133"/>
      <c r="DZ8" s="133"/>
      <c r="EA8" s="133"/>
      <c r="EB8" s="133"/>
      <c r="EC8" s="133"/>
      <c r="ED8" s="133"/>
      <c r="EE8" s="133"/>
      <c r="EF8" s="133"/>
      <c r="EG8" s="133"/>
      <c r="EH8" s="133"/>
      <c r="EI8" s="133"/>
      <c r="EJ8" s="133"/>
      <c r="EK8" s="133"/>
      <c r="EL8" s="133"/>
      <c r="EM8" s="133"/>
      <c r="EN8" s="133"/>
      <c r="EO8" s="133"/>
      <c r="EP8" s="133"/>
      <c r="EQ8" s="133"/>
      <c r="ER8" s="133"/>
      <c r="ES8" s="133"/>
      <c r="ET8" s="133"/>
      <c r="EU8" s="133"/>
      <c r="EV8" s="133"/>
      <c r="EW8" s="133"/>
      <c r="EX8" s="133"/>
      <c r="EY8" s="133"/>
      <c r="EZ8" s="133"/>
      <c r="FA8" s="133"/>
    </row>
    <row r="9" spans="1:298" ht="15.75" customHeight="1">
      <c r="A9" s="105"/>
      <c r="B9" s="673"/>
      <c r="C9" s="140"/>
      <c r="D9" s="136"/>
      <c r="E9" s="136"/>
      <c r="F9" s="129"/>
      <c r="G9" s="136"/>
      <c r="H9" s="129"/>
      <c r="I9" s="136"/>
      <c r="J9" s="129"/>
      <c r="K9" s="136"/>
      <c r="L9" s="129"/>
      <c r="M9" s="136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129"/>
      <c r="AZ9" s="129"/>
      <c r="BA9" s="129"/>
      <c r="BB9" s="129"/>
      <c r="BC9" s="129"/>
      <c r="BD9" s="129"/>
      <c r="BE9" s="129"/>
      <c r="BF9" s="129"/>
      <c r="BG9" s="129"/>
      <c r="BH9" s="129"/>
      <c r="BI9" s="129"/>
      <c r="BJ9" s="129"/>
      <c r="BK9" s="129"/>
      <c r="BL9" s="129"/>
      <c r="BM9" s="129"/>
      <c r="BN9" s="129"/>
      <c r="BO9" s="129"/>
      <c r="BP9" s="129"/>
      <c r="BQ9" s="129"/>
      <c r="BR9" s="129"/>
      <c r="BS9" s="129"/>
      <c r="BT9" s="12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29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33"/>
      <c r="DJ9" s="133"/>
      <c r="DK9" s="133"/>
      <c r="DL9" s="133"/>
      <c r="DM9" s="133"/>
      <c r="DN9" s="133"/>
      <c r="DO9" s="133"/>
      <c r="DP9" s="133"/>
      <c r="DQ9" s="133"/>
      <c r="DR9" s="133"/>
      <c r="DS9" s="133"/>
      <c r="DT9" s="133"/>
      <c r="DU9" s="133"/>
      <c r="DV9" s="133"/>
      <c r="DW9" s="133"/>
      <c r="DX9" s="133"/>
      <c r="DY9" s="133"/>
      <c r="DZ9" s="133"/>
      <c r="EA9" s="133"/>
      <c r="EB9" s="133"/>
      <c r="EC9" s="133"/>
      <c r="ED9" s="133"/>
      <c r="EE9" s="133"/>
      <c r="EF9" s="133"/>
      <c r="EG9" s="133"/>
      <c r="EH9" s="133"/>
      <c r="EI9" s="133"/>
      <c r="EJ9" s="133"/>
      <c r="EK9" s="133"/>
      <c r="EL9" s="133"/>
      <c r="EM9" s="133"/>
      <c r="EN9" s="133"/>
      <c r="EO9" s="133"/>
      <c r="EP9" s="133"/>
      <c r="EQ9" s="133"/>
      <c r="ER9" s="133"/>
      <c r="ES9" s="133"/>
      <c r="ET9" s="133"/>
      <c r="EU9" s="133"/>
      <c r="EV9" s="133"/>
      <c r="EW9" s="133"/>
      <c r="EX9" s="133"/>
      <c r="EY9" s="133"/>
      <c r="EZ9" s="133"/>
      <c r="FA9" s="133"/>
    </row>
    <row r="10" spans="1:298" ht="15.75" customHeight="1">
      <c r="A10" s="105"/>
      <c r="B10" s="673"/>
      <c r="C10" s="140"/>
      <c r="D10" s="136"/>
      <c r="E10" s="136"/>
      <c r="F10" s="129"/>
      <c r="G10" s="136"/>
      <c r="H10" s="129"/>
      <c r="I10" s="136"/>
      <c r="J10" s="129"/>
      <c r="K10" s="136"/>
      <c r="L10" s="129"/>
      <c r="M10" s="136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29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33"/>
      <c r="DJ10" s="133"/>
      <c r="DK10" s="133"/>
      <c r="DL10" s="133"/>
      <c r="DM10" s="133"/>
      <c r="DN10" s="133"/>
      <c r="DO10" s="133"/>
      <c r="DP10" s="133"/>
      <c r="DQ10" s="133"/>
      <c r="DR10" s="133"/>
      <c r="DS10" s="133"/>
      <c r="DT10" s="133"/>
      <c r="DU10" s="133"/>
      <c r="DV10" s="133"/>
      <c r="DW10" s="133"/>
      <c r="DX10" s="133"/>
      <c r="DY10" s="133"/>
      <c r="DZ10" s="133"/>
      <c r="EA10" s="133"/>
      <c r="EB10" s="133"/>
      <c r="EC10" s="133"/>
      <c r="ED10" s="133"/>
      <c r="EE10" s="133"/>
      <c r="EF10" s="133"/>
      <c r="EG10" s="133"/>
      <c r="EH10" s="133"/>
      <c r="EI10" s="133"/>
      <c r="EJ10" s="133"/>
      <c r="EK10" s="133"/>
      <c r="EL10" s="133"/>
      <c r="EM10" s="133"/>
      <c r="EN10" s="133"/>
      <c r="EO10" s="133"/>
      <c r="EP10" s="133"/>
      <c r="EQ10" s="133"/>
      <c r="ER10" s="133"/>
      <c r="ES10" s="133"/>
      <c r="ET10" s="133"/>
      <c r="EU10" s="133"/>
      <c r="EV10" s="133"/>
      <c r="EW10" s="133"/>
      <c r="EX10" s="133"/>
      <c r="EY10" s="133"/>
      <c r="EZ10" s="133"/>
      <c r="FA10" s="133"/>
    </row>
    <row r="11" spans="1:298" ht="15.75" customHeight="1">
      <c r="A11" s="105"/>
      <c r="B11" s="135"/>
      <c r="C11" s="135"/>
      <c r="D11" s="136"/>
      <c r="E11" s="136"/>
      <c r="F11" s="129"/>
      <c r="G11" s="136"/>
      <c r="H11" s="129"/>
      <c r="J11" s="129"/>
      <c r="K11" s="136"/>
      <c r="L11" s="129"/>
      <c r="M11" s="136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29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33"/>
      <c r="DJ11" s="133"/>
      <c r="DK11" s="133"/>
      <c r="DL11" s="133"/>
      <c r="DM11" s="133"/>
      <c r="DN11" s="133"/>
      <c r="DO11" s="133"/>
      <c r="DP11" s="133"/>
      <c r="DQ11" s="133"/>
      <c r="DR11" s="133"/>
      <c r="DS11" s="133"/>
      <c r="DT11" s="133"/>
      <c r="DU11" s="133"/>
      <c r="DV11" s="133"/>
      <c r="DW11" s="133"/>
      <c r="DX11" s="133"/>
      <c r="DY11" s="133"/>
      <c r="DZ11" s="133"/>
      <c r="EA11" s="133"/>
      <c r="EB11" s="133"/>
      <c r="EC11" s="133"/>
      <c r="ED11" s="133"/>
      <c r="EE11" s="133"/>
      <c r="EF11" s="133"/>
      <c r="EG11" s="133"/>
      <c r="EH11" s="133"/>
      <c r="EI11" s="133"/>
      <c r="EJ11" s="133"/>
      <c r="EK11" s="133"/>
      <c r="EL11" s="133"/>
      <c r="EM11" s="133"/>
      <c r="EN11" s="133"/>
      <c r="EO11" s="133"/>
      <c r="EP11" s="133"/>
      <c r="EQ11" s="133"/>
      <c r="ER11" s="133"/>
      <c r="ES11" s="133"/>
      <c r="ET11" s="133"/>
      <c r="EU11" s="133"/>
      <c r="EV11" s="133"/>
      <c r="EW11" s="133"/>
      <c r="EX11" s="133"/>
      <c r="EY11" s="133"/>
      <c r="EZ11" s="133"/>
      <c r="FA11" s="133"/>
    </row>
    <row r="12" spans="1:298" ht="60">
      <c r="A12" s="105"/>
      <c r="B12" s="135"/>
      <c r="C12" s="135"/>
      <c r="D12" s="136"/>
      <c r="E12" s="136"/>
      <c r="F12" s="129"/>
      <c r="G12" s="136"/>
      <c r="H12" s="129"/>
      <c r="I12" s="136"/>
      <c r="J12" s="129"/>
      <c r="K12" s="136"/>
      <c r="L12" s="129"/>
      <c r="M12" s="136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29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33"/>
      <c r="DJ12" s="133"/>
      <c r="DK12" s="133"/>
      <c r="DL12" s="133"/>
      <c r="DM12" s="133"/>
      <c r="DN12" s="133"/>
      <c r="DO12" s="133"/>
      <c r="DP12" s="133"/>
      <c r="DQ12" s="133"/>
      <c r="DR12" s="133"/>
      <c r="DS12" s="133"/>
      <c r="DT12" s="133"/>
      <c r="DU12" s="133"/>
      <c r="DV12" s="133"/>
      <c r="DW12" s="133"/>
      <c r="DX12" s="133"/>
      <c r="DY12" s="133"/>
      <c r="DZ12" s="133"/>
      <c r="EA12" s="133"/>
      <c r="EB12" s="133"/>
      <c r="EC12" s="133"/>
      <c r="ED12" s="133"/>
      <c r="EE12" s="133"/>
      <c r="EF12" s="133"/>
      <c r="EG12" s="133"/>
      <c r="EH12" s="133"/>
      <c r="EI12" s="133"/>
      <c r="EJ12" s="133"/>
      <c r="EK12" s="133"/>
      <c r="EL12" s="133"/>
      <c r="EM12" s="133"/>
      <c r="EN12" s="133"/>
      <c r="EO12" s="133"/>
      <c r="EP12" s="133"/>
      <c r="EQ12" s="133"/>
      <c r="ER12" s="133"/>
      <c r="ES12" s="133"/>
      <c r="ET12" s="133"/>
      <c r="EU12" s="133"/>
      <c r="EV12" s="133"/>
      <c r="EW12" s="133"/>
      <c r="EX12" s="133"/>
      <c r="EY12" s="133"/>
      <c r="EZ12" s="133"/>
      <c r="FA12" s="133"/>
    </row>
    <row r="13" spans="1:298" ht="60.5">
      <c r="A13" s="105"/>
      <c r="B13" s="108" t="s">
        <v>3</v>
      </c>
      <c r="C13" s="108"/>
      <c r="D13" s="109"/>
      <c r="E13" s="109"/>
      <c r="F13" s="110"/>
      <c r="G13" s="109"/>
      <c r="H13" s="109"/>
      <c r="I13" s="109"/>
      <c r="J13" s="111"/>
      <c r="K13" s="109"/>
      <c r="L13" s="109"/>
      <c r="M13" s="109"/>
      <c r="N13" s="109"/>
      <c r="O13" s="109"/>
      <c r="P13" s="109"/>
      <c r="Q13" s="109"/>
      <c r="R13" s="111"/>
      <c r="S13" s="109"/>
      <c r="T13" s="109"/>
      <c r="U13" s="109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09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2"/>
      <c r="BF13" s="112"/>
      <c r="BG13" s="112"/>
      <c r="BH13" s="112"/>
      <c r="BI13" s="112"/>
      <c r="BJ13" s="112"/>
      <c r="BK13" s="112"/>
      <c r="BL13" s="112"/>
      <c r="BM13" s="112"/>
      <c r="BN13" s="112"/>
      <c r="BO13" s="112"/>
      <c r="BP13" s="112"/>
      <c r="BQ13" s="112"/>
      <c r="BR13" s="112"/>
      <c r="BS13" s="112"/>
      <c r="BT13" s="112"/>
      <c r="BU13" s="112"/>
      <c r="BV13" s="113"/>
      <c r="BW13" s="112"/>
      <c r="BX13" s="112"/>
      <c r="BY13" s="112"/>
      <c r="BZ13" s="112"/>
      <c r="CA13" s="112"/>
      <c r="CB13" s="112"/>
      <c r="CC13" s="112"/>
      <c r="CD13" s="112"/>
      <c r="CE13" s="112"/>
      <c r="CF13" s="112"/>
      <c r="CG13" s="112"/>
      <c r="CH13" s="112"/>
      <c r="CI13" s="112"/>
      <c r="CJ13" s="112"/>
      <c r="CK13" s="112"/>
      <c r="CL13" s="112"/>
      <c r="CM13" s="112"/>
      <c r="CN13" s="112"/>
      <c r="CO13" s="112"/>
      <c r="CP13" s="112"/>
      <c r="CQ13" s="112"/>
      <c r="CR13" s="112"/>
      <c r="CS13" s="112"/>
      <c r="CT13" s="112"/>
      <c r="CU13" s="112"/>
      <c r="CV13" s="112"/>
      <c r="CW13" s="112"/>
      <c r="CX13" s="112"/>
      <c r="CY13" s="112"/>
      <c r="CZ13" s="112"/>
      <c r="DA13" s="112"/>
      <c r="DB13" s="112"/>
      <c r="DC13" s="112"/>
      <c r="DD13" s="112"/>
      <c r="DE13" s="112"/>
      <c r="DF13" s="112"/>
      <c r="DG13" s="112"/>
      <c r="DH13" s="112"/>
      <c r="DI13" s="112"/>
      <c r="DJ13" s="112"/>
      <c r="DK13" s="112"/>
      <c r="DL13" s="112"/>
      <c r="DM13" s="112"/>
      <c r="DN13" s="112"/>
      <c r="DO13" s="112"/>
      <c r="DP13" s="112"/>
      <c r="DQ13" s="112"/>
      <c r="DR13" s="112"/>
      <c r="DS13" s="112"/>
      <c r="DT13" s="112"/>
      <c r="DU13" s="112"/>
      <c r="DV13" s="112"/>
      <c r="DW13" s="112"/>
      <c r="DX13" s="112"/>
      <c r="DY13" s="112"/>
      <c r="DZ13" s="112"/>
      <c r="EA13" s="112"/>
      <c r="EB13" s="112"/>
      <c r="EC13" s="112"/>
      <c r="ED13" s="112"/>
      <c r="EE13" s="112"/>
      <c r="EF13" s="112"/>
      <c r="EG13" s="112"/>
      <c r="EH13" s="112"/>
      <c r="EI13" s="112"/>
      <c r="EJ13" s="112"/>
      <c r="EK13" s="112"/>
      <c r="EL13" s="112"/>
      <c r="EM13" s="112"/>
      <c r="EN13" s="112"/>
      <c r="EO13" s="112"/>
      <c r="EP13" s="112"/>
      <c r="EQ13" s="112"/>
      <c r="ER13" s="112"/>
      <c r="ES13" s="112"/>
      <c r="ET13" s="112"/>
      <c r="EU13" s="112"/>
      <c r="EV13" s="112"/>
      <c r="EW13" s="112"/>
      <c r="EX13" s="112"/>
      <c r="EY13" s="112"/>
      <c r="EZ13" s="112"/>
      <c r="FA13" s="112"/>
      <c r="FB13" s="112"/>
      <c r="FC13" s="112"/>
      <c r="FD13" s="112"/>
      <c r="FE13" s="112"/>
      <c r="FF13" s="112"/>
      <c r="FG13" s="112"/>
      <c r="FH13" s="112"/>
      <c r="FI13" s="112"/>
      <c r="FJ13" s="112"/>
      <c r="FK13" s="112"/>
      <c r="FL13" s="112"/>
      <c r="FM13" s="112"/>
      <c r="FN13" s="112"/>
      <c r="FO13" s="112"/>
      <c r="FP13" s="112"/>
      <c r="FQ13" s="112"/>
      <c r="FR13" s="112"/>
      <c r="FS13" s="112"/>
      <c r="FT13" s="112"/>
      <c r="FU13" s="112"/>
      <c r="FV13" s="112"/>
      <c r="FW13" s="112"/>
      <c r="FX13" s="112"/>
      <c r="FY13" s="112"/>
      <c r="FZ13" s="112"/>
      <c r="GA13" s="112"/>
      <c r="GB13" s="112"/>
      <c r="GC13" s="112"/>
      <c r="GD13" s="112"/>
      <c r="GE13" s="112"/>
      <c r="GF13" s="112"/>
      <c r="GG13" s="112"/>
      <c r="GH13" s="112"/>
      <c r="GI13" s="112"/>
      <c r="GJ13" s="112"/>
      <c r="GK13" s="112"/>
      <c r="GL13" s="112"/>
      <c r="GM13" s="112"/>
      <c r="GN13" s="112"/>
      <c r="GO13" s="112"/>
      <c r="GP13" s="112"/>
      <c r="GQ13" s="112"/>
      <c r="GR13" s="112"/>
      <c r="GS13" s="112"/>
      <c r="GT13" s="112"/>
      <c r="GU13" s="112"/>
      <c r="GV13" s="112"/>
      <c r="GW13" s="112"/>
      <c r="GX13" s="112"/>
      <c r="GY13" s="112"/>
      <c r="GZ13" s="112"/>
      <c r="HA13" s="112"/>
      <c r="HB13" s="112"/>
      <c r="HC13" s="112"/>
      <c r="HD13" s="112"/>
      <c r="HE13" s="112"/>
      <c r="HF13" s="112"/>
      <c r="HG13" s="112"/>
      <c r="HH13" s="112"/>
      <c r="HI13" s="112"/>
      <c r="HJ13" s="112"/>
      <c r="HK13" s="112"/>
      <c r="HL13" s="112"/>
      <c r="HM13" s="112"/>
      <c r="HN13" s="112"/>
      <c r="HO13" s="112"/>
      <c r="HP13" s="112"/>
      <c r="HQ13" s="112"/>
      <c r="HR13" s="112"/>
      <c r="HS13" s="112"/>
      <c r="HT13" s="112"/>
      <c r="HU13" s="112"/>
      <c r="HV13" s="112"/>
      <c r="HW13" s="112"/>
      <c r="HX13" s="112"/>
      <c r="HY13" s="112"/>
      <c r="HZ13" s="112"/>
      <c r="IA13" s="112"/>
      <c r="IB13" s="112"/>
      <c r="IC13" s="112"/>
      <c r="ID13" s="112"/>
      <c r="IE13" s="112"/>
      <c r="IF13" s="112"/>
      <c r="IG13" s="112"/>
      <c r="IH13" s="112"/>
      <c r="II13" s="112"/>
      <c r="IJ13" s="112"/>
      <c r="IK13" s="112"/>
      <c r="IL13" s="112"/>
      <c r="IM13" s="112"/>
      <c r="IN13" s="112"/>
      <c r="IO13" s="112"/>
      <c r="IP13" s="112"/>
      <c r="IQ13" s="112"/>
      <c r="IR13" s="112"/>
      <c r="IS13" s="112"/>
      <c r="IT13" s="112"/>
      <c r="IU13" s="112"/>
      <c r="IV13" s="112"/>
      <c r="IW13" s="112"/>
      <c r="IX13" s="112"/>
      <c r="IY13" s="112"/>
      <c r="IZ13" s="112"/>
      <c r="JA13" s="112"/>
      <c r="JB13" s="112"/>
      <c r="JC13" s="112"/>
      <c r="JD13" s="112"/>
      <c r="JE13" s="112"/>
      <c r="JF13" s="112"/>
      <c r="JG13" s="112"/>
      <c r="JH13" s="112"/>
      <c r="JI13" s="112"/>
      <c r="JJ13" s="112"/>
      <c r="JK13" s="112"/>
      <c r="JL13" s="112"/>
      <c r="JM13" s="112"/>
      <c r="JN13" s="112"/>
      <c r="JO13" s="112"/>
      <c r="JP13" s="112"/>
      <c r="JQ13" s="112"/>
      <c r="JR13" s="112"/>
      <c r="JS13" s="112"/>
      <c r="JT13" s="112"/>
      <c r="JU13" s="112"/>
      <c r="JV13" s="112"/>
      <c r="JW13" s="112"/>
      <c r="JX13" s="112"/>
      <c r="JY13" s="112"/>
      <c r="JZ13" s="112"/>
      <c r="KA13" s="112"/>
      <c r="KB13" s="112"/>
      <c r="KC13" s="112"/>
      <c r="KD13" s="112"/>
      <c r="KE13" s="112"/>
      <c r="KF13" s="112"/>
      <c r="KG13" s="112"/>
      <c r="KH13" s="112"/>
      <c r="KI13" s="112"/>
      <c r="KJ13" s="112"/>
      <c r="KK13" s="112"/>
      <c r="KL13" s="112"/>
    </row>
    <row r="14" spans="1:298" ht="15.75" customHeight="1">
      <c r="A14" s="105"/>
      <c r="B14" s="106"/>
      <c r="C14" s="106"/>
      <c r="D14" s="105"/>
      <c r="E14" s="105"/>
      <c r="F14" s="105"/>
      <c r="G14" s="105"/>
      <c r="H14" s="105"/>
      <c r="I14" s="105"/>
      <c r="J14" s="106"/>
      <c r="K14" s="105"/>
      <c r="L14" s="105"/>
      <c r="M14" s="105"/>
      <c r="N14" s="105"/>
      <c r="O14" s="105"/>
      <c r="P14" s="105"/>
      <c r="Q14" s="105"/>
      <c r="R14" s="106"/>
      <c r="S14" s="105"/>
      <c r="T14" s="105"/>
      <c r="U14" s="105"/>
      <c r="V14" s="105"/>
      <c r="W14" s="106"/>
      <c r="X14" s="105"/>
      <c r="Y14" s="105"/>
      <c r="Z14" s="105"/>
      <c r="AA14" s="105"/>
      <c r="AB14" s="106"/>
      <c r="AC14" s="105"/>
      <c r="AD14" s="105"/>
      <c r="AE14" s="105"/>
      <c r="AF14" s="105"/>
      <c r="AG14" s="105"/>
      <c r="AH14" s="105"/>
      <c r="AI14" s="106"/>
      <c r="AJ14" s="105"/>
      <c r="AK14" s="105"/>
      <c r="AL14" s="105"/>
      <c r="AM14" s="106"/>
      <c r="AN14" s="105"/>
      <c r="AO14" s="105"/>
      <c r="AP14" s="105"/>
      <c r="AQ14" s="106"/>
      <c r="AR14" s="105"/>
      <c r="AS14" s="105"/>
      <c r="AT14" s="105"/>
      <c r="AU14" s="106"/>
      <c r="AV14" s="105"/>
      <c r="AW14" s="105"/>
      <c r="AX14" s="105"/>
      <c r="AY14" s="106"/>
      <c r="AZ14" s="105"/>
      <c r="BA14" s="105"/>
      <c r="BB14" s="105"/>
      <c r="BC14" s="106"/>
    </row>
    <row r="15" spans="1:298" ht="15.75" customHeight="1">
      <c r="A15" s="105"/>
      <c r="B15" s="106"/>
      <c r="C15" s="106"/>
      <c r="D15" s="105"/>
      <c r="E15" s="105"/>
      <c r="F15" s="105"/>
      <c r="G15" s="105"/>
      <c r="H15" s="105"/>
      <c r="I15" s="105"/>
      <c r="J15" s="106"/>
      <c r="K15" s="105"/>
      <c r="L15" s="105"/>
      <c r="M15" s="105"/>
      <c r="N15" s="105"/>
      <c r="O15" s="105"/>
      <c r="P15" s="105"/>
      <c r="Q15" s="105"/>
      <c r="R15" s="106"/>
      <c r="S15" s="105"/>
      <c r="T15" s="105"/>
      <c r="U15" s="105"/>
      <c r="V15" s="105"/>
      <c r="W15" s="106"/>
      <c r="X15" s="105"/>
      <c r="Y15" s="105"/>
      <c r="Z15" s="105"/>
      <c r="AA15" s="105"/>
      <c r="AB15" s="106"/>
      <c r="AC15" s="105"/>
      <c r="AD15" s="105"/>
      <c r="AE15" s="105"/>
      <c r="AF15" s="105"/>
      <c r="AG15" s="105"/>
      <c r="AH15" s="105"/>
      <c r="AI15" s="106"/>
      <c r="AJ15" s="105"/>
      <c r="AK15" s="105"/>
      <c r="AL15" s="105"/>
      <c r="AM15" s="106"/>
      <c r="AN15" s="105"/>
      <c r="AO15" s="105"/>
      <c r="AP15" s="105"/>
      <c r="AQ15" s="106"/>
      <c r="AR15" s="105"/>
      <c r="AS15" s="105"/>
      <c r="AT15" s="105"/>
      <c r="AU15" s="106"/>
      <c r="AV15" s="105"/>
      <c r="AW15" s="105"/>
      <c r="AX15" s="105"/>
      <c r="AY15" s="106"/>
      <c r="AZ15" s="105"/>
      <c r="BA15" s="105"/>
      <c r="BB15" s="105"/>
      <c r="BC15" s="106"/>
    </row>
    <row r="16" spans="1:298" ht="70.5" customHeight="1">
      <c r="A16" s="105"/>
      <c r="B16" s="171" t="s">
        <v>4</v>
      </c>
      <c r="C16" s="172" t="s">
        <v>5</v>
      </c>
      <c r="D16" s="172">
        <v>2019</v>
      </c>
      <c r="E16" s="172">
        <v>2022</v>
      </c>
      <c r="F16" s="172">
        <v>2023</v>
      </c>
      <c r="G16" s="172">
        <v>2024</v>
      </c>
      <c r="H16" s="172" t="s">
        <v>6</v>
      </c>
      <c r="I16" s="172" t="s">
        <v>7</v>
      </c>
      <c r="J16" s="172" t="s">
        <v>8</v>
      </c>
      <c r="K16" s="173" t="s">
        <v>9</v>
      </c>
      <c r="L16" s="207" t="s">
        <v>10</v>
      </c>
      <c r="M16" s="210"/>
      <c r="N16" s="450"/>
      <c r="O16" s="210"/>
      <c r="P16" s="210"/>
      <c r="Q16" s="105"/>
      <c r="R16" s="106"/>
      <c r="S16" s="105"/>
      <c r="T16" s="105"/>
      <c r="U16" s="105"/>
      <c r="V16" s="105"/>
      <c r="W16" s="106"/>
      <c r="X16" s="105"/>
      <c r="Y16" s="105"/>
      <c r="Z16" s="105"/>
      <c r="AA16" s="105"/>
      <c r="AB16" s="106"/>
      <c r="AC16" s="105"/>
      <c r="AD16" s="105"/>
      <c r="AE16" s="105"/>
      <c r="AF16" s="105"/>
      <c r="AG16" s="105"/>
      <c r="AH16" s="105"/>
      <c r="AI16" s="106"/>
      <c r="AJ16" s="105"/>
      <c r="AK16" s="105"/>
      <c r="AL16" s="105"/>
      <c r="AM16" s="106"/>
      <c r="AN16" s="105"/>
      <c r="AO16" s="105"/>
      <c r="AP16" s="105"/>
      <c r="AQ16" s="106"/>
      <c r="AR16" s="105"/>
      <c r="AS16" s="105"/>
      <c r="AT16" s="105"/>
      <c r="AU16" s="106"/>
      <c r="AV16" s="105"/>
      <c r="AW16" s="105"/>
      <c r="AX16" s="105"/>
      <c r="AY16" s="106"/>
      <c r="AZ16" s="105"/>
      <c r="BA16" s="105"/>
      <c r="BB16" s="105"/>
      <c r="BC16" s="106"/>
    </row>
    <row r="17" spans="1:298" ht="70.5" customHeight="1">
      <c r="A17" s="105"/>
      <c r="B17" s="674" t="s">
        <v>11</v>
      </c>
      <c r="C17" s="147" t="s">
        <v>12</v>
      </c>
      <c r="D17" s="199">
        <v>4077</v>
      </c>
      <c r="E17" s="199">
        <v>3927</v>
      </c>
      <c r="F17" s="199">
        <v>5019</v>
      </c>
      <c r="G17" s="456"/>
      <c r="H17" s="338">
        <f>AVERAGE(D17:G17)</f>
        <v>4341</v>
      </c>
      <c r="I17" s="200"/>
      <c r="J17" s="200"/>
      <c r="K17" s="201" t="e">
        <f>I17/J17</f>
        <v>#DIV/0!</v>
      </c>
      <c r="L17" s="208">
        <v>1</v>
      </c>
      <c r="M17" s="211"/>
      <c r="N17" s="451"/>
      <c r="O17" s="212"/>
      <c r="P17" s="212"/>
      <c r="Q17" s="105"/>
      <c r="R17" s="106"/>
      <c r="S17" s="105"/>
      <c r="T17" s="105"/>
      <c r="U17" s="105"/>
      <c r="V17" s="105"/>
      <c r="W17" s="106"/>
      <c r="X17" s="105"/>
      <c r="Y17" s="105"/>
      <c r="Z17" s="105"/>
      <c r="AA17" s="105"/>
      <c r="AB17" s="106"/>
      <c r="AC17" s="105"/>
      <c r="AD17" s="105"/>
      <c r="AE17" s="105"/>
      <c r="AF17" s="105"/>
      <c r="AG17" s="105"/>
      <c r="AH17" s="105"/>
      <c r="AI17" s="106"/>
      <c r="AJ17" s="105"/>
      <c r="AK17" s="105"/>
      <c r="AL17" s="105"/>
      <c r="AM17" s="106"/>
      <c r="AN17" s="105"/>
      <c r="AO17" s="105"/>
      <c r="AP17" s="105"/>
      <c r="AQ17" s="106"/>
      <c r="AR17" s="105"/>
      <c r="AS17" s="105"/>
      <c r="AT17" s="105"/>
      <c r="AU17" s="106"/>
      <c r="AV17" s="105"/>
      <c r="AW17" s="105"/>
      <c r="AX17" s="105"/>
      <c r="AY17" s="106"/>
      <c r="AZ17" s="105"/>
      <c r="BA17" s="105"/>
      <c r="BB17" s="105"/>
      <c r="BC17" s="106"/>
    </row>
    <row r="18" spans="1:298" ht="70.5" customHeight="1">
      <c r="A18" s="105"/>
      <c r="B18" s="676"/>
      <c r="C18" s="147" t="s">
        <v>13</v>
      </c>
      <c r="D18" s="199"/>
      <c r="E18" s="199"/>
      <c r="F18" s="199">
        <v>3634</v>
      </c>
      <c r="G18" s="456"/>
      <c r="H18" s="338">
        <f t="shared" ref="H18:H24" si="0">AVERAGE(D18:G18)</f>
        <v>3634</v>
      </c>
      <c r="I18" s="200"/>
      <c r="J18" s="200"/>
      <c r="K18" s="201" t="e">
        <f t="shared" ref="K18:K24" si="1">I18/J18</f>
        <v>#DIV/0!</v>
      </c>
      <c r="L18" s="208">
        <v>1</v>
      </c>
      <c r="M18" s="211"/>
      <c r="N18" s="451"/>
      <c r="O18" s="212"/>
      <c r="P18" s="212"/>
      <c r="Q18" s="105"/>
      <c r="R18" s="106"/>
      <c r="S18" s="105"/>
      <c r="T18" s="105"/>
      <c r="U18" s="105"/>
      <c r="V18" s="105"/>
      <c r="W18" s="106"/>
      <c r="X18" s="105"/>
      <c r="Y18" s="105"/>
      <c r="Z18" s="105"/>
      <c r="AA18" s="105"/>
      <c r="AB18" s="106"/>
      <c r="AC18" s="105"/>
      <c r="AD18" s="105"/>
      <c r="AE18" s="105"/>
      <c r="AF18" s="105"/>
      <c r="AG18" s="105"/>
      <c r="AH18" s="105"/>
      <c r="AI18" s="106"/>
      <c r="AJ18" s="105"/>
      <c r="AK18" s="105"/>
      <c r="AL18" s="105"/>
      <c r="AM18" s="106"/>
      <c r="AN18" s="105"/>
      <c r="AO18" s="105"/>
      <c r="AP18" s="105"/>
      <c r="AQ18" s="106"/>
      <c r="AR18" s="105"/>
      <c r="AS18" s="105"/>
      <c r="AT18" s="105"/>
      <c r="AU18" s="106"/>
      <c r="AV18" s="105"/>
      <c r="AW18" s="105"/>
      <c r="AX18" s="105"/>
      <c r="AY18" s="106"/>
      <c r="AZ18" s="105"/>
      <c r="BA18" s="105"/>
      <c r="BB18" s="105"/>
      <c r="BC18" s="106"/>
    </row>
    <row r="19" spans="1:298" ht="70.5" customHeight="1">
      <c r="A19" s="105"/>
      <c r="B19" s="148" t="s">
        <v>14</v>
      </c>
      <c r="C19" s="147" t="s">
        <v>15</v>
      </c>
      <c r="D19" s="202" t="s">
        <v>16</v>
      </c>
      <c r="E19" s="202" t="s">
        <v>16</v>
      </c>
      <c r="F19" s="202">
        <v>0.37</v>
      </c>
      <c r="G19" s="457"/>
      <c r="H19" s="338">
        <f t="shared" si="0"/>
        <v>0.37</v>
      </c>
      <c r="I19" s="214"/>
      <c r="J19" s="214"/>
      <c r="K19" s="201" t="e">
        <f t="shared" si="1"/>
        <v>#DIV/0!</v>
      </c>
      <c r="L19" s="208">
        <v>1</v>
      </c>
      <c r="M19" s="211"/>
      <c r="N19" s="452"/>
      <c r="O19" s="212"/>
      <c r="P19" s="212"/>
      <c r="Q19" s="105"/>
      <c r="R19" s="106"/>
      <c r="S19" s="105"/>
      <c r="T19" s="105"/>
      <c r="U19" s="105"/>
      <c r="V19" s="105"/>
      <c r="W19" s="106"/>
      <c r="X19" s="105"/>
      <c r="Y19" s="105"/>
      <c r="Z19" s="105"/>
      <c r="AA19" s="105"/>
      <c r="AB19" s="106"/>
      <c r="AC19" s="105"/>
      <c r="AD19" s="105"/>
      <c r="AE19" s="105"/>
      <c r="AF19" s="105"/>
      <c r="AG19" s="105"/>
      <c r="AH19" s="105"/>
      <c r="AI19" s="106"/>
      <c r="AJ19" s="105"/>
      <c r="AK19" s="105"/>
      <c r="AL19" s="105"/>
      <c r="AM19" s="106"/>
      <c r="AN19" s="105"/>
      <c r="AO19" s="105"/>
      <c r="AP19" s="105"/>
      <c r="AQ19" s="106"/>
      <c r="AR19" s="105"/>
      <c r="AS19" s="105"/>
      <c r="AT19" s="105"/>
      <c r="AU19" s="106"/>
      <c r="AV19" s="105"/>
      <c r="AW19" s="105"/>
      <c r="AX19" s="105"/>
      <c r="AY19" s="106"/>
      <c r="AZ19" s="105"/>
      <c r="BA19" s="105"/>
      <c r="BB19" s="105"/>
      <c r="BC19" s="106"/>
    </row>
    <row r="20" spans="1:298" ht="70.5" customHeight="1">
      <c r="A20" s="105"/>
      <c r="B20" s="148" t="s">
        <v>17</v>
      </c>
      <c r="C20" s="147" t="s">
        <v>18</v>
      </c>
      <c r="D20" s="202" t="s">
        <v>16</v>
      </c>
      <c r="E20" s="202" t="s">
        <v>16</v>
      </c>
      <c r="F20" s="202">
        <v>0.16</v>
      </c>
      <c r="G20" s="457"/>
      <c r="H20" s="338">
        <f t="shared" si="0"/>
        <v>0.16</v>
      </c>
      <c r="I20" s="214"/>
      <c r="J20" s="214"/>
      <c r="K20" s="201" t="e">
        <f t="shared" si="1"/>
        <v>#DIV/0!</v>
      </c>
      <c r="L20" s="208">
        <v>1</v>
      </c>
      <c r="M20" s="211"/>
      <c r="N20" s="452"/>
      <c r="O20" s="212"/>
      <c r="P20" s="212"/>
      <c r="Q20" s="105"/>
      <c r="R20" s="106"/>
      <c r="S20" s="105"/>
      <c r="T20" s="105"/>
      <c r="U20" s="105"/>
      <c r="V20" s="105"/>
      <c r="W20" s="106"/>
      <c r="X20" s="105"/>
      <c r="Y20" s="105"/>
      <c r="Z20" s="105"/>
      <c r="AA20" s="105"/>
      <c r="AB20" s="106"/>
      <c r="AC20" s="105"/>
      <c r="AD20" s="105"/>
      <c r="AE20" s="105"/>
      <c r="AF20" s="105"/>
      <c r="AG20" s="105"/>
      <c r="AH20" s="105"/>
      <c r="AI20" s="106"/>
      <c r="AJ20" s="105"/>
      <c r="AK20" s="105"/>
      <c r="AL20" s="105"/>
      <c r="AM20" s="106"/>
      <c r="AN20" s="105"/>
      <c r="AO20" s="105"/>
      <c r="AP20" s="105"/>
      <c r="AQ20" s="106"/>
      <c r="AR20" s="105"/>
      <c r="AS20" s="105"/>
      <c r="AT20" s="105"/>
      <c r="AU20" s="106"/>
      <c r="AV20" s="105"/>
      <c r="AW20" s="105"/>
      <c r="AX20" s="105"/>
      <c r="AY20" s="106"/>
      <c r="AZ20" s="105"/>
      <c r="BA20" s="105"/>
      <c r="BB20" s="105"/>
      <c r="BC20" s="106"/>
    </row>
    <row r="21" spans="1:298" ht="70.5" customHeight="1">
      <c r="A21" s="105"/>
      <c r="B21" s="148" t="s">
        <v>19</v>
      </c>
      <c r="C21" s="147" t="s">
        <v>20</v>
      </c>
      <c r="D21" s="199" t="s">
        <v>16</v>
      </c>
      <c r="E21" s="199" t="s">
        <v>16</v>
      </c>
      <c r="F21" s="199" t="s">
        <v>16</v>
      </c>
      <c r="G21" s="458"/>
      <c r="H21" s="338" t="e">
        <f t="shared" si="0"/>
        <v>#DIV/0!</v>
      </c>
      <c r="I21" s="200"/>
      <c r="J21" s="200"/>
      <c r="K21" s="201" t="e">
        <f t="shared" si="1"/>
        <v>#DIV/0!</v>
      </c>
      <c r="L21" s="208">
        <v>1</v>
      </c>
      <c r="M21" s="211"/>
      <c r="N21" s="453"/>
      <c r="O21" s="212"/>
      <c r="P21" s="212"/>
      <c r="Q21" s="105"/>
      <c r="R21" s="106"/>
      <c r="S21" s="105"/>
      <c r="T21" s="105"/>
      <c r="U21" s="105"/>
      <c r="V21" s="105"/>
      <c r="W21" s="106"/>
      <c r="X21" s="105"/>
      <c r="Y21" s="105"/>
      <c r="Z21" s="105"/>
      <c r="AA21" s="105"/>
      <c r="AB21" s="106"/>
      <c r="AC21" s="105"/>
      <c r="AD21" s="105"/>
      <c r="AE21" s="105"/>
      <c r="AF21" s="105"/>
      <c r="AG21" s="105"/>
      <c r="AH21" s="105"/>
      <c r="AI21" s="106"/>
      <c r="AJ21" s="105"/>
      <c r="AK21" s="105"/>
      <c r="AL21" s="105"/>
      <c r="AM21" s="106"/>
      <c r="AN21" s="105"/>
      <c r="AO21" s="105"/>
      <c r="AP21" s="105"/>
      <c r="AQ21" s="106"/>
      <c r="AR21" s="105"/>
      <c r="AS21" s="105"/>
      <c r="AT21" s="105"/>
      <c r="AU21" s="106"/>
      <c r="AV21" s="105"/>
      <c r="AW21" s="105"/>
      <c r="AX21" s="105"/>
      <c r="AY21" s="106"/>
      <c r="AZ21" s="105"/>
      <c r="BA21" s="105"/>
      <c r="BB21" s="105"/>
      <c r="BC21" s="106"/>
    </row>
    <row r="22" spans="1:298" ht="70.5" customHeight="1">
      <c r="A22" s="105"/>
      <c r="B22" s="148" t="s">
        <v>21</v>
      </c>
      <c r="C22" s="147" t="s">
        <v>22</v>
      </c>
      <c r="D22" s="203">
        <v>4887599</v>
      </c>
      <c r="E22" s="203">
        <v>4881907</v>
      </c>
      <c r="F22" s="203">
        <v>4844787</v>
      </c>
      <c r="G22" s="459"/>
      <c r="H22" s="463">
        <f t="shared" si="0"/>
        <v>4871431</v>
      </c>
      <c r="I22" s="204"/>
      <c r="J22" s="204"/>
      <c r="K22" s="201" t="e">
        <f t="shared" si="1"/>
        <v>#DIV/0!</v>
      </c>
      <c r="L22" s="208">
        <v>1</v>
      </c>
      <c r="M22" s="211"/>
      <c r="N22" s="454"/>
      <c r="O22" s="212"/>
      <c r="P22" s="212"/>
      <c r="Q22" s="105"/>
      <c r="R22" s="106"/>
      <c r="S22" s="105"/>
      <c r="T22" s="105"/>
      <c r="U22" s="105"/>
      <c r="V22" s="105"/>
      <c r="W22" s="106"/>
      <c r="X22" s="105"/>
      <c r="Y22" s="105"/>
      <c r="Z22" s="105"/>
      <c r="AA22" s="105"/>
      <c r="AB22" s="106"/>
      <c r="AC22" s="105"/>
      <c r="AD22" s="105"/>
      <c r="AE22" s="105"/>
      <c r="AF22" s="105"/>
      <c r="AG22" s="105"/>
      <c r="AH22" s="105"/>
      <c r="AI22" s="106"/>
      <c r="AJ22" s="105"/>
      <c r="AK22" s="105"/>
      <c r="AL22" s="105"/>
      <c r="AM22" s="106"/>
      <c r="AN22" s="105"/>
      <c r="AO22" s="105"/>
      <c r="AP22" s="105"/>
      <c r="AQ22" s="106"/>
      <c r="AR22" s="105"/>
      <c r="AS22" s="105"/>
      <c r="AT22" s="105"/>
      <c r="AU22" s="106"/>
      <c r="AV22" s="105"/>
      <c r="AW22" s="105"/>
      <c r="AX22" s="105"/>
      <c r="AY22" s="106"/>
      <c r="AZ22" s="105"/>
      <c r="BA22" s="105"/>
      <c r="BB22" s="105"/>
      <c r="BC22" s="106"/>
    </row>
    <row r="23" spans="1:298" ht="70.5" customHeight="1">
      <c r="A23" s="105"/>
      <c r="B23" s="674" t="s">
        <v>23</v>
      </c>
      <c r="C23" s="147" t="s">
        <v>24</v>
      </c>
      <c r="D23" s="203">
        <v>2074035</v>
      </c>
      <c r="E23" s="203">
        <v>1332966</v>
      </c>
      <c r="F23" s="203">
        <v>1565737</v>
      </c>
      <c r="G23" s="460"/>
      <c r="H23" s="463">
        <f t="shared" si="0"/>
        <v>1657579.3333333333</v>
      </c>
      <c r="I23" s="205"/>
      <c r="J23" s="205"/>
      <c r="K23" s="201" t="e">
        <f t="shared" si="1"/>
        <v>#DIV/0!</v>
      </c>
      <c r="L23" s="208">
        <v>1</v>
      </c>
      <c r="M23" s="211"/>
      <c r="N23" s="455"/>
      <c r="O23" s="212"/>
      <c r="P23" s="212"/>
      <c r="Q23" s="105"/>
      <c r="R23" s="106"/>
      <c r="S23" s="105"/>
      <c r="T23" s="105"/>
      <c r="U23" s="105"/>
      <c r="V23" s="105"/>
      <c r="W23" s="106"/>
      <c r="X23" s="105"/>
      <c r="Y23" s="105"/>
      <c r="Z23" s="105"/>
      <c r="AA23" s="105"/>
      <c r="AB23" s="106"/>
      <c r="AC23" s="105"/>
      <c r="AD23" s="105"/>
      <c r="AE23" s="105"/>
      <c r="AF23" s="105"/>
      <c r="AG23" s="105"/>
      <c r="AH23" s="105"/>
      <c r="AI23" s="106"/>
      <c r="AJ23" s="105"/>
      <c r="AK23" s="105"/>
      <c r="AL23" s="105"/>
      <c r="AM23" s="106"/>
      <c r="AN23" s="105"/>
      <c r="AO23" s="105"/>
      <c r="AP23" s="105"/>
      <c r="AQ23" s="106"/>
      <c r="AR23" s="105"/>
      <c r="AS23" s="105"/>
      <c r="AT23" s="105"/>
      <c r="AU23" s="106"/>
      <c r="AV23" s="105"/>
      <c r="AW23" s="105"/>
      <c r="AX23" s="105"/>
      <c r="AY23" s="106"/>
      <c r="AZ23" s="105"/>
      <c r="BA23" s="105"/>
      <c r="BB23" s="105"/>
      <c r="BC23" s="106"/>
    </row>
    <row r="24" spans="1:298" ht="70.5" customHeight="1">
      <c r="A24" s="105"/>
      <c r="B24" s="675"/>
      <c r="C24" s="149" t="s">
        <v>25</v>
      </c>
      <c r="D24" s="206">
        <v>0.42</v>
      </c>
      <c r="E24" s="206">
        <v>0.27</v>
      </c>
      <c r="F24" s="206">
        <v>0.32</v>
      </c>
      <c r="G24" s="461"/>
      <c r="H24" s="462">
        <f t="shared" si="0"/>
        <v>0.33666666666666667</v>
      </c>
      <c r="I24" s="213"/>
      <c r="J24" s="213"/>
      <c r="K24" s="201" t="e">
        <f t="shared" si="1"/>
        <v>#DIV/0!</v>
      </c>
      <c r="L24" s="209">
        <v>1</v>
      </c>
      <c r="M24" s="211"/>
      <c r="N24" s="452"/>
      <c r="O24" s="212"/>
      <c r="P24" s="212"/>
      <c r="Q24" s="105"/>
      <c r="R24" s="106"/>
      <c r="S24" s="105"/>
      <c r="T24" s="105"/>
      <c r="U24" s="105"/>
      <c r="V24" s="105"/>
      <c r="W24" s="106"/>
      <c r="X24" s="105"/>
      <c r="Y24" s="105"/>
      <c r="Z24" s="105"/>
      <c r="AA24" s="105"/>
      <c r="AB24" s="106"/>
      <c r="AC24" s="105"/>
      <c r="AD24" s="105"/>
      <c r="AE24" s="105"/>
      <c r="AF24" s="105"/>
      <c r="AG24" s="105"/>
      <c r="AH24" s="105"/>
      <c r="AI24" s="106"/>
      <c r="AJ24" s="105"/>
      <c r="AK24" s="105"/>
      <c r="AL24" s="105"/>
      <c r="AM24" s="106"/>
      <c r="AN24" s="105"/>
      <c r="AO24" s="105"/>
      <c r="AP24" s="105"/>
      <c r="AQ24" s="106"/>
      <c r="AR24" s="105"/>
      <c r="AS24" s="105"/>
      <c r="AT24" s="105"/>
      <c r="AU24" s="106"/>
      <c r="AV24" s="105"/>
      <c r="AW24" s="105"/>
      <c r="AX24" s="105"/>
      <c r="AY24" s="106"/>
      <c r="AZ24" s="105"/>
      <c r="BA24" s="105"/>
      <c r="BB24" s="105"/>
      <c r="BC24" s="106"/>
    </row>
    <row r="25" spans="1:298" ht="15.75" customHeight="1">
      <c r="A25" s="105"/>
      <c r="B25" s="106"/>
      <c r="C25" s="106"/>
      <c r="D25" s="105"/>
      <c r="E25" s="105"/>
      <c r="F25" s="105"/>
      <c r="G25" s="105"/>
      <c r="H25" s="105"/>
      <c r="I25" s="105"/>
      <c r="J25" s="106"/>
      <c r="K25" s="105"/>
      <c r="L25" s="105"/>
      <c r="M25" s="105"/>
      <c r="N25" s="105"/>
      <c r="O25" s="105"/>
      <c r="P25" s="105"/>
      <c r="Q25" s="105"/>
      <c r="R25" s="106"/>
      <c r="S25" s="105"/>
      <c r="T25" s="105"/>
      <c r="U25" s="105"/>
      <c r="V25" s="105"/>
      <c r="W25" s="106"/>
      <c r="X25" s="105"/>
      <c r="Y25" s="105"/>
      <c r="Z25" s="105"/>
      <c r="AA25" s="105"/>
      <c r="AB25" s="106"/>
      <c r="AC25" s="105"/>
      <c r="AD25" s="105"/>
      <c r="AE25" s="105"/>
      <c r="AF25" s="105"/>
      <c r="AG25" s="105"/>
      <c r="AH25" s="105"/>
      <c r="AI25" s="106"/>
      <c r="AJ25" s="105"/>
      <c r="AK25" s="105"/>
      <c r="AL25" s="105"/>
      <c r="AM25" s="106"/>
      <c r="AN25" s="105"/>
      <c r="AO25" s="105"/>
      <c r="AP25" s="105"/>
      <c r="AQ25" s="106"/>
      <c r="AR25" s="105"/>
      <c r="AS25" s="105"/>
      <c r="AT25" s="105"/>
      <c r="AU25" s="106"/>
      <c r="AV25" s="105"/>
      <c r="AW25" s="105"/>
      <c r="AX25" s="105"/>
      <c r="AY25" s="106"/>
      <c r="AZ25" s="105"/>
      <c r="BA25" s="105"/>
      <c r="BB25" s="105"/>
      <c r="BC25" s="106"/>
    </row>
    <row r="26" spans="1:298" ht="15.75" customHeight="1">
      <c r="A26" s="105"/>
      <c r="B26" s="106"/>
      <c r="C26" s="106"/>
      <c r="D26" s="105"/>
      <c r="E26" s="105"/>
      <c r="F26" s="105"/>
      <c r="G26" s="105"/>
      <c r="H26" s="105"/>
      <c r="I26" s="105"/>
      <c r="J26" s="106"/>
      <c r="K26" s="105"/>
      <c r="L26" s="105"/>
      <c r="M26" s="105"/>
      <c r="N26" s="105"/>
      <c r="O26" s="105"/>
      <c r="P26" s="105"/>
      <c r="Q26" s="105"/>
      <c r="R26" s="106"/>
      <c r="S26" s="105"/>
      <c r="T26" s="105"/>
      <c r="U26" s="105"/>
      <c r="V26" s="105"/>
      <c r="W26" s="106"/>
      <c r="X26" s="105"/>
      <c r="Y26" s="105"/>
      <c r="Z26" s="105"/>
      <c r="AA26" s="105"/>
      <c r="AB26" s="106"/>
      <c r="AC26" s="105"/>
      <c r="AD26" s="105"/>
      <c r="AE26" s="105"/>
      <c r="AF26" s="105"/>
      <c r="AG26" s="105"/>
      <c r="AH26" s="105"/>
      <c r="AI26" s="106"/>
      <c r="AJ26" s="105"/>
      <c r="AK26" s="105"/>
      <c r="AL26" s="105"/>
      <c r="AM26" s="106"/>
      <c r="AN26" s="105"/>
      <c r="AO26" s="105"/>
      <c r="AP26" s="105"/>
      <c r="AQ26" s="106"/>
      <c r="AR26" s="105"/>
      <c r="AS26" s="105"/>
      <c r="AT26" s="105"/>
      <c r="AU26" s="106"/>
      <c r="AV26" s="105"/>
      <c r="AW26" s="105"/>
      <c r="AX26" s="105"/>
      <c r="AY26" s="106"/>
      <c r="AZ26" s="105"/>
      <c r="BA26" s="105"/>
      <c r="BB26" s="105"/>
      <c r="BC26" s="106"/>
    </row>
    <row r="27" spans="1:298" ht="15.75" customHeight="1">
      <c r="A27" s="105"/>
      <c r="B27" s="106"/>
      <c r="C27" s="106"/>
      <c r="D27" s="105"/>
      <c r="E27" s="105"/>
      <c r="F27" s="105"/>
      <c r="G27" s="105"/>
      <c r="H27" s="105"/>
      <c r="I27" s="105"/>
      <c r="J27" s="106"/>
      <c r="K27" s="105"/>
      <c r="L27" s="105"/>
      <c r="M27" s="105"/>
      <c r="N27" s="105"/>
      <c r="O27" s="105"/>
      <c r="P27" s="105"/>
      <c r="Q27" s="105"/>
      <c r="R27" s="106"/>
      <c r="S27" s="105"/>
      <c r="T27" s="105"/>
      <c r="U27" s="105"/>
      <c r="V27" s="105"/>
      <c r="W27" s="106"/>
      <c r="X27" s="105"/>
      <c r="Y27" s="105"/>
      <c r="Z27" s="105"/>
      <c r="AA27" s="105"/>
      <c r="AB27" s="106"/>
      <c r="AC27" s="105"/>
      <c r="AD27" s="105"/>
      <c r="AE27" s="105"/>
      <c r="AF27" s="105"/>
      <c r="AG27" s="105"/>
      <c r="AH27" s="105"/>
      <c r="AI27" s="106"/>
      <c r="AJ27" s="105"/>
      <c r="AK27" s="105"/>
      <c r="AL27" s="105"/>
      <c r="AM27" s="106"/>
      <c r="AN27" s="105"/>
      <c r="AO27" s="105"/>
      <c r="AP27" s="105"/>
      <c r="AQ27" s="106"/>
      <c r="AR27" s="105"/>
      <c r="AS27" s="105"/>
      <c r="AT27" s="105"/>
      <c r="AU27" s="106"/>
      <c r="AV27" s="105"/>
      <c r="AW27" s="105"/>
      <c r="AX27" s="105"/>
      <c r="AY27" s="106"/>
      <c r="AZ27" s="105"/>
      <c r="BA27" s="105"/>
      <c r="BB27" s="105"/>
      <c r="BC27" s="106"/>
    </row>
    <row r="28" spans="1:298" ht="15.75" customHeight="1">
      <c r="A28" s="105"/>
      <c r="B28" s="106"/>
      <c r="C28" s="106"/>
      <c r="D28" s="105"/>
      <c r="E28" s="105"/>
      <c r="F28" s="105"/>
      <c r="G28" s="105"/>
      <c r="H28" s="105"/>
      <c r="I28" s="105"/>
      <c r="J28" s="106"/>
      <c r="K28" s="105"/>
      <c r="L28" s="105"/>
      <c r="M28" s="105"/>
      <c r="N28" s="105"/>
      <c r="O28" s="105"/>
      <c r="P28" s="105"/>
      <c r="Q28" s="105"/>
      <c r="R28" s="106"/>
      <c r="S28" s="105"/>
      <c r="T28" s="105"/>
      <c r="U28" s="105"/>
      <c r="V28" s="105"/>
      <c r="W28" s="106"/>
      <c r="X28" s="105"/>
      <c r="Y28" s="105"/>
      <c r="Z28" s="105"/>
      <c r="AA28" s="105"/>
      <c r="AB28" s="106"/>
      <c r="AC28" s="105"/>
      <c r="AD28" s="105"/>
      <c r="AE28" s="105"/>
      <c r="AF28" s="105"/>
      <c r="AG28" s="105"/>
      <c r="AH28" s="105"/>
      <c r="AI28" s="106"/>
      <c r="AJ28" s="105"/>
      <c r="AK28" s="105"/>
      <c r="AL28" s="105"/>
      <c r="AM28" s="106"/>
      <c r="AN28" s="105"/>
      <c r="AO28" s="105"/>
      <c r="AP28" s="105"/>
      <c r="AQ28" s="106"/>
      <c r="AR28" s="105"/>
      <c r="AS28" s="105"/>
      <c r="AT28" s="105"/>
      <c r="AU28" s="106"/>
      <c r="AV28" s="105"/>
      <c r="AW28" s="105"/>
      <c r="AX28" s="105"/>
      <c r="AY28" s="106"/>
      <c r="AZ28" s="105"/>
      <c r="BA28" s="105"/>
      <c r="BB28" s="105"/>
      <c r="BC28" s="106"/>
    </row>
    <row r="29" spans="1:298" ht="15.75" customHeight="1">
      <c r="A29" s="105"/>
      <c r="B29" s="106"/>
      <c r="C29" s="106"/>
      <c r="D29" s="105"/>
      <c r="E29" s="105"/>
      <c r="F29" s="105"/>
      <c r="G29" s="105"/>
      <c r="H29" s="105"/>
      <c r="I29" s="105"/>
      <c r="J29" s="106"/>
      <c r="K29" s="105"/>
      <c r="L29" s="105"/>
      <c r="M29" s="105"/>
      <c r="N29" s="105"/>
      <c r="O29" s="105"/>
      <c r="P29" s="105"/>
      <c r="Q29" s="105"/>
      <c r="R29" s="106"/>
      <c r="S29" s="105"/>
      <c r="T29" s="105"/>
      <c r="U29" s="105"/>
      <c r="V29" s="105"/>
      <c r="W29" s="106"/>
      <c r="X29" s="105"/>
      <c r="Y29" s="105"/>
      <c r="Z29" s="105"/>
      <c r="AA29" s="105"/>
      <c r="AB29" s="106"/>
      <c r="AC29" s="105"/>
      <c r="AD29" s="105"/>
      <c r="AE29" s="105"/>
      <c r="AF29" s="105"/>
      <c r="AG29" s="105"/>
      <c r="AH29" s="105"/>
      <c r="AI29" s="106"/>
      <c r="AJ29" s="105"/>
      <c r="AK29" s="105"/>
      <c r="AL29" s="105"/>
      <c r="AM29" s="106"/>
      <c r="AN29" s="105"/>
      <c r="AO29" s="105"/>
      <c r="AP29" s="105"/>
      <c r="AQ29" s="106"/>
      <c r="AR29" s="105"/>
      <c r="AS29" s="105"/>
      <c r="AT29" s="105"/>
      <c r="AU29" s="106"/>
      <c r="AV29" s="105"/>
      <c r="AW29" s="105"/>
      <c r="AX29" s="105"/>
      <c r="AY29" s="106"/>
      <c r="AZ29" s="105"/>
      <c r="BA29" s="105"/>
      <c r="BB29" s="105"/>
      <c r="BC29" s="106"/>
    </row>
    <row r="30" spans="1:298" ht="15.75" customHeight="1">
      <c r="A30" s="105"/>
      <c r="B30" s="106"/>
      <c r="C30" s="106"/>
      <c r="D30" s="105"/>
      <c r="E30" s="105"/>
      <c r="F30" s="105"/>
      <c r="G30" s="105"/>
      <c r="H30" s="105"/>
      <c r="I30" s="105"/>
      <c r="J30" s="106"/>
      <c r="K30" s="105"/>
      <c r="L30" s="105"/>
      <c r="M30" s="105"/>
      <c r="N30" s="105"/>
      <c r="O30" s="105"/>
      <c r="P30" s="105"/>
      <c r="Q30" s="105"/>
      <c r="R30" s="106"/>
      <c r="S30" s="105"/>
      <c r="T30" s="105"/>
      <c r="U30" s="105"/>
      <c r="V30" s="105"/>
      <c r="W30" s="106"/>
      <c r="X30" s="105"/>
      <c r="Y30" s="105"/>
      <c r="Z30" s="105"/>
      <c r="AA30" s="105"/>
      <c r="AB30" s="106"/>
      <c r="AC30" s="105"/>
      <c r="AD30" s="105"/>
      <c r="AE30" s="105"/>
      <c r="AF30" s="105"/>
      <c r="AG30" s="105"/>
      <c r="AH30" s="105"/>
      <c r="AI30" s="106"/>
      <c r="AJ30" s="105"/>
      <c r="AK30" s="105"/>
      <c r="AL30" s="105"/>
      <c r="AM30" s="106"/>
      <c r="AN30" s="105"/>
      <c r="AO30" s="105"/>
      <c r="AP30" s="105"/>
      <c r="AQ30" s="106"/>
      <c r="AR30" s="105"/>
      <c r="AS30" s="105"/>
      <c r="AT30" s="105"/>
      <c r="AU30" s="106"/>
      <c r="AV30" s="105"/>
      <c r="AW30" s="105"/>
      <c r="AX30" s="105"/>
      <c r="AY30" s="106"/>
      <c r="AZ30" s="105"/>
      <c r="BA30" s="105"/>
      <c r="BB30" s="105"/>
      <c r="BC30" s="106"/>
    </row>
    <row r="31" spans="1:298" ht="60.5">
      <c r="A31" s="105"/>
      <c r="B31" s="108" t="s">
        <v>26</v>
      </c>
      <c r="C31" s="108"/>
      <c r="D31" s="109"/>
      <c r="E31" s="109"/>
      <c r="F31" s="110"/>
      <c r="G31" s="109"/>
      <c r="H31" s="109"/>
      <c r="I31" s="109"/>
      <c r="J31" s="111"/>
      <c r="K31" s="109"/>
      <c r="L31" s="109"/>
      <c r="M31" s="109"/>
      <c r="N31" s="109"/>
      <c r="O31" s="109"/>
      <c r="P31" s="109"/>
      <c r="Q31" s="109"/>
      <c r="R31" s="111"/>
      <c r="S31" s="109"/>
      <c r="T31" s="109"/>
      <c r="U31" s="109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09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2"/>
      <c r="BF31" s="112"/>
      <c r="BG31" s="112"/>
      <c r="BH31" s="112"/>
      <c r="BI31" s="112"/>
      <c r="BJ31" s="112"/>
      <c r="BK31" s="112"/>
      <c r="BL31" s="112"/>
      <c r="BM31" s="112"/>
      <c r="BN31" s="112"/>
      <c r="BO31" s="112"/>
      <c r="BP31" s="112"/>
      <c r="BQ31" s="112"/>
      <c r="BR31" s="112"/>
      <c r="BS31" s="112"/>
      <c r="BT31" s="112"/>
      <c r="BU31" s="112"/>
      <c r="BV31" s="113"/>
      <c r="BW31" s="112"/>
      <c r="BX31" s="112"/>
      <c r="BY31" s="112"/>
      <c r="BZ31" s="112"/>
      <c r="CA31" s="112"/>
      <c r="CB31" s="112"/>
      <c r="CC31" s="112"/>
      <c r="CD31" s="112"/>
      <c r="CE31" s="112"/>
      <c r="CF31" s="112"/>
      <c r="CG31" s="112"/>
      <c r="CH31" s="112"/>
      <c r="CI31" s="112"/>
      <c r="CJ31" s="112"/>
      <c r="CK31" s="112"/>
      <c r="CL31" s="112"/>
      <c r="CM31" s="112"/>
      <c r="CN31" s="112"/>
      <c r="CO31" s="112"/>
      <c r="CP31" s="112"/>
      <c r="CQ31" s="112"/>
      <c r="CR31" s="112"/>
      <c r="CS31" s="112"/>
      <c r="CT31" s="112"/>
      <c r="CU31" s="112"/>
      <c r="CV31" s="112"/>
      <c r="CW31" s="112"/>
      <c r="CX31" s="112"/>
      <c r="CY31" s="112"/>
      <c r="CZ31" s="112"/>
      <c r="DA31" s="112"/>
      <c r="DB31" s="112"/>
      <c r="DC31" s="112"/>
      <c r="DD31" s="112"/>
      <c r="DE31" s="112"/>
      <c r="DF31" s="112"/>
      <c r="DG31" s="112"/>
      <c r="DH31" s="112"/>
      <c r="DI31" s="112"/>
      <c r="DJ31" s="112"/>
      <c r="DK31" s="112"/>
      <c r="DL31" s="112"/>
      <c r="DM31" s="112"/>
      <c r="DN31" s="112"/>
      <c r="DO31" s="112"/>
      <c r="DP31" s="112"/>
      <c r="DQ31" s="112"/>
      <c r="DR31" s="112"/>
      <c r="DS31" s="112"/>
      <c r="DT31" s="112"/>
      <c r="DU31" s="112"/>
      <c r="DV31" s="112"/>
      <c r="DW31" s="112"/>
      <c r="DX31" s="112"/>
      <c r="DY31" s="112"/>
      <c r="DZ31" s="112"/>
      <c r="EA31" s="112"/>
      <c r="EB31" s="112"/>
      <c r="EC31" s="112"/>
      <c r="ED31" s="112"/>
      <c r="EE31" s="112"/>
      <c r="EF31" s="112"/>
      <c r="EG31" s="112"/>
      <c r="EH31" s="112"/>
      <c r="EI31" s="112"/>
      <c r="EJ31" s="112"/>
      <c r="EK31" s="112"/>
      <c r="EL31" s="112"/>
      <c r="EM31" s="112"/>
      <c r="EN31" s="112"/>
      <c r="EO31" s="112"/>
      <c r="EP31" s="112"/>
      <c r="EQ31" s="112"/>
      <c r="ER31" s="112"/>
      <c r="ES31" s="112"/>
      <c r="ET31" s="112"/>
      <c r="EU31" s="112"/>
      <c r="EV31" s="112"/>
      <c r="EW31" s="112"/>
      <c r="EX31" s="112"/>
      <c r="EY31" s="112"/>
      <c r="EZ31" s="112"/>
      <c r="FA31" s="112"/>
      <c r="FB31" s="112"/>
      <c r="FC31" s="112"/>
      <c r="FD31" s="112"/>
      <c r="FE31" s="112"/>
      <c r="FF31" s="112"/>
      <c r="FG31" s="112"/>
      <c r="FH31" s="112"/>
      <c r="FI31" s="112"/>
      <c r="FJ31" s="112"/>
      <c r="FK31" s="112"/>
      <c r="FL31" s="112"/>
      <c r="FM31" s="112"/>
      <c r="FN31" s="112"/>
      <c r="FO31" s="112"/>
      <c r="FP31" s="112"/>
      <c r="FQ31" s="112"/>
      <c r="FR31" s="112"/>
      <c r="FS31" s="112"/>
      <c r="FT31" s="112"/>
      <c r="FU31" s="112"/>
      <c r="FV31" s="112"/>
      <c r="FW31" s="112"/>
      <c r="FX31" s="112"/>
      <c r="FY31" s="112"/>
      <c r="FZ31" s="112"/>
      <c r="GA31" s="112"/>
      <c r="GB31" s="112"/>
      <c r="GC31" s="112"/>
      <c r="GD31" s="112"/>
      <c r="GE31" s="112"/>
      <c r="GF31" s="112"/>
      <c r="GG31" s="112"/>
      <c r="GH31" s="112"/>
      <c r="GI31" s="112"/>
      <c r="GJ31" s="112"/>
      <c r="GK31" s="112"/>
      <c r="GL31" s="112"/>
      <c r="GM31" s="112"/>
      <c r="GN31" s="112"/>
      <c r="GO31" s="112"/>
      <c r="GP31" s="112"/>
      <c r="GQ31" s="112"/>
      <c r="GR31" s="112"/>
      <c r="GS31" s="112"/>
      <c r="GT31" s="112"/>
      <c r="GU31" s="112"/>
      <c r="GV31" s="112"/>
      <c r="GW31" s="112"/>
      <c r="GX31" s="112"/>
      <c r="GY31" s="112"/>
      <c r="GZ31" s="112"/>
      <c r="HA31" s="112"/>
      <c r="HB31" s="112"/>
      <c r="HC31" s="112"/>
      <c r="HD31" s="112"/>
      <c r="HE31" s="112"/>
      <c r="HF31" s="112"/>
      <c r="HG31" s="112"/>
      <c r="HH31" s="112"/>
      <c r="HI31" s="112"/>
      <c r="HJ31" s="112"/>
      <c r="HK31" s="112"/>
      <c r="HL31" s="112"/>
      <c r="HM31" s="112"/>
      <c r="HN31" s="112"/>
      <c r="HO31" s="112"/>
      <c r="HP31" s="112"/>
      <c r="HQ31" s="112"/>
      <c r="HR31" s="112"/>
      <c r="HS31" s="112"/>
      <c r="HT31" s="112"/>
      <c r="HU31" s="112"/>
      <c r="HV31" s="112"/>
      <c r="HW31" s="112"/>
      <c r="HX31" s="112"/>
      <c r="HY31" s="112"/>
      <c r="HZ31" s="112"/>
      <c r="IA31" s="112"/>
      <c r="IB31" s="112"/>
      <c r="IC31" s="112"/>
      <c r="ID31" s="112"/>
      <c r="IE31" s="112"/>
      <c r="IF31" s="112"/>
      <c r="IG31" s="112"/>
      <c r="IH31" s="112"/>
      <c r="II31" s="112"/>
      <c r="IJ31" s="112"/>
      <c r="IK31" s="112"/>
      <c r="IL31" s="112"/>
      <c r="IM31" s="112"/>
      <c r="IN31" s="112"/>
      <c r="IO31" s="112"/>
      <c r="IP31" s="112"/>
      <c r="IQ31" s="112"/>
      <c r="IR31" s="112"/>
      <c r="IS31" s="112"/>
      <c r="IT31" s="112"/>
      <c r="IU31" s="112"/>
      <c r="IV31" s="112"/>
      <c r="IW31" s="112"/>
      <c r="IX31" s="112"/>
      <c r="IY31" s="112"/>
      <c r="IZ31" s="112"/>
      <c r="JA31" s="112"/>
      <c r="JB31" s="112"/>
      <c r="JC31" s="112"/>
      <c r="JD31" s="112"/>
      <c r="JE31" s="112"/>
      <c r="JF31" s="112"/>
      <c r="JG31" s="112"/>
      <c r="JH31" s="112"/>
      <c r="JI31" s="112"/>
      <c r="JJ31" s="112"/>
      <c r="JK31" s="112"/>
      <c r="JL31" s="112"/>
      <c r="JM31" s="112"/>
      <c r="JN31" s="112"/>
      <c r="JO31" s="112"/>
      <c r="JP31" s="112"/>
      <c r="JQ31" s="112"/>
      <c r="JR31" s="112"/>
      <c r="JS31" s="112"/>
      <c r="JT31" s="112"/>
      <c r="JU31" s="112"/>
      <c r="JV31" s="112"/>
      <c r="JW31" s="112"/>
      <c r="JX31" s="112"/>
      <c r="JY31" s="112"/>
      <c r="JZ31" s="112"/>
      <c r="KA31" s="112"/>
      <c r="KB31" s="112"/>
      <c r="KC31" s="112"/>
      <c r="KD31" s="112"/>
      <c r="KE31" s="112"/>
      <c r="KF31" s="112"/>
      <c r="KG31" s="112"/>
      <c r="KH31" s="112"/>
      <c r="KI31" s="112"/>
      <c r="KJ31" s="112"/>
      <c r="KK31" s="112"/>
      <c r="KL31" s="112"/>
    </row>
    <row r="32" spans="1:298" ht="15.75" customHeight="1">
      <c r="A32" s="105"/>
      <c r="B32" s="106"/>
      <c r="C32" s="106"/>
      <c r="D32" s="105"/>
      <c r="E32" s="105"/>
      <c r="F32" s="105"/>
      <c r="G32" s="105"/>
      <c r="H32" s="105"/>
      <c r="I32" s="105"/>
      <c r="J32" s="106"/>
      <c r="K32" s="105"/>
      <c r="L32" s="105"/>
      <c r="M32" s="105"/>
      <c r="N32" s="105"/>
      <c r="O32" s="105"/>
      <c r="P32" s="105"/>
      <c r="Q32" s="105"/>
      <c r="R32" s="106"/>
      <c r="S32" s="105"/>
      <c r="T32" s="105"/>
      <c r="U32" s="105"/>
      <c r="V32" s="105"/>
      <c r="W32" s="106"/>
      <c r="X32" s="105"/>
      <c r="Y32" s="105"/>
      <c r="Z32" s="105"/>
      <c r="AA32" s="105"/>
      <c r="AB32" s="106"/>
      <c r="AC32" s="105"/>
      <c r="AD32" s="105"/>
      <c r="AE32" s="105"/>
      <c r="AF32" s="105"/>
      <c r="AG32" s="105"/>
      <c r="AH32" s="105"/>
      <c r="AI32" s="106"/>
      <c r="AJ32" s="105"/>
      <c r="AK32" s="105"/>
      <c r="AL32" s="105"/>
      <c r="AM32" s="106"/>
      <c r="AN32" s="105"/>
      <c r="AO32" s="105"/>
      <c r="AP32" s="105"/>
      <c r="AQ32" s="106"/>
      <c r="AR32" s="105"/>
      <c r="AS32" s="105"/>
      <c r="AT32" s="105"/>
      <c r="AU32" s="106"/>
      <c r="AV32" s="105"/>
      <c r="AW32" s="105"/>
      <c r="AX32" s="105"/>
      <c r="AY32" s="106"/>
      <c r="AZ32" s="105"/>
      <c r="BA32" s="105"/>
      <c r="BB32" s="105"/>
      <c r="BC32" s="106"/>
    </row>
    <row r="33" spans="1:55" ht="15.75" customHeight="1">
      <c r="A33" s="105"/>
      <c r="B33" s="106"/>
      <c r="C33" s="106"/>
      <c r="D33" s="105"/>
      <c r="E33" s="105"/>
      <c r="F33" s="105"/>
      <c r="G33" s="105"/>
      <c r="H33" s="105"/>
      <c r="I33" s="105"/>
      <c r="J33" s="106"/>
      <c r="K33" s="105"/>
      <c r="L33" s="105"/>
      <c r="M33" s="105"/>
      <c r="N33" s="105"/>
      <c r="O33" s="105"/>
      <c r="P33" s="105"/>
      <c r="Q33" s="105"/>
      <c r="R33" s="106"/>
      <c r="S33" s="105"/>
      <c r="T33" s="105"/>
      <c r="U33" s="105"/>
      <c r="V33" s="105"/>
      <c r="W33" s="106"/>
      <c r="X33" s="105"/>
      <c r="Y33" s="105"/>
      <c r="Z33" s="105"/>
      <c r="AA33" s="105"/>
      <c r="AB33" s="106"/>
      <c r="AC33" s="105"/>
      <c r="AD33" s="105"/>
      <c r="AE33" s="105"/>
      <c r="AF33" s="105"/>
      <c r="AG33" s="105"/>
      <c r="AH33" s="105"/>
      <c r="AI33" s="106"/>
      <c r="AJ33" s="105"/>
      <c r="AK33" s="105"/>
      <c r="AL33" s="105"/>
      <c r="AM33" s="106"/>
      <c r="AN33" s="105"/>
      <c r="AO33" s="105"/>
      <c r="AP33" s="105"/>
      <c r="AQ33" s="106"/>
      <c r="AR33" s="105"/>
      <c r="AS33" s="105"/>
      <c r="AT33" s="105"/>
      <c r="AU33" s="106"/>
      <c r="AV33" s="105"/>
      <c r="AW33" s="105"/>
      <c r="AX33" s="105"/>
      <c r="AY33" s="106"/>
      <c r="AZ33" s="105"/>
      <c r="BA33" s="105"/>
      <c r="BB33" s="105"/>
      <c r="BC33" s="106"/>
    </row>
    <row r="34" spans="1:55" ht="15.75" customHeight="1">
      <c r="A34" s="105"/>
      <c r="B34" s="106"/>
      <c r="C34" s="106"/>
      <c r="D34" s="105"/>
      <c r="E34" s="105"/>
      <c r="F34" s="105"/>
      <c r="G34" s="105"/>
      <c r="H34" s="105"/>
      <c r="I34" s="105"/>
      <c r="J34" s="106"/>
      <c r="K34" s="105"/>
      <c r="L34" s="105"/>
      <c r="M34" s="105"/>
      <c r="N34" s="105"/>
      <c r="O34" s="105"/>
      <c r="P34" s="105"/>
      <c r="Q34" s="105"/>
      <c r="R34" s="106"/>
      <c r="S34" s="105"/>
      <c r="T34" s="105"/>
      <c r="U34" s="105"/>
      <c r="V34" s="105"/>
      <c r="W34" s="106"/>
      <c r="X34" s="105"/>
      <c r="Y34" s="105"/>
      <c r="Z34" s="105"/>
      <c r="AA34" s="105"/>
      <c r="AB34" s="106"/>
      <c r="AC34" s="105"/>
      <c r="AD34" s="105"/>
      <c r="AE34" s="105"/>
      <c r="AF34" s="105"/>
      <c r="AG34" s="105"/>
      <c r="AH34" s="105"/>
      <c r="AI34" s="106"/>
      <c r="AJ34" s="105"/>
      <c r="AK34" s="105"/>
      <c r="AL34" s="105"/>
      <c r="AM34" s="106"/>
      <c r="AN34" s="105"/>
      <c r="AO34" s="105"/>
      <c r="AP34" s="105"/>
      <c r="AQ34" s="106"/>
      <c r="AR34" s="105"/>
      <c r="AS34" s="105"/>
      <c r="AT34" s="105"/>
      <c r="AU34" s="106"/>
      <c r="AV34" s="105"/>
      <c r="AW34" s="105"/>
      <c r="AX34" s="105"/>
      <c r="AY34" s="106"/>
      <c r="AZ34" s="105"/>
      <c r="BA34" s="105"/>
      <c r="BB34" s="105"/>
      <c r="BC34" s="106"/>
    </row>
    <row r="35" spans="1:55" ht="15.75" customHeight="1">
      <c r="A35" s="105"/>
      <c r="B35" s="106"/>
      <c r="C35" s="106"/>
      <c r="D35" s="105"/>
      <c r="E35" s="105"/>
      <c r="F35" s="105"/>
      <c r="G35" s="105"/>
      <c r="H35" s="105"/>
      <c r="I35" s="105"/>
      <c r="J35" s="106"/>
      <c r="K35" s="105"/>
      <c r="L35" s="105"/>
      <c r="M35" s="105"/>
      <c r="N35" s="105"/>
      <c r="O35" s="105"/>
      <c r="P35" s="105"/>
      <c r="Q35" s="105"/>
      <c r="R35" s="106"/>
      <c r="S35" s="105"/>
      <c r="T35" s="105"/>
      <c r="U35" s="105"/>
      <c r="V35" s="105"/>
      <c r="W35" s="106"/>
      <c r="X35" s="105"/>
      <c r="Y35" s="105"/>
      <c r="Z35" s="105"/>
      <c r="AA35" s="105"/>
      <c r="AB35" s="106"/>
      <c r="AC35" s="105"/>
      <c r="AD35" s="105"/>
      <c r="AE35" s="105"/>
      <c r="AF35" s="105"/>
      <c r="AG35" s="105"/>
      <c r="AH35" s="105"/>
      <c r="AI35" s="106"/>
      <c r="AJ35" s="105"/>
      <c r="AK35" s="105"/>
      <c r="AL35" s="105"/>
      <c r="AM35" s="106"/>
      <c r="AN35" s="105"/>
      <c r="AO35" s="105"/>
      <c r="AP35" s="105"/>
      <c r="AQ35" s="106"/>
      <c r="AR35" s="105"/>
      <c r="AS35" s="105"/>
      <c r="AT35" s="105"/>
      <c r="AU35" s="106"/>
      <c r="AV35" s="105"/>
      <c r="AW35" s="105"/>
      <c r="AX35" s="105"/>
      <c r="AY35" s="106"/>
      <c r="AZ35" s="105"/>
      <c r="BA35" s="105"/>
      <c r="BB35" s="105"/>
      <c r="BC35" s="106"/>
    </row>
    <row r="36" spans="1:55" ht="15.75" customHeight="1">
      <c r="A36" s="105"/>
      <c r="B36" s="106"/>
      <c r="C36" s="106"/>
      <c r="D36" s="105"/>
      <c r="E36" s="105"/>
      <c r="F36" s="105"/>
      <c r="G36" s="105"/>
      <c r="H36" s="105"/>
      <c r="I36" s="105"/>
      <c r="J36" s="106"/>
      <c r="K36" s="105"/>
      <c r="L36" s="105"/>
      <c r="M36" s="105"/>
      <c r="N36" s="105"/>
      <c r="O36" s="105"/>
      <c r="P36" s="105"/>
      <c r="Q36" s="105"/>
      <c r="R36" s="106"/>
      <c r="S36" s="105"/>
      <c r="T36" s="105"/>
      <c r="U36" s="105"/>
      <c r="V36" s="105"/>
      <c r="W36" s="106"/>
      <c r="X36" s="105"/>
      <c r="Y36" s="105"/>
      <c r="Z36" s="105"/>
      <c r="AA36" s="105"/>
      <c r="AB36" s="106"/>
      <c r="AC36" s="105"/>
      <c r="AD36" s="105"/>
      <c r="AE36" s="105"/>
      <c r="AF36" s="105"/>
      <c r="AG36" s="105"/>
      <c r="AH36" s="105"/>
      <c r="AI36" s="106"/>
      <c r="AJ36" s="105"/>
      <c r="AK36" s="105"/>
      <c r="AL36" s="105"/>
      <c r="AM36" s="106"/>
      <c r="AN36" s="105"/>
      <c r="AO36" s="105"/>
      <c r="AP36" s="105"/>
      <c r="AQ36" s="106"/>
      <c r="AR36" s="105"/>
      <c r="AS36" s="105"/>
      <c r="AT36" s="105"/>
      <c r="AU36" s="106"/>
      <c r="AV36" s="105"/>
      <c r="AW36" s="105"/>
      <c r="AX36" s="105"/>
      <c r="AY36" s="106"/>
      <c r="AZ36" s="105"/>
      <c r="BA36" s="105"/>
      <c r="BB36" s="105"/>
      <c r="BC36" s="106"/>
    </row>
    <row r="37" spans="1:55" ht="15.75" customHeight="1">
      <c r="A37" s="105"/>
      <c r="B37" s="106"/>
      <c r="C37" s="106"/>
      <c r="D37" s="105"/>
      <c r="E37" s="105"/>
      <c r="F37" s="105"/>
      <c r="G37" s="105"/>
      <c r="H37" s="105"/>
      <c r="I37" s="105"/>
      <c r="J37" s="106"/>
      <c r="K37" s="105"/>
      <c r="L37" s="105"/>
      <c r="M37" s="105"/>
      <c r="N37" s="105"/>
      <c r="O37" s="105"/>
      <c r="P37" s="105"/>
      <c r="Q37" s="105"/>
      <c r="R37" s="106"/>
      <c r="S37" s="105"/>
      <c r="T37" s="105"/>
      <c r="U37" s="105"/>
      <c r="V37" s="105"/>
      <c r="W37" s="106"/>
      <c r="X37" s="105"/>
      <c r="Y37" s="105"/>
      <c r="Z37" s="105"/>
      <c r="AA37" s="105"/>
      <c r="AB37" s="106"/>
      <c r="AC37" s="105"/>
      <c r="AD37" s="105"/>
      <c r="AE37" s="105"/>
      <c r="AF37" s="105"/>
      <c r="AG37" s="105"/>
      <c r="AH37" s="105"/>
      <c r="AI37" s="106"/>
      <c r="AJ37" s="105"/>
      <c r="AK37" s="105"/>
      <c r="AL37" s="105"/>
      <c r="AM37" s="106"/>
      <c r="AN37" s="105"/>
      <c r="AO37" s="105"/>
      <c r="AP37" s="105"/>
      <c r="AQ37" s="106"/>
      <c r="AR37" s="105"/>
      <c r="AS37" s="105"/>
      <c r="AT37" s="105"/>
      <c r="AU37" s="106"/>
      <c r="AV37" s="105"/>
      <c r="AW37" s="105"/>
      <c r="AX37" s="105"/>
      <c r="AY37" s="106"/>
      <c r="AZ37" s="105"/>
      <c r="BA37" s="105"/>
      <c r="BB37" s="105"/>
      <c r="BC37" s="106"/>
    </row>
    <row r="38" spans="1:55" ht="15.75" customHeight="1">
      <c r="A38" s="105"/>
      <c r="B38" s="106"/>
      <c r="C38" s="106"/>
      <c r="D38" s="105"/>
      <c r="E38" s="105"/>
      <c r="F38" s="105"/>
      <c r="G38" s="105"/>
      <c r="H38" s="105"/>
      <c r="I38" s="105"/>
      <c r="J38" s="106"/>
      <c r="K38" s="105"/>
      <c r="L38" s="105"/>
      <c r="M38" s="105"/>
      <c r="N38" s="105"/>
      <c r="O38" s="105"/>
      <c r="P38" s="105"/>
      <c r="Q38" s="105"/>
      <c r="R38" s="106"/>
      <c r="S38" s="105"/>
      <c r="T38" s="105"/>
      <c r="U38" s="105"/>
      <c r="V38" s="105"/>
      <c r="W38" s="106"/>
      <c r="X38" s="105"/>
      <c r="Y38" s="105"/>
      <c r="Z38" s="105"/>
      <c r="AA38" s="105"/>
      <c r="AB38" s="106"/>
      <c r="AC38" s="105"/>
      <c r="AD38" s="105"/>
      <c r="AE38" s="105"/>
      <c r="AF38" s="105"/>
      <c r="AG38" s="105"/>
      <c r="AH38" s="105"/>
      <c r="AI38" s="106"/>
      <c r="AJ38" s="105"/>
      <c r="AK38" s="105"/>
      <c r="AL38" s="105"/>
      <c r="AM38" s="106"/>
      <c r="AN38" s="105"/>
      <c r="AO38" s="105"/>
      <c r="AP38" s="105"/>
      <c r="AQ38" s="106"/>
      <c r="AR38" s="105"/>
      <c r="AS38" s="105"/>
      <c r="AT38" s="105"/>
      <c r="AU38" s="106"/>
      <c r="AV38" s="105"/>
      <c r="AW38" s="105"/>
      <c r="AX38" s="105"/>
      <c r="AY38" s="106"/>
      <c r="AZ38" s="105"/>
      <c r="BA38" s="105"/>
      <c r="BB38" s="105"/>
      <c r="BC38" s="106"/>
    </row>
    <row r="39" spans="1:55" ht="15.75" customHeight="1">
      <c r="A39" s="105"/>
      <c r="B39" s="106"/>
      <c r="C39" s="106"/>
      <c r="D39" s="105"/>
      <c r="E39" s="105"/>
      <c r="F39" s="105"/>
      <c r="G39" s="105"/>
      <c r="H39" s="105"/>
      <c r="I39" s="105"/>
      <c r="J39" s="106"/>
      <c r="K39" s="105"/>
      <c r="L39" s="105"/>
      <c r="M39" s="105"/>
      <c r="N39" s="105"/>
      <c r="O39" s="105"/>
      <c r="P39" s="105"/>
      <c r="Q39" s="105"/>
      <c r="R39" s="106"/>
      <c r="S39" s="105"/>
      <c r="T39" s="105"/>
      <c r="U39" s="105"/>
      <c r="V39" s="105"/>
      <c r="W39" s="106"/>
      <c r="X39" s="105"/>
      <c r="Y39" s="105"/>
      <c r="Z39" s="105"/>
      <c r="AA39" s="105"/>
      <c r="AB39" s="106"/>
      <c r="AC39" s="105"/>
      <c r="AD39" s="105"/>
      <c r="AE39" s="105"/>
      <c r="AF39" s="105"/>
      <c r="AG39" s="105"/>
      <c r="AH39" s="105"/>
      <c r="AI39" s="106"/>
      <c r="AJ39" s="105"/>
      <c r="AK39" s="105"/>
      <c r="AL39" s="105"/>
      <c r="AM39" s="106"/>
      <c r="AN39" s="105"/>
      <c r="AO39" s="105"/>
      <c r="AP39" s="105"/>
      <c r="AQ39" s="106"/>
      <c r="AR39" s="105"/>
      <c r="AS39" s="105"/>
      <c r="AT39" s="105"/>
      <c r="AU39" s="106"/>
      <c r="AV39" s="105"/>
      <c r="AW39" s="105"/>
      <c r="AX39" s="105"/>
      <c r="AY39" s="106"/>
      <c r="AZ39" s="105"/>
      <c r="BA39" s="105"/>
      <c r="BB39" s="105"/>
      <c r="BC39" s="106"/>
    </row>
    <row r="40" spans="1:55" ht="15.75" customHeight="1">
      <c r="A40" s="105"/>
      <c r="B40" s="106"/>
      <c r="C40" s="106"/>
      <c r="D40" s="105"/>
      <c r="E40" s="105"/>
      <c r="F40" s="105"/>
      <c r="G40" s="105"/>
      <c r="H40" s="105"/>
      <c r="I40" s="105"/>
      <c r="J40" s="106"/>
      <c r="K40" s="105"/>
      <c r="L40" s="105"/>
      <c r="M40" s="105"/>
      <c r="N40" s="105"/>
      <c r="O40" s="105"/>
      <c r="P40" s="105"/>
      <c r="Q40" s="105"/>
      <c r="R40" s="106"/>
      <c r="S40" s="105"/>
      <c r="T40" s="105"/>
      <c r="U40" s="105"/>
      <c r="V40" s="105"/>
      <c r="W40" s="106"/>
      <c r="X40" s="105"/>
      <c r="Y40" s="105"/>
      <c r="Z40" s="105"/>
      <c r="AA40" s="105"/>
      <c r="AB40" s="106"/>
      <c r="AC40" s="105"/>
      <c r="AD40" s="105"/>
      <c r="AE40" s="105"/>
      <c r="AF40" s="105"/>
      <c r="AG40" s="105"/>
      <c r="AH40" s="105"/>
      <c r="AI40" s="106"/>
      <c r="AJ40" s="105"/>
      <c r="AK40" s="105"/>
      <c r="AL40" s="105"/>
      <c r="AM40" s="106"/>
      <c r="AN40" s="105"/>
      <c r="AO40" s="105"/>
      <c r="AP40" s="105"/>
      <c r="AQ40" s="106"/>
      <c r="AR40" s="105"/>
      <c r="AS40" s="105"/>
      <c r="AT40" s="105"/>
      <c r="AU40" s="106"/>
      <c r="AV40" s="105"/>
      <c r="AW40" s="105"/>
      <c r="AX40" s="105"/>
      <c r="AY40" s="106"/>
      <c r="AZ40" s="105"/>
      <c r="BA40" s="105"/>
      <c r="BB40" s="105"/>
      <c r="BC40" s="106"/>
    </row>
    <row r="41" spans="1:55" ht="15" customHeight="1">
      <c r="A41" s="105"/>
      <c r="B41" s="106"/>
      <c r="C41" s="106"/>
      <c r="D41" s="105"/>
      <c r="E41" s="105"/>
      <c r="F41" s="105"/>
      <c r="G41" s="105"/>
      <c r="H41" s="105"/>
      <c r="I41" s="105"/>
      <c r="J41" s="106"/>
      <c r="K41" s="105"/>
      <c r="L41" s="105"/>
      <c r="M41" s="105"/>
      <c r="N41" s="105"/>
      <c r="O41" s="105"/>
      <c r="P41" s="105"/>
      <c r="Q41" s="105"/>
      <c r="R41" s="106"/>
      <c r="S41" s="105"/>
      <c r="T41" s="105"/>
      <c r="U41" s="105"/>
      <c r="V41" s="105"/>
      <c r="W41" s="106"/>
      <c r="X41" s="105"/>
      <c r="Y41" s="105"/>
      <c r="Z41" s="105"/>
      <c r="AA41" s="105"/>
      <c r="AB41" s="106"/>
      <c r="AC41" s="105"/>
      <c r="AD41" s="105"/>
      <c r="AE41" s="105"/>
      <c r="AF41" s="105"/>
      <c r="AG41" s="105"/>
      <c r="AH41" s="105"/>
      <c r="AI41" s="106"/>
      <c r="AJ41" s="105"/>
      <c r="AK41" s="105"/>
      <c r="AL41" s="105"/>
      <c r="AM41" s="106"/>
      <c r="AN41" s="105"/>
      <c r="AO41" s="105"/>
      <c r="AP41" s="105"/>
      <c r="AQ41" s="106"/>
      <c r="AR41" s="105"/>
      <c r="AS41" s="105"/>
      <c r="AT41" s="105"/>
      <c r="AU41" s="106"/>
      <c r="AV41" s="105"/>
      <c r="AW41" s="105"/>
      <c r="AX41" s="105"/>
      <c r="AY41" s="106"/>
      <c r="AZ41" s="105"/>
      <c r="BA41" s="105"/>
      <c r="BB41" s="105"/>
      <c r="BC41" s="106"/>
    </row>
    <row r="42" spans="1:55" ht="15.75" customHeight="1">
      <c r="A42" s="105"/>
      <c r="B42" s="106"/>
      <c r="C42" s="106"/>
      <c r="D42" s="105"/>
      <c r="E42" s="105"/>
      <c r="F42" s="105"/>
      <c r="G42" s="105"/>
      <c r="H42" s="105"/>
      <c r="I42" s="105"/>
      <c r="J42" s="106"/>
      <c r="K42" s="105"/>
      <c r="L42" s="105"/>
      <c r="M42" s="105"/>
      <c r="N42" s="105"/>
      <c r="O42" s="105"/>
      <c r="P42" s="105"/>
      <c r="Q42" s="105"/>
      <c r="R42" s="106"/>
      <c r="S42" s="105"/>
      <c r="T42" s="105"/>
      <c r="U42" s="105"/>
      <c r="V42" s="105"/>
      <c r="W42" s="106"/>
      <c r="X42" s="105"/>
      <c r="Y42" s="105"/>
      <c r="Z42" s="105"/>
      <c r="AA42" s="105"/>
      <c r="AB42" s="106"/>
      <c r="AC42" s="105"/>
      <c r="AD42" s="105"/>
      <c r="AE42" s="105"/>
      <c r="AF42" s="105"/>
      <c r="AG42" s="105"/>
      <c r="AH42" s="105"/>
      <c r="AI42" s="106"/>
      <c r="AJ42" s="105"/>
      <c r="AK42" s="105"/>
      <c r="AL42" s="105"/>
      <c r="AM42" s="106"/>
      <c r="AN42" s="105"/>
      <c r="AO42" s="105"/>
      <c r="AP42" s="105"/>
      <c r="AQ42" s="106"/>
      <c r="AR42" s="105"/>
      <c r="AS42" s="105"/>
      <c r="AT42" s="105"/>
      <c r="AU42" s="106"/>
      <c r="AV42" s="105"/>
      <c r="AW42" s="105"/>
      <c r="AX42" s="105"/>
      <c r="AY42" s="106"/>
      <c r="AZ42" s="105"/>
      <c r="BA42" s="105"/>
      <c r="BB42" s="105"/>
      <c r="BC42" s="106"/>
    </row>
    <row r="43" spans="1:55" ht="15.75" customHeight="1">
      <c r="A43" s="105"/>
      <c r="B43" s="106"/>
      <c r="C43" s="106"/>
      <c r="D43" s="105"/>
      <c r="E43" s="105"/>
      <c r="F43" s="105"/>
      <c r="G43" s="105"/>
      <c r="H43" s="105"/>
      <c r="I43" s="105"/>
      <c r="J43" s="106"/>
      <c r="K43" s="105"/>
      <c r="L43" s="105"/>
      <c r="M43" s="105"/>
      <c r="N43" s="105"/>
      <c r="O43" s="105"/>
      <c r="P43" s="105"/>
      <c r="Q43" s="105"/>
      <c r="R43" s="106"/>
      <c r="S43" s="105"/>
      <c r="T43" s="105"/>
      <c r="U43" s="105"/>
      <c r="V43" s="105"/>
      <c r="W43" s="106"/>
      <c r="X43" s="105"/>
      <c r="Y43" s="105"/>
      <c r="Z43" s="105"/>
      <c r="AA43" s="105"/>
      <c r="AB43" s="106"/>
      <c r="AC43" s="105"/>
      <c r="AD43" s="105"/>
      <c r="AE43" s="105"/>
      <c r="AF43" s="105"/>
      <c r="AG43" s="105"/>
      <c r="AH43" s="105"/>
      <c r="AI43" s="106"/>
      <c r="AJ43" s="105"/>
      <c r="AK43" s="105"/>
      <c r="AL43" s="105"/>
      <c r="AM43" s="106"/>
      <c r="AN43" s="105"/>
      <c r="AO43" s="105"/>
      <c r="AP43" s="105"/>
      <c r="AQ43" s="106"/>
      <c r="AR43" s="105"/>
      <c r="AS43" s="105"/>
      <c r="AT43" s="105"/>
      <c r="AU43" s="106"/>
      <c r="AV43" s="105"/>
      <c r="AW43" s="105"/>
      <c r="AX43" s="105"/>
      <c r="AY43" s="106"/>
      <c r="AZ43" s="105"/>
      <c r="BA43" s="105"/>
      <c r="BB43" s="105"/>
      <c r="BC43" s="106"/>
    </row>
    <row r="44" spans="1:55" ht="15.75" customHeight="1">
      <c r="A44" s="105"/>
      <c r="B44" s="106"/>
      <c r="C44" s="106"/>
      <c r="D44" s="105"/>
      <c r="E44" s="105"/>
      <c r="F44" s="105"/>
      <c r="G44" s="105"/>
      <c r="H44" s="105"/>
      <c r="I44" s="105"/>
      <c r="J44" s="106"/>
      <c r="K44" s="105"/>
      <c r="L44" s="105"/>
      <c r="M44" s="105"/>
      <c r="N44" s="105"/>
      <c r="O44" s="105"/>
      <c r="P44" s="105"/>
      <c r="Q44" s="105"/>
      <c r="R44" s="106"/>
      <c r="S44" s="105"/>
      <c r="T44" s="105"/>
      <c r="U44" s="105"/>
      <c r="V44" s="105"/>
      <c r="W44" s="106"/>
      <c r="X44" s="105"/>
      <c r="Y44" s="105"/>
      <c r="Z44" s="105"/>
      <c r="AA44" s="105"/>
      <c r="AB44" s="106"/>
      <c r="AC44" s="105"/>
      <c r="AD44" s="105"/>
      <c r="AE44" s="105"/>
      <c r="AF44" s="105"/>
      <c r="AG44" s="105"/>
      <c r="AH44" s="105"/>
      <c r="AI44" s="106"/>
      <c r="AJ44" s="105"/>
      <c r="AK44" s="105"/>
      <c r="AL44" s="105"/>
      <c r="AM44" s="106"/>
      <c r="AN44" s="105"/>
      <c r="AO44" s="105"/>
      <c r="AP44" s="105"/>
      <c r="AQ44" s="106"/>
      <c r="AR44" s="105"/>
      <c r="AS44" s="105"/>
      <c r="AT44" s="105"/>
      <c r="AU44" s="106"/>
      <c r="AV44" s="105"/>
      <c r="AW44" s="105"/>
      <c r="AX44" s="105"/>
      <c r="AY44" s="106"/>
      <c r="AZ44" s="105"/>
      <c r="BA44" s="105"/>
      <c r="BB44" s="105"/>
      <c r="BC44" s="106"/>
    </row>
    <row r="45" spans="1:55" ht="15.75" customHeight="1">
      <c r="A45" s="105"/>
      <c r="B45" s="106"/>
      <c r="C45" s="106"/>
      <c r="D45" s="105"/>
      <c r="E45" s="105"/>
      <c r="F45" s="105"/>
      <c r="G45" s="105"/>
      <c r="H45" s="105"/>
      <c r="I45" s="105"/>
      <c r="J45" s="106"/>
      <c r="K45" s="105"/>
      <c r="L45" s="105"/>
      <c r="M45" s="105"/>
      <c r="N45" s="105"/>
      <c r="O45" s="105"/>
      <c r="P45" s="105"/>
      <c r="Q45" s="105"/>
      <c r="R45" s="106"/>
      <c r="S45" s="105"/>
      <c r="T45" s="105"/>
      <c r="U45" s="105"/>
      <c r="V45" s="105"/>
      <c r="W45" s="106"/>
      <c r="X45" s="105"/>
      <c r="Y45" s="105"/>
      <c r="Z45" s="105"/>
      <c r="AA45" s="105"/>
      <c r="AB45" s="106"/>
      <c r="AC45" s="105"/>
      <c r="AD45" s="105"/>
      <c r="AE45" s="105"/>
      <c r="AF45" s="105"/>
      <c r="AG45" s="105"/>
      <c r="AH45" s="105"/>
      <c r="AI45" s="106"/>
      <c r="AJ45" s="105"/>
      <c r="AK45" s="105"/>
      <c r="AL45" s="105"/>
      <c r="AM45" s="106"/>
      <c r="AN45" s="105"/>
      <c r="AO45" s="105"/>
      <c r="AP45" s="105"/>
      <c r="AQ45" s="106"/>
      <c r="AR45" s="105"/>
      <c r="AS45" s="105"/>
      <c r="AT45" s="105"/>
      <c r="AU45" s="106"/>
      <c r="AV45" s="105"/>
      <c r="AW45" s="105"/>
      <c r="AX45" s="105"/>
      <c r="AY45" s="106"/>
      <c r="AZ45" s="105"/>
      <c r="BA45" s="105"/>
      <c r="BB45" s="105"/>
      <c r="BC45" s="106"/>
    </row>
    <row r="46" spans="1:55" ht="15.75" customHeight="1">
      <c r="A46" s="105"/>
      <c r="B46" s="106"/>
      <c r="C46" s="106"/>
      <c r="D46" s="105"/>
      <c r="E46" s="105"/>
      <c r="F46" s="105"/>
      <c r="G46" s="105"/>
      <c r="H46" s="105"/>
      <c r="I46" s="105"/>
      <c r="J46" s="106"/>
      <c r="K46" s="105"/>
      <c r="L46" s="105"/>
      <c r="M46" s="105"/>
      <c r="N46" s="105"/>
      <c r="O46" s="105"/>
      <c r="P46" s="105"/>
      <c r="Q46" s="105"/>
      <c r="R46" s="106"/>
      <c r="S46" s="105"/>
      <c r="T46" s="105"/>
      <c r="U46" s="105"/>
      <c r="V46" s="105"/>
      <c r="W46" s="106"/>
      <c r="X46" s="105"/>
      <c r="Y46" s="105"/>
      <c r="Z46" s="105"/>
      <c r="AA46" s="105"/>
      <c r="AB46" s="106"/>
      <c r="AC46" s="105"/>
      <c r="AD46" s="105"/>
      <c r="AE46" s="105"/>
      <c r="AF46" s="105"/>
      <c r="AG46" s="105"/>
      <c r="AH46" s="105"/>
      <c r="AI46" s="106"/>
      <c r="AJ46" s="105"/>
      <c r="AK46" s="105"/>
      <c r="AL46" s="105"/>
      <c r="AM46" s="106"/>
      <c r="AN46" s="105"/>
      <c r="AO46" s="105"/>
      <c r="AP46" s="105"/>
      <c r="AQ46" s="106"/>
      <c r="AR46" s="105"/>
      <c r="AS46" s="105"/>
      <c r="AT46" s="105"/>
      <c r="AU46" s="106"/>
      <c r="AV46" s="105"/>
      <c r="AW46" s="105"/>
      <c r="AX46" s="105"/>
      <c r="AY46" s="106"/>
      <c r="AZ46" s="105"/>
      <c r="BA46" s="105"/>
      <c r="BB46" s="105"/>
      <c r="BC46" s="106"/>
    </row>
    <row r="47" spans="1:55" ht="15.75" customHeight="1">
      <c r="A47" s="105"/>
      <c r="B47" s="106"/>
      <c r="C47" s="106"/>
      <c r="D47" s="105"/>
      <c r="E47" s="105"/>
      <c r="F47" s="105"/>
      <c r="G47" s="105"/>
      <c r="H47" s="105"/>
      <c r="I47" s="105"/>
      <c r="J47" s="106"/>
      <c r="K47" s="105"/>
      <c r="L47" s="105"/>
      <c r="M47" s="105"/>
      <c r="N47" s="105"/>
      <c r="O47" s="105"/>
      <c r="P47" s="105"/>
      <c r="Q47" s="105"/>
      <c r="R47" s="106"/>
      <c r="S47" s="105"/>
      <c r="T47" s="105"/>
      <c r="U47" s="105"/>
      <c r="V47" s="105"/>
      <c r="W47" s="106"/>
      <c r="X47" s="105"/>
      <c r="Y47" s="105"/>
      <c r="Z47" s="105"/>
      <c r="AA47" s="105"/>
      <c r="AB47" s="106"/>
      <c r="AC47" s="105"/>
      <c r="AD47" s="105"/>
      <c r="AE47" s="105"/>
      <c r="AF47" s="105"/>
      <c r="AG47" s="105"/>
      <c r="AH47" s="105"/>
      <c r="AI47" s="106"/>
      <c r="AJ47" s="105"/>
      <c r="AK47" s="105"/>
      <c r="AL47" s="105"/>
      <c r="AM47" s="106"/>
      <c r="AN47" s="105"/>
      <c r="AO47" s="105"/>
      <c r="AP47" s="105"/>
      <c r="AQ47" s="106"/>
      <c r="AR47" s="105"/>
      <c r="AS47" s="105"/>
      <c r="AT47" s="105"/>
      <c r="AU47" s="106"/>
      <c r="AV47" s="105"/>
      <c r="AW47" s="105"/>
      <c r="AX47" s="105"/>
      <c r="AY47" s="106"/>
      <c r="AZ47" s="105"/>
      <c r="BA47" s="105"/>
      <c r="BB47" s="105"/>
      <c r="BC47" s="106"/>
    </row>
    <row r="48" spans="1:55" ht="15.75" customHeight="1">
      <c r="A48" s="105"/>
      <c r="B48" s="106"/>
      <c r="C48" s="106"/>
      <c r="D48" s="105"/>
      <c r="E48" s="105"/>
      <c r="F48" s="105"/>
      <c r="G48" s="105"/>
      <c r="H48" s="105"/>
      <c r="I48" s="105"/>
      <c r="J48" s="106"/>
      <c r="K48" s="105"/>
      <c r="L48" s="105"/>
      <c r="M48" s="105"/>
      <c r="N48" s="105"/>
      <c r="O48" s="105"/>
      <c r="P48" s="105"/>
      <c r="Q48" s="105"/>
      <c r="R48" s="106"/>
      <c r="S48" s="105"/>
      <c r="T48" s="105"/>
      <c r="U48" s="105"/>
      <c r="V48" s="105"/>
      <c r="W48" s="106"/>
      <c r="X48" s="105"/>
      <c r="Y48" s="105"/>
      <c r="Z48" s="105"/>
      <c r="AA48" s="105"/>
      <c r="AB48" s="106"/>
      <c r="AC48" s="105"/>
      <c r="AD48" s="105"/>
      <c r="AE48" s="105"/>
      <c r="AF48" s="105"/>
      <c r="AG48" s="105"/>
      <c r="AH48" s="105"/>
      <c r="AI48" s="106"/>
      <c r="AJ48" s="105"/>
      <c r="AK48" s="105"/>
      <c r="AL48" s="105"/>
      <c r="AM48" s="106"/>
      <c r="AN48" s="105"/>
      <c r="AO48" s="105"/>
      <c r="AP48" s="105"/>
      <c r="AQ48" s="106"/>
      <c r="AR48" s="105"/>
      <c r="AS48" s="105"/>
      <c r="AT48" s="105"/>
      <c r="AU48" s="106"/>
      <c r="AV48" s="105"/>
      <c r="AW48" s="105"/>
      <c r="AX48" s="105"/>
      <c r="AY48" s="106"/>
      <c r="AZ48" s="105"/>
      <c r="BA48" s="105"/>
      <c r="BB48" s="105"/>
      <c r="BC48" s="106"/>
    </row>
    <row r="49" spans="1:55" ht="15.75" customHeight="1">
      <c r="A49" s="105"/>
      <c r="B49" s="106"/>
      <c r="C49" s="106"/>
      <c r="D49" s="105"/>
      <c r="E49" s="105"/>
      <c r="F49" s="105"/>
      <c r="G49" s="105"/>
      <c r="H49" s="105"/>
      <c r="I49" s="105"/>
      <c r="J49" s="106"/>
      <c r="K49" s="105"/>
      <c r="L49" s="105"/>
      <c r="M49" s="105"/>
      <c r="N49" s="105"/>
      <c r="O49" s="105"/>
      <c r="P49" s="105"/>
      <c r="Q49" s="105"/>
      <c r="R49" s="106"/>
      <c r="S49" s="105"/>
      <c r="T49" s="105"/>
      <c r="U49" s="105"/>
      <c r="V49" s="105"/>
      <c r="W49" s="106"/>
      <c r="X49" s="105"/>
      <c r="Y49" s="105"/>
      <c r="Z49" s="105"/>
      <c r="AA49" s="105"/>
      <c r="AB49" s="106"/>
      <c r="AC49" s="105"/>
      <c r="AD49" s="105"/>
      <c r="AE49" s="105"/>
      <c r="AF49" s="105"/>
      <c r="AG49" s="105"/>
      <c r="AH49" s="105"/>
      <c r="AI49" s="106"/>
      <c r="AJ49" s="105"/>
      <c r="AK49" s="105"/>
      <c r="AL49" s="105"/>
      <c r="AM49" s="106"/>
      <c r="AN49" s="105"/>
      <c r="AO49" s="105"/>
      <c r="AP49" s="105"/>
      <c r="AQ49" s="106"/>
      <c r="AR49" s="105"/>
      <c r="AS49" s="105"/>
      <c r="AT49" s="105"/>
      <c r="AU49" s="106"/>
      <c r="AV49" s="105"/>
      <c r="AW49" s="105"/>
      <c r="AX49" s="105"/>
      <c r="AY49" s="106"/>
      <c r="AZ49" s="105"/>
      <c r="BA49" s="105"/>
      <c r="BB49" s="105"/>
      <c r="BC49" s="106"/>
    </row>
    <row r="50" spans="1:55" ht="15.75" customHeight="1">
      <c r="A50" s="105"/>
      <c r="B50" s="106"/>
      <c r="C50" s="106"/>
      <c r="D50" s="105"/>
      <c r="E50" s="105"/>
      <c r="F50" s="105"/>
      <c r="G50" s="105"/>
      <c r="H50" s="105"/>
      <c r="I50" s="105"/>
      <c r="J50" s="106"/>
      <c r="K50" s="105"/>
      <c r="L50" s="105"/>
      <c r="M50" s="105"/>
      <c r="N50" s="105"/>
      <c r="O50" s="105"/>
      <c r="P50" s="105"/>
      <c r="Q50" s="105"/>
      <c r="R50" s="106"/>
      <c r="S50" s="105"/>
      <c r="T50" s="105"/>
      <c r="U50" s="105"/>
      <c r="V50" s="105"/>
      <c r="W50" s="106"/>
      <c r="X50" s="105"/>
      <c r="Y50" s="105"/>
      <c r="Z50" s="105"/>
      <c r="AA50" s="105"/>
      <c r="AB50" s="106"/>
      <c r="AC50" s="105"/>
      <c r="AD50" s="105"/>
      <c r="AE50" s="105"/>
      <c r="AF50" s="105"/>
      <c r="AG50" s="105"/>
      <c r="AH50" s="105"/>
      <c r="AI50" s="106"/>
      <c r="AJ50" s="105"/>
      <c r="AK50" s="105"/>
      <c r="AL50" s="105"/>
      <c r="AM50" s="106"/>
      <c r="AN50" s="105"/>
      <c r="AO50" s="105"/>
      <c r="AP50" s="105"/>
      <c r="AQ50" s="106"/>
      <c r="AR50" s="105"/>
      <c r="AS50" s="105"/>
      <c r="AT50" s="105"/>
      <c r="AU50" s="106"/>
      <c r="AV50" s="105"/>
      <c r="AW50" s="105"/>
      <c r="AX50" s="105"/>
      <c r="AY50" s="106"/>
      <c r="AZ50" s="105"/>
      <c r="BA50" s="105"/>
      <c r="BB50" s="105"/>
      <c r="BC50" s="106"/>
    </row>
    <row r="51" spans="1:55" ht="15.75" customHeight="1">
      <c r="A51" s="105"/>
      <c r="B51" s="106"/>
      <c r="C51" s="106"/>
      <c r="D51" s="105"/>
      <c r="E51" s="105"/>
      <c r="F51" s="105"/>
      <c r="G51" s="105"/>
      <c r="H51" s="105"/>
      <c r="I51" s="105"/>
      <c r="J51" s="106"/>
      <c r="K51" s="105"/>
      <c r="L51" s="105"/>
      <c r="M51" s="105"/>
      <c r="N51" s="105"/>
      <c r="O51" s="105"/>
      <c r="P51" s="105"/>
      <c r="Q51" s="105"/>
      <c r="R51" s="106"/>
      <c r="S51" s="105"/>
      <c r="T51" s="105"/>
      <c r="U51" s="105"/>
      <c r="V51" s="105"/>
      <c r="W51" s="106"/>
      <c r="X51" s="105"/>
      <c r="Y51" s="105"/>
      <c r="Z51" s="105"/>
      <c r="AA51" s="105"/>
      <c r="AB51" s="106"/>
      <c r="AC51" s="105"/>
      <c r="AD51" s="105"/>
      <c r="AE51" s="105"/>
      <c r="AF51" s="105"/>
      <c r="AG51" s="105"/>
      <c r="AH51" s="105"/>
      <c r="AI51" s="106"/>
      <c r="AJ51" s="105"/>
      <c r="AK51" s="105"/>
      <c r="AL51" s="105"/>
      <c r="AM51" s="106"/>
      <c r="AN51" s="105"/>
      <c r="AO51" s="105"/>
      <c r="AP51" s="105"/>
      <c r="AQ51" s="106"/>
      <c r="AR51" s="105"/>
      <c r="AS51" s="105"/>
      <c r="AT51" s="105"/>
      <c r="AU51" s="106"/>
      <c r="AV51" s="105"/>
      <c r="AW51" s="105"/>
      <c r="AX51" s="105"/>
      <c r="AY51" s="106"/>
      <c r="AZ51" s="105"/>
      <c r="BA51" s="105"/>
      <c r="BB51" s="105"/>
      <c r="BC51" s="106"/>
    </row>
    <row r="52" spans="1:55" ht="15.75" customHeight="1">
      <c r="A52" s="105"/>
      <c r="B52" s="106"/>
      <c r="C52" s="106"/>
      <c r="D52" s="105"/>
      <c r="E52" s="105"/>
      <c r="F52" s="105"/>
      <c r="G52" s="105"/>
      <c r="H52" s="105"/>
      <c r="I52" s="105"/>
      <c r="J52" s="106"/>
      <c r="K52" s="105"/>
      <c r="L52" s="105"/>
      <c r="M52" s="105"/>
      <c r="N52" s="105"/>
      <c r="O52" s="105"/>
      <c r="P52" s="105"/>
      <c r="Q52" s="105"/>
      <c r="R52" s="106"/>
      <c r="S52" s="105"/>
      <c r="T52" s="105"/>
      <c r="U52" s="105"/>
      <c r="V52" s="105"/>
      <c r="W52" s="106"/>
      <c r="X52" s="105"/>
      <c r="Y52" s="105"/>
      <c r="Z52" s="105"/>
      <c r="AA52" s="105"/>
      <c r="AB52" s="106"/>
      <c r="AC52" s="105"/>
      <c r="AD52" s="105"/>
      <c r="AE52" s="105"/>
      <c r="AF52" s="105"/>
      <c r="AG52" s="105"/>
      <c r="AH52" s="105"/>
      <c r="AI52" s="106"/>
      <c r="AJ52" s="105"/>
      <c r="AK52" s="105"/>
      <c r="AL52" s="105"/>
      <c r="AM52" s="106"/>
      <c r="AN52" s="105"/>
      <c r="AO52" s="105"/>
      <c r="AP52" s="105"/>
      <c r="AQ52" s="106"/>
      <c r="AR52" s="105"/>
      <c r="AS52" s="105"/>
      <c r="AT52" s="105"/>
      <c r="AU52" s="106"/>
      <c r="AV52" s="105"/>
      <c r="AW52" s="105"/>
      <c r="AX52" s="105"/>
      <c r="AY52" s="106"/>
      <c r="AZ52" s="105"/>
      <c r="BA52" s="105"/>
      <c r="BB52" s="105"/>
      <c r="BC52" s="106"/>
    </row>
    <row r="53" spans="1:55" ht="15.75" customHeight="1">
      <c r="A53" s="105"/>
      <c r="B53" s="106"/>
      <c r="C53" s="106"/>
      <c r="D53" s="105"/>
      <c r="E53" s="105"/>
      <c r="F53" s="105"/>
      <c r="G53" s="105"/>
      <c r="H53" s="105"/>
      <c r="I53" s="105"/>
      <c r="J53" s="106"/>
      <c r="K53" s="105"/>
      <c r="L53" s="105"/>
      <c r="M53" s="105"/>
      <c r="N53" s="105"/>
      <c r="O53" s="105"/>
      <c r="P53" s="105"/>
      <c r="Q53" s="105"/>
      <c r="R53" s="106"/>
      <c r="S53" s="105"/>
      <c r="T53" s="105"/>
      <c r="U53" s="105"/>
      <c r="V53" s="105"/>
      <c r="W53" s="106"/>
      <c r="X53" s="105"/>
      <c r="Y53" s="105"/>
      <c r="Z53" s="105"/>
      <c r="AA53" s="105"/>
      <c r="AB53" s="106"/>
      <c r="AC53" s="105"/>
      <c r="AD53" s="105"/>
      <c r="AE53" s="105"/>
      <c r="AF53" s="105"/>
      <c r="AG53" s="105"/>
      <c r="AH53" s="105"/>
      <c r="AI53" s="106"/>
      <c r="AJ53" s="105"/>
      <c r="AK53" s="105"/>
      <c r="AL53" s="105"/>
      <c r="AM53" s="106"/>
      <c r="AN53" s="105"/>
      <c r="AO53" s="105"/>
      <c r="AP53" s="105"/>
      <c r="AQ53" s="106"/>
      <c r="AR53" s="105"/>
      <c r="AS53" s="105"/>
      <c r="AT53" s="105"/>
      <c r="AU53" s="106"/>
      <c r="AV53" s="105"/>
      <c r="AW53" s="105"/>
      <c r="AX53" s="105"/>
      <c r="AY53" s="106"/>
      <c r="AZ53" s="105"/>
      <c r="BA53" s="105"/>
      <c r="BB53" s="105"/>
      <c r="BC53" s="106"/>
    </row>
    <row r="54" spans="1:55" ht="15.75" customHeight="1">
      <c r="A54" s="105"/>
      <c r="B54" s="106"/>
      <c r="C54" s="106"/>
      <c r="D54" s="105"/>
      <c r="E54" s="105"/>
      <c r="F54" s="105"/>
      <c r="G54" s="105"/>
      <c r="H54" s="105"/>
      <c r="I54" s="105"/>
      <c r="J54" s="106"/>
      <c r="K54" s="105"/>
      <c r="L54" s="105"/>
      <c r="M54" s="105"/>
      <c r="N54" s="105"/>
      <c r="O54" s="105"/>
      <c r="P54" s="105"/>
      <c r="Q54" s="105"/>
      <c r="R54" s="106"/>
      <c r="S54" s="105"/>
      <c r="T54" s="105"/>
      <c r="U54" s="105"/>
      <c r="V54" s="105"/>
      <c r="W54" s="106"/>
      <c r="X54" s="105"/>
      <c r="Y54" s="105"/>
      <c r="Z54" s="105"/>
      <c r="AA54" s="105"/>
      <c r="AB54" s="106"/>
      <c r="AC54" s="105"/>
      <c r="AD54" s="105"/>
      <c r="AE54" s="105"/>
      <c r="AF54" s="105"/>
      <c r="AG54" s="105"/>
      <c r="AH54" s="105"/>
      <c r="AI54" s="106"/>
      <c r="AJ54" s="105"/>
      <c r="AK54" s="105"/>
      <c r="AL54" s="105"/>
      <c r="AM54" s="106"/>
      <c r="AN54" s="105"/>
      <c r="AO54" s="105"/>
      <c r="AP54" s="105"/>
      <c r="AQ54" s="106"/>
      <c r="AR54" s="105"/>
      <c r="AS54" s="105"/>
      <c r="AT54" s="105"/>
      <c r="AU54" s="106"/>
      <c r="AV54" s="105"/>
      <c r="AW54" s="105"/>
      <c r="AX54" s="105"/>
      <c r="AY54" s="106"/>
      <c r="AZ54" s="105"/>
      <c r="BA54" s="105"/>
      <c r="BB54" s="105"/>
      <c r="BC54" s="106"/>
    </row>
    <row r="55" spans="1:55" ht="15.75" customHeight="1">
      <c r="A55" s="105"/>
      <c r="B55" s="106"/>
      <c r="C55" s="106"/>
      <c r="D55" s="105"/>
      <c r="E55" s="105"/>
      <c r="F55" s="105"/>
      <c r="G55" s="105"/>
      <c r="H55" s="105"/>
      <c r="I55" s="105"/>
      <c r="J55" s="106"/>
      <c r="K55" s="105"/>
      <c r="L55" s="105"/>
      <c r="M55" s="105"/>
      <c r="N55" s="105"/>
      <c r="O55" s="105"/>
      <c r="P55" s="105"/>
      <c r="Q55" s="105"/>
      <c r="R55" s="106"/>
      <c r="S55" s="105"/>
      <c r="T55" s="105"/>
      <c r="U55" s="105"/>
      <c r="V55" s="105"/>
      <c r="W55" s="106"/>
      <c r="X55" s="105"/>
      <c r="Y55" s="105"/>
      <c r="Z55" s="105"/>
      <c r="AA55" s="105"/>
      <c r="AB55" s="106"/>
      <c r="AC55" s="105"/>
      <c r="AD55" s="105"/>
      <c r="AE55" s="105"/>
      <c r="AF55" s="105"/>
      <c r="AG55" s="105"/>
      <c r="AH55" s="105"/>
      <c r="AI55" s="106"/>
      <c r="AJ55" s="105"/>
      <c r="AK55" s="105"/>
      <c r="AL55" s="105"/>
      <c r="AM55" s="106"/>
      <c r="AN55" s="105"/>
      <c r="AO55" s="105"/>
      <c r="AP55" s="105"/>
      <c r="AQ55" s="106"/>
      <c r="AR55" s="105"/>
      <c r="AS55" s="105"/>
      <c r="AT55" s="105"/>
      <c r="AU55" s="106"/>
      <c r="AV55" s="105"/>
      <c r="AW55" s="105"/>
      <c r="AX55" s="105"/>
      <c r="AY55" s="106"/>
      <c r="AZ55" s="105"/>
      <c r="BA55" s="105"/>
      <c r="BB55" s="105"/>
      <c r="BC55" s="106"/>
    </row>
    <row r="56" spans="1:55" ht="15.75" customHeight="1">
      <c r="A56" s="105"/>
      <c r="B56" s="106"/>
      <c r="C56" s="106"/>
      <c r="D56" s="105"/>
      <c r="E56" s="105"/>
      <c r="F56" s="105"/>
      <c r="G56" s="105"/>
      <c r="H56" s="105"/>
      <c r="I56" s="105"/>
      <c r="J56" s="106"/>
      <c r="K56" s="105"/>
      <c r="L56" s="105"/>
      <c r="M56" s="105"/>
      <c r="N56" s="105"/>
      <c r="O56" s="105"/>
      <c r="P56" s="105"/>
      <c r="Q56" s="105"/>
      <c r="R56" s="106"/>
      <c r="S56" s="105"/>
      <c r="T56" s="105"/>
      <c r="U56" s="105"/>
      <c r="V56" s="105"/>
      <c r="W56" s="106"/>
      <c r="X56" s="105"/>
      <c r="Y56" s="105"/>
      <c r="Z56" s="105"/>
      <c r="AA56" s="105"/>
      <c r="AB56" s="106"/>
      <c r="AC56" s="105"/>
      <c r="AD56" s="105"/>
      <c r="AE56" s="105"/>
      <c r="AF56" s="105"/>
      <c r="AG56" s="105"/>
      <c r="AH56" s="105"/>
      <c r="AI56" s="106"/>
      <c r="AJ56" s="105"/>
      <c r="AK56" s="105"/>
      <c r="AL56" s="105"/>
      <c r="AM56" s="106"/>
      <c r="AN56" s="105"/>
      <c r="AO56" s="105"/>
      <c r="AP56" s="105"/>
      <c r="AQ56" s="106"/>
      <c r="AR56" s="105"/>
      <c r="AS56" s="105"/>
      <c r="AT56" s="105"/>
      <c r="AU56" s="106"/>
      <c r="AV56" s="105"/>
      <c r="AW56" s="105"/>
      <c r="AX56" s="105"/>
      <c r="AY56" s="106"/>
      <c r="AZ56" s="105"/>
      <c r="BA56" s="105"/>
      <c r="BB56" s="105"/>
      <c r="BC56" s="106"/>
    </row>
    <row r="57" spans="1:55" ht="15.75" customHeight="1">
      <c r="A57" s="105"/>
      <c r="B57" s="106"/>
      <c r="C57" s="106"/>
      <c r="D57" s="105"/>
      <c r="E57" s="105"/>
      <c r="F57" s="105"/>
      <c r="G57" s="105"/>
      <c r="H57" s="105"/>
      <c r="I57" s="105"/>
      <c r="J57" s="106"/>
      <c r="K57" s="105"/>
      <c r="L57" s="105"/>
      <c r="M57" s="105"/>
      <c r="N57" s="105"/>
      <c r="O57" s="105"/>
      <c r="P57" s="105"/>
      <c r="Q57" s="105"/>
      <c r="R57" s="106"/>
      <c r="S57" s="105"/>
      <c r="T57" s="105"/>
      <c r="U57" s="105"/>
      <c r="V57" s="105"/>
      <c r="W57" s="106"/>
      <c r="X57" s="105"/>
      <c r="Y57" s="105"/>
      <c r="Z57" s="105"/>
      <c r="AA57" s="105"/>
      <c r="AB57" s="106"/>
      <c r="AC57" s="105"/>
      <c r="AD57" s="105"/>
      <c r="AE57" s="105"/>
      <c r="AF57" s="105"/>
      <c r="AG57" s="105"/>
      <c r="AH57" s="105"/>
      <c r="AI57" s="106"/>
      <c r="AJ57" s="105"/>
      <c r="AK57" s="105"/>
      <c r="AL57" s="105"/>
      <c r="AM57" s="106"/>
      <c r="AN57" s="105"/>
      <c r="AO57" s="105"/>
      <c r="AP57" s="105"/>
      <c r="AQ57" s="106"/>
      <c r="AR57" s="105"/>
      <c r="AS57" s="105"/>
      <c r="AT57" s="105"/>
      <c r="AU57" s="106"/>
      <c r="AV57" s="105"/>
      <c r="AW57" s="105"/>
      <c r="AX57" s="105"/>
      <c r="AY57" s="106"/>
      <c r="AZ57" s="105"/>
      <c r="BA57" s="105"/>
      <c r="BB57" s="105"/>
      <c r="BC57" s="106"/>
    </row>
    <row r="58" spans="1:55" ht="15.75" customHeight="1">
      <c r="A58" s="105"/>
      <c r="B58" s="106"/>
      <c r="C58" s="106"/>
      <c r="D58" s="105"/>
      <c r="E58" s="105"/>
      <c r="F58" s="105"/>
      <c r="G58" s="105"/>
      <c r="H58" s="105"/>
      <c r="I58" s="105"/>
      <c r="J58" s="106"/>
      <c r="K58" s="105"/>
      <c r="L58" s="105"/>
      <c r="M58" s="105"/>
      <c r="N58" s="105"/>
      <c r="O58" s="105"/>
      <c r="P58" s="105"/>
      <c r="Q58" s="105"/>
      <c r="R58" s="106"/>
      <c r="S58" s="105"/>
      <c r="T58" s="105"/>
      <c r="U58" s="105"/>
      <c r="V58" s="105"/>
      <c r="W58" s="106"/>
      <c r="X58" s="105"/>
      <c r="Y58" s="105"/>
      <c r="Z58" s="105"/>
      <c r="AA58" s="105"/>
      <c r="AB58" s="106"/>
      <c r="AC58" s="105"/>
      <c r="AD58" s="105"/>
      <c r="AE58" s="105"/>
      <c r="AF58" s="105"/>
      <c r="AG58" s="105"/>
      <c r="AH58" s="105"/>
      <c r="AI58" s="106"/>
      <c r="AJ58" s="105"/>
      <c r="AK58" s="105"/>
      <c r="AL58" s="105"/>
      <c r="AM58" s="106"/>
      <c r="AN58" s="105"/>
      <c r="AO58" s="105"/>
      <c r="AP58" s="105"/>
      <c r="AQ58" s="106"/>
      <c r="AR58" s="105"/>
      <c r="AS58" s="105"/>
      <c r="AT58" s="105"/>
      <c r="AU58" s="106"/>
      <c r="AV58" s="105"/>
      <c r="AW58" s="105"/>
      <c r="AX58" s="105"/>
      <c r="AY58" s="106"/>
      <c r="AZ58" s="105"/>
      <c r="BA58" s="105"/>
      <c r="BB58" s="105"/>
      <c r="BC58" s="106"/>
    </row>
    <row r="59" spans="1:55" ht="15.75" customHeight="1">
      <c r="A59" s="105"/>
      <c r="B59" s="106"/>
      <c r="C59" s="106"/>
      <c r="D59" s="105"/>
      <c r="E59" s="105"/>
      <c r="F59" s="105"/>
      <c r="G59" s="105"/>
      <c r="H59" s="105"/>
      <c r="I59" s="105"/>
      <c r="J59" s="106"/>
      <c r="K59" s="105"/>
      <c r="L59" s="105"/>
      <c r="M59" s="105"/>
      <c r="N59" s="105"/>
      <c r="O59" s="105"/>
      <c r="P59" s="105"/>
      <c r="Q59" s="105"/>
      <c r="R59" s="106"/>
      <c r="S59" s="105"/>
      <c r="T59" s="105"/>
      <c r="U59" s="105"/>
      <c r="V59" s="105"/>
      <c r="W59" s="106"/>
      <c r="X59" s="105"/>
      <c r="Y59" s="105"/>
      <c r="Z59" s="105"/>
      <c r="AA59" s="105"/>
      <c r="AB59" s="106"/>
      <c r="AC59" s="105"/>
      <c r="AD59" s="105"/>
      <c r="AE59" s="105"/>
      <c r="AF59" s="105"/>
      <c r="AG59" s="105"/>
      <c r="AH59" s="105"/>
      <c r="AI59" s="106"/>
      <c r="AJ59" s="105"/>
      <c r="AK59" s="105"/>
      <c r="AL59" s="105"/>
      <c r="AM59" s="106"/>
      <c r="AN59" s="105"/>
      <c r="AO59" s="105"/>
      <c r="AP59" s="105"/>
      <c r="AQ59" s="106"/>
      <c r="AR59" s="105"/>
      <c r="AS59" s="105"/>
      <c r="AT59" s="105"/>
      <c r="AU59" s="106"/>
      <c r="AV59" s="105"/>
      <c r="AW59" s="105"/>
      <c r="AX59" s="105"/>
      <c r="AY59" s="106"/>
      <c r="AZ59" s="105"/>
      <c r="BA59" s="105"/>
      <c r="BB59" s="105"/>
      <c r="BC59" s="106"/>
    </row>
    <row r="60" spans="1:55" ht="15.75" customHeight="1">
      <c r="A60" s="105"/>
      <c r="B60" s="106"/>
      <c r="C60" s="106"/>
      <c r="D60" s="105"/>
      <c r="E60" s="105"/>
      <c r="F60" s="105"/>
      <c r="G60" s="105"/>
      <c r="H60" s="105"/>
      <c r="I60" s="105"/>
      <c r="J60" s="106"/>
      <c r="K60" s="105"/>
      <c r="L60" s="105"/>
      <c r="M60" s="105"/>
      <c r="N60" s="105"/>
      <c r="O60" s="105"/>
      <c r="P60" s="105"/>
      <c r="Q60" s="105"/>
      <c r="R60" s="106"/>
      <c r="S60" s="105"/>
      <c r="T60" s="105"/>
      <c r="U60" s="105"/>
      <c r="V60" s="105"/>
      <c r="W60" s="106"/>
      <c r="X60" s="105"/>
      <c r="Y60" s="105"/>
      <c r="Z60" s="105"/>
      <c r="AA60" s="105"/>
      <c r="AB60" s="106"/>
      <c r="AC60" s="105"/>
      <c r="AD60" s="105"/>
      <c r="AE60" s="105"/>
      <c r="AF60" s="105"/>
      <c r="AG60" s="105"/>
      <c r="AH60" s="105"/>
      <c r="AI60" s="106"/>
      <c r="AJ60" s="105"/>
      <c r="AK60" s="105"/>
      <c r="AL60" s="105"/>
      <c r="AM60" s="106"/>
      <c r="AN60" s="105"/>
      <c r="AO60" s="105"/>
      <c r="AP60" s="105"/>
      <c r="AQ60" s="106"/>
      <c r="AR60" s="105"/>
      <c r="AS60" s="105"/>
      <c r="AT60" s="105"/>
      <c r="AU60" s="106"/>
      <c r="AV60" s="105"/>
      <c r="AW60" s="105"/>
      <c r="AX60" s="105"/>
      <c r="AY60" s="106"/>
      <c r="AZ60" s="105"/>
      <c r="BA60" s="105"/>
      <c r="BB60" s="105"/>
      <c r="BC60" s="106"/>
    </row>
    <row r="61" spans="1:55" ht="15.75" customHeight="1">
      <c r="A61" s="105"/>
      <c r="B61" s="106"/>
      <c r="C61" s="106"/>
      <c r="D61" s="105"/>
      <c r="E61" s="105"/>
      <c r="F61" s="105"/>
      <c r="G61" s="105"/>
      <c r="H61" s="105"/>
      <c r="I61" s="105"/>
      <c r="J61" s="106"/>
      <c r="K61" s="105"/>
      <c r="L61" s="105"/>
      <c r="M61" s="105"/>
      <c r="N61" s="105"/>
      <c r="O61" s="105"/>
      <c r="P61" s="105"/>
      <c r="Q61" s="105"/>
      <c r="R61" s="106"/>
      <c r="S61" s="105"/>
      <c r="T61" s="105"/>
      <c r="U61" s="105"/>
      <c r="V61" s="105"/>
      <c r="W61" s="106"/>
      <c r="X61" s="105"/>
      <c r="Y61" s="105"/>
      <c r="Z61" s="105"/>
      <c r="AA61" s="105"/>
      <c r="AB61" s="106"/>
      <c r="AC61" s="105"/>
      <c r="AD61" s="105"/>
      <c r="AE61" s="105"/>
      <c r="AF61" s="105"/>
      <c r="AG61" s="105"/>
      <c r="AH61" s="105"/>
      <c r="AI61" s="106"/>
      <c r="AJ61" s="105"/>
      <c r="AK61" s="105"/>
      <c r="AL61" s="105"/>
      <c r="AM61" s="106"/>
      <c r="AN61" s="105"/>
      <c r="AO61" s="105"/>
      <c r="AP61" s="105"/>
      <c r="AQ61" s="106"/>
      <c r="AR61" s="105"/>
      <c r="AS61" s="105"/>
      <c r="AT61" s="105"/>
      <c r="AU61" s="106"/>
      <c r="AV61" s="105"/>
      <c r="AW61" s="105"/>
      <c r="AX61" s="105"/>
      <c r="AY61" s="106"/>
      <c r="AZ61" s="105"/>
      <c r="BA61" s="105"/>
      <c r="BB61" s="105"/>
      <c r="BC61" s="106"/>
    </row>
    <row r="62" spans="1:55" ht="15.75" customHeight="1">
      <c r="A62" s="105"/>
      <c r="B62" s="106"/>
      <c r="C62" s="106"/>
      <c r="D62" s="105"/>
      <c r="E62" s="105"/>
      <c r="F62" s="105"/>
      <c r="G62" s="105"/>
      <c r="H62" s="105"/>
      <c r="I62" s="105"/>
      <c r="J62" s="106"/>
      <c r="K62" s="105"/>
      <c r="L62" s="105"/>
      <c r="M62" s="105"/>
      <c r="N62" s="105"/>
      <c r="O62" s="105"/>
      <c r="P62" s="105"/>
      <c r="Q62" s="105"/>
      <c r="R62" s="106"/>
      <c r="S62" s="105"/>
      <c r="T62" s="105"/>
      <c r="U62" s="105"/>
      <c r="V62" s="105"/>
      <c r="W62" s="106"/>
      <c r="X62" s="105"/>
      <c r="Y62" s="105"/>
      <c r="Z62" s="105"/>
      <c r="AA62" s="105"/>
      <c r="AB62" s="106"/>
      <c r="AC62" s="105"/>
      <c r="AD62" s="105"/>
      <c r="AE62" s="105"/>
      <c r="AF62" s="105"/>
      <c r="AG62" s="105"/>
      <c r="AH62" s="105"/>
      <c r="AI62" s="106"/>
      <c r="AJ62" s="105"/>
      <c r="AK62" s="105"/>
      <c r="AL62" s="105"/>
      <c r="AM62" s="106"/>
      <c r="AN62" s="105"/>
      <c r="AO62" s="105"/>
      <c r="AP62" s="105"/>
      <c r="AQ62" s="106"/>
      <c r="AR62" s="105"/>
      <c r="AS62" s="105"/>
      <c r="AT62" s="105"/>
      <c r="AU62" s="106"/>
      <c r="AV62" s="105"/>
      <c r="AW62" s="105"/>
      <c r="AX62" s="105"/>
      <c r="AY62" s="106"/>
      <c r="AZ62" s="105"/>
      <c r="BA62" s="105"/>
      <c r="BB62" s="105"/>
      <c r="BC62" s="106"/>
    </row>
    <row r="63" spans="1:55" ht="15.75" customHeight="1">
      <c r="A63" s="105"/>
      <c r="B63" s="106"/>
      <c r="C63" s="106"/>
      <c r="D63" s="105"/>
      <c r="E63" s="105"/>
      <c r="F63" s="105"/>
      <c r="G63" s="105"/>
      <c r="H63" s="105"/>
      <c r="I63" s="105"/>
      <c r="J63" s="106"/>
      <c r="K63" s="105"/>
      <c r="L63" s="105"/>
      <c r="M63" s="105"/>
      <c r="N63" s="105"/>
      <c r="O63" s="105"/>
      <c r="P63" s="105"/>
      <c r="Q63" s="105"/>
      <c r="R63" s="106"/>
      <c r="S63" s="105"/>
      <c r="T63" s="105"/>
      <c r="U63" s="105"/>
      <c r="V63" s="105"/>
      <c r="W63" s="106"/>
      <c r="X63" s="105"/>
      <c r="Y63" s="105"/>
      <c r="Z63" s="105"/>
      <c r="AA63" s="105"/>
      <c r="AB63" s="106"/>
      <c r="AC63" s="105"/>
      <c r="AD63" s="105"/>
      <c r="AE63" s="105"/>
      <c r="AF63" s="105"/>
      <c r="AG63" s="105"/>
      <c r="AH63" s="105"/>
      <c r="AI63" s="106"/>
      <c r="AJ63" s="105"/>
      <c r="AK63" s="105"/>
      <c r="AL63" s="105"/>
      <c r="AM63" s="106"/>
      <c r="AN63" s="105"/>
      <c r="AO63" s="105"/>
      <c r="AP63" s="105"/>
      <c r="AQ63" s="106"/>
      <c r="AR63" s="105"/>
      <c r="AS63" s="105"/>
      <c r="AT63" s="105"/>
      <c r="AU63" s="106"/>
      <c r="AV63" s="105"/>
      <c r="AW63" s="105"/>
      <c r="AX63" s="105"/>
      <c r="AY63" s="106"/>
      <c r="AZ63" s="105"/>
      <c r="BA63" s="105"/>
      <c r="BB63" s="105"/>
      <c r="BC63" s="106"/>
    </row>
    <row r="64" spans="1:55" ht="15.75" customHeight="1">
      <c r="A64" s="105"/>
      <c r="B64" s="106"/>
      <c r="C64" s="106"/>
      <c r="D64" s="105"/>
      <c r="E64" s="105"/>
      <c r="F64" s="105"/>
      <c r="G64" s="105"/>
      <c r="H64" s="105"/>
      <c r="I64" s="105"/>
      <c r="J64" s="106"/>
      <c r="K64" s="105"/>
      <c r="L64" s="105"/>
      <c r="M64" s="105"/>
      <c r="N64" s="105"/>
      <c r="O64" s="105"/>
      <c r="P64" s="105"/>
      <c r="Q64" s="105"/>
      <c r="R64" s="106"/>
      <c r="S64" s="105"/>
      <c r="T64" s="105"/>
      <c r="U64" s="105"/>
      <c r="V64" s="105"/>
      <c r="W64" s="106"/>
      <c r="X64" s="105"/>
      <c r="Y64" s="105"/>
      <c r="Z64" s="105"/>
      <c r="AA64" s="105"/>
      <c r="AB64" s="106"/>
      <c r="AC64" s="105"/>
      <c r="AD64" s="105"/>
      <c r="AE64" s="105"/>
      <c r="AF64" s="105"/>
      <c r="AG64" s="105"/>
      <c r="AH64" s="105"/>
      <c r="AI64" s="106"/>
      <c r="AJ64" s="105"/>
      <c r="AK64" s="105"/>
      <c r="AL64" s="105"/>
      <c r="AM64" s="106"/>
      <c r="AN64" s="105"/>
      <c r="AO64" s="105"/>
      <c r="AP64" s="105"/>
      <c r="AQ64" s="106"/>
      <c r="AR64" s="105"/>
      <c r="AS64" s="105"/>
      <c r="AT64" s="105"/>
      <c r="AU64" s="106"/>
      <c r="AV64" s="105"/>
      <c r="AW64" s="105"/>
      <c r="AX64" s="105"/>
      <c r="AY64" s="106"/>
      <c r="AZ64" s="105"/>
      <c r="BA64" s="105"/>
      <c r="BB64" s="105"/>
      <c r="BC64" s="106"/>
    </row>
    <row r="65" spans="1:298" ht="15.75" customHeight="1">
      <c r="A65" s="105"/>
      <c r="B65" s="106"/>
      <c r="C65" s="106"/>
      <c r="D65" s="105"/>
      <c r="E65" s="105"/>
      <c r="F65" s="105"/>
      <c r="G65" s="105"/>
      <c r="H65" s="105"/>
      <c r="I65" s="105"/>
      <c r="J65" s="106"/>
      <c r="K65" s="105"/>
      <c r="L65" s="105"/>
      <c r="M65" s="105"/>
      <c r="N65" s="105"/>
      <c r="O65" s="105"/>
      <c r="P65" s="105"/>
      <c r="Q65" s="105"/>
      <c r="R65" s="106"/>
      <c r="S65" s="105"/>
      <c r="T65" s="105"/>
      <c r="U65" s="105"/>
      <c r="V65" s="105"/>
      <c r="W65" s="106"/>
      <c r="X65" s="105"/>
      <c r="Y65" s="105"/>
      <c r="Z65" s="105"/>
      <c r="AA65" s="105"/>
      <c r="AB65" s="106"/>
      <c r="AC65" s="105"/>
      <c r="AD65" s="105"/>
      <c r="AE65" s="105"/>
      <c r="AF65" s="105"/>
      <c r="AG65" s="105"/>
      <c r="AH65" s="105"/>
      <c r="AI65" s="106"/>
      <c r="AJ65" s="105"/>
      <c r="AK65" s="105"/>
      <c r="AL65" s="105"/>
      <c r="AM65" s="106"/>
      <c r="AN65" s="105"/>
      <c r="AO65" s="105"/>
      <c r="AP65" s="105"/>
      <c r="AQ65" s="106"/>
      <c r="AR65" s="105"/>
      <c r="AS65" s="105"/>
      <c r="AT65" s="105"/>
      <c r="AU65" s="106"/>
      <c r="AV65" s="105"/>
      <c r="AW65" s="105"/>
      <c r="AX65" s="105"/>
      <c r="AY65" s="106"/>
      <c r="AZ65" s="105"/>
      <c r="BA65" s="105"/>
      <c r="BB65" s="105"/>
      <c r="BC65" s="106"/>
    </row>
    <row r="66" spans="1:298" ht="15.75" customHeight="1">
      <c r="A66" s="105"/>
      <c r="B66" s="106"/>
      <c r="C66" s="106"/>
      <c r="D66" s="105"/>
      <c r="E66" s="105"/>
      <c r="F66" s="105"/>
      <c r="G66" s="105"/>
      <c r="H66" s="105"/>
      <c r="I66" s="105"/>
      <c r="J66" s="106"/>
      <c r="K66" s="105"/>
      <c r="L66" s="105"/>
      <c r="M66" s="105"/>
      <c r="N66" s="105"/>
      <c r="O66" s="105"/>
      <c r="P66" s="105"/>
      <c r="Q66" s="105"/>
      <c r="R66" s="106"/>
      <c r="S66" s="105"/>
      <c r="T66" s="105"/>
      <c r="U66" s="105"/>
      <c r="V66" s="105"/>
      <c r="W66" s="106"/>
      <c r="X66" s="105"/>
      <c r="Y66" s="105"/>
      <c r="Z66" s="105"/>
      <c r="AA66" s="105"/>
      <c r="AB66" s="106"/>
      <c r="AC66" s="105"/>
      <c r="AD66" s="105"/>
      <c r="AE66" s="105"/>
      <c r="AF66" s="105"/>
      <c r="AG66" s="105"/>
      <c r="AH66" s="105"/>
      <c r="AI66" s="106"/>
      <c r="AJ66" s="105"/>
      <c r="AK66" s="105"/>
      <c r="AL66" s="105"/>
      <c r="AM66" s="106"/>
      <c r="AN66" s="105"/>
      <c r="AO66" s="105"/>
      <c r="AP66" s="105"/>
      <c r="AQ66" s="106"/>
      <c r="AR66" s="105"/>
      <c r="AS66" s="105"/>
      <c r="AT66" s="105"/>
      <c r="AU66" s="106"/>
      <c r="AV66" s="105"/>
      <c r="AW66" s="105"/>
      <c r="AX66" s="105"/>
      <c r="AY66" s="106"/>
      <c r="AZ66" s="105"/>
      <c r="BA66" s="105"/>
      <c r="BB66" s="105"/>
      <c r="BC66" s="106"/>
    </row>
    <row r="67" spans="1:298" ht="15.75" customHeight="1">
      <c r="A67" s="105"/>
      <c r="B67" s="106"/>
      <c r="C67" s="106"/>
      <c r="D67" s="105"/>
      <c r="E67" s="105"/>
      <c r="F67" s="105"/>
      <c r="G67" s="105"/>
      <c r="H67" s="105"/>
      <c r="I67" s="105"/>
      <c r="J67" s="106"/>
      <c r="K67" s="105"/>
      <c r="L67" s="105"/>
      <c r="M67" s="105"/>
      <c r="N67" s="105"/>
      <c r="O67" s="105"/>
      <c r="P67" s="105"/>
      <c r="Q67" s="105"/>
      <c r="R67" s="106"/>
      <c r="S67" s="105"/>
      <c r="T67" s="105"/>
      <c r="U67" s="105"/>
      <c r="V67" s="105"/>
      <c r="W67" s="106"/>
      <c r="X67" s="105"/>
      <c r="Y67" s="105"/>
      <c r="Z67" s="105"/>
      <c r="AA67" s="105"/>
      <c r="AB67" s="106"/>
      <c r="AC67" s="105"/>
      <c r="AD67" s="105"/>
      <c r="AE67" s="105"/>
      <c r="AF67" s="105"/>
      <c r="AG67" s="105"/>
      <c r="AH67" s="105"/>
      <c r="AI67" s="106"/>
      <c r="AJ67" s="105"/>
      <c r="AK67" s="105"/>
      <c r="AL67" s="105"/>
      <c r="AM67" s="106"/>
      <c r="AN67" s="105"/>
      <c r="AO67" s="105"/>
      <c r="AP67" s="105"/>
      <c r="AQ67" s="106"/>
      <c r="AR67" s="105"/>
      <c r="AS67" s="105"/>
      <c r="AT67" s="105"/>
      <c r="AU67" s="106"/>
      <c r="AV67" s="105"/>
      <c r="AW67" s="105"/>
      <c r="AX67" s="105"/>
      <c r="AY67" s="106"/>
      <c r="AZ67" s="105"/>
      <c r="BA67" s="105"/>
      <c r="BB67" s="105"/>
      <c r="BC67" s="106"/>
    </row>
    <row r="68" spans="1:298" ht="15.75" customHeight="1">
      <c r="A68" s="105"/>
      <c r="B68" s="106"/>
      <c r="C68" s="106"/>
      <c r="D68" s="105"/>
      <c r="E68" s="105"/>
      <c r="F68" s="105"/>
      <c r="G68" s="105"/>
      <c r="H68" s="105"/>
      <c r="I68" s="105"/>
      <c r="J68" s="106"/>
      <c r="K68" s="105"/>
      <c r="L68" s="105"/>
      <c r="M68" s="105"/>
      <c r="N68" s="105"/>
      <c r="O68" s="105"/>
      <c r="P68" s="105"/>
      <c r="Q68" s="105"/>
      <c r="R68" s="106"/>
      <c r="S68" s="105"/>
      <c r="T68" s="105"/>
      <c r="U68" s="105"/>
      <c r="V68" s="105"/>
      <c r="W68" s="106"/>
      <c r="X68" s="105"/>
      <c r="Y68" s="105"/>
      <c r="Z68" s="105"/>
      <c r="AA68" s="105"/>
      <c r="AB68" s="106"/>
      <c r="AC68" s="105"/>
      <c r="AD68" s="105"/>
      <c r="AE68" s="105"/>
      <c r="AF68" s="105"/>
      <c r="AG68" s="105"/>
      <c r="AH68" s="105"/>
      <c r="AI68" s="106"/>
      <c r="AJ68" s="105"/>
      <c r="AK68" s="105"/>
      <c r="AL68" s="105"/>
      <c r="AM68" s="106"/>
      <c r="AN68" s="105"/>
      <c r="AO68" s="105"/>
      <c r="AP68" s="105"/>
      <c r="AQ68" s="106"/>
      <c r="AR68" s="105"/>
      <c r="AS68" s="105"/>
      <c r="AT68" s="105"/>
      <c r="AU68" s="106"/>
      <c r="AV68" s="105"/>
      <c r="AW68" s="105"/>
      <c r="AX68" s="105"/>
      <c r="AY68" s="106"/>
      <c r="AZ68" s="105"/>
      <c r="BA68" s="105"/>
      <c r="BB68" s="105"/>
      <c r="BC68" s="106"/>
    </row>
    <row r="69" spans="1:298" ht="15.75" customHeight="1">
      <c r="A69" s="105"/>
      <c r="B69" s="106"/>
      <c r="C69" s="106"/>
      <c r="D69" s="105"/>
      <c r="E69" s="105"/>
      <c r="F69" s="105"/>
      <c r="G69" s="105"/>
      <c r="H69" s="105"/>
      <c r="I69" s="105"/>
      <c r="J69" s="106"/>
      <c r="K69" s="105"/>
      <c r="L69" s="105"/>
      <c r="M69" s="105"/>
      <c r="N69" s="105"/>
      <c r="O69" s="105"/>
      <c r="P69" s="105"/>
      <c r="Q69" s="105"/>
      <c r="R69" s="106"/>
      <c r="S69" s="105"/>
      <c r="T69" s="105"/>
      <c r="U69" s="105"/>
      <c r="V69" s="105"/>
      <c r="W69" s="106"/>
      <c r="X69" s="105"/>
      <c r="Y69" s="105"/>
      <c r="Z69" s="105"/>
      <c r="AA69" s="105"/>
      <c r="AB69" s="106"/>
      <c r="AC69" s="105"/>
      <c r="AD69" s="105"/>
      <c r="AE69" s="105"/>
      <c r="AF69" s="105"/>
      <c r="AG69" s="105"/>
      <c r="AH69" s="105"/>
      <c r="AI69" s="106"/>
      <c r="AJ69" s="105"/>
      <c r="AK69" s="105"/>
      <c r="AL69" s="105"/>
      <c r="AM69" s="106"/>
      <c r="AN69" s="105"/>
      <c r="AO69" s="105"/>
      <c r="AP69" s="105"/>
      <c r="AQ69" s="106"/>
      <c r="AR69" s="105"/>
      <c r="AS69" s="105"/>
      <c r="AT69" s="105"/>
      <c r="AU69" s="106"/>
      <c r="AV69" s="105"/>
      <c r="AW69" s="105"/>
      <c r="AX69" s="105"/>
      <c r="AY69" s="106"/>
      <c r="AZ69" s="105"/>
      <c r="BA69" s="105"/>
      <c r="BB69" s="105"/>
      <c r="BC69" s="106"/>
    </row>
    <row r="70" spans="1:298" ht="60.5">
      <c r="B70" s="108" t="s">
        <v>27</v>
      </c>
      <c r="C70" s="108"/>
      <c r="D70" s="109"/>
      <c r="E70" s="109"/>
      <c r="F70" s="110"/>
      <c r="G70" s="109"/>
      <c r="H70" s="109"/>
      <c r="I70" s="109"/>
      <c r="J70" s="111"/>
      <c r="K70" s="109"/>
      <c r="L70" s="109"/>
      <c r="M70" s="109"/>
      <c r="N70" s="109"/>
      <c r="O70" s="109"/>
      <c r="P70" s="109"/>
      <c r="Q70" s="109"/>
      <c r="R70" s="111"/>
      <c r="S70" s="109"/>
      <c r="T70" s="109"/>
      <c r="U70" s="109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4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12"/>
      <c r="AV70" s="112"/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  <c r="BR70" s="112"/>
      <c r="BS70" s="112"/>
      <c r="BT70" s="112"/>
      <c r="BU70" s="112"/>
      <c r="BV70" s="112"/>
      <c r="BW70" s="112"/>
      <c r="BX70" s="112"/>
      <c r="BY70" s="112"/>
      <c r="BZ70" s="112"/>
      <c r="CA70" s="112"/>
      <c r="CB70" s="112"/>
      <c r="CC70" s="112"/>
      <c r="CD70" s="112"/>
      <c r="CE70" s="112"/>
      <c r="CF70" s="112"/>
      <c r="CG70" s="112"/>
      <c r="CH70" s="112"/>
      <c r="CI70" s="112"/>
      <c r="CJ70" s="112"/>
      <c r="CK70" s="112"/>
      <c r="CL70" s="112"/>
      <c r="CM70" s="112"/>
      <c r="CN70" s="112"/>
      <c r="CO70" s="112"/>
      <c r="CP70" s="112"/>
      <c r="CQ70" s="112"/>
      <c r="CR70" s="112"/>
      <c r="CS70" s="112"/>
      <c r="CT70" s="112"/>
      <c r="CU70" s="112"/>
      <c r="CV70" s="112"/>
      <c r="CW70" s="112"/>
      <c r="CX70" s="112"/>
      <c r="CY70" s="112"/>
      <c r="CZ70" s="112"/>
      <c r="DA70" s="112"/>
      <c r="DB70" s="112"/>
      <c r="DC70" s="112"/>
      <c r="DD70" s="112"/>
      <c r="DE70" s="112"/>
      <c r="DF70" s="112"/>
      <c r="DG70" s="112"/>
      <c r="DH70" s="112"/>
      <c r="DI70" s="112"/>
      <c r="DJ70" s="112"/>
      <c r="DK70" s="112"/>
      <c r="DL70" s="112"/>
      <c r="DM70" s="112"/>
      <c r="DN70" s="112"/>
      <c r="DO70" s="112"/>
      <c r="DP70" s="112"/>
      <c r="DQ70" s="112"/>
      <c r="DR70" s="112"/>
      <c r="DS70" s="112"/>
      <c r="DT70" s="112"/>
      <c r="DU70" s="112"/>
      <c r="DV70" s="112"/>
      <c r="DW70" s="112"/>
      <c r="DX70" s="112"/>
      <c r="DY70" s="112"/>
      <c r="DZ70" s="112"/>
      <c r="EA70" s="112"/>
      <c r="EB70" s="112"/>
      <c r="EC70" s="112"/>
      <c r="ED70" s="112"/>
      <c r="EE70" s="112"/>
      <c r="EF70" s="112"/>
      <c r="EG70" s="112"/>
      <c r="EH70" s="112"/>
      <c r="EI70" s="112"/>
      <c r="EJ70" s="112"/>
      <c r="EK70" s="112"/>
      <c r="EL70" s="112"/>
      <c r="EM70" s="112"/>
      <c r="EN70" s="112"/>
      <c r="EO70" s="112"/>
      <c r="EP70" s="112"/>
      <c r="EQ70" s="112"/>
      <c r="ER70" s="112"/>
      <c r="ES70" s="112"/>
      <c r="ET70" s="112"/>
      <c r="EU70" s="112"/>
      <c r="EV70" s="112"/>
      <c r="EW70" s="112"/>
      <c r="EX70" s="112"/>
      <c r="EY70" s="112"/>
      <c r="EZ70" s="112"/>
      <c r="FA70" s="112"/>
      <c r="FB70" s="112"/>
      <c r="FC70" s="112"/>
      <c r="FD70" s="112"/>
      <c r="FE70" s="112"/>
      <c r="FF70" s="112"/>
      <c r="FG70" s="112"/>
      <c r="FH70" s="112"/>
      <c r="FI70" s="112"/>
      <c r="FJ70" s="112"/>
      <c r="FK70" s="112"/>
      <c r="FL70" s="112"/>
      <c r="FM70" s="112"/>
      <c r="FN70" s="112"/>
      <c r="FO70" s="112"/>
      <c r="FP70" s="112"/>
      <c r="FQ70" s="112"/>
      <c r="FR70" s="112"/>
      <c r="FS70" s="112"/>
      <c r="FT70" s="112"/>
      <c r="FU70" s="112"/>
      <c r="FV70" s="112"/>
      <c r="FW70" s="112"/>
      <c r="FX70" s="112"/>
      <c r="FY70" s="112"/>
      <c r="FZ70" s="112"/>
      <c r="GA70" s="112"/>
      <c r="GB70" s="112"/>
      <c r="GC70" s="112"/>
      <c r="GD70" s="112"/>
      <c r="GE70" s="112"/>
      <c r="GF70" s="112"/>
      <c r="GG70" s="112"/>
      <c r="GH70" s="112"/>
      <c r="GI70" s="112"/>
      <c r="GJ70" s="112"/>
      <c r="GK70" s="112"/>
      <c r="GL70" s="112"/>
      <c r="GM70" s="112"/>
      <c r="GN70" s="112"/>
      <c r="GO70" s="112"/>
      <c r="GP70" s="112"/>
      <c r="GQ70" s="112"/>
      <c r="GR70" s="112"/>
      <c r="GS70" s="112"/>
      <c r="GT70" s="112"/>
      <c r="GU70" s="112"/>
      <c r="GV70" s="112"/>
      <c r="GW70" s="112"/>
      <c r="GX70" s="112"/>
      <c r="GY70" s="112"/>
      <c r="GZ70" s="112"/>
      <c r="HA70" s="112"/>
      <c r="HB70" s="112"/>
      <c r="HC70" s="112"/>
      <c r="HD70" s="112"/>
      <c r="HE70" s="112"/>
      <c r="HF70" s="112"/>
      <c r="HG70" s="112"/>
      <c r="HH70" s="112"/>
      <c r="HI70" s="112"/>
      <c r="HJ70" s="112"/>
      <c r="HK70" s="112"/>
      <c r="HL70" s="112"/>
      <c r="HM70" s="112"/>
      <c r="HN70" s="112"/>
      <c r="HO70" s="112"/>
      <c r="HP70" s="112"/>
      <c r="HQ70" s="112"/>
      <c r="HR70" s="112"/>
      <c r="HS70" s="112"/>
      <c r="HT70" s="112"/>
      <c r="HU70" s="112"/>
      <c r="HV70" s="112"/>
      <c r="HW70" s="112"/>
      <c r="HX70" s="112"/>
      <c r="HY70" s="112"/>
      <c r="HZ70" s="112"/>
      <c r="IA70" s="112"/>
      <c r="IB70" s="112"/>
      <c r="IC70" s="112"/>
      <c r="ID70" s="112"/>
      <c r="IE70" s="112"/>
      <c r="IF70" s="112"/>
      <c r="IG70" s="112"/>
      <c r="IH70" s="112"/>
      <c r="II70" s="112"/>
      <c r="IJ70" s="112"/>
      <c r="IK70" s="112"/>
      <c r="IL70" s="112"/>
      <c r="IM70" s="112"/>
      <c r="IN70" s="112"/>
      <c r="IO70" s="112"/>
      <c r="IP70" s="112"/>
      <c r="IQ70" s="112"/>
      <c r="IR70" s="112"/>
      <c r="IS70" s="112"/>
      <c r="IT70" s="112"/>
      <c r="IU70" s="112"/>
      <c r="IV70" s="112"/>
      <c r="IW70" s="112"/>
      <c r="IX70" s="112"/>
      <c r="IY70" s="112"/>
      <c r="IZ70" s="112"/>
      <c r="JA70" s="112"/>
      <c r="JB70" s="112"/>
      <c r="JC70" s="112"/>
      <c r="JD70" s="112"/>
      <c r="JE70" s="112"/>
      <c r="JF70" s="112"/>
      <c r="JG70" s="112"/>
      <c r="JH70" s="112"/>
      <c r="JI70" s="112"/>
      <c r="JJ70" s="112"/>
      <c r="JK70" s="112"/>
      <c r="JL70" s="112"/>
      <c r="JM70" s="112"/>
      <c r="JN70" s="112"/>
      <c r="JO70" s="112"/>
      <c r="JP70" s="112"/>
      <c r="JQ70" s="112"/>
      <c r="JR70" s="112"/>
      <c r="JS70" s="112"/>
      <c r="JT70" s="112"/>
      <c r="JU70" s="112"/>
      <c r="JV70" s="112"/>
      <c r="JW70" s="112"/>
      <c r="JX70" s="112"/>
      <c r="JY70" s="112"/>
      <c r="JZ70" s="112"/>
      <c r="KA70" s="112"/>
      <c r="KB70" s="112"/>
      <c r="KC70" s="112"/>
      <c r="KD70" s="112"/>
      <c r="KE70" s="112"/>
      <c r="KF70" s="112"/>
      <c r="KG70" s="112"/>
      <c r="KH70" s="112"/>
      <c r="KI70" s="112"/>
      <c r="KJ70" s="112"/>
      <c r="KK70" s="112"/>
      <c r="KL70" s="112"/>
    </row>
    <row r="71" spans="1:298" ht="15.75" customHeight="1"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AF71" s="105"/>
    </row>
    <row r="72" spans="1:298" ht="15.75" customHeight="1"/>
    <row r="73" spans="1:298" ht="15.75" customHeight="1">
      <c r="AG73" s="115"/>
      <c r="AH73" s="116"/>
      <c r="AI73" s="117"/>
      <c r="AJ73" s="116"/>
      <c r="AK73" s="116"/>
      <c r="AL73" s="115"/>
      <c r="AM73" s="116"/>
      <c r="AN73" s="117"/>
      <c r="BF73" s="116"/>
      <c r="BG73" s="118"/>
      <c r="BH73" s="119"/>
      <c r="BI73" s="120"/>
      <c r="BJ73" s="105"/>
      <c r="BK73" s="118"/>
      <c r="BL73" s="119"/>
      <c r="BM73" s="120"/>
      <c r="BN73" s="119"/>
      <c r="BZ73" s="115"/>
      <c r="CA73" s="115"/>
      <c r="CB73" s="116"/>
      <c r="CC73" s="117"/>
      <c r="CD73" s="116"/>
      <c r="CE73" s="116"/>
      <c r="DJ73" s="115"/>
      <c r="DK73" s="116"/>
      <c r="DL73" s="117"/>
      <c r="DM73" s="116"/>
      <c r="DN73" s="116"/>
    </row>
    <row r="74" spans="1:298" ht="15.75" customHeight="1">
      <c r="AG74" s="105"/>
      <c r="AH74" s="105"/>
      <c r="AI74" s="105"/>
      <c r="AJ74" s="105"/>
      <c r="AK74" s="105"/>
      <c r="AL74" s="105"/>
      <c r="AM74" s="105"/>
      <c r="AN74" s="105"/>
      <c r="BF74" s="105"/>
      <c r="BG74" s="105"/>
      <c r="BH74" s="105"/>
      <c r="BI74" s="105"/>
      <c r="BJ74" s="105"/>
      <c r="BK74" s="105"/>
      <c r="BL74" s="105"/>
      <c r="BM74" s="105"/>
      <c r="BN74" s="105"/>
      <c r="BZ74" s="105"/>
      <c r="CA74" s="105"/>
      <c r="CB74" s="105"/>
      <c r="CC74" s="105"/>
      <c r="CD74" s="105"/>
      <c r="CE74" s="105"/>
      <c r="DJ74" s="105"/>
      <c r="DK74" s="105"/>
      <c r="DL74" s="105"/>
      <c r="DM74" s="105"/>
      <c r="DN74" s="105"/>
    </row>
    <row r="75" spans="1:298" ht="15.75" customHeight="1"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Z75" s="121"/>
      <c r="CA75" s="121"/>
      <c r="CB75" s="121"/>
      <c r="CC75" s="121"/>
      <c r="CD75" s="121"/>
      <c r="CE75" s="121"/>
      <c r="DJ75" s="121"/>
      <c r="DK75" s="121"/>
      <c r="DL75" s="121"/>
      <c r="DM75" s="121"/>
      <c r="DN75" s="121"/>
    </row>
    <row r="76" spans="1:298" ht="15.75" customHeight="1"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Z76" s="121"/>
      <c r="CA76" s="121"/>
      <c r="CB76" s="121"/>
      <c r="CC76" s="121"/>
      <c r="CD76" s="121"/>
      <c r="CE76" s="121"/>
      <c r="DJ76" s="121"/>
      <c r="DK76" s="121"/>
      <c r="DL76" s="121"/>
      <c r="DM76" s="121"/>
      <c r="DN76" s="121"/>
    </row>
    <row r="77" spans="1:298" ht="15.75" customHeight="1"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Z77" s="121"/>
      <c r="CA77" s="121"/>
      <c r="CB77" s="121"/>
      <c r="CC77" s="121"/>
      <c r="CD77" s="121"/>
      <c r="CE77" s="121"/>
      <c r="DJ77" s="121"/>
      <c r="DK77" s="121"/>
      <c r="DL77" s="121"/>
      <c r="DM77" s="121"/>
      <c r="DN77" s="121"/>
    </row>
    <row r="78" spans="1:298" ht="15.75" customHeight="1"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Z78" s="121"/>
      <c r="CA78" s="121"/>
      <c r="CB78" s="121"/>
      <c r="CC78" s="121"/>
      <c r="CD78" s="121"/>
      <c r="CE78" s="121"/>
      <c r="DJ78" s="121"/>
      <c r="DK78" s="121"/>
      <c r="DL78" s="121"/>
      <c r="DM78" s="121"/>
      <c r="DN78" s="121"/>
    </row>
    <row r="79" spans="1:298" ht="15.75" customHeight="1"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Z79" s="121"/>
      <c r="CA79" s="121"/>
      <c r="CB79" s="121"/>
      <c r="CC79" s="121"/>
      <c r="CD79" s="121"/>
      <c r="CE79" s="121"/>
      <c r="DJ79" s="121"/>
      <c r="DK79" s="121"/>
      <c r="DL79" s="121"/>
      <c r="DM79" s="121"/>
      <c r="DN79" s="121"/>
    </row>
    <row r="80" spans="1:298" ht="15.75" customHeight="1">
      <c r="AG80" s="121"/>
      <c r="AH80" s="121"/>
      <c r="AI80" s="121"/>
      <c r="AJ80" s="121"/>
      <c r="AK80" s="121"/>
      <c r="AL80" s="121"/>
      <c r="AM80" s="121"/>
      <c r="AN80" s="121"/>
      <c r="AO80" s="121"/>
      <c r="AP80" s="121"/>
      <c r="AQ80" s="121"/>
      <c r="AR80" s="121"/>
      <c r="AS80" s="121"/>
      <c r="AT80" s="121"/>
      <c r="AU80" s="121"/>
      <c r="AV80" s="121"/>
      <c r="AW80" s="121"/>
      <c r="AX80" s="121"/>
      <c r="AY80" s="121"/>
      <c r="AZ80" s="121"/>
      <c r="BA80" s="121"/>
      <c r="BB80" s="121"/>
      <c r="BC80" s="121"/>
      <c r="BZ80" s="121"/>
      <c r="CA80" s="121"/>
      <c r="CB80" s="121"/>
      <c r="CC80" s="121"/>
      <c r="CD80" s="121"/>
      <c r="CE80" s="121"/>
      <c r="DJ80" s="121"/>
      <c r="DK80" s="121"/>
      <c r="DL80" s="121"/>
      <c r="DM80" s="121"/>
      <c r="DN80" s="121"/>
    </row>
    <row r="81" spans="33:118" ht="15.75" customHeight="1"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Z81" s="121"/>
      <c r="CA81" s="121"/>
      <c r="CB81" s="121"/>
      <c r="CC81" s="121"/>
      <c r="CD81" s="121"/>
      <c r="CE81" s="121"/>
      <c r="DJ81" s="121"/>
      <c r="DK81" s="121"/>
      <c r="DL81" s="121"/>
      <c r="DM81" s="121"/>
      <c r="DN81" s="121"/>
    </row>
    <row r="82" spans="33:118" ht="15.75" customHeight="1"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Z82" s="121"/>
      <c r="CA82" s="121"/>
      <c r="CB82" s="121"/>
      <c r="CC82" s="121"/>
      <c r="CD82" s="121"/>
      <c r="CE82" s="121"/>
      <c r="DJ82" s="121"/>
      <c r="DK82" s="121"/>
      <c r="DL82" s="121"/>
      <c r="DM82" s="121"/>
      <c r="DN82" s="121"/>
    </row>
    <row r="83" spans="33:118" ht="15.75" customHeight="1"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Z83" s="121"/>
      <c r="CA83" s="121"/>
      <c r="CB83" s="121"/>
      <c r="CC83" s="121"/>
      <c r="CD83" s="121"/>
      <c r="CE83" s="121"/>
      <c r="DJ83" s="121"/>
      <c r="DK83" s="121"/>
      <c r="DL83" s="121"/>
      <c r="DM83" s="121"/>
      <c r="DN83" s="121"/>
    </row>
    <row r="84" spans="33:118" ht="15.75" customHeight="1"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Z84" s="121"/>
      <c r="CA84" s="121"/>
      <c r="CB84" s="121"/>
      <c r="CC84" s="121"/>
      <c r="CD84" s="121"/>
      <c r="CE84" s="121"/>
      <c r="DJ84" s="121"/>
      <c r="DK84" s="121"/>
      <c r="DL84" s="121"/>
      <c r="DM84" s="121"/>
      <c r="DN84" s="121"/>
    </row>
    <row r="85" spans="33:118" ht="15.75" customHeight="1"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Z85" s="121"/>
      <c r="CA85" s="121"/>
      <c r="CB85" s="121"/>
      <c r="CC85" s="121"/>
      <c r="CD85" s="121"/>
      <c r="CE85" s="121"/>
      <c r="DJ85" s="121"/>
      <c r="DK85" s="121"/>
      <c r="DL85" s="121"/>
      <c r="DM85" s="121"/>
      <c r="DN85" s="121"/>
    </row>
    <row r="86" spans="33:118" ht="15.75" customHeight="1"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Z86" s="121"/>
      <c r="CA86" s="121"/>
      <c r="CB86" s="121"/>
      <c r="CC86" s="121"/>
      <c r="CD86" s="121"/>
      <c r="CE86" s="121"/>
      <c r="DJ86" s="121"/>
      <c r="DK86" s="121"/>
      <c r="DL86" s="121"/>
      <c r="DM86" s="121"/>
      <c r="DN86" s="121"/>
    </row>
    <row r="87" spans="33:118" ht="15.75" customHeight="1"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Z87" s="121"/>
      <c r="CA87" s="121"/>
      <c r="CB87" s="121"/>
      <c r="CC87" s="121"/>
      <c r="CD87" s="121"/>
      <c r="CE87" s="121"/>
      <c r="DJ87" s="121"/>
      <c r="DK87" s="121"/>
      <c r="DL87" s="121"/>
      <c r="DM87" s="121"/>
      <c r="DN87" s="121"/>
    </row>
    <row r="88" spans="33:118" ht="15.75" customHeight="1"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Z88" s="121"/>
      <c r="CA88" s="121"/>
      <c r="CB88" s="121"/>
      <c r="CC88" s="121"/>
      <c r="CD88" s="121"/>
      <c r="CE88" s="121"/>
      <c r="DJ88" s="121"/>
      <c r="DK88" s="121"/>
      <c r="DL88" s="121"/>
      <c r="DM88" s="121"/>
      <c r="DN88" s="121"/>
    </row>
    <row r="89" spans="33:118" ht="15.75" customHeight="1"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Z89" s="121"/>
      <c r="CA89" s="121"/>
      <c r="CB89" s="121"/>
      <c r="CC89" s="121"/>
      <c r="CD89" s="121"/>
      <c r="CE89" s="121"/>
      <c r="DJ89" s="121"/>
      <c r="DK89" s="121"/>
      <c r="DL89" s="121"/>
      <c r="DM89" s="121"/>
      <c r="DN89" s="121"/>
    </row>
    <row r="90" spans="33:118" ht="15.75" customHeight="1"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Z90" s="121"/>
      <c r="CA90" s="121"/>
      <c r="CB90" s="121"/>
      <c r="CC90" s="121"/>
      <c r="CD90" s="121"/>
      <c r="CE90" s="121"/>
      <c r="DJ90" s="121"/>
      <c r="DK90" s="121"/>
      <c r="DL90" s="121"/>
      <c r="DM90" s="121"/>
      <c r="DN90" s="121"/>
    </row>
    <row r="91" spans="33:118" ht="15.75" customHeight="1"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Z91" s="121"/>
      <c r="CA91" s="121"/>
      <c r="CB91" s="121"/>
      <c r="CC91" s="121"/>
      <c r="CD91" s="121"/>
      <c r="CE91" s="121"/>
      <c r="DJ91" s="121"/>
      <c r="DK91" s="121"/>
      <c r="DL91" s="121"/>
      <c r="DM91" s="121"/>
      <c r="DN91" s="121"/>
    </row>
    <row r="92" spans="33:118" ht="15.75" customHeight="1"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Z92" s="121"/>
      <c r="CA92" s="121"/>
      <c r="CB92" s="121"/>
      <c r="CC92" s="121"/>
      <c r="CD92" s="121"/>
      <c r="CE92" s="121"/>
      <c r="DJ92" s="121"/>
      <c r="DK92" s="121"/>
      <c r="DL92" s="121"/>
      <c r="DM92" s="121"/>
      <c r="DN92" s="121"/>
    </row>
    <row r="93" spans="33:118" ht="15.75" customHeight="1"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Z93" s="121"/>
      <c r="CA93" s="121"/>
      <c r="CB93" s="121"/>
      <c r="CC93" s="121"/>
      <c r="CD93" s="121"/>
      <c r="CE93" s="121"/>
      <c r="DJ93" s="121"/>
      <c r="DK93" s="121"/>
      <c r="DL93" s="121"/>
      <c r="DM93" s="121"/>
      <c r="DN93" s="121"/>
    </row>
    <row r="94" spans="33:118" ht="15.75" customHeight="1"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Z94" s="121"/>
      <c r="CA94" s="121"/>
      <c r="CB94" s="121"/>
      <c r="CC94" s="121"/>
      <c r="CD94" s="121"/>
      <c r="CE94" s="121"/>
      <c r="DJ94" s="121"/>
      <c r="DK94" s="121"/>
      <c r="DL94" s="121"/>
      <c r="DM94" s="121"/>
      <c r="DN94" s="121"/>
    </row>
    <row r="95" spans="33:118" ht="15.75" customHeight="1"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Z95" s="121"/>
      <c r="CA95" s="121"/>
      <c r="CB95" s="121"/>
      <c r="CC95" s="121"/>
      <c r="CD95" s="121"/>
      <c r="CE95" s="121"/>
      <c r="DJ95" s="121"/>
      <c r="DK95" s="121"/>
      <c r="DL95" s="121"/>
      <c r="DM95" s="121"/>
      <c r="DN95" s="121"/>
    </row>
    <row r="96" spans="33:118" ht="15.75" customHeight="1"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Z96" s="121"/>
      <c r="CA96" s="121"/>
      <c r="CB96" s="121"/>
      <c r="CC96" s="121"/>
      <c r="CD96" s="121"/>
      <c r="CE96" s="121"/>
      <c r="DJ96" s="121"/>
      <c r="DK96" s="121"/>
      <c r="DL96" s="121"/>
      <c r="DM96" s="121"/>
      <c r="DN96" s="121"/>
    </row>
    <row r="97" spans="2:298" ht="15.75" customHeight="1">
      <c r="AG97" s="121"/>
      <c r="AH97" s="121"/>
      <c r="AI97" s="121"/>
      <c r="AJ97" s="121"/>
      <c r="AK97" s="121"/>
      <c r="AL97" s="121"/>
      <c r="AM97" s="121"/>
      <c r="AN97" s="121"/>
      <c r="AO97" s="121"/>
      <c r="AP97" s="121"/>
      <c r="AQ97" s="121"/>
      <c r="AR97" s="121"/>
      <c r="AS97" s="121"/>
      <c r="AT97" s="121"/>
      <c r="AU97" s="121"/>
      <c r="AV97" s="121"/>
      <c r="AW97" s="121"/>
      <c r="AX97" s="121"/>
      <c r="AY97" s="121"/>
      <c r="AZ97" s="121"/>
      <c r="BA97" s="121"/>
      <c r="BB97" s="121"/>
      <c r="BC97" s="121"/>
      <c r="BZ97" s="121"/>
      <c r="CA97" s="121"/>
      <c r="CB97" s="121"/>
      <c r="CC97" s="121"/>
      <c r="CD97" s="121"/>
      <c r="CE97" s="121"/>
      <c r="DJ97" s="121"/>
      <c r="DK97" s="121"/>
      <c r="DL97" s="121"/>
      <c r="DM97" s="121"/>
      <c r="DN97" s="121"/>
    </row>
    <row r="98" spans="2:298" ht="15.75" customHeight="1"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Z98" s="121"/>
      <c r="CA98" s="121"/>
      <c r="CB98" s="121"/>
      <c r="CC98" s="121"/>
      <c r="CD98" s="121"/>
      <c r="CE98" s="121"/>
      <c r="DJ98" s="121"/>
      <c r="DK98" s="121"/>
      <c r="DL98" s="121"/>
      <c r="DM98" s="121"/>
      <c r="DN98" s="121"/>
    </row>
    <row r="99" spans="2:298" ht="15.75" customHeight="1">
      <c r="AG99" s="121"/>
      <c r="AH99" s="121"/>
      <c r="AI99" s="121"/>
      <c r="AJ99" s="121"/>
      <c r="AK99" s="121"/>
      <c r="AL99" s="121"/>
      <c r="AM99" s="121"/>
      <c r="AN99" s="121"/>
      <c r="AO99" s="121"/>
      <c r="AP99" s="121"/>
      <c r="AQ99" s="121"/>
      <c r="AR99" s="121"/>
      <c r="AS99" s="121"/>
      <c r="AT99" s="121"/>
      <c r="AU99" s="121"/>
      <c r="AV99" s="121"/>
      <c r="AW99" s="121"/>
      <c r="AX99" s="121"/>
      <c r="AY99" s="121"/>
      <c r="AZ99" s="121"/>
      <c r="BA99" s="121"/>
      <c r="BB99" s="121"/>
      <c r="BC99" s="121"/>
      <c r="BZ99" s="121"/>
      <c r="CA99" s="121"/>
      <c r="CB99" s="121"/>
      <c r="CC99" s="121"/>
      <c r="CD99" s="121"/>
      <c r="CE99" s="121"/>
      <c r="DJ99" s="121"/>
      <c r="DK99" s="121"/>
      <c r="DL99" s="121"/>
      <c r="DM99" s="121"/>
      <c r="DN99" s="121"/>
    </row>
    <row r="100" spans="2:298" ht="15.75" customHeight="1">
      <c r="AG100" s="121"/>
      <c r="AH100" s="121"/>
      <c r="AI100" s="121"/>
      <c r="AJ100" s="121"/>
      <c r="AK100" s="121"/>
      <c r="AL100" s="121"/>
      <c r="AM100" s="121"/>
      <c r="AN100" s="121"/>
      <c r="AO100" s="121"/>
      <c r="AP100" s="121"/>
      <c r="AQ100" s="121"/>
      <c r="AR100" s="121"/>
      <c r="AS100" s="121"/>
      <c r="AT100" s="121"/>
      <c r="AU100" s="121"/>
      <c r="AV100" s="121"/>
      <c r="AW100" s="121"/>
      <c r="AX100" s="121"/>
      <c r="AY100" s="121"/>
      <c r="AZ100" s="121"/>
      <c r="BA100" s="121"/>
      <c r="BB100" s="121"/>
      <c r="BC100" s="121"/>
      <c r="BZ100" s="121"/>
      <c r="CA100" s="121"/>
      <c r="CB100" s="121"/>
      <c r="CC100" s="121"/>
      <c r="CD100" s="121"/>
      <c r="CE100" s="121"/>
      <c r="DJ100" s="121"/>
      <c r="DK100" s="121"/>
      <c r="DL100" s="121"/>
      <c r="DM100" s="121"/>
      <c r="DN100" s="121"/>
    </row>
    <row r="101" spans="2:298" ht="15.75" customHeight="1">
      <c r="AG101" s="121"/>
      <c r="AH101" s="121"/>
      <c r="AI101" s="121"/>
      <c r="AJ101" s="121"/>
      <c r="AK101" s="121"/>
      <c r="AL101" s="121"/>
      <c r="AM101" s="121"/>
      <c r="AN101" s="121"/>
      <c r="AO101" s="121"/>
      <c r="AP101" s="121"/>
      <c r="AQ101" s="121"/>
      <c r="AR101" s="121"/>
      <c r="AS101" s="121"/>
      <c r="AT101" s="121"/>
      <c r="AU101" s="121"/>
      <c r="AV101" s="121"/>
      <c r="AW101" s="121"/>
      <c r="AX101" s="121"/>
      <c r="AY101" s="121"/>
      <c r="AZ101" s="121"/>
      <c r="BA101" s="121"/>
      <c r="BB101" s="121"/>
      <c r="BC101" s="121"/>
      <c r="BZ101" s="121"/>
      <c r="CA101" s="121"/>
      <c r="CB101" s="121"/>
      <c r="CC101" s="121"/>
      <c r="CD101" s="121"/>
      <c r="CE101" s="121"/>
      <c r="DJ101" s="121"/>
      <c r="DK101" s="121"/>
      <c r="DL101" s="121"/>
      <c r="DM101" s="121"/>
      <c r="DN101" s="121"/>
    </row>
    <row r="102" spans="2:298" ht="15.75" customHeight="1">
      <c r="AG102" s="121"/>
      <c r="AH102" s="121"/>
      <c r="AI102" s="121"/>
      <c r="AJ102" s="121"/>
      <c r="AK102" s="121"/>
      <c r="AL102" s="121"/>
      <c r="AM102" s="121"/>
      <c r="AN102" s="121"/>
      <c r="AO102" s="121"/>
      <c r="AP102" s="121"/>
      <c r="AQ102" s="121"/>
      <c r="AR102" s="121"/>
      <c r="AS102" s="121"/>
      <c r="AT102" s="121"/>
      <c r="AU102" s="121"/>
      <c r="AV102" s="121"/>
      <c r="AW102" s="121"/>
      <c r="AX102" s="121"/>
      <c r="AY102" s="121"/>
      <c r="AZ102" s="121"/>
      <c r="BA102" s="121"/>
      <c r="BB102" s="121"/>
      <c r="BC102" s="121"/>
      <c r="BZ102" s="121"/>
      <c r="CA102" s="121"/>
      <c r="CB102" s="121"/>
      <c r="CC102" s="121"/>
      <c r="CD102" s="121"/>
      <c r="CE102" s="121"/>
      <c r="DJ102" s="121"/>
      <c r="DK102" s="121"/>
      <c r="DL102" s="121"/>
      <c r="DM102" s="121"/>
      <c r="DN102" s="121"/>
    </row>
    <row r="103" spans="2:298" ht="15.75" customHeight="1">
      <c r="AG103" s="121"/>
      <c r="AH103" s="121"/>
      <c r="AI103" s="121"/>
      <c r="AJ103" s="121"/>
      <c r="AK103" s="121"/>
      <c r="AL103" s="121"/>
      <c r="AM103" s="121"/>
      <c r="AN103" s="121"/>
      <c r="AO103" s="121"/>
      <c r="AP103" s="121"/>
      <c r="AQ103" s="121"/>
      <c r="AR103" s="121"/>
      <c r="AS103" s="121"/>
      <c r="AT103" s="121"/>
      <c r="AU103" s="121"/>
      <c r="AV103" s="121"/>
      <c r="AW103" s="121"/>
      <c r="AX103" s="121"/>
      <c r="AY103" s="121"/>
      <c r="AZ103" s="121"/>
      <c r="BA103" s="121"/>
      <c r="BB103" s="121"/>
      <c r="BC103" s="121"/>
      <c r="BZ103" s="121"/>
      <c r="CA103" s="121"/>
      <c r="CB103" s="121"/>
      <c r="CC103" s="121"/>
      <c r="CD103" s="121"/>
      <c r="CE103" s="121"/>
      <c r="DJ103" s="121"/>
      <c r="DK103" s="121"/>
      <c r="DL103" s="121"/>
      <c r="DM103" s="121"/>
      <c r="DN103" s="121"/>
    </row>
    <row r="104" spans="2:298" ht="15.75" customHeight="1"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AN104" s="121"/>
      <c r="AO104" s="121"/>
      <c r="AP104" s="121"/>
      <c r="AQ104" s="121"/>
      <c r="AR104" s="121"/>
      <c r="AS104" s="121"/>
      <c r="AT104" s="121"/>
      <c r="AU104" s="121"/>
      <c r="AV104" s="121"/>
      <c r="AW104" s="121"/>
      <c r="AX104" s="121"/>
      <c r="AY104" s="121"/>
      <c r="AZ104" s="121"/>
      <c r="BA104" s="121"/>
      <c r="BB104" s="121"/>
      <c r="BC104" s="121"/>
    </row>
    <row r="105" spans="2:298" ht="15.75" customHeight="1"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  <c r="AO105" s="121"/>
      <c r="AP105" s="121"/>
      <c r="AQ105" s="121"/>
      <c r="AR105" s="121"/>
      <c r="AS105" s="121"/>
      <c r="AT105" s="121"/>
      <c r="AU105" s="121"/>
      <c r="AV105" s="121"/>
      <c r="AW105" s="121"/>
      <c r="AX105" s="121"/>
      <c r="AY105" s="121"/>
      <c r="AZ105" s="121"/>
      <c r="BA105" s="121"/>
      <c r="BB105" s="121"/>
      <c r="BC105" s="121"/>
    </row>
    <row r="106" spans="2:298" ht="15.75" customHeight="1"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  <c r="AL106" s="121"/>
      <c r="AM106" s="121"/>
      <c r="AN106" s="121"/>
      <c r="AO106" s="121"/>
      <c r="AP106" s="121"/>
      <c r="AQ106" s="121"/>
      <c r="AR106" s="121"/>
      <c r="AS106" s="121"/>
      <c r="AT106" s="121"/>
      <c r="AU106" s="121"/>
      <c r="AV106" s="121"/>
      <c r="AW106" s="121"/>
      <c r="AX106" s="121"/>
      <c r="AY106" s="121"/>
      <c r="AZ106" s="121"/>
      <c r="BA106" s="121"/>
      <c r="BB106" s="121"/>
      <c r="BC106" s="121"/>
    </row>
    <row r="107" spans="2:298" ht="15.75" customHeight="1"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1"/>
      <c r="AO107" s="121"/>
      <c r="AP107" s="121"/>
      <c r="AQ107" s="121"/>
      <c r="AR107" s="121"/>
      <c r="AS107" s="121"/>
      <c r="AT107" s="121"/>
      <c r="AU107" s="121"/>
      <c r="AV107" s="121"/>
      <c r="AW107" s="121"/>
      <c r="AX107" s="121"/>
      <c r="AY107" s="121"/>
      <c r="AZ107" s="121"/>
      <c r="BA107" s="121"/>
      <c r="BB107" s="121"/>
      <c r="BC107" s="121"/>
    </row>
    <row r="108" spans="2:298" ht="15.75" customHeight="1"/>
    <row r="109" spans="2:298" ht="60.5">
      <c r="B109" s="108" t="s">
        <v>28</v>
      </c>
      <c r="C109" s="108"/>
      <c r="D109" s="109"/>
      <c r="E109" s="109"/>
      <c r="F109" s="110"/>
      <c r="G109" s="109"/>
      <c r="H109" s="109"/>
      <c r="I109" s="109"/>
      <c r="J109" s="111"/>
      <c r="K109" s="109"/>
      <c r="L109" s="109"/>
      <c r="M109" s="109"/>
      <c r="N109" s="109"/>
      <c r="O109" s="109"/>
      <c r="P109" s="109"/>
      <c r="Q109" s="109"/>
      <c r="R109" s="111"/>
      <c r="S109" s="109"/>
      <c r="T109" s="109"/>
      <c r="U109" s="109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  <c r="AW109" s="112"/>
      <c r="AX109" s="112"/>
      <c r="AY109" s="112"/>
      <c r="AZ109" s="112"/>
      <c r="BA109" s="112"/>
      <c r="BB109" s="112"/>
      <c r="BC109" s="112"/>
      <c r="BD109" s="112"/>
      <c r="BE109" s="112"/>
      <c r="BF109" s="112"/>
      <c r="BG109" s="112"/>
      <c r="BH109" s="112"/>
      <c r="BI109" s="112"/>
      <c r="BJ109" s="112"/>
      <c r="BK109" s="112"/>
      <c r="BL109" s="112"/>
      <c r="BM109" s="112"/>
      <c r="BN109" s="112"/>
      <c r="BO109" s="112"/>
      <c r="BP109" s="112"/>
      <c r="BQ109" s="112"/>
      <c r="BR109" s="112"/>
      <c r="BS109" s="112"/>
      <c r="BT109" s="112"/>
      <c r="BU109" s="112"/>
      <c r="BV109" s="112"/>
      <c r="BW109" s="112"/>
      <c r="BX109" s="112"/>
      <c r="BY109" s="112"/>
      <c r="BZ109" s="112"/>
      <c r="CA109" s="112"/>
      <c r="CB109" s="112"/>
      <c r="CC109" s="112"/>
      <c r="CD109" s="112"/>
      <c r="CE109" s="112"/>
      <c r="CF109" s="112"/>
      <c r="CG109" s="112"/>
      <c r="CH109" s="112"/>
      <c r="CI109" s="112"/>
      <c r="CJ109" s="112"/>
      <c r="CK109" s="112"/>
      <c r="CL109" s="112"/>
      <c r="CM109" s="112"/>
      <c r="CN109" s="112"/>
      <c r="CO109" s="112"/>
      <c r="CP109" s="112"/>
      <c r="CQ109" s="112"/>
      <c r="CR109" s="112"/>
      <c r="CS109" s="112"/>
      <c r="CT109" s="112"/>
      <c r="CU109" s="112"/>
      <c r="CV109" s="112"/>
      <c r="CW109" s="112"/>
      <c r="CX109" s="112"/>
      <c r="CY109" s="112"/>
      <c r="CZ109" s="112"/>
      <c r="DA109" s="112"/>
      <c r="DB109" s="112"/>
      <c r="DC109" s="112"/>
      <c r="DD109" s="112"/>
      <c r="DE109" s="112"/>
      <c r="DF109" s="112"/>
      <c r="DG109" s="112"/>
      <c r="DH109" s="112"/>
      <c r="DI109" s="112"/>
      <c r="DJ109" s="112"/>
      <c r="DK109" s="112"/>
      <c r="DL109" s="112"/>
      <c r="DM109" s="112"/>
      <c r="DN109" s="112"/>
      <c r="DO109" s="112"/>
      <c r="DP109" s="112"/>
      <c r="DQ109" s="112"/>
      <c r="DR109" s="112"/>
      <c r="DS109" s="112"/>
      <c r="DT109" s="112"/>
      <c r="DU109" s="112"/>
      <c r="DV109" s="112"/>
      <c r="DW109" s="112"/>
      <c r="DX109" s="112"/>
      <c r="DY109" s="112"/>
      <c r="DZ109" s="112"/>
      <c r="EA109" s="112"/>
      <c r="EB109" s="112"/>
      <c r="EC109" s="112"/>
      <c r="ED109" s="112"/>
      <c r="EE109" s="112"/>
      <c r="EF109" s="112"/>
      <c r="EG109" s="112"/>
      <c r="EH109" s="112"/>
      <c r="EI109" s="112"/>
      <c r="EJ109" s="112"/>
      <c r="EK109" s="112"/>
      <c r="EL109" s="112"/>
      <c r="EM109" s="112"/>
      <c r="EN109" s="112"/>
      <c r="EO109" s="112"/>
      <c r="EP109" s="112"/>
      <c r="EQ109" s="112"/>
      <c r="ER109" s="112"/>
      <c r="ES109" s="112"/>
      <c r="ET109" s="112"/>
      <c r="EU109" s="112"/>
      <c r="EV109" s="112"/>
      <c r="EW109" s="112"/>
      <c r="EX109" s="112"/>
      <c r="EY109" s="112"/>
      <c r="EZ109" s="112"/>
      <c r="FA109" s="112"/>
      <c r="FB109" s="112"/>
      <c r="FC109" s="112"/>
      <c r="FD109" s="112"/>
      <c r="FE109" s="112"/>
      <c r="FF109" s="112"/>
      <c r="FG109" s="112"/>
      <c r="FH109" s="112"/>
      <c r="FI109" s="112"/>
      <c r="FJ109" s="112"/>
      <c r="FK109" s="112"/>
      <c r="FL109" s="112"/>
      <c r="FM109" s="112"/>
      <c r="FN109" s="112"/>
      <c r="FO109" s="112"/>
      <c r="FP109" s="112"/>
      <c r="FQ109" s="112"/>
      <c r="FR109" s="112"/>
      <c r="FS109" s="112"/>
      <c r="FT109" s="112"/>
      <c r="FU109" s="112"/>
      <c r="FV109" s="112"/>
      <c r="FW109" s="112"/>
      <c r="FX109" s="112"/>
      <c r="FY109" s="112"/>
      <c r="FZ109" s="112"/>
      <c r="GA109" s="112"/>
      <c r="GB109" s="112"/>
      <c r="GC109" s="112"/>
      <c r="GD109" s="112"/>
      <c r="GE109" s="112"/>
      <c r="GF109" s="112"/>
      <c r="GG109" s="112"/>
      <c r="GH109" s="112"/>
      <c r="GI109" s="112"/>
      <c r="GJ109" s="112"/>
      <c r="GK109" s="112"/>
      <c r="GL109" s="112"/>
      <c r="GM109" s="112"/>
      <c r="GN109" s="112"/>
      <c r="GO109" s="112"/>
      <c r="GP109" s="112"/>
      <c r="GQ109" s="112"/>
      <c r="GR109" s="112"/>
      <c r="GS109" s="112"/>
      <c r="GT109" s="112"/>
      <c r="GU109" s="112"/>
      <c r="GV109" s="112"/>
      <c r="GW109" s="112"/>
      <c r="GX109" s="112"/>
      <c r="GY109" s="112"/>
      <c r="GZ109" s="112"/>
      <c r="HA109" s="112"/>
      <c r="HB109" s="112"/>
      <c r="HC109" s="112"/>
      <c r="HD109" s="112"/>
      <c r="HE109" s="112"/>
      <c r="HF109" s="112"/>
      <c r="HG109" s="112"/>
      <c r="HH109" s="112"/>
      <c r="HI109" s="112"/>
      <c r="HJ109" s="112"/>
      <c r="HK109" s="112"/>
      <c r="HL109" s="112"/>
      <c r="HM109" s="112"/>
      <c r="HN109" s="112"/>
      <c r="HO109" s="112"/>
      <c r="HP109" s="112"/>
      <c r="HQ109" s="112"/>
      <c r="HR109" s="112"/>
      <c r="HS109" s="112"/>
      <c r="HT109" s="112"/>
      <c r="HU109" s="112"/>
      <c r="HV109" s="112"/>
      <c r="HW109" s="112"/>
      <c r="HX109" s="112"/>
      <c r="HY109" s="112"/>
      <c r="HZ109" s="112"/>
      <c r="IA109" s="112"/>
      <c r="IB109" s="112"/>
      <c r="IC109" s="112"/>
      <c r="ID109" s="112"/>
      <c r="IE109" s="112"/>
      <c r="IF109" s="112"/>
      <c r="IG109" s="112"/>
      <c r="IH109" s="112"/>
      <c r="II109" s="112"/>
      <c r="IJ109" s="112"/>
      <c r="IK109" s="112"/>
      <c r="IL109" s="112"/>
      <c r="IM109" s="112"/>
      <c r="IN109" s="112"/>
      <c r="IO109" s="112"/>
      <c r="IP109" s="112"/>
      <c r="IQ109" s="112"/>
      <c r="IR109" s="112"/>
      <c r="IS109" s="112"/>
      <c r="IT109" s="112"/>
      <c r="IU109" s="112"/>
      <c r="IV109" s="112"/>
      <c r="IW109" s="112"/>
      <c r="IX109" s="112"/>
      <c r="IY109" s="112"/>
      <c r="IZ109" s="112"/>
      <c r="JA109" s="112"/>
      <c r="JB109" s="112"/>
      <c r="JC109" s="112"/>
      <c r="JD109" s="112"/>
      <c r="JE109" s="112"/>
      <c r="JF109" s="112"/>
      <c r="JG109" s="112"/>
      <c r="JH109" s="112"/>
      <c r="JI109" s="112"/>
      <c r="JJ109" s="112"/>
      <c r="JK109" s="112"/>
      <c r="JL109" s="112"/>
      <c r="JM109" s="112"/>
      <c r="JN109" s="112"/>
      <c r="JO109" s="112"/>
      <c r="JP109" s="112"/>
      <c r="JQ109" s="112"/>
      <c r="JR109" s="112"/>
      <c r="JS109" s="112"/>
      <c r="JT109" s="112"/>
      <c r="JU109" s="112"/>
      <c r="JV109" s="112"/>
      <c r="JW109" s="112"/>
      <c r="JX109" s="112"/>
      <c r="JY109" s="112"/>
      <c r="JZ109" s="112"/>
      <c r="KA109" s="112"/>
      <c r="KB109" s="112"/>
      <c r="KC109" s="112"/>
      <c r="KD109" s="112"/>
      <c r="KE109" s="112"/>
      <c r="KF109" s="112"/>
      <c r="KG109" s="112"/>
      <c r="KH109" s="112"/>
      <c r="KI109" s="112"/>
      <c r="KJ109" s="112"/>
      <c r="KK109" s="112"/>
      <c r="KL109" s="112"/>
    </row>
    <row r="110" spans="2:298" ht="15.75" customHeight="1"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</row>
    <row r="111" spans="2:298" ht="15.75" customHeight="1"/>
    <row r="112" spans="2:298" ht="15.75" customHeight="1">
      <c r="B112" s="122"/>
      <c r="C112" s="122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CH112" s="122"/>
      <c r="CI112" s="123"/>
      <c r="CJ112" s="123"/>
      <c r="CK112" s="123"/>
      <c r="CL112" s="123"/>
      <c r="CM112" s="123"/>
      <c r="CN112" s="123"/>
      <c r="CO112" s="123"/>
      <c r="CP112" s="123"/>
      <c r="CQ112" s="123"/>
      <c r="CR112" s="123"/>
      <c r="CS112" s="123"/>
      <c r="CT112" s="123"/>
    </row>
    <row r="113" spans="2:98" ht="15.75" customHeight="1">
      <c r="B113" s="122"/>
      <c r="C113" s="122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3"/>
      <c r="CH113" s="123"/>
      <c r="CI113" s="123"/>
      <c r="CJ113" s="123"/>
      <c r="CK113" s="123"/>
      <c r="CL113" s="123"/>
      <c r="CM113" s="123"/>
      <c r="CN113" s="123"/>
      <c r="CO113" s="123"/>
      <c r="CP113" s="123"/>
      <c r="CQ113" s="123"/>
      <c r="CR113" s="123"/>
      <c r="CS113" s="123"/>
      <c r="CT113" s="123"/>
    </row>
    <row r="114" spans="2:98" ht="15.75" customHeight="1">
      <c r="B114" s="122"/>
      <c r="C114" s="122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3"/>
      <c r="CH114" s="123"/>
      <c r="CI114" s="123"/>
      <c r="CJ114" s="123"/>
      <c r="CK114" s="123"/>
      <c r="CL114" s="123"/>
      <c r="CM114" s="123"/>
      <c r="CN114" s="123"/>
      <c r="CO114" s="123"/>
      <c r="CP114" s="123"/>
      <c r="CQ114" s="123"/>
      <c r="CR114" s="123"/>
      <c r="CS114" s="123"/>
      <c r="CT114" s="123"/>
    </row>
    <row r="115" spans="2:98" ht="15.75" customHeight="1">
      <c r="B115" s="122"/>
      <c r="C115" s="122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3"/>
      <c r="CH115" s="123"/>
      <c r="CI115" s="123"/>
      <c r="CJ115" s="123"/>
      <c r="CK115" s="123"/>
      <c r="CL115" s="123"/>
      <c r="CM115" s="123"/>
      <c r="CN115" s="123"/>
      <c r="CO115" s="123"/>
      <c r="CP115" s="123"/>
      <c r="CQ115" s="123"/>
      <c r="CR115" s="123"/>
      <c r="CS115" s="123"/>
      <c r="CT115" s="123"/>
    </row>
    <row r="116" spans="2:98" ht="15.75" customHeight="1">
      <c r="B116" s="122"/>
      <c r="C116" s="122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3"/>
      <c r="CH116" s="123"/>
      <c r="CI116" s="123"/>
      <c r="CJ116" s="123"/>
      <c r="CK116" s="123"/>
      <c r="CL116" s="123"/>
      <c r="CM116" s="123"/>
      <c r="CN116" s="123"/>
      <c r="CO116" s="123"/>
      <c r="CP116" s="123"/>
      <c r="CQ116" s="123"/>
      <c r="CR116" s="123"/>
      <c r="CS116" s="123"/>
      <c r="CT116" s="123"/>
    </row>
    <row r="117" spans="2:98" ht="15.75" customHeight="1">
      <c r="B117" s="122"/>
      <c r="C117" s="122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3"/>
      <c r="CH117" s="123"/>
      <c r="CI117" s="123"/>
      <c r="CJ117" s="123"/>
      <c r="CK117" s="123"/>
      <c r="CL117" s="123"/>
      <c r="CM117" s="123"/>
      <c r="CN117" s="123"/>
      <c r="CO117" s="123"/>
      <c r="CP117" s="123"/>
      <c r="CQ117" s="123"/>
      <c r="CR117" s="123"/>
      <c r="CS117" s="123"/>
      <c r="CT117" s="123"/>
    </row>
    <row r="118" spans="2:98" ht="15.75" customHeight="1">
      <c r="B118" s="122"/>
      <c r="C118" s="122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CH118" s="123"/>
      <c r="CI118" s="123"/>
      <c r="CJ118" s="123"/>
      <c r="CK118" s="123"/>
      <c r="CL118" s="123"/>
      <c r="CM118" s="123"/>
      <c r="CN118" s="123"/>
      <c r="CO118" s="123"/>
      <c r="CP118" s="123"/>
      <c r="CQ118" s="123"/>
      <c r="CR118" s="123"/>
      <c r="CS118" s="123"/>
      <c r="CT118" s="123"/>
    </row>
    <row r="119" spans="2:98" ht="45">
      <c r="B119" s="122"/>
      <c r="C119" s="122"/>
      <c r="D119" s="123"/>
      <c r="E119" s="123"/>
      <c r="F119" s="125"/>
      <c r="G119" s="123"/>
      <c r="H119" s="126"/>
      <c r="I119" s="123"/>
      <c r="J119" s="126"/>
      <c r="K119" s="123"/>
      <c r="L119" s="126"/>
      <c r="M119" s="123"/>
      <c r="N119" s="126"/>
      <c r="O119" s="126"/>
      <c r="P119" s="126"/>
      <c r="Q119" s="126"/>
      <c r="R119" s="123"/>
      <c r="CH119" s="123"/>
      <c r="CI119" s="123"/>
      <c r="CJ119" s="123"/>
      <c r="CK119" s="123"/>
      <c r="CL119" s="123"/>
      <c r="CM119" s="123"/>
      <c r="CN119" s="123"/>
      <c r="CO119" s="123"/>
      <c r="CP119" s="123"/>
      <c r="CQ119" s="123"/>
      <c r="CR119" s="123"/>
      <c r="CS119" s="123"/>
      <c r="CT119" s="123"/>
    </row>
    <row r="120" spans="2:98" ht="15.75" customHeight="1">
      <c r="B120" s="122"/>
      <c r="C120" s="122"/>
      <c r="D120" s="123"/>
      <c r="E120" s="123"/>
      <c r="F120" s="127"/>
      <c r="G120" s="123"/>
      <c r="H120" s="105"/>
      <c r="I120" s="123"/>
      <c r="J120" s="105"/>
      <c r="K120" s="123"/>
      <c r="L120" s="105"/>
      <c r="M120" s="123"/>
      <c r="N120" s="105"/>
      <c r="O120" s="105"/>
      <c r="P120" s="128"/>
      <c r="Q120" s="128"/>
      <c r="R120" s="123"/>
      <c r="CH120" s="123"/>
      <c r="CI120" s="123"/>
      <c r="CJ120" s="123"/>
      <c r="CK120" s="123"/>
      <c r="CL120" s="123"/>
      <c r="CM120" s="123"/>
      <c r="CN120" s="123"/>
      <c r="CO120" s="123"/>
      <c r="CP120" s="123"/>
      <c r="CQ120" s="123"/>
      <c r="CR120" s="123"/>
      <c r="CS120" s="123"/>
      <c r="CT120" s="123"/>
    </row>
    <row r="121" spans="2:98" ht="15.75" customHeight="1">
      <c r="B121" s="123"/>
      <c r="C121" s="123"/>
      <c r="D121" s="123"/>
      <c r="E121" s="123"/>
      <c r="F121" s="127"/>
      <c r="G121" s="123"/>
      <c r="H121" s="105"/>
      <c r="I121" s="123"/>
      <c r="J121" s="105"/>
      <c r="K121" s="123"/>
      <c r="L121" s="105"/>
      <c r="M121" s="123"/>
      <c r="N121" s="105"/>
      <c r="O121" s="105"/>
      <c r="P121" s="128"/>
      <c r="Q121" s="128"/>
      <c r="R121" s="123"/>
      <c r="CH121" s="123"/>
      <c r="CI121" s="123"/>
      <c r="CJ121" s="123"/>
      <c r="CK121" s="123"/>
      <c r="CL121" s="123"/>
      <c r="CM121" s="123"/>
      <c r="CN121" s="123"/>
      <c r="CO121" s="123"/>
      <c r="CP121" s="123"/>
      <c r="CQ121" s="123"/>
      <c r="CR121" s="123"/>
      <c r="CS121" s="123"/>
      <c r="CT121" s="123"/>
    </row>
    <row r="122" spans="2:98" ht="15.75" customHeight="1">
      <c r="B122" s="123"/>
      <c r="C122" s="123"/>
      <c r="D122" s="123"/>
      <c r="E122" s="123"/>
      <c r="F122" s="127"/>
      <c r="G122" s="123"/>
      <c r="H122" s="105"/>
      <c r="I122" s="123"/>
      <c r="J122" s="105"/>
      <c r="K122" s="123"/>
      <c r="L122" s="105"/>
      <c r="M122" s="123"/>
      <c r="N122" s="105"/>
      <c r="O122" s="105"/>
      <c r="P122" s="128"/>
      <c r="Q122" s="128"/>
      <c r="R122" s="123"/>
      <c r="CH122" s="123"/>
      <c r="CI122" s="123"/>
      <c r="CJ122" s="123"/>
      <c r="CK122" s="123"/>
      <c r="CL122" s="123"/>
      <c r="CM122" s="123"/>
      <c r="CN122" s="123"/>
      <c r="CO122" s="123"/>
      <c r="CP122" s="123"/>
      <c r="CQ122" s="123"/>
      <c r="CR122" s="123"/>
      <c r="CS122" s="123"/>
      <c r="CT122" s="123"/>
    </row>
    <row r="123" spans="2:98" ht="15.75" customHeight="1">
      <c r="B123" s="123"/>
      <c r="C123" s="123"/>
      <c r="D123" s="123"/>
      <c r="E123" s="123"/>
      <c r="F123" s="127"/>
      <c r="G123" s="123"/>
      <c r="H123" s="105"/>
      <c r="I123" s="123"/>
      <c r="J123" s="105"/>
      <c r="K123" s="123"/>
      <c r="L123" s="105"/>
      <c r="M123" s="123"/>
      <c r="N123" s="105"/>
      <c r="O123" s="105"/>
      <c r="P123" s="128"/>
      <c r="Q123" s="128"/>
      <c r="R123" s="123"/>
      <c r="CH123" s="123"/>
      <c r="CI123" s="123"/>
      <c r="CJ123" s="123"/>
      <c r="CK123" s="123"/>
      <c r="CL123" s="123"/>
      <c r="CM123" s="123"/>
      <c r="CN123" s="123"/>
      <c r="CO123" s="123"/>
      <c r="CP123" s="123"/>
      <c r="CQ123" s="123"/>
      <c r="CR123" s="123"/>
      <c r="CS123" s="123"/>
      <c r="CT123" s="123"/>
    </row>
    <row r="124" spans="2:98" ht="15.75" customHeight="1">
      <c r="B124" s="123"/>
      <c r="C124" s="123"/>
      <c r="D124" s="123"/>
      <c r="E124" s="123"/>
      <c r="F124" s="127"/>
      <c r="G124" s="123"/>
      <c r="H124" s="105"/>
      <c r="I124" s="123"/>
      <c r="J124" s="105"/>
      <c r="K124" s="123"/>
      <c r="L124" s="105"/>
      <c r="M124" s="123"/>
      <c r="N124" s="105"/>
      <c r="O124" s="105"/>
      <c r="P124" s="128"/>
      <c r="Q124" s="128"/>
      <c r="R124" s="123"/>
      <c r="CH124" s="123"/>
      <c r="CI124" s="123"/>
      <c r="CJ124" s="123"/>
      <c r="CK124" s="123"/>
      <c r="CL124" s="123"/>
      <c r="CM124" s="123"/>
      <c r="CN124" s="123"/>
      <c r="CO124" s="123"/>
      <c r="CP124" s="123"/>
      <c r="CQ124" s="123"/>
      <c r="CR124" s="123"/>
      <c r="CS124" s="123"/>
      <c r="CT124" s="123"/>
    </row>
    <row r="125" spans="2:98" ht="15.75" customHeight="1"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CH125" s="123"/>
      <c r="CI125" s="123"/>
      <c r="CJ125" s="123"/>
      <c r="CK125" s="123"/>
      <c r="CL125" s="123"/>
      <c r="CM125" s="123"/>
      <c r="CN125" s="123"/>
      <c r="CO125" s="123"/>
      <c r="CP125" s="123"/>
      <c r="CQ125" s="123"/>
      <c r="CR125" s="123"/>
      <c r="CS125" s="123"/>
      <c r="CT125" s="123"/>
    </row>
    <row r="126" spans="2:98" ht="15.75" customHeight="1"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CH126" s="123"/>
      <c r="CI126" s="123"/>
      <c r="CJ126" s="123"/>
      <c r="CK126" s="123"/>
      <c r="CL126" s="123"/>
      <c r="CM126" s="123"/>
      <c r="CN126" s="123"/>
      <c r="CO126" s="123"/>
      <c r="CP126" s="123"/>
      <c r="CQ126" s="123"/>
      <c r="CR126" s="123"/>
      <c r="CS126" s="123"/>
      <c r="CT126" s="123"/>
    </row>
    <row r="127" spans="2:98" ht="15.75" customHeight="1">
      <c r="B127" s="123"/>
      <c r="C127" s="123"/>
      <c r="D127" s="123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CH127" s="123"/>
      <c r="CI127" s="123"/>
      <c r="CJ127" s="123"/>
      <c r="CK127" s="123"/>
      <c r="CL127" s="123"/>
      <c r="CM127" s="123"/>
      <c r="CN127" s="123"/>
      <c r="CO127" s="123"/>
      <c r="CP127" s="123"/>
      <c r="CQ127" s="123"/>
      <c r="CR127" s="123"/>
      <c r="CS127" s="123"/>
      <c r="CT127" s="123"/>
    </row>
    <row r="128" spans="2:98" ht="15.75" customHeight="1">
      <c r="B128" s="123"/>
      <c r="C128" s="123"/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CH128" s="123"/>
      <c r="CI128" s="123"/>
      <c r="CJ128" s="123"/>
      <c r="CK128" s="123"/>
      <c r="CL128" s="123"/>
      <c r="CM128" s="123"/>
      <c r="CN128" s="123"/>
      <c r="CO128" s="123"/>
      <c r="CP128" s="123"/>
      <c r="CQ128" s="123"/>
      <c r="CR128" s="123"/>
      <c r="CS128" s="123"/>
      <c r="CT128" s="123"/>
    </row>
    <row r="129" spans="2:298" ht="15.75" customHeight="1">
      <c r="B129" s="123"/>
      <c r="C129" s="123"/>
      <c r="D129" s="123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CH129" s="123"/>
      <c r="CI129" s="123"/>
      <c r="CJ129" s="123"/>
      <c r="CK129" s="123"/>
      <c r="CL129" s="123"/>
      <c r="CM129" s="123"/>
      <c r="CN129" s="123"/>
      <c r="CO129" s="123"/>
      <c r="CP129" s="123"/>
      <c r="CQ129" s="123"/>
      <c r="CR129" s="123"/>
      <c r="CS129" s="123"/>
      <c r="CT129" s="123"/>
    </row>
    <row r="130" spans="2:298" ht="15.75" customHeight="1">
      <c r="B130" s="123"/>
      <c r="C130" s="123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CH130" s="123"/>
      <c r="CI130" s="123"/>
      <c r="CJ130" s="123"/>
      <c r="CK130" s="123"/>
      <c r="CL130" s="123"/>
      <c r="CM130" s="123"/>
      <c r="CN130" s="123"/>
      <c r="CO130" s="123"/>
      <c r="CP130" s="123"/>
      <c r="CQ130" s="123"/>
      <c r="CR130" s="123"/>
      <c r="CS130" s="123"/>
      <c r="CT130" s="123"/>
    </row>
    <row r="131" spans="2:298" ht="15.75" customHeight="1">
      <c r="B131" s="123"/>
      <c r="C131" s="123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CH131" s="123"/>
      <c r="CI131" s="123"/>
      <c r="CJ131" s="123"/>
      <c r="CK131" s="123"/>
      <c r="CL131" s="123"/>
      <c r="CM131" s="123"/>
      <c r="CN131" s="123"/>
      <c r="CO131" s="123"/>
      <c r="CP131" s="123"/>
      <c r="CQ131" s="123"/>
      <c r="CR131" s="123"/>
      <c r="CS131" s="123"/>
      <c r="CT131" s="123"/>
    </row>
    <row r="132" spans="2:298" ht="15.75" customHeight="1">
      <c r="B132" s="123"/>
      <c r="C132" s="123"/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CH132" s="123"/>
      <c r="CI132" s="123"/>
      <c r="CJ132" s="123"/>
      <c r="CK132" s="123"/>
      <c r="CL132" s="123"/>
      <c r="CM132" s="123"/>
      <c r="CN132" s="123"/>
      <c r="CO132" s="123"/>
      <c r="CP132" s="123"/>
      <c r="CQ132" s="123"/>
      <c r="CR132" s="123"/>
      <c r="CS132" s="123"/>
      <c r="CT132" s="123"/>
    </row>
    <row r="133" spans="2:298" ht="15.75" customHeight="1">
      <c r="B133" s="123"/>
      <c r="C133" s="123"/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CH133" s="123"/>
      <c r="CI133" s="123"/>
      <c r="CJ133" s="123"/>
      <c r="CK133" s="123"/>
      <c r="CL133" s="123"/>
      <c r="CM133" s="123"/>
      <c r="CN133" s="123"/>
      <c r="CO133" s="123"/>
      <c r="CP133" s="123"/>
      <c r="CQ133" s="123"/>
      <c r="CR133" s="123"/>
      <c r="CS133" s="123"/>
      <c r="CT133" s="123"/>
    </row>
    <row r="134" spans="2:298" ht="15.75" customHeight="1">
      <c r="B134" s="123"/>
      <c r="C134" s="123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CH134" s="123"/>
      <c r="CI134" s="123"/>
      <c r="CJ134" s="123"/>
      <c r="CK134" s="123"/>
      <c r="CL134" s="123"/>
      <c r="CM134" s="123"/>
      <c r="CN134" s="123"/>
      <c r="CO134" s="123"/>
      <c r="CP134" s="123"/>
      <c r="CQ134" s="123"/>
      <c r="CR134" s="123"/>
      <c r="CS134" s="123"/>
      <c r="CT134" s="123"/>
    </row>
    <row r="135" spans="2:298" ht="15.75" customHeight="1">
      <c r="B135" s="123"/>
      <c r="C135" s="123"/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CH135" s="123"/>
      <c r="CI135" s="123"/>
      <c r="CJ135" s="123"/>
      <c r="CK135" s="123"/>
      <c r="CL135" s="123"/>
      <c r="CM135" s="123"/>
      <c r="CN135" s="123"/>
      <c r="CO135" s="123"/>
      <c r="CP135" s="123"/>
      <c r="CQ135" s="123"/>
      <c r="CR135" s="123"/>
      <c r="CS135" s="123"/>
      <c r="CT135" s="123"/>
    </row>
    <row r="136" spans="2:298" ht="15.75" customHeight="1">
      <c r="B136" s="123"/>
      <c r="C136" s="123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CH136" s="123"/>
      <c r="CI136" s="123"/>
      <c r="CJ136" s="123"/>
      <c r="CK136" s="123"/>
      <c r="CL136" s="123"/>
      <c r="CM136" s="123"/>
      <c r="CN136" s="123"/>
      <c r="CO136" s="123"/>
      <c r="CP136" s="123"/>
      <c r="CQ136" s="123"/>
      <c r="CR136" s="123"/>
      <c r="CS136" s="123"/>
      <c r="CT136" s="123"/>
    </row>
    <row r="137" spans="2:298" ht="15.75" customHeight="1">
      <c r="B137" s="123"/>
      <c r="C137" s="123"/>
      <c r="D137" s="123"/>
      <c r="E137" s="123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CH137" s="123"/>
      <c r="CI137" s="123"/>
      <c r="CJ137" s="123"/>
      <c r="CK137" s="123"/>
      <c r="CL137" s="123"/>
      <c r="CM137" s="123"/>
      <c r="CN137" s="123"/>
      <c r="CO137" s="123"/>
      <c r="CP137" s="123"/>
      <c r="CQ137" s="123"/>
      <c r="CR137" s="123"/>
      <c r="CS137" s="123"/>
      <c r="CT137" s="123"/>
    </row>
    <row r="138" spans="2:298" ht="15.75" customHeight="1">
      <c r="B138" s="123"/>
      <c r="C138" s="123"/>
      <c r="D138" s="123"/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CH138" s="123"/>
      <c r="CI138" s="123"/>
      <c r="CJ138" s="123"/>
      <c r="CK138" s="123"/>
      <c r="CL138" s="123"/>
      <c r="CM138" s="123"/>
      <c r="CN138" s="123"/>
      <c r="CO138" s="123"/>
      <c r="CP138" s="123"/>
      <c r="CQ138" s="123"/>
      <c r="CR138" s="123"/>
      <c r="CS138" s="123"/>
      <c r="CT138" s="123"/>
    </row>
    <row r="139" spans="2:298" ht="15.75" customHeight="1">
      <c r="B139" s="123"/>
      <c r="C139" s="123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CH139" s="123"/>
      <c r="CI139" s="123"/>
      <c r="CJ139" s="123"/>
      <c r="CK139" s="123"/>
      <c r="CL139" s="123"/>
      <c r="CM139" s="123"/>
      <c r="CN139" s="123"/>
      <c r="CO139" s="123"/>
      <c r="CP139" s="123"/>
      <c r="CQ139" s="123"/>
      <c r="CR139" s="123"/>
      <c r="CS139" s="123"/>
      <c r="CT139" s="123"/>
    </row>
    <row r="140" spans="2:298" ht="15.75" customHeight="1">
      <c r="B140" s="123"/>
      <c r="C140" s="123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CH140" s="123"/>
      <c r="CI140" s="123"/>
      <c r="CJ140" s="123"/>
      <c r="CK140" s="123"/>
      <c r="CL140" s="123"/>
      <c r="CM140" s="123"/>
      <c r="CN140" s="123"/>
      <c r="CO140" s="123"/>
      <c r="CP140" s="123"/>
      <c r="CQ140" s="123"/>
      <c r="CR140" s="123"/>
      <c r="CS140" s="123"/>
      <c r="CT140" s="123"/>
    </row>
    <row r="141" spans="2:298" ht="15.75" customHeight="1">
      <c r="B141" s="123"/>
      <c r="C141" s="123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CH141" s="123"/>
      <c r="CI141" s="123"/>
      <c r="CJ141" s="123"/>
      <c r="CK141" s="123"/>
      <c r="CL141" s="123"/>
      <c r="CM141" s="123"/>
      <c r="CN141" s="123"/>
      <c r="CO141" s="123"/>
      <c r="CP141" s="123"/>
      <c r="CQ141" s="123"/>
      <c r="CR141" s="123"/>
      <c r="CS141" s="123"/>
      <c r="CT141" s="123"/>
    </row>
    <row r="142" spans="2:298" ht="21" customHeight="1">
      <c r="B142" s="123"/>
      <c r="C142" s="123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CH142" s="123"/>
      <c r="CI142" s="123"/>
      <c r="CJ142" s="123"/>
      <c r="CK142" s="123"/>
      <c r="CL142" s="123"/>
      <c r="CM142" s="123"/>
      <c r="CN142" s="123"/>
      <c r="CO142" s="123"/>
      <c r="CP142" s="123"/>
      <c r="CQ142" s="123"/>
      <c r="CR142" s="123"/>
      <c r="CS142" s="123"/>
      <c r="CT142" s="123"/>
    </row>
    <row r="143" spans="2:298" ht="60.5">
      <c r="B143" s="108" t="s">
        <v>29</v>
      </c>
      <c r="C143" s="108"/>
      <c r="D143" s="109"/>
      <c r="E143" s="109"/>
      <c r="F143" s="110"/>
      <c r="G143" s="109"/>
      <c r="H143" s="109"/>
      <c r="I143" s="109"/>
      <c r="J143" s="111"/>
      <c r="K143" s="109"/>
      <c r="L143" s="109"/>
      <c r="M143" s="109"/>
      <c r="N143" s="109"/>
      <c r="O143" s="109"/>
      <c r="P143" s="109"/>
      <c r="Q143" s="109"/>
      <c r="R143" s="111"/>
      <c r="S143" s="109"/>
      <c r="T143" s="109"/>
      <c r="U143" s="109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T143" s="112"/>
      <c r="AU143" s="112"/>
      <c r="AV143" s="112"/>
      <c r="AW143" s="112"/>
      <c r="AX143" s="112"/>
      <c r="AY143" s="112"/>
      <c r="AZ143" s="112"/>
      <c r="BA143" s="112"/>
      <c r="BB143" s="112"/>
      <c r="BC143" s="112"/>
      <c r="BD143" s="112"/>
      <c r="BE143" s="112"/>
      <c r="BF143" s="112"/>
      <c r="BG143" s="112"/>
      <c r="BH143" s="112"/>
      <c r="BI143" s="112"/>
      <c r="BJ143" s="112"/>
      <c r="BK143" s="112"/>
      <c r="BL143" s="112"/>
      <c r="BM143" s="112"/>
      <c r="BN143" s="112"/>
      <c r="BO143" s="112"/>
      <c r="BP143" s="112"/>
      <c r="BQ143" s="112"/>
      <c r="BR143" s="112"/>
      <c r="BS143" s="112"/>
      <c r="BT143" s="112"/>
      <c r="BU143" s="112"/>
      <c r="BV143" s="112"/>
      <c r="BW143" s="112"/>
      <c r="BX143" s="112"/>
      <c r="BY143" s="112"/>
      <c r="BZ143" s="112"/>
      <c r="CA143" s="112"/>
      <c r="CB143" s="112"/>
      <c r="CC143" s="112"/>
      <c r="CD143" s="112"/>
      <c r="CE143" s="112"/>
      <c r="CF143" s="112"/>
      <c r="CG143" s="112"/>
      <c r="CH143" s="112"/>
      <c r="CI143" s="112"/>
      <c r="CJ143" s="112"/>
      <c r="CK143" s="112"/>
      <c r="CL143" s="112"/>
      <c r="CM143" s="112"/>
      <c r="CN143" s="112"/>
      <c r="CO143" s="112"/>
      <c r="CP143" s="112"/>
      <c r="CQ143" s="112"/>
      <c r="CR143" s="112"/>
      <c r="CS143" s="112"/>
      <c r="CT143" s="112"/>
      <c r="CU143" s="112"/>
      <c r="CV143" s="112"/>
      <c r="CW143" s="112"/>
      <c r="CX143" s="112"/>
      <c r="CY143" s="112"/>
      <c r="CZ143" s="112"/>
      <c r="DA143" s="112"/>
      <c r="DB143" s="112"/>
      <c r="DC143" s="112"/>
      <c r="DD143" s="112"/>
      <c r="DE143" s="112"/>
      <c r="DF143" s="112"/>
      <c r="DG143" s="112"/>
      <c r="DH143" s="112"/>
      <c r="DI143" s="112"/>
      <c r="DJ143" s="112"/>
      <c r="DK143" s="112"/>
      <c r="DL143" s="112"/>
      <c r="DM143" s="112"/>
      <c r="DN143" s="112"/>
      <c r="DO143" s="112"/>
      <c r="DP143" s="112"/>
      <c r="DQ143" s="112"/>
      <c r="DR143" s="112"/>
      <c r="DS143" s="112"/>
      <c r="DT143" s="112"/>
      <c r="DU143" s="112"/>
      <c r="DV143" s="112"/>
      <c r="DW143" s="112"/>
      <c r="DX143" s="112"/>
      <c r="DY143" s="112"/>
      <c r="DZ143" s="112"/>
      <c r="EA143" s="112"/>
      <c r="EB143" s="112"/>
      <c r="EC143" s="112"/>
      <c r="ED143" s="112"/>
      <c r="EE143" s="112"/>
      <c r="EF143" s="112"/>
      <c r="EG143" s="112"/>
      <c r="EH143" s="112"/>
      <c r="EI143" s="112"/>
      <c r="EJ143" s="112"/>
      <c r="EK143" s="112"/>
      <c r="EL143" s="112"/>
      <c r="EM143" s="112"/>
      <c r="EN143" s="112"/>
      <c r="EO143" s="112"/>
      <c r="EP143" s="112"/>
      <c r="EQ143" s="112"/>
      <c r="ER143" s="112"/>
      <c r="ES143" s="112"/>
      <c r="ET143" s="112"/>
      <c r="EU143" s="112"/>
      <c r="EV143" s="112"/>
      <c r="EW143" s="112"/>
      <c r="EX143" s="112"/>
      <c r="EY143" s="112"/>
      <c r="EZ143" s="112"/>
      <c r="FA143" s="112"/>
      <c r="FB143" s="112"/>
      <c r="FC143" s="112"/>
      <c r="FD143" s="112"/>
      <c r="FE143" s="112"/>
      <c r="FF143" s="112"/>
      <c r="FG143" s="112"/>
      <c r="FH143" s="112"/>
      <c r="FI143" s="112"/>
      <c r="FJ143" s="112"/>
      <c r="FK143" s="112"/>
      <c r="FL143" s="112"/>
      <c r="FM143" s="112"/>
      <c r="FN143" s="112"/>
      <c r="FO143" s="112"/>
      <c r="FP143" s="112"/>
      <c r="FQ143" s="112"/>
      <c r="FR143" s="112"/>
      <c r="FS143" s="112"/>
      <c r="FT143" s="112"/>
      <c r="FU143" s="112"/>
      <c r="FV143" s="112"/>
      <c r="FW143" s="112"/>
      <c r="FX143" s="112"/>
      <c r="FY143" s="112"/>
      <c r="FZ143" s="112"/>
      <c r="GA143" s="112"/>
      <c r="GB143" s="112"/>
      <c r="GC143" s="112"/>
      <c r="GD143" s="112"/>
      <c r="GE143" s="112"/>
      <c r="GF143" s="112"/>
      <c r="GG143" s="112"/>
      <c r="GH143" s="112"/>
      <c r="GI143" s="112"/>
      <c r="GJ143" s="112"/>
      <c r="GK143" s="112"/>
      <c r="GL143" s="112"/>
      <c r="GM143" s="112"/>
      <c r="GN143" s="112"/>
      <c r="GO143" s="112"/>
      <c r="GP143" s="112"/>
      <c r="GQ143" s="112"/>
      <c r="GR143" s="112"/>
      <c r="GS143" s="112"/>
      <c r="GT143" s="112"/>
      <c r="GU143" s="112"/>
      <c r="GV143" s="112"/>
      <c r="GW143" s="112"/>
      <c r="GX143" s="112"/>
      <c r="GY143" s="112"/>
      <c r="GZ143" s="112"/>
      <c r="HA143" s="112"/>
      <c r="HB143" s="112"/>
      <c r="HC143" s="112"/>
      <c r="HD143" s="112"/>
      <c r="HE143" s="112"/>
      <c r="HF143" s="112"/>
      <c r="HG143" s="112"/>
      <c r="HH143" s="112"/>
      <c r="HI143" s="112"/>
      <c r="HJ143" s="112"/>
      <c r="HK143" s="112"/>
      <c r="HL143" s="112"/>
      <c r="HM143" s="112"/>
      <c r="HN143" s="112"/>
      <c r="HO143" s="112"/>
      <c r="HP143" s="112"/>
      <c r="HQ143" s="112"/>
      <c r="HR143" s="112"/>
      <c r="HS143" s="112"/>
      <c r="HT143" s="112"/>
      <c r="HU143" s="112"/>
      <c r="HV143" s="112"/>
      <c r="HW143" s="112"/>
      <c r="HX143" s="112"/>
      <c r="HY143" s="112"/>
      <c r="HZ143" s="112"/>
      <c r="IA143" s="112"/>
      <c r="IB143" s="112"/>
      <c r="IC143" s="112"/>
      <c r="ID143" s="112"/>
      <c r="IE143" s="112"/>
      <c r="IF143" s="112"/>
      <c r="IG143" s="112"/>
      <c r="IH143" s="112"/>
      <c r="II143" s="112"/>
      <c r="IJ143" s="112"/>
      <c r="IK143" s="112"/>
      <c r="IL143" s="112"/>
      <c r="IM143" s="112"/>
      <c r="IN143" s="112"/>
      <c r="IO143" s="112"/>
      <c r="IP143" s="112"/>
      <c r="IQ143" s="112"/>
      <c r="IR143" s="112"/>
      <c r="IS143" s="112"/>
      <c r="IT143" s="112"/>
      <c r="IU143" s="112"/>
      <c r="IV143" s="112"/>
      <c r="IW143" s="112"/>
      <c r="IX143" s="112"/>
      <c r="IY143" s="112"/>
      <c r="IZ143" s="112"/>
      <c r="JA143" s="112"/>
      <c r="JB143" s="112"/>
      <c r="JC143" s="112"/>
      <c r="JD143" s="112"/>
      <c r="JE143" s="112"/>
      <c r="JF143" s="112"/>
      <c r="JG143" s="112"/>
      <c r="JH143" s="112"/>
      <c r="JI143" s="112"/>
      <c r="JJ143" s="112"/>
      <c r="JK143" s="112"/>
      <c r="JL143" s="112"/>
      <c r="JM143" s="112"/>
      <c r="JN143" s="112"/>
      <c r="JO143" s="112"/>
      <c r="JP143" s="112"/>
      <c r="JQ143" s="112"/>
      <c r="JR143" s="112"/>
      <c r="JS143" s="112"/>
      <c r="JT143" s="112"/>
      <c r="JU143" s="112"/>
      <c r="JV143" s="112"/>
      <c r="JW143" s="112"/>
      <c r="JX143" s="112"/>
      <c r="JY143" s="112"/>
      <c r="JZ143" s="112"/>
      <c r="KA143" s="112"/>
      <c r="KB143" s="112"/>
      <c r="KC143" s="112"/>
      <c r="KD143" s="112"/>
      <c r="KE143" s="112"/>
      <c r="KF143" s="112"/>
      <c r="KG143" s="112"/>
      <c r="KH143" s="112"/>
      <c r="KI143" s="112"/>
      <c r="KJ143" s="112"/>
      <c r="KK143" s="112"/>
      <c r="KL143" s="112"/>
    </row>
    <row r="144" spans="2:298" ht="16.5" customHeight="1"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</row>
    <row r="145" spans="2:30" ht="25.5" customHeight="1">
      <c r="L145" s="3"/>
      <c r="M145" s="3"/>
      <c r="N145" s="3"/>
      <c r="O145" s="3"/>
    </row>
    <row r="146" spans="2:30" ht="15.75" customHeight="1">
      <c r="L146" s="3"/>
      <c r="M146" s="3"/>
      <c r="N146" s="3"/>
      <c r="O146" s="3"/>
    </row>
    <row r="147" spans="2:30" ht="15.75" customHeight="1">
      <c r="L147" s="3"/>
      <c r="M147" s="3"/>
      <c r="N147" s="3"/>
      <c r="O147" s="3"/>
    </row>
    <row r="148" spans="2:30" ht="35.25" customHeight="1">
      <c r="B148" s="150" t="s">
        <v>30</v>
      </c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2"/>
      <c r="S148" s="152"/>
      <c r="T148" s="152"/>
      <c r="U148" s="237"/>
      <c r="V148" s="151"/>
      <c r="W148" s="152"/>
      <c r="X148" s="152"/>
      <c r="Y148" s="152"/>
      <c r="Z148" s="237"/>
      <c r="AA148" s="151"/>
      <c r="AB148" s="152"/>
      <c r="AC148" s="152"/>
      <c r="AD148" s="152"/>
    </row>
    <row r="149" spans="2:30" ht="35.25" customHeight="1">
      <c r="C149" s="105"/>
      <c r="D149" s="105"/>
      <c r="E149" s="105"/>
      <c r="F149" s="105"/>
      <c r="L149" s="3"/>
      <c r="M149" s="3"/>
      <c r="N149" s="3"/>
      <c r="O149" s="3"/>
    </row>
    <row r="150" spans="2:30" ht="50.25" customHeight="1">
      <c r="B150" s="225" t="s">
        <v>31</v>
      </c>
      <c r="C150" s="216"/>
      <c r="D150" s="216"/>
      <c r="E150" s="216"/>
      <c r="F150" s="219"/>
      <c r="G150" s="217" t="s">
        <v>32</v>
      </c>
      <c r="H150" s="217"/>
      <c r="I150" s="217"/>
      <c r="J150" s="217"/>
      <c r="L150" s="283"/>
      <c r="M150" s="283"/>
      <c r="N150" s="283"/>
      <c r="O150" s="283"/>
      <c r="Q150" s="218"/>
      <c r="R150" s="218"/>
      <c r="S150" s="218"/>
      <c r="T150" s="218"/>
      <c r="V150" s="215" t="s">
        <v>33</v>
      </c>
      <c r="W150" s="215"/>
      <c r="X150" s="215"/>
      <c r="Y150" s="215"/>
      <c r="AA150" s="238" t="s">
        <v>34</v>
      </c>
      <c r="AB150" s="238"/>
      <c r="AC150" s="238"/>
      <c r="AD150" s="238"/>
    </row>
    <row r="151" spans="2:30" ht="35.25" customHeight="1">
      <c r="L151" s="3"/>
      <c r="M151" s="3"/>
      <c r="N151" s="3"/>
      <c r="O151" s="3"/>
    </row>
    <row r="152" spans="2:30" s="160" customFormat="1" ht="50.25" customHeight="1">
      <c r="B152" s="159" t="s">
        <v>35</v>
      </c>
      <c r="C152" s="159" t="s">
        <v>36</v>
      </c>
      <c r="D152" s="159" t="s">
        <v>37</v>
      </c>
      <c r="E152" s="159" t="s">
        <v>38</v>
      </c>
      <c r="F152" s="220"/>
      <c r="G152" s="159" t="s">
        <v>35</v>
      </c>
      <c r="H152" s="159" t="s">
        <v>36</v>
      </c>
      <c r="I152" s="159" t="s">
        <v>37</v>
      </c>
      <c r="J152" s="159" t="s">
        <v>38</v>
      </c>
      <c r="L152" s="284"/>
      <c r="M152" s="284"/>
      <c r="N152" s="284"/>
      <c r="O152" s="284"/>
      <c r="Q152" s="159"/>
      <c r="R152" s="159"/>
      <c r="S152" s="159"/>
      <c r="T152" s="159"/>
      <c r="V152" s="159" t="s">
        <v>35</v>
      </c>
      <c r="W152" s="159" t="s">
        <v>36</v>
      </c>
      <c r="X152" s="159" t="s">
        <v>37</v>
      </c>
      <c r="Y152" s="159" t="s">
        <v>38</v>
      </c>
      <c r="AA152" s="159" t="s">
        <v>35</v>
      </c>
      <c r="AB152" s="159" t="s">
        <v>36</v>
      </c>
      <c r="AC152" s="159" t="s">
        <v>37</v>
      </c>
      <c r="AD152" s="159" t="s">
        <v>38</v>
      </c>
    </row>
    <row r="153" spans="2:30" s="162" customFormat="1" ht="75" customHeight="1">
      <c r="B153" s="157">
        <f>'Paid Media'!B34</f>
        <v>111528</v>
      </c>
      <c r="C153" s="157">
        <f>'Paid Media'!C34</f>
        <v>1096</v>
      </c>
      <c r="D153" s="157">
        <f>'Paid Media'!D34</f>
        <v>1136.3499999999999</v>
      </c>
      <c r="E153" s="157">
        <f>'Paid Media'!E34</f>
        <v>1.0368156934306569</v>
      </c>
      <c r="F153" s="221"/>
      <c r="G153" s="157">
        <f>'Paid Media'!J34</f>
        <v>510884</v>
      </c>
      <c r="H153" s="157">
        <f>'Paid Media'!K34</f>
        <v>4007</v>
      </c>
      <c r="I153" s="157">
        <f>'Paid Media'!L34</f>
        <v>5264.58</v>
      </c>
      <c r="J153" s="157">
        <f>'Paid Media'!M34</f>
        <v>1.3138457699026702</v>
      </c>
      <c r="L153" s="285"/>
      <c r="M153" s="285"/>
      <c r="N153" s="286"/>
      <c r="O153" s="286"/>
      <c r="Q153" s="157"/>
      <c r="R153" s="157"/>
      <c r="S153" s="234"/>
      <c r="T153" s="234"/>
      <c r="V153" s="157">
        <f>'Paid Media'!R34</f>
        <v>55823</v>
      </c>
      <c r="W153" s="157">
        <f>'Paid Media'!S34</f>
        <v>993</v>
      </c>
      <c r="X153" s="157">
        <f>'Paid Media'!T34</f>
        <v>3905.0600000000009</v>
      </c>
      <c r="Y153" s="157">
        <f>'Paid Media'!U34</f>
        <v>3.9325881168177248</v>
      </c>
      <c r="AA153" s="157">
        <f>'Paid Media'!Z34</f>
        <v>498415</v>
      </c>
      <c r="AB153" s="157">
        <f>'Paid Media'!AA34</f>
        <v>555</v>
      </c>
      <c r="AC153" s="157">
        <f>'Paid Media'!AB34</f>
        <v>1658.8799999999999</v>
      </c>
      <c r="AD153" s="157">
        <f>'Paid Media'!AC34</f>
        <v>2.9889729729729728</v>
      </c>
    </row>
    <row r="154" spans="2:30" ht="19.5" customHeight="1">
      <c r="L154" s="3"/>
      <c r="M154" s="3"/>
      <c r="N154" s="3"/>
      <c r="O154" s="3"/>
      <c r="V154" s="107">
        <v>6</v>
      </c>
    </row>
    <row r="155" spans="2:30" s="160" customFormat="1" ht="50.25" customHeight="1">
      <c r="B155" s="159" t="s">
        <v>39</v>
      </c>
      <c r="C155" s="159" t="s">
        <v>40</v>
      </c>
      <c r="D155" s="159" t="s">
        <v>41</v>
      </c>
      <c r="E155" s="159" t="s">
        <v>42</v>
      </c>
      <c r="F155" s="220"/>
      <c r="G155" s="159" t="s">
        <v>39</v>
      </c>
      <c r="H155" s="159" t="s">
        <v>40</v>
      </c>
      <c r="I155" s="159" t="s">
        <v>41</v>
      </c>
      <c r="J155" s="159" t="s">
        <v>42</v>
      </c>
      <c r="L155" s="284"/>
      <c r="M155" s="284"/>
      <c r="N155" s="284"/>
      <c r="O155" s="284"/>
      <c r="Q155" s="159"/>
      <c r="R155" s="159"/>
      <c r="S155" s="159"/>
      <c r="T155" s="159"/>
      <c r="V155" s="159" t="s">
        <v>39</v>
      </c>
      <c r="W155" s="159" t="s">
        <v>40</v>
      </c>
      <c r="X155" s="159" t="s">
        <v>41</v>
      </c>
      <c r="Y155" s="159" t="s">
        <v>42</v>
      </c>
      <c r="AA155" s="159" t="s">
        <v>39</v>
      </c>
      <c r="AB155" s="159" t="s">
        <v>40</v>
      </c>
      <c r="AC155" s="159" t="s">
        <v>41</v>
      </c>
      <c r="AD155" s="159" t="s">
        <v>42</v>
      </c>
    </row>
    <row r="156" spans="2:30" s="158" customFormat="1" ht="76.5" customHeight="1">
      <c r="B156" s="161">
        <f>'Paid Media'!F34</f>
        <v>9.8271286134423638E-3</v>
      </c>
      <c r="C156" s="161">
        <f>'Paid Media'!G34</f>
        <v>0</v>
      </c>
      <c r="D156" s="161">
        <f>'Paid Media'!H34</f>
        <v>0</v>
      </c>
      <c r="E156" s="161" t="e">
        <f>'Paid Media'!I34</f>
        <v>#DIV/0!</v>
      </c>
      <c r="F156" s="222"/>
      <c r="G156" s="161">
        <f>'Paid Media'!N34</f>
        <v>7.8432677476687473E-3</v>
      </c>
      <c r="H156" s="161">
        <f>'Paid Media'!O34</f>
        <v>5</v>
      </c>
      <c r="I156" s="161">
        <f>'Paid Media'!P34</f>
        <v>1.2478163214374844E-3</v>
      </c>
      <c r="J156" s="161">
        <f>'Paid Media'!Q34</f>
        <v>1052.9159999999999</v>
      </c>
      <c r="L156" s="287"/>
      <c r="M156" s="288"/>
      <c r="N156" s="287"/>
      <c r="O156" s="289"/>
      <c r="Q156" s="161"/>
      <c r="R156" s="235"/>
      <c r="S156" s="161"/>
      <c r="T156" s="236"/>
      <c r="V156" s="161">
        <f>'Paid Media'!V34</f>
        <v>1.7788366802214142E-2</v>
      </c>
      <c r="W156" s="161">
        <f>'Paid Media'!X34</f>
        <v>0.71237663645518634</v>
      </c>
      <c r="X156" s="161">
        <f>'Paid Media'!X34</f>
        <v>0.71237663645518634</v>
      </c>
      <c r="Y156" s="161">
        <f>'Paid Media'!Y34</f>
        <v>5.5203777265723302</v>
      </c>
      <c r="AA156" s="161">
        <f>'Paid Media'!AD34</f>
        <v>1.1135298897505092E-3</v>
      </c>
      <c r="AB156" s="235">
        <f>'Paid Media'!AE34</f>
        <v>0</v>
      </c>
      <c r="AC156" s="161">
        <f>'Paid Media'!AF34</f>
        <v>0</v>
      </c>
      <c r="AD156" s="236" t="e">
        <f>'Paid Media'!AG34</f>
        <v>#DIV/0!</v>
      </c>
    </row>
    <row r="157" spans="2:30" ht="15.75" customHeight="1">
      <c r="L157" s="3"/>
      <c r="M157" s="3"/>
      <c r="N157" s="3"/>
      <c r="O157" s="3"/>
    </row>
    <row r="158" spans="2:30" ht="15.75" customHeight="1">
      <c r="L158" s="3"/>
      <c r="M158" s="3"/>
      <c r="N158" s="3"/>
      <c r="O158" s="3"/>
    </row>
    <row r="159" spans="2:30" s="170" customFormat="1" ht="49.5" customHeight="1">
      <c r="B159" s="167" t="s">
        <v>43</v>
      </c>
      <c r="C159" s="167" t="s">
        <v>44</v>
      </c>
      <c r="D159" s="167" t="s">
        <v>45</v>
      </c>
      <c r="E159" s="167" t="s">
        <v>46</v>
      </c>
      <c r="F159" s="223"/>
      <c r="G159" s="169" t="s">
        <v>43</v>
      </c>
      <c r="H159" s="169" t="s">
        <v>44</v>
      </c>
      <c r="I159" s="169" t="s">
        <v>45</v>
      </c>
      <c r="J159" s="169" t="s">
        <v>47</v>
      </c>
      <c r="L159" s="290"/>
      <c r="M159" s="290"/>
      <c r="N159" s="290"/>
      <c r="O159" s="290"/>
      <c r="Q159" s="174"/>
      <c r="R159" s="174"/>
      <c r="S159" s="174"/>
      <c r="T159" s="174"/>
      <c r="V159" s="239" t="s">
        <v>43</v>
      </c>
      <c r="W159" s="239" t="s">
        <v>44</v>
      </c>
      <c r="X159" s="239" t="s">
        <v>45</v>
      </c>
      <c r="Y159" s="239" t="s">
        <v>48</v>
      </c>
      <c r="AA159" s="240" t="s">
        <v>43</v>
      </c>
      <c r="AB159" s="240" t="s">
        <v>44</v>
      </c>
      <c r="AC159" s="240" t="s">
        <v>45</v>
      </c>
      <c r="AD159" s="240" t="s">
        <v>48</v>
      </c>
    </row>
    <row r="160" spans="2:30" s="158" customFormat="1" ht="76.5" customHeight="1">
      <c r="B160" s="157"/>
      <c r="C160" s="168"/>
      <c r="D160" s="168"/>
      <c r="E160" s="168"/>
      <c r="F160" s="224"/>
      <c r="G160" s="157"/>
      <c r="H160" s="168"/>
      <c r="I160" s="168"/>
      <c r="J160" s="168"/>
      <c r="L160" s="285"/>
      <c r="M160" s="291"/>
      <c r="N160" s="291"/>
      <c r="O160" s="291"/>
      <c r="Q160" s="157"/>
      <c r="R160" s="168"/>
      <c r="S160" s="168"/>
      <c r="T160" s="168"/>
      <c r="V160" s="157"/>
      <c r="W160" s="168"/>
      <c r="X160" s="168"/>
      <c r="Y160" s="168"/>
      <c r="AA160" s="157">
        <v>5</v>
      </c>
      <c r="AB160" s="168">
        <v>10000</v>
      </c>
      <c r="AC160" s="168">
        <v>5000</v>
      </c>
      <c r="AD160" s="168">
        <f>AB160-AC160</f>
        <v>5000</v>
      </c>
    </row>
    <row r="161" spans="12:15" ht="15.75" customHeight="1">
      <c r="L161" s="3"/>
      <c r="M161" s="3"/>
      <c r="N161" s="3"/>
      <c r="O161" s="3"/>
    </row>
    <row r="162" spans="12:15" ht="15.75" customHeight="1">
      <c r="L162" s="3"/>
      <c r="M162" s="3"/>
      <c r="N162" s="3"/>
      <c r="O162" s="3"/>
    </row>
    <row r="163" spans="12:15" ht="15.75" customHeight="1">
      <c r="L163" s="3"/>
      <c r="M163" s="3"/>
      <c r="N163" s="3"/>
      <c r="O163" s="3"/>
    </row>
    <row r="164" spans="12:15" ht="15.75" customHeight="1">
      <c r="L164" s="3"/>
      <c r="M164" s="3"/>
      <c r="N164" s="3"/>
      <c r="O164" s="3"/>
    </row>
    <row r="165" spans="12:15" ht="15.75" customHeight="1">
      <c r="L165" s="3"/>
      <c r="M165" s="3"/>
      <c r="N165" s="3"/>
      <c r="O165" s="3"/>
    </row>
    <row r="166" spans="12:15" ht="15.75" customHeight="1">
      <c r="L166" s="3"/>
      <c r="M166" s="3"/>
      <c r="N166" s="3"/>
      <c r="O166" s="3"/>
    </row>
    <row r="167" spans="12:15" ht="15.75" customHeight="1">
      <c r="L167" s="3"/>
      <c r="M167" s="3"/>
      <c r="N167" s="3"/>
      <c r="O167" s="3"/>
    </row>
    <row r="168" spans="12:15" ht="15.75" customHeight="1">
      <c r="L168" s="3"/>
      <c r="M168" s="3"/>
      <c r="N168" s="3"/>
      <c r="O168" s="3"/>
    </row>
    <row r="169" spans="12:15" ht="15.75" customHeight="1">
      <c r="L169" s="3"/>
      <c r="M169" s="3"/>
      <c r="N169" s="3"/>
      <c r="O169" s="3"/>
    </row>
    <row r="170" spans="12:15" ht="15.75" customHeight="1">
      <c r="L170" s="3"/>
      <c r="M170" s="3"/>
      <c r="N170" s="3"/>
      <c r="O170" s="3"/>
    </row>
    <row r="171" spans="12:15" ht="15.75" customHeight="1">
      <c r="L171" s="3"/>
      <c r="M171" s="3"/>
      <c r="N171" s="3"/>
      <c r="O171" s="3"/>
    </row>
    <row r="172" spans="12:15" ht="15.75" customHeight="1">
      <c r="L172" s="3"/>
      <c r="M172" s="3"/>
      <c r="N172" s="3"/>
      <c r="O172" s="3"/>
    </row>
    <row r="173" spans="12:15" ht="15.75" customHeight="1">
      <c r="L173" s="3"/>
      <c r="M173" s="3"/>
      <c r="N173" s="3"/>
      <c r="O173" s="3"/>
    </row>
    <row r="174" spans="12:15" ht="15.75" customHeight="1">
      <c r="L174" s="3"/>
      <c r="M174" s="3"/>
      <c r="N174" s="3"/>
      <c r="O174" s="3"/>
    </row>
    <row r="175" spans="12:15" ht="15.75" customHeight="1">
      <c r="L175" s="3"/>
      <c r="M175" s="3"/>
      <c r="N175" s="3"/>
      <c r="O175" s="3"/>
    </row>
    <row r="176" spans="12:15" ht="15.75" customHeight="1">
      <c r="L176" s="3"/>
      <c r="M176" s="3"/>
      <c r="N176" s="3"/>
      <c r="O176" s="3"/>
    </row>
    <row r="177" spans="12:15" ht="15.75" customHeight="1">
      <c r="L177" s="3"/>
      <c r="M177" s="3"/>
      <c r="N177" s="3"/>
      <c r="O177" s="3"/>
    </row>
    <row r="178" spans="12:15" ht="15.75" customHeight="1">
      <c r="L178" s="3"/>
      <c r="M178" s="3"/>
      <c r="N178" s="3"/>
      <c r="O178" s="3"/>
    </row>
    <row r="179" spans="12:15" ht="15.75" customHeight="1">
      <c r="L179" s="3"/>
      <c r="M179" s="3"/>
      <c r="N179" s="3"/>
      <c r="O179" s="3"/>
    </row>
    <row r="180" spans="12:15" ht="15.75" customHeight="1">
      <c r="L180" s="3"/>
      <c r="M180" s="3"/>
      <c r="N180" s="3"/>
      <c r="O180" s="3"/>
    </row>
    <row r="181" spans="12:15" ht="15.75" customHeight="1">
      <c r="L181" s="3"/>
      <c r="M181" s="3"/>
      <c r="N181" s="3"/>
      <c r="O181" s="3"/>
    </row>
    <row r="182" spans="12:15" ht="15.75" customHeight="1">
      <c r="L182" s="3"/>
      <c r="M182" s="3"/>
      <c r="N182" s="3"/>
      <c r="O182" s="3"/>
    </row>
    <row r="183" spans="12:15" ht="15.75" customHeight="1">
      <c r="L183" s="3"/>
      <c r="M183" s="3"/>
      <c r="N183" s="3"/>
      <c r="O183" s="3"/>
    </row>
    <row r="184" spans="12:15" ht="15.75" customHeight="1">
      <c r="L184" s="3"/>
      <c r="M184" s="3"/>
      <c r="N184" s="3"/>
      <c r="O184" s="3"/>
    </row>
    <row r="185" spans="12:15" ht="15.75" customHeight="1"/>
    <row r="186" spans="12:15" ht="15.75" customHeight="1"/>
    <row r="187" spans="12:15" ht="15.75" customHeight="1"/>
    <row r="188" spans="12:15" ht="15.75" customHeight="1"/>
    <row r="189" spans="12:15" ht="15.75" customHeight="1"/>
    <row r="190" spans="12:15" ht="15.75" customHeight="1"/>
    <row r="191" spans="12:15" ht="15.75" customHeight="1"/>
    <row r="192" spans="12:15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spans="9:9" ht="15.75" customHeight="1"/>
    <row r="242" spans="9:9" ht="15.75" customHeight="1"/>
    <row r="243" spans="9:9" ht="15.75" customHeight="1"/>
    <row r="244" spans="9:9" ht="15.75" customHeight="1"/>
    <row r="245" spans="9:9" ht="15.75" customHeight="1"/>
    <row r="246" spans="9:9" ht="15.75" customHeight="1"/>
    <row r="247" spans="9:9" ht="15.75" customHeight="1"/>
    <row r="248" spans="9:9" ht="15.75" customHeight="1"/>
    <row r="249" spans="9:9" ht="15.75" customHeight="1"/>
    <row r="250" spans="9:9" ht="15.75" customHeight="1"/>
    <row r="251" spans="9:9" ht="15.75" customHeight="1"/>
    <row r="252" spans="9:9" ht="15.75" customHeight="1"/>
    <row r="253" spans="9:9" ht="15.75" customHeight="1"/>
    <row r="254" spans="9:9" ht="15.75" customHeight="1"/>
    <row r="255" spans="9:9" ht="15.75" customHeight="1"/>
    <row r="256" spans="9: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</sheetData>
  <sheetProtection formatCells="0" formatColumns="0" formatRows="0" insertColumns="0" insertRows="0" insertHyperlinks="0" deleteColumns="0" deleteRows="0" sort="0" autoFilter="0" pivotTables="0"/>
  <mergeCells count="3">
    <mergeCell ref="B6:B10"/>
    <mergeCell ref="B23:B24"/>
    <mergeCell ref="B17:B18"/>
  </mergeCells>
  <phoneticPr fontId="53" type="noConversion"/>
  <pageMargins left="0.7" right="0.7" top="0.75" bottom="0.75" header="0.3" footer="0.3"/>
  <pageSetup orientation="portrait" horizontalDpi="0" verticalDpi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A0843-6B0D-2548-85AF-67A217E0FE60}">
  <sheetPr>
    <tabColor theme="6"/>
  </sheetPr>
  <dimension ref="A1"/>
  <sheetViews>
    <sheetView showGridLines="0" topLeftCell="A19" workbookViewId="0">
      <selection activeCell="M65" sqref="M65"/>
    </sheetView>
  </sheetViews>
  <sheetFormatPr defaultColWidth="11.5" defaultRowHeight="1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3D00-C0DC-AA45-AD99-8FAB4DA80D97}">
  <dimension ref="A1:S87"/>
  <sheetViews>
    <sheetView showGridLines="0" tabSelected="1" zoomScale="80" zoomScaleNormal="80" workbookViewId="0">
      <pane xSplit="1" ySplit="2" topLeftCell="K75" activePane="bottomRight" state="frozen"/>
      <selection pane="topRight" activeCell="C1" sqref="C1"/>
      <selection pane="bottomLeft" activeCell="A5" sqref="A5"/>
      <selection pane="bottomRight" activeCell="Q86" sqref="Q86"/>
    </sheetView>
  </sheetViews>
  <sheetFormatPr defaultColWidth="14.5" defaultRowHeight="14"/>
  <cols>
    <col min="1" max="1" width="39" style="15" customWidth="1"/>
    <col min="2" max="2" width="24" style="1" customWidth="1"/>
    <col min="3" max="3" width="15.5" style="16" customWidth="1"/>
    <col min="4" max="4" width="16" style="16" customWidth="1"/>
    <col min="5" max="5" width="15.5" style="16" customWidth="1"/>
    <col min="6" max="6" width="16" style="16" customWidth="1"/>
    <col min="7" max="7" width="14.5" style="15" customWidth="1"/>
    <col min="8" max="8" width="16.5" style="15" customWidth="1"/>
    <col min="9" max="9" width="21.5" style="15" customWidth="1"/>
    <col min="10" max="10" width="16.5" style="15" customWidth="1"/>
    <col min="11" max="11" width="22" style="15" customWidth="1"/>
    <col min="12" max="12" width="16.5" style="15" customWidth="1"/>
    <col min="13" max="13" width="13" style="15" customWidth="1"/>
    <col min="14" max="14" width="17" style="15" customWidth="1"/>
    <col min="15" max="15" width="18.5" style="303" customWidth="1"/>
    <col min="16" max="16" width="42" style="15" customWidth="1"/>
    <col min="17" max="17" width="75" style="15" customWidth="1"/>
    <col min="18" max="18" width="28" style="3" customWidth="1"/>
    <col min="19" max="16384" width="14.5" style="3"/>
  </cols>
  <sheetData>
    <row r="1" spans="1:19" ht="15.5">
      <c r="A1" s="17" t="s">
        <v>49</v>
      </c>
      <c r="B1" s="8"/>
      <c r="C1" s="9"/>
      <c r="D1" s="10"/>
      <c r="E1" s="10"/>
      <c r="F1" s="10"/>
      <c r="G1" s="11"/>
      <c r="H1" s="11"/>
      <c r="I1" s="11"/>
      <c r="J1" s="11"/>
      <c r="K1" s="11"/>
      <c r="L1" s="11"/>
      <c r="M1" s="11"/>
      <c r="N1" s="11"/>
      <c r="O1" s="302"/>
      <c r="P1" s="11"/>
      <c r="Q1" s="11"/>
      <c r="R1" s="11"/>
      <c r="S1" s="11"/>
    </row>
    <row r="2" spans="1:19" s="12" customFormat="1" ht="28">
      <c r="A2" s="19" t="s">
        <v>50</v>
      </c>
      <c r="B2" s="97" t="s">
        <v>51</v>
      </c>
      <c r="C2" s="20" t="s">
        <v>52</v>
      </c>
      <c r="D2" s="20" t="s">
        <v>53</v>
      </c>
      <c r="E2" s="20" t="s">
        <v>54</v>
      </c>
      <c r="F2" s="20" t="s">
        <v>55</v>
      </c>
      <c r="G2" s="97" t="s">
        <v>56</v>
      </c>
      <c r="H2" s="20" t="s">
        <v>57</v>
      </c>
      <c r="I2" s="20" t="s">
        <v>58</v>
      </c>
      <c r="J2" s="20" t="s">
        <v>59</v>
      </c>
      <c r="K2" s="97" t="s">
        <v>60</v>
      </c>
      <c r="L2" s="20" t="s">
        <v>61</v>
      </c>
      <c r="M2" s="20" t="s">
        <v>62</v>
      </c>
      <c r="N2" s="20" t="s">
        <v>63</v>
      </c>
      <c r="O2" s="301" t="s">
        <v>64</v>
      </c>
      <c r="P2" s="20" t="s">
        <v>65</v>
      </c>
      <c r="Q2" s="413" t="s">
        <v>66</v>
      </c>
      <c r="R2" s="409" t="s">
        <v>67</v>
      </c>
      <c r="S2" s="409" t="s">
        <v>68</v>
      </c>
    </row>
    <row r="3" spans="1:19" s="12" customFormat="1">
      <c r="A3" s="96" t="s">
        <v>69</v>
      </c>
      <c r="B3" s="102" t="s">
        <v>70</v>
      </c>
      <c r="C3" s="103">
        <v>45821</v>
      </c>
      <c r="D3" s="95" t="s">
        <v>71</v>
      </c>
      <c r="E3" s="21">
        <v>0.54166666666666663</v>
      </c>
      <c r="F3" s="98">
        <v>21125</v>
      </c>
      <c r="G3" s="443">
        <v>0.40899999999999997</v>
      </c>
      <c r="H3" s="100">
        <v>0.15</v>
      </c>
      <c r="I3" s="259">
        <f>463/17430</f>
        <v>2.6563396442914514E-2</v>
      </c>
      <c r="J3" s="191">
        <v>0.03</v>
      </c>
      <c r="K3" s="104">
        <f>463/7135</f>
        <v>6.4891380518570421E-2</v>
      </c>
      <c r="L3" s="100">
        <v>0.06</v>
      </c>
      <c r="M3" s="101">
        <f>17430/21125</f>
        <v>0.82508875739644971</v>
      </c>
      <c r="N3" s="192">
        <v>0.95</v>
      </c>
      <c r="O3" s="444">
        <f>10/17430</f>
        <v>5.737234652897303E-4</v>
      </c>
      <c r="P3" s="193">
        <v>2.5000000000000001E-3</v>
      </c>
      <c r="Q3" s="414" t="s">
        <v>72</v>
      </c>
      <c r="R3" s="410"/>
      <c r="S3" s="410"/>
    </row>
    <row r="4" spans="1:19" s="12" customFormat="1">
      <c r="A4" s="96" t="s">
        <v>73</v>
      </c>
      <c r="B4" s="102" t="s">
        <v>70</v>
      </c>
      <c r="C4" s="103">
        <v>45828</v>
      </c>
      <c r="D4" s="95" t="s">
        <v>71</v>
      </c>
      <c r="E4" s="21">
        <v>0.58888888888888891</v>
      </c>
      <c r="F4" s="98">
        <v>21109</v>
      </c>
      <c r="G4" s="443">
        <v>0.57599999999999996</v>
      </c>
      <c r="H4" s="100">
        <v>0.15</v>
      </c>
      <c r="I4" s="259">
        <f>4064/17327</f>
        <v>0.23454723841403591</v>
      </c>
      <c r="J4" s="191">
        <v>0.03</v>
      </c>
      <c r="K4" s="104">
        <f>4064/9980</f>
        <v>0.40721442885771542</v>
      </c>
      <c r="L4" s="100">
        <v>0.06</v>
      </c>
      <c r="M4" s="101">
        <f>17327/21109</f>
        <v>0.82083471505045247</v>
      </c>
      <c r="N4" s="192">
        <v>0.95</v>
      </c>
      <c r="O4" s="444">
        <f>10/17327</f>
        <v>5.7713395279044264E-4</v>
      </c>
      <c r="P4" s="193">
        <v>2.5000000000000001E-3</v>
      </c>
      <c r="Q4" s="414" t="s">
        <v>74</v>
      </c>
      <c r="R4" s="410"/>
      <c r="S4" s="410"/>
    </row>
    <row r="5" spans="1:19" s="12" customFormat="1">
      <c r="A5" s="96" t="s">
        <v>75</v>
      </c>
      <c r="B5" s="102" t="s">
        <v>70</v>
      </c>
      <c r="C5" s="103">
        <v>45834</v>
      </c>
      <c r="D5" s="95" t="s">
        <v>76</v>
      </c>
      <c r="E5" s="21">
        <v>0.61458333333333337</v>
      </c>
      <c r="F5" s="98">
        <v>21091</v>
      </c>
      <c r="G5" s="194">
        <v>0.49</v>
      </c>
      <c r="H5" s="100">
        <v>0.15</v>
      </c>
      <c r="I5" s="259">
        <v>9.2999999999999999E-2</v>
      </c>
      <c r="J5" s="191">
        <v>0.03</v>
      </c>
      <c r="K5" s="104">
        <f>1627/8578</f>
        <v>0.1896712520401026</v>
      </c>
      <c r="L5" s="100">
        <v>0.06</v>
      </c>
      <c r="M5" s="101">
        <f>17501/21091</f>
        <v>0.8297852164430326</v>
      </c>
      <c r="N5" s="192">
        <v>0.95</v>
      </c>
      <c r="O5" s="444">
        <f>12/17501</f>
        <v>6.8567510427975547E-4</v>
      </c>
      <c r="P5" s="193">
        <v>2.5000000000000001E-3</v>
      </c>
      <c r="Q5" s="414" t="s">
        <v>77</v>
      </c>
      <c r="R5" s="410"/>
      <c r="S5" s="410"/>
    </row>
    <row r="6" spans="1:19" s="12" customFormat="1">
      <c r="A6" s="96" t="s">
        <v>78</v>
      </c>
      <c r="B6" s="102" t="s">
        <v>79</v>
      </c>
      <c r="C6" s="103">
        <v>45847</v>
      </c>
      <c r="D6" s="95" t="s">
        <v>80</v>
      </c>
      <c r="E6" s="21">
        <v>0.70833333333333337</v>
      </c>
      <c r="F6" s="98">
        <v>190</v>
      </c>
      <c r="G6" s="443">
        <v>0.70499999999999996</v>
      </c>
      <c r="H6" s="100">
        <v>0.15</v>
      </c>
      <c r="I6" s="259">
        <f>28/176</f>
        <v>0.15909090909090909</v>
      </c>
      <c r="J6" s="191">
        <v>0.03</v>
      </c>
      <c r="K6" s="104">
        <f>28/124</f>
        <v>0.22580645161290322</v>
      </c>
      <c r="L6" s="100">
        <v>0.06</v>
      </c>
      <c r="M6" s="101">
        <f>176/190</f>
        <v>0.9263157894736842</v>
      </c>
      <c r="N6" s="192">
        <v>0.95</v>
      </c>
      <c r="O6" s="466">
        <v>0</v>
      </c>
      <c r="P6" s="193">
        <v>2.5000000000000001E-3</v>
      </c>
      <c r="Q6" s="414" t="s">
        <v>81</v>
      </c>
      <c r="R6" s="410"/>
      <c r="S6" s="410"/>
    </row>
    <row r="7" spans="1:19" s="12" customFormat="1" ht="42">
      <c r="A7" s="96" t="s">
        <v>82</v>
      </c>
      <c r="B7" s="102" t="s">
        <v>70</v>
      </c>
      <c r="C7" s="103">
        <v>45847</v>
      </c>
      <c r="D7" s="95" t="s">
        <v>80</v>
      </c>
      <c r="E7" s="21">
        <v>0.70833333333333337</v>
      </c>
      <c r="F7" s="98">
        <v>20866</v>
      </c>
      <c r="G7" s="443">
        <v>0.443</v>
      </c>
      <c r="H7" s="100">
        <v>0.15</v>
      </c>
      <c r="I7" s="259">
        <v>0.09</v>
      </c>
      <c r="J7" s="191">
        <v>0.03</v>
      </c>
      <c r="K7" s="104">
        <f>1530/7552</f>
        <v>0.20259533898305085</v>
      </c>
      <c r="L7" s="100">
        <v>0.06</v>
      </c>
      <c r="M7" s="101">
        <f>17044/20866</f>
        <v>0.81683120866481362</v>
      </c>
      <c r="N7" s="192">
        <v>0.95</v>
      </c>
      <c r="O7" s="466">
        <f>8/17044</f>
        <v>4.6937338652898382E-4</v>
      </c>
      <c r="P7" s="193">
        <v>2.5000000000000001E-3</v>
      </c>
      <c r="Q7" s="414" t="s">
        <v>83</v>
      </c>
      <c r="R7" s="410"/>
      <c r="S7" s="410"/>
    </row>
    <row r="8" spans="1:19" s="12" customFormat="1">
      <c r="A8" s="96" t="s">
        <v>84</v>
      </c>
      <c r="B8" s="102" t="s">
        <v>70</v>
      </c>
      <c r="C8" s="103">
        <v>45855</v>
      </c>
      <c r="D8" s="95" t="s">
        <v>76</v>
      </c>
      <c r="E8" s="21">
        <v>0.45833333333333331</v>
      </c>
      <c r="F8" s="98">
        <v>21041</v>
      </c>
      <c r="G8" s="443">
        <v>0.41499999999999998</v>
      </c>
      <c r="H8" s="100">
        <v>0.15</v>
      </c>
      <c r="I8" s="259">
        <f>1112/17315</f>
        <v>6.4221773029165458E-2</v>
      </c>
      <c r="J8" s="99">
        <v>0.03</v>
      </c>
      <c r="K8" s="104">
        <f>1112/7178</f>
        <v>0.15491780440234049</v>
      </c>
      <c r="L8" s="100">
        <v>0.06</v>
      </c>
      <c r="M8" s="101">
        <f>17315/21041</f>
        <v>0.82291716173185681</v>
      </c>
      <c r="N8" s="192">
        <v>0.95</v>
      </c>
      <c r="O8" s="466">
        <f>7/17315</f>
        <v>4.0427375108287609E-4</v>
      </c>
      <c r="P8" s="36">
        <v>2.5000000000000001E-3</v>
      </c>
      <c r="Q8" s="414" t="s">
        <v>85</v>
      </c>
      <c r="R8" s="410"/>
      <c r="S8" s="410"/>
    </row>
    <row r="9" spans="1:19" s="12" customFormat="1" ht="28">
      <c r="A9" s="96" t="s">
        <v>86</v>
      </c>
      <c r="B9" s="102" t="s">
        <v>87</v>
      </c>
      <c r="C9" s="103">
        <v>45861</v>
      </c>
      <c r="D9" s="95" t="s">
        <v>80</v>
      </c>
      <c r="E9" s="21">
        <v>0.35416666666666669</v>
      </c>
      <c r="F9" s="98">
        <v>2824</v>
      </c>
      <c r="G9" s="443">
        <v>0.51100000000000001</v>
      </c>
      <c r="H9" s="100">
        <v>0.15</v>
      </c>
      <c r="I9" s="467">
        <v>8.5999999999999993E-2</v>
      </c>
      <c r="J9" s="99">
        <v>0.03</v>
      </c>
      <c r="K9" s="104">
        <f>195/1145</f>
        <v>0.1703056768558952</v>
      </c>
      <c r="L9" s="100">
        <v>0.06</v>
      </c>
      <c r="M9" s="101">
        <f>2521/2824</f>
        <v>0.89270538243626063</v>
      </c>
      <c r="N9" s="192">
        <v>0.95</v>
      </c>
      <c r="O9" s="466">
        <f>1/2521</f>
        <v>3.9666798889329631E-4</v>
      </c>
      <c r="P9" s="36">
        <v>2.5000000000000001E-3</v>
      </c>
      <c r="Q9" s="414" t="s">
        <v>88</v>
      </c>
      <c r="R9" s="410"/>
      <c r="S9" s="410"/>
    </row>
    <row r="10" spans="1:19" s="12" customFormat="1">
      <c r="A10" s="96" t="s">
        <v>89</v>
      </c>
      <c r="B10" s="102" t="s">
        <v>70</v>
      </c>
      <c r="C10" s="103">
        <v>45860</v>
      </c>
      <c r="D10" s="95" t="s">
        <v>90</v>
      </c>
      <c r="E10" s="21">
        <v>0.58333333333333337</v>
      </c>
      <c r="F10" s="98">
        <v>21026</v>
      </c>
      <c r="G10" s="443">
        <v>0.51200000000000001</v>
      </c>
      <c r="H10" s="100">
        <v>0.15</v>
      </c>
      <c r="I10" s="259">
        <v>1.7000000000000001E-2</v>
      </c>
      <c r="J10" s="99">
        <v>0.03</v>
      </c>
      <c r="K10" s="104">
        <f>273/7750</f>
        <v>3.5225806451612905E-2</v>
      </c>
      <c r="L10" s="100">
        <v>0.06</v>
      </c>
      <c r="M10" s="101">
        <f>17193/21026</f>
        <v>0.81770189289451156</v>
      </c>
      <c r="N10" s="192">
        <v>0.95</v>
      </c>
      <c r="O10" s="466">
        <f>12/17193</f>
        <v>6.979584714709475E-4</v>
      </c>
      <c r="P10" s="36">
        <v>2.5000000000000001E-3</v>
      </c>
      <c r="Q10" s="414" t="s">
        <v>91</v>
      </c>
      <c r="R10" s="410"/>
      <c r="S10" s="410"/>
    </row>
    <row r="11" spans="1:19" s="12" customFormat="1">
      <c r="A11" s="96" t="s">
        <v>92</v>
      </c>
      <c r="B11" s="102" t="s">
        <v>70</v>
      </c>
      <c r="C11" s="103">
        <v>45876</v>
      </c>
      <c r="D11" s="95" t="s">
        <v>76</v>
      </c>
      <c r="E11" s="21">
        <v>0.70833333333333337</v>
      </c>
      <c r="F11" s="98">
        <v>21002</v>
      </c>
      <c r="G11" s="470">
        <v>0.46</v>
      </c>
      <c r="H11" s="100">
        <v>0.15</v>
      </c>
      <c r="I11" s="467">
        <f>374/17126</f>
        <v>2.1838140838491182E-2</v>
      </c>
      <c r="J11" s="191">
        <v>0.03</v>
      </c>
      <c r="K11" s="104">
        <f>374/7875</f>
        <v>4.7492063492063495E-2</v>
      </c>
      <c r="L11" s="100">
        <v>0.06</v>
      </c>
      <c r="M11" s="101">
        <f>17126/21002</f>
        <v>0.81544614798590609</v>
      </c>
      <c r="N11" s="192">
        <v>0.95</v>
      </c>
      <c r="O11" s="466">
        <f>6/17126</f>
        <v>3.5034450543033983E-4</v>
      </c>
      <c r="P11" s="193">
        <v>2.5000000000000001E-3</v>
      </c>
      <c r="Q11" s="414" t="s">
        <v>93</v>
      </c>
      <c r="R11" s="410"/>
      <c r="S11" s="410"/>
    </row>
    <row r="12" spans="1:19" s="12" customFormat="1">
      <c r="A12" s="96" t="s">
        <v>94</v>
      </c>
      <c r="B12" s="102" t="s">
        <v>70</v>
      </c>
      <c r="C12" s="103">
        <v>45881</v>
      </c>
      <c r="D12" s="95" t="s">
        <v>90</v>
      </c>
      <c r="E12" s="21">
        <v>0.46388888888888891</v>
      </c>
      <c r="F12" s="98">
        <v>20993</v>
      </c>
      <c r="G12" s="470">
        <v>0.443</v>
      </c>
      <c r="H12" s="100">
        <v>0.15</v>
      </c>
      <c r="I12" s="467">
        <f>245/17103</f>
        <v>1.4324972227094663E-2</v>
      </c>
      <c r="J12" s="191">
        <v>0.03</v>
      </c>
      <c r="K12" s="104">
        <f>245/7577</f>
        <v>3.2334697109674015E-2</v>
      </c>
      <c r="L12" s="100">
        <v>0.06</v>
      </c>
      <c r="M12" s="101">
        <f>17103/20993</f>
        <v>0.81470013814128517</v>
      </c>
      <c r="N12" s="192">
        <v>0.95</v>
      </c>
      <c r="O12" s="466">
        <f>11/17103</f>
        <v>6.431620183593522E-4</v>
      </c>
      <c r="P12" s="193">
        <v>2.5000000000000001E-3</v>
      </c>
      <c r="Q12" s="414" t="s">
        <v>95</v>
      </c>
      <c r="R12" s="410"/>
      <c r="S12" s="410"/>
    </row>
    <row r="13" spans="1:19" s="12" customFormat="1" ht="28">
      <c r="A13" s="96" t="s">
        <v>96</v>
      </c>
      <c r="B13" s="102" t="s">
        <v>70</v>
      </c>
      <c r="C13" s="103">
        <v>45883</v>
      </c>
      <c r="D13" s="95" t="s">
        <v>76</v>
      </c>
      <c r="E13" s="21">
        <v>0.70833333333333337</v>
      </c>
      <c r="F13" s="98">
        <v>33567</v>
      </c>
      <c r="G13" s="470">
        <v>0.43</v>
      </c>
      <c r="H13" s="100">
        <v>0.15</v>
      </c>
      <c r="I13" s="467">
        <v>1.2E-2</v>
      </c>
      <c r="J13" s="191">
        <v>0.03</v>
      </c>
      <c r="K13" s="104">
        <f>350/12269</f>
        <v>2.8527182329448203E-2</v>
      </c>
      <c r="L13" s="100">
        <v>0.06</v>
      </c>
      <c r="M13" s="101">
        <f>28520/33567</f>
        <v>0.84964399559090775</v>
      </c>
      <c r="N13" s="192">
        <v>0.95</v>
      </c>
      <c r="O13" s="466">
        <f>27/28520</f>
        <v>9.4670406732117807E-4</v>
      </c>
      <c r="P13" s="193">
        <v>2.5000000000000001E-3</v>
      </c>
      <c r="Q13" s="414" t="s">
        <v>97</v>
      </c>
      <c r="R13" s="410"/>
      <c r="S13" s="410"/>
    </row>
    <row r="14" spans="1:19" s="12" customFormat="1">
      <c r="A14" s="96" t="s">
        <v>98</v>
      </c>
      <c r="B14" s="102" t="s">
        <v>70</v>
      </c>
      <c r="C14" s="103">
        <v>45887</v>
      </c>
      <c r="D14" s="95" t="s">
        <v>99</v>
      </c>
      <c r="E14" s="21">
        <v>0.54166666666666663</v>
      </c>
      <c r="F14" s="98">
        <v>19571</v>
      </c>
      <c r="G14" s="470">
        <v>0.443</v>
      </c>
      <c r="H14" s="100">
        <v>0.15</v>
      </c>
      <c r="I14" s="467">
        <f>222/17937</f>
        <v>1.2376651613982272E-2</v>
      </c>
      <c r="J14" s="191">
        <v>0.03</v>
      </c>
      <c r="K14" s="104">
        <f>222/7940</f>
        <v>2.7959697732997481E-2</v>
      </c>
      <c r="L14" s="100">
        <v>0.06</v>
      </c>
      <c r="M14" s="101">
        <f>17937/19571</f>
        <v>0.9165091206376782</v>
      </c>
      <c r="N14" s="192">
        <v>0.95</v>
      </c>
      <c r="O14" s="466">
        <f>3/17937</f>
        <v>1.6725204883759825E-4</v>
      </c>
      <c r="P14" s="193">
        <v>2.5000000000000001E-3</v>
      </c>
      <c r="Q14" s="414" t="s">
        <v>100</v>
      </c>
      <c r="R14" s="410"/>
      <c r="S14" s="410"/>
    </row>
    <row r="15" spans="1:19" s="12" customFormat="1" ht="28">
      <c r="A15" s="96" t="s">
        <v>101</v>
      </c>
      <c r="B15" s="102" t="s">
        <v>70</v>
      </c>
      <c r="C15" s="103">
        <v>45890</v>
      </c>
      <c r="D15" s="95" t="s">
        <v>76</v>
      </c>
      <c r="E15" s="21">
        <v>0.48125000000000001</v>
      </c>
      <c r="F15" s="98">
        <v>19570</v>
      </c>
      <c r="G15" s="470">
        <v>0.42</v>
      </c>
      <c r="H15" s="100">
        <v>0.15</v>
      </c>
      <c r="I15" s="467">
        <f>1354/17859</f>
        <v>7.5816115124027098E-2</v>
      </c>
      <c r="J15" s="191">
        <v>0.03</v>
      </c>
      <c r="K15" s="104">
        <f>1354/7508</f>
        <v>0.18034096963239213</v>
      </c>
      <c r="L15" s="100">
        <v>0.06</v>
      </c>
      <c r="M15" s="101">
        <f>17859/19570</f>
        <v>0.91257026060296376</v>
      </c>
      <c r="N15" s="192">
        <v>0.95</v>
      </c>
      <c r="O15" s="466">
        <f>11/17859</f>
        <v>6.1593594266196321E-4</v>
      </c>
      <c r="P15" s="193">
        <v>2.5000000000000001E-3</v>
      </c>
      <c r="Q15" s="414" t="s">
        <v>102</v>
      </c>
      <c r="R15" s="410"/>
      <c r="S15" s="410"/>
    </row>
    <row r="16" spans="1:19" s="12" customFormat="1" ht="28">
      <c r="A16" s="96" t="s">
        <v>103</v>
      </c>
      <c r="B16" s="102" t="s">
        <v>104</v>
      </c>
      <c r="C16" s="103">
        <v>45904</v>
      </c>
      <c r="D16" s="95" t="s">
        <v>76</v>
      </c>
      <c r="E16" s="21">
        <v>0.45833333333333331</v>
      </c>
      <c r="F16" s="98">
        <v>5851</v>
      </c>
      <c r="G16" s="470">
        <v>9.5000000000000001E-2</v>
      </c>
      <c r="H16" s="100">
        <v>0.15</v>
      </c>
      <c r="I16" s="467">
        <f>499/5227</f>
        <v>9.5465850392194379E-2</v>
      </c>
      <c r="J16" s="191">
        <v>0.03</v>
      </c>
      <c r="K16" s="104">
        <f>499/499</f>
        <v>1</v>
      </c>
      <c r="L16" s="100">
        <v>0.06</v>
      </c>
      <c r="M16" s="101">
        <f>5227/5851</f>
        <v>0.89335156383524184</v>
      </c>
      <c r="N16" s="192">
        <v>0.95</v>
      </c>
      <c r="O16" s="466">
        <f>3/5227</f>
        <v>5.7394298832982589E-4</v>
      </c>
      <c r="P16" s="193">
        <v>2.5000000000000001E-3</v>
      </c>
      <c r="Q16" s="414" t="s">
        <v>105</v>
      </c>
      <c r="R16" s="410"/>
      <c r="S16" s="410"/>
    </row>
    <row r="17" spans="1:19" s="12" customFormat="1">
      <c r="A17" s="241" t="s">
        <v>106</v>
      </c>
      <c r="B17" s="242" t="s">
        <v>107</v>
      </c>
      <c r="C17" s="243">
        <v>45908</v>
      </c>
      <c r="D17" s="244" t="s">
        <v>99</v>
      </c>
      <c r="E17" s="245">
        <v>0.70833333333333337</v>
      </c>
      <c r="F17" s="246">
        <v>6180</v>
      </c>
      <c r="G17" s="471">
        <v>1.6E-2</v>
      </c>
      <c r="H17" s="247">
        <v>0.15</v>
      </c>
      <c r="I17" s="473">
        <f>95/5939</f>
        <v>1.5995958915642365E-2</v>
      </c>
      <c r="J17" s="248">
        <v>0.03</v>
      </c>
      <c r="K17" s="249">
        <v>1</v>
      </c>
      <c r="L17" s="247">
        <v>0.06</v>
      </c>
      <c r="M17" s="250">
        <f>5939/6180</f>
        <v>0.96100323624595474</v>
      </c>
      <c r="N17" s="251">
        <v>0.95</v>
      </c>
      <c r="O17" s="474">
        <f>15/5939</f>
        <v>2.5256777235224785E-3</v>
      </c>
      <c r="P17" s="252">
        <v>2.5000000000000001E-3</v>
      </c>
      <c r="Q17" s="415" t="s">
        <v>108</v>
      </c>
      <c r="R17" s="410"/>
      <c r="S17" s="410"/>
    </row>
    <row r="18" spans="1:19" ht="28">
      <c r="A18" s="304" t="s">
        <v>109</v>
      </c>
      <c r="B18" s="305" t="s">
        <v>110</v>
      </c>
      <c r="C18" s="306">
        <v>45908</v>
      </c>
      <c r="D18" s="244" t="s">
        <v>99</v>
      </c>
      <c r="E18" s="307">
        <v>0.70833333333333337</v>
      </c>
      <c r="F18" s="308">
        <v>16868</v>
      </c>
      <c r="G18" s="471">
        <v>0.01</v>
      </c>
      <c r="H18" s="247">
        <v>0.15</v>
      </c>
      <c r="I18" s="473">
        <v>0.01</v>
      </c>
      <c r="J18" s="248">
        <v>0.03</v>
      </c>
      <c r="K18" s="249">
        <v>1</v>
      </c>
      <c r="L18" s="247">
        <v>0.06</v>
      </c>
      <c r="M18" s="250">
        <f>15099/16868</f>
        <v>0.89512686744130898</v>
      </c>
      <c r="N18" s="251">
        <v>0.95</v>
      </c>
      <c r="O18" s="474">
        <f>5/15099</f>
        <v>3.3114775812967748E-4</v>
      </c>
      <c r="P18" s="252">
        <v>2.5000000000000001E-3</v>
      </c>
      <c r="Q18" s="416" t="s">
        <v>111</v>
      </c>
      <c r="R18" s="411"/>
      <c r="S18" s="411"/>
    </row>
    <row r="19" spans="1:19" s="258" customFormat="1">
      <c r="A19" s="102" t="s">
        <v>112</v>
      </c>
      <c r="B19" s="309" t="s">
        <v>113</v>
      </c>
      <c r="C19" s="310">
        <v>45911</v>
      </c>
      <c r="D19" s="260" t="s">
        <v>76</v>
      </c>
      <c r="E19" s="311">
        <v>0.58333333333333337</v>
      </c>
      <c r="F19" s="261">
        <v>10089</v>
      </c>
      <c r="G19" s="472">
        <v>0.433</v>
      </c>
      <c r="H19" s="263">
        <v>0.15</v>
      </c>
      <c r="I19" s="467">
        <v>5.0000000000000001E-3</v>
      </c>
      <c r="J19" s="263">
        <v>0.03</v>
      </c>
      <c r="K19" s="104">
        <f>48/3998</f>
        <v>1.200600300150075E-2</v>
      </c>
      <c r="L19" s="263">
        <v>0.06</v>
      </c>
      <c r="M19" s="262">
        <f>9227/10089</f>
        <v>0.91456041233026064</v>
      </c>
      <c r="N19" s="263">
        <v>0.95</v>
      </c>
      <c r="O19" s="472">
        <f>4/9227</f>
        <v>4.3351035005960767E-4</v>
      </c>
      <c r="P19" s="264">
        <v>2.5000000000000001E-3</v>
      </c>
      <c r="Q19" s="416" t="s">
        <v>114</v>
      </c>
      <c r="R19" s="411"/>
      <c r="S19" s="411"/>
    </row>
    <row r="20" spans="1:19">
      <c r="A20" s="242" t="s">
        <v>115</v>
      </c>
      <c r="B20" s="305" t="s">
        <v>116</v>
      </c>
      <c r="C20" s="306">
        <v>45911</v>
      </c>
      <c r="D20" s="312" t="s">
        <v>76</v>
      </c>
      <c r="E20" s="307">
        <v>0.58333333333333337</v>
      </c>
      <c r="F20" s="308">
        <v>10087</v>
      </c>
      <c r="G20" s="249">
        <v>0.44</v>
      </c>
      <c r="H20" s="292">
        <v>0.15</v>
      </c>
      <c r="I20" s="249">
        <f>73/9201</f>
        <v>7.9339202260623846E-3</v>
      </c>
      <c r="J20" s="292">
        <v>0.03</v>
      </c>
      <c r="K20" s="314">
        <f>73/4046</f>
        <v>1.8042511122095897E-2</v>
      </c>
      <c r="L20" s="292">
        <v>0.06</v>
      </c>
      <c r="M20" s="313">
        <f>9201/10087</f>
        <v>0.91216417170615649</v>
      </c>
      <c r="N20" s="292">
        <v>0.95</v>
      </c>
      <c r="O20" s="473">
        <f>2/9201</f>
        <v>2.1736767742636671E-4</v>
      </c>
      <c r="P20" s="293">
        <v>2.5000000000000001E-3</v>
      </c>
      <c r="Q20" s="416" t="s">
        <v>114</v>
      </c>
      <c r="R20" s="411"/>
      <c r="S20" s="411"/>
    </row>
    <row r="21" spans="1:19" ht="28">
      <c r="A21" s="315" t="s">
        <v>117</v>
      </c>
      <c r="B21" s="316" t="s">
        <v>118</v>
      </c>
      <c r="C21" s="317">
        <v>45924</v>
      </c>
      <c r="D21" s="318" t="s">
        <v>80</v>
      </c>
      <c r="E21" s="319">
        <v>0.35416666666666669</v>
      </c>
      <c r="F21" s="320">
        <v>2711</v>
      </c>
      <c r="G21" s="322">
        <v>0.46700000000000003</v>
      </c>
      <c r="H21" s="292">
        <v>0.15</v>
      </c>
      <c r="I21" s="322">
        <v>2.7E-2</v>
      </c>
      <c r="J21" s="292">
        <v>0.03</v>
      </c>
      <c r="K21" s="322">
        <f>71/1241</f>
        <v>5.7211925866236905E-2</v>
      </c>
      <c r="L21" s="292">
        <v>0.06</v>
      </c>
      <c r="M21" s="323">
        <f>2655/2711</f>
        <v>0.97934341571375871</v>
      </c>
      <c r="N21" s="292">
        <v>0.95</v>
      </c>
      <c r="O21" s="322">
        <f>2/2655</f>
        <v>7.5329566854990583E-4</v>
      </c>
      <c r="P21" s="345">
        <v>2.5000000000000001E-3</v>
      </c>
      <c r="Q21" s="417" t="s">
        <v>119</v>
      </c>
      <c r="R21" s="411"/>
      <c r="S21" s="411"/>
    </row>
    <row r="22" spans="1:19" ht="56">
      <c r="A22" s="324" t="s">
        <v>120</v>
      </c>
      <c r="B22" s="325" t="s">
        <v>121</v>
      </c>
      <c r="C22" s="317">
        <v>45930</v>
      </c>
      <c r="D22" s="326" t="s">
        <v>90</v>
      </c>
      <c r="E22" s="327">
        <v>0.70833333333333337</v>
      </c>
      <c r="F22" s="328">
        <v>16156</v>
      </c>
      <c r="G22" s="329">
        <v>0.42</v>
      </c>
      <c r="H22" s="292">
        <v>0.15</v>
      </c>
      <c r="I22" s="330">
        <v>8.9999999999999998E-4</v>
      </c>
      <c r="J22" s="292">
        <v>0.03</v>
      </c>
      <c r="K22" s="330">
        <f>146/6578</f>
        <v>2.2195196108239588E-2</v>
      </c>
      <c r="L22" s="292">
        <v>0.06</v>
      </c>
      <c r="M22" s="339">
        <f>15671/16156</f>
        <v>0.96998019311710815</v>
      </c>
      <c r="N22" s="292">
        <v>0.95</v>
      </c>
      <c r="O22" s="322">
        <f>8/15671</f>
        <v>5.1049709654776344E-4</v>
      </c>
      <c r="P22" s="345">
        <v>2.5000000000000001E-3</v>
      </c>
      <c r="Q22" s="418" t="s">
        <v>122</v>
      </c>
      <c r="R22" s="411"/>
      <c r="S22" s="411"/>
    </row>
    <row r="23" spans="1:19" ht="55.5" customHeight="1">
      <c r="A23" s="315" t="s">
        <v>123</v>
      </c>
      <c r="B23" s="325" t="s">
        <v>121</v>
      </c>
      <c r="C23" s="317">
        <v>45938</v>
      </c>
      <c r="D23" s="318" t="s">
        <v>80</v>
      </c>
      <c r="E23" s="319">
        <v>0.58333333333333337</v>
      </c>
      <c r="F23" s="320">
        <v>18863</v>
      </c>
      <c r="G23" s="321">
        <v>0.43</v>
      </c>
      <c r="H23" s="295">
        <v>0.15</v>
      </c>
      <c r="I23" s="322">
        <v>9.0999999999999998E-2</v>
      </c>
      <c r="J23" s="295">
        <v>0.03</v>
      </c>
      <c r="K23" s="322">
        <f>1668/7843</f>
        <v>0.21267372179013133</v>
      </c>
      <c r="L23" s="294">
        <v>0.06</v>
      </c>
      <c r="M23" s="339">
        <f>18245/18863</f>
        <v>0.96723744897418229</v>
      </c>
      <c r="N23" s="292">
        <v>0.95</v>
      </c>
      <c r="O23" s="322">
        <f>4/18245</f>
        <v>2.1923814743765414E-4</v>
      </c>
      <c r="P23" s="345">
        <v>2.5000000000000001E-3</v>
      </c>
      <c r="Q23" s="418" t="s">
        <v>124</v>
      </c>
      <c r="R23" s="411"/>
      <c r="S23" s="411"/>
    </row>
    <row r="24" spans="1:19" ht="42">
      <c r="A24" s="315" t="s">
        <v>125</v>
      </c>
      <c r="B24" s="316" t="s">
        <v>126</v>
      </c>
      <c r="C24" s="317">
        <v>45946</v>
      </c>
      <c r="D24" s="318" t="s">
        <v>76</v>
      </c>
      <c r="E24" s="319">
        <v>0.45833333333333331</v>
      </c>
      <c r="F24" s="320">
        <v>18868</v>
      </c>
      <c r="G24" s="323">
        <v>0.45500000000000002</v>
      </c>
      <c r="H24" s="295">
        <v>0.15</v>
      </c>
      <c r="I24" s="322">
        <f>2113/18248</f>
        <v>0.11579351161771154</v>
      </c>
      <c r="J24" s="295">
        <v>0.03</v>
      </c>
      <c r="K24" s="322">
        <f>2113/8304</f>
        <v>0.25445568400770713</v>
      </c>
      <c r="L24" s="294">
        <v>0.06</v>
      </c>
      <c r="M24" s="339">
        <f>18248/18868</f>
        <v>0.96714013143947419</v>
      </c>
      <c r="N24" s="292">
        <v>0.95</v>
      </c>
      <c r="O24" s="322">
        <f>3/18248</f>
        <v>1.6440157825515125E-4</v>
      </c>
      <c r="P24" s="345">
        <v>2.5000000000000001E-3</v>
      </c>
      <c r="Q24" s="417" t="s">
        <v>127</v>
      </c>
      <c r="R24" s="411"/>
      <c r="S24" s="411"/>
    </row>
    <row r="25" spans="1:19" ht="42">
      <c r="A25" s="324" t="s">
        <v>128</v>
      </c>
      <c r="B25" s="325" t="s">
        <v>126</v>
      </c>
      <c r="C25" s="342">
        <v>45953</v>
      </c>
      <c r="D25" s="326" t="s">
        <v>76</v>
      </c>
      <c r="E25" s="327">
        <v>0.70833333333333337</v>
      </c>
      <c r="F25" s="328">
        <v>18871</v>
      </c>
      <c r="G25" s="337">
        <v>0.52400000000000002</v>
      </c>
      <c r="H25" s="343">
        <v>0.15</v>
      </c>
      <c r="I25" s="330">
        <f>189/18217</f>
        <v>1.0374924521051765E-2</v>
      </c>
      <c r="J25" s="343">
        <v>0.03</v>
      </c>
      <c r="K25" s="330">
        <f>189/9452</f>
        <v>1.9995768091409225E-2</v>
      </c>
      <c r="L25" s="294">
        <v>0.06</v>
      </c>
      <c r="M25" s="344">
        <f>18217/18871</f>
        <v>0.96534364898521541</v>
      </c>
      <c r="N25" s="292">
        <v>0.95</v>
      </c>
      <c r="O25" s="330">
        <f>3/18217</f>
        <v>1.6468134160399627E-4</v>
      </c>
      <c r="P25" s="345">
        <v>2.5000000000000001E-3</v>
      </c>
      <c r="Q25" s="419" t="s">
        <v>129</v>
      </c>
      <c r="R25" s="411"/>
      <c r="S25" s="411"/>
    </row>
    <row r="26" spans="1:19" ht="42">
      <c r="A26" s="340" t="s">
        <v>130</v>
      </c>
      <c r="B26" s="309" t="s">
        <v>131</v>
      </c>
      <c r="C26" s="346">
        <v>45959</v>
      </c>
      <c r="D26" s="350" t="s">
        <v>80</v>
      </c>
      <c r="E26" s="327">
        <v>0.45833333333333331</v>
      </c>
      <c r="F26" s="351">
        <v>19067</v>
      </c>
      <c r="G26" s="259">
        <v>0.36499999999999999</v>
      </c>
      <c r="H26" s="263">
        <v>0.15</v>
      </c>
      <c r="I26" s="347">
        <f>169/18393</f>
        <v>9.1882781492959274E-3</v>
      </c>
      <c r="J26" s="349">
        <v>0.03</v>
      </c>
      <c r="K26" s="347">
        <f>169/6719</f>
        <v>2.5152552463164161E-2</v>
      </c>
      <c r="L26" s="294">
        <v>0.06</v>
      </c>
      <c r="M26" s="344">
        <f>18393/19067</f>
        <v>0.9646509676404259</v>
      </c>
      <c r="N26" s="292">
        <v>0.95</v>
      </c>
      <c r="O26" s="348">
        <f>8/18393</f>
        <v>4.3494807807318003E-4</v>
      </c>
      <c r="P26" s="345">
        <v>2.5000000000000001E-3</v>
      </c>
      <c r="Q26" s="419" t="s">
        <v>132</v>
      </c>
      <c r="R26" s="411"/>
      <c r="S26" s="411"/>
    </row>
    <row r="27" spans="1:19" ht="56">
      <c r="A27" s="365" t="s">
        <v>133</v>
      </c>
      <c r="B27" s="305" t="s">
        <v>134</v>
      </c>
      <c r="C27" s="366">
        <v>45967</v>
      </c>
      <c r="D27" s="350" t="s">
        <v>76</v>
      </c>
      <c r="E27" s="367">
        <v>0.58333333333333337</v>
      </c>
      <c r="F27" s="351">
        <v>18922</v>
      </c>
      <c r="G27" s="253">
        <v>0.45800000000000002</v>
      </c>
      <c r="H27" s="292">
        <v>0.15</v>
      </c>
      <c r="I27" s="368">
        <v>1.2999999999999999E-2</v>
      </c>
      <c r="J27" s="349">
        <v>0.03</v>
      </c>
      <c r="K27" s="368">
        <f>244/8397</f>
        <v>2.9057996903656069E-2</v>
      </c>
      <c r="L27" s="294">
        <v>0.06</v>
      </c>
      <c r="M27" s="344">
        <f>18322/18992</f>
        <v>0.96472198820556021</v>
      </c>
      <c r="N27" s="292">
        <v>0.95</v>
      </c>
      <c r="O27" s="369">
        <f>7/18322</f>
        <v>3.8205436087763344E-4</v>
      </c>
      <c r="P27" s="345">
        <v>2.5000000000000001E-3</v>
      </c>
      <c r="Q27" s="420" t="s">
        <v>135</v>
      </c>
      <c r="R27" s="411"/>
      <c r="S27" s="411"/>
    </row>
    <row r="28" spans="1:19" ht="56">
      <c r="A28" s="340" t="s">
        <v>136</v>
      </c>
      <c r="B28" s="362" t="s">
        <v>137</v>
      </c>
      <c r="C28" s="346">
        <v>45972</v>
      </c>
      <c r="D28" s="341" t="s">
        <v>90</v>
      </c>
      <c r="E28" s="363">
        <v>0.45833333333333331</v>
      </c>
      <c r="F28" s="364">
        <v>18989</v>
      </c>
      <c r="G28" s="372">
        <v>3.5999999999999997E-2</v>
      </c>
      <c r="H28" s="263">
        <v>0.15</v>
      </c>
      <c r="I28" s="347">
        <v>1.4E-2</v>
      </c>
      <c r="J28" s="263">
        <v>0.03</v>
      </c>
      <c r="K28" s="373">
        <f>261/663</f>
        <v>0.39366515837104071</v>
      </c>
      <c r="L28" s="263">
        <v>0.06</v>
      </c>
      <c r="M28" s="371">
        <f>18282/18989</f>
        <v>0.96276791826847119</v>
      </c>
      <c r="N28" s="263">
        <v>0.95</v>
      </c>
      <c r="O28" s="348">
        <f>11/18282</f>
        <v>6.0168471720818293E-4</v>
      </c>
      <c r="P28" s="264">
        <v>2.5000000000000001E-3</v>
      </c>
      <c r="Q28" s="421" t="s">
        <v>138</v>
      </c>
      <c r="R28" s="411"/>
      <c r="S28" s="411" t="s">
        <v>139</v>
      </c>
    </row>
    <row r="29" spans="1:19" ht="56">
      <c r="A29" s="340" t="s">
        <v>140</v>
      </c>
      <c r="B29" s="362" t="s">
        <v>137</v>
      </c>
      <c r="C29" s="346">
        <v>45974</v>
      </c>
      <c r="D29" s="341" t="s">
        <v>76</v>
      </c>
      <c r="E29" s="363">
        <v>0.58333333333333337</v>
      </c>
      <c r="F29" s="364">
        <v>18971</v>
      </c>
      <c r="G29" s="372">
        <v>1.2E-2</v>
      </c>
      <c r="H29" s="263">
        <v>0.15</v>
      </c>
      <c r="I29" s="347">
        <v>1.2E-2</v>
      </c>
      <c r="J29" s="263">
        <v>0.03</v>
      </c>
      <c r="K29" s="347">
        <v>1</v>
      </c>
      <c r="L29" s="263">
        <v>0.06</v>
      </c>
      <c r="M29" s="370">
        <f>18264/18971</f>
        <v>0.96273259185071947</v>
      </c>
      <c r="N29" s="263">
        <v>0.95</v>
      </c>
      <c r="O29" s="348">
        <f>4/18264</f>
        <v>2.1901007446342531E-4</v>
      </c>
      <c r="P29" s="264">
        <v>2.5000000000000001E-3</v>
      </c>
      <c r="Q29" s="422" t="s">
        <v>141</v>
      </c>
      <c r="R29" s="411"/>
      <c r="S29" s="411" t="s">
        <v>142</v>
      </c>
    </row>
    <row r="30" spans="1:19" ht="56">
      <c r="A30" s="340" t="s">
        <v>143</v>
      </c>
      <c r="B30" s="362" t="s">
        <v>137</v>
      </c>
      <c r="C30" s="346">
        <v>45980</v>
      </c>
      <c r="D30" s="341" t="s">
        <v>80</v>
      </c>
      <c r="E30" s="363">
        <v>0.58333333333333337</v>
      </c>
      <c r="F30" s="364">
        <v>29132</v>
      </c>
      <c r="G30" s="372">
        <v>0.52700000000000002</v>
      </c>
      <c r="H30" s="263">
        <v>0.15</v>
      </c>
      <c r="I30" s="347">
        <v>1.7999999999999999E-2</v>
      </c>
      <c r="J30" s="263">
        <v>0.03</v>
      </c>
      <c r="K30" s="347">
        <f>334/10042</f>
        <v>3.3260306711810399E-2</v>
      </c>
      <c r="L30" s="263">
        <v>0.06</v>
      </c>
      <c r="M30" s="591">
        <f>28341/29132</f>
        <v>0.97284772758478644</v>
      </c>
      <c r="N30" s="263">
        <v>0.95</v>
      </c>
      <c r="O30" s="348">
        <f>11/28341</f>
        <v>3.8813027063265234E-4</v>
      </c>
      <c r="P30" s="264">
        <v>2.5000000000000001E-3</v>
      </c>
      <c r="Q30" s="421" t="s">
        <v>144</v>
      </c>
      <c r="R30" s="411"/>
      <c r="S30" s="411" t="s">
        <v>145</v>
      </c>
    </row>
    <row r="31" spans="1:19" ht="56">
      <c r="A31" s="374" t="s">
        <v>146</v>
      </c>
      <c r="B31" s="375" t="s">
        <v>137</v>
      </c>
      <c r="C31" s="376">
        <v>45993</v>
      </c>
      <c r="D31" s="377" t="s">
        <v>90</v>
      </c>
      <c r="E31" s="378">
        <v>0.45833333333333331</v>
      </c>
      <c r="F31" s="364">
        <v>18955</v>
      </c>
      <c r="G31" s="379">
        <v>0.41599999999999998</v>
      </c>
      <c r="H31" s="263">
        <v>0.15</v>
      </c>
      <c r="I31" s="380">
        <v>1.4999999999999999E-2</v>
      </c>
      <c r="J31" s="263">
        <v>0.03</v>
      </c>
      <c r="K31" s="380">
        <f>267/7595</f>
        <v>3.5154707044107968E-2</v>
      </c>
      <c r="L31" s="590">
        <v>0.06</v>
      </c>
      <c r="M31" s="381">
        <f>18244/18955</f>
        <v>0.96249010815088365</v>
      </c>
      <c r="N31" s="513">
        <v>0.95</v>
      </c>
      <c r="O31" s="348">
        <f>11/18244</f>
        <v>6.0293795220346419E-4</v>
      </c>
      <c r="P31" s="264">
        <v>2.5000000000000001E-3</v>
      </c>
      <c r="Q31" s="419" t="s">
        <v>147</v>
      </c>
      <c r="R31" s="411"/>
      <c r="S31" s="411" t="s">
        <v>139</v>
      </c>
    </row>
    <row r="32" spans="1:19" ht="56">
      <c r="A32" s="374" t="s">
        <v>148</v>
      </c>
      <c r="B32" s="375" t="s">
        <v>149</v>
      </c>
      <c r="C32" s="376">
        <v>46008</v>
      </c>
      <c r="D32" s="377" t="s">
        <v>80</v>
      </c>
      <c r="E32" s="378">
        <v>0.58333333333333337</v>
      </c>
      <c r="F32" s="364">
        <v>16335</v>
      </c>
      <c r="G32" s="379">
        <v>0.376</v>
      </c>
      <c r="H32" s="263">
        <v>0.15</v>
      </c>
      <c r="I32" s="380">
        <v>0.02</v>
      </c>
      <c r="J32" s="263">
        <v>0.03</v>
      </c>
      <c r="K32" s="380">
        <f>308/5885</f>
        <v>5.2336448598130844E-2</v>
      </c>
      <c r="L32" s="263">
        <v>0.06</v>
      </c>
      <c r="M32" s="592">
        <f>15642/16335</f>
        <v>0.95757575757575752</v>
      </c>
      <c r="N32" s="263">
        <v>0.95</v>
      </c>
      <c r="O32" s="348">
        <f>7/15642</f>
        <v>4.4751310574095383E-4</v>
      </c>
      <c r="P32" s="264">
        <v>2.5000000000000001E-3</v>
      </c>
      <c r="Q32" s="419" t="s">
        <v>150</v>
      </c>
      <c r="R32" s="411"/>
      <c r="S32" s="411" t="s">
        <v>142</v>
      </c>
    </row>
    <row r="33" spans="1:19">
      <c r="A33" s="374" t="s">
        <v>151</v>
      </c>
      <c r="B33" s="375" t="s">
        <v>87</v>
      </c>
      <c r="C33" s="376">
        <v>46008</v>
      </c>
      <c r="D33" s="377" t="s">
        <v>80</v>
      </c>
      <c r="E33" s="378">
        <v>0.58333333333333337</v>
      </c>
      <c r="F33" s="364">
        <v>2367</v>
      </c>
      <c r="G33" s="379">
        <v>0.39400000000000002</v>
      </c>
      <c r="H33" s="263">
        <v>0.15</v>
      </c>
      <c r="I33" s="380">
        <v>1.9E-2</v>
      </c>
      <c r="J33" s="263">
        <v>0.03</v>
      </c>
      <c r="K33" s="380">
        <f>44/900</f>
        <v>4.8888888888888891E-2</v>
      </c>
      <c r="L33" s="263">
        <v>0.06</v>
      </c>
      <c r="M33" s="592">
        <f>2285/2367</f>
        <v>0.96535699197296154</v>
      </c>
      <c r="N33" s="263">
        <v>0.95</v>
      </c>
      <c r="O33" s="348">
        <f>1/2285</f>
        <v>4.3763676148796501E-4</v>
      </c>
      <c r="P33" s="264">
        <v>2.5000000000000001E-3</v>
      </c>
      <c r="Q33" s="419" t="s">
        <v>150</v>
      </c>
      <c r="R33" s="411"/>
      <c r="S33" s="411" t="s">
        <v>142</v>
      </c>
    </row>
    <row r="34" spans="1:19" ht="56">
      <c r="A34" s="374" t="s">
        <v>152</v>
      </c>
      <c r="B34" s="375" t="s">
        <v>153</v>
      </c>
      <c r="C34" s="376">
        <v>46028</v>
      </c>
      <c r="D34" s="377" t="s">
        <v>99</v>
      </c>
      <c r="E34" s="378">
        <v>0.58333333333333337</v>
      </c>
      <c r="F34" s="364">
        <v>18958</v>
      </c>
      <c r="G34" s="379">
        <v>0.42899999999999999</v>
      </c>
      <c r="H34" s="263">
        <v>0.15</v>
      </c>
      <c r="I34" s="380">
        <f>194/18156</f>
        <v>1.0685172945582728E-2</v>
      </c>
      <c r="J34" s="263">
        <v>0.03</v>
      </c>
      <c r="K34" s="380">
        <f>194/7784</f>
        <v>2.4922918807810893E-2</v>
      </c>
      <c r="L34" s="263">
        <v>0.06</v>
      </c>
      <c r="M34" s="592">
        <f>18156/18958</f>
        <v>0.95769595948939756</v>
      </c>
      <c r="N34" s="263">
        <v>0.95</v>
      </c>
      <c r="O34" s="348">
        <f>7/18156</f>
        <v>3.8554747741793345E-4</v>
      </c>
      <c r="P34" s="264">
        <v>2.5000000000000001E-3</v>
      </c>
      <c r="Q34" s="419" t="s">
        <v>154</v>
      </c>
      <c r="R34" s="411"/>
      <c r="S34" s="411" t="s">
        <v>145</v>
      </c>
    </row>
    <row r="35" spans="1:19" ht="56">
      <c r="A35" s="374" t="s">
        <v>155</v>
      </c>
      <c r="B35" s="375" t="s">
        <v>153</v>
      </c>
      <c r="C35" s="376">
        <v>46034</v>
      </c>
      <c r="D35" s="377" t="s">
        <v>99</v>
      </c>
      <c r="E35" s="378">
        <v>0.45833333333333331</v>
      </c>
      <c r="F35" s="364">
        <v>18968</v>
      </c>
      <c r="G35" s="379">
        <v>0.39600000000000002</v>
      </c>
      <c r="H35" s="263">
        <v>0.15</v>
      </c>
      <c r="I35" s="380">
        <f>565/18123</f>
        <v>3.1175853887325498E-2</v>
      </c>
      <c r="J35" s="263">
        <v>0.03</v>
      </c>
      <c r="K35" s="380">
        <f>568/7184</f>
        <v>7.9064587973273939E-2</v>
      </c>
      <c r="L35" s="263">
        <v>0.06</v>
      </c>
      <c r="M35" s="381">
        <f>18123/18968</f>
        <v>0.95545128637705612</v>
      </c>
      <c r="N35" s="263">
        <v>0.95</v>
      </c>
      <c r="O35" s="348">
        <f>4/18123</f>
        <v>2.2071400982177344E-4</v>
      </c>
      <c r="P35" s="264">
        <v>2.5000000000000001E-3</v>
      </c>
      <c r="Q35" s="419" t="s">
        <v>156</v>
      </c>
      <c r="R35" s="411"/>
      <c r="S35" s="411" t="s">
        <v>139</v>
      </c>
    </row>
    <row r="36" spans="1:19" ht="56">
      <c r="A36" s="374" t="s">
        <v>157</v>
      </c>
      <c r="B36" s="375" t="s">
        <v>153</v>
      </c>
      <c r="C36" s="376">
        <v>46037</v>
      </c>
      <c r="D36" s="377" t="s">
        <v>76</v>
      </c>
      <c r="E36" s="378">
        <v>0.58333333333333337</v>
      </c>
      <c r="F36" s="364">
        <v>19986</v>
      </c>
      <c r="G36" s="379">
        <v>0.41699999999999998</v>
      </c>
      <c r="H36" s="263">
        <v>0.15</v>
      </c>
      <c r="I36" s="380">
        <v>1.9E-2</v>
      </c>
      <c r="J36" s="263">
        <v>0.03</v>
      </c>
      <c r="K36" s="380">
        <f>340/7560</f>
        <v>4.4973544973544971E-2</v>
      </c>
      <c r="L36" s="263">
        <v>0.06</v>
      </c>
      <c r="M36" s="381">
        <f>18140/18986</f>
        <v>0.95544085115348154</v>
      </c>
      <c r="N36" s="263">
        <v>0.95</v>
      </c>
      <c r="O36" s="348">
        <f>5/18140</f>
        <v>2.7563395810363837E-4</v>
      </c>
      <c r="P36" s="385">
        <v>2.5000000000000001E-3</v>
      </c>
      <c r="Q36" s="421" t="s">
        <v>158</v>
      </c>
      <c r="R36" s="411"/>
      <c r="S36" s="411" t="s">
        <v>142</v>
      </c>
    </row>
    <row r="37" spans="1:19">
      <c r="A37" s="374" t="s">
        <v>159</v>
      </c>
      <c r="B37" s="375" t="s">
        <v>87</v>
      </c>
      <c r="C37" s="376">
        <v>46044</v>
      </c>
      <c r="D37" s="377" t="s">
        <v>76</v>
      </c>
      <c r="E37" s="378">
        <v>0.45833333333333331</v>
      </c>
      <c r="F37" s="364">
        <v>2362</v>
      </c>
      <c r="G37" s="379">
        <v>0.38400000000000001</v>
      </c>
      <c r="H37" s="263">
        <v>0.15</v>
      </c>
      <c r="I37" s="380">
        <v>2.1000000000000001E-2</v>
      </c>
      <c r="J37" s="263">
        <v>0.03</v>
      </c>
      <c r="K37" s="380">
        <f>48/873</f>
        <v>5.4982817869415807E-2</v>
      </c>
      <c r="L37" s="263">
        <v>0.06</v>
      </c>
      <c r="M37" s="381">
        <f>2271/2362</f>
        <v>0.96147332768839966</v>
      </c>
      <c r="N37" s="263">
        <v>0.95</v>
      </c>
      <c r="O37" s="348">
        <v>0</v>
      </c>
      <c r="P37" s="385">
        <v>2.5000000000000001E-3</v>
      </c>
      <c r="Q37" s="421" t="s">
        <v>160</v>
      </c>
      <c r="R37" s="411"/>
      <c r="S37" s="340" t="s">
        <v>161</v>
      </c>
    </row>
    <row r="38" spans="1:19" ht="56">
      <c r="A38" s="374" t="s">
        <v>162</v>
      </c>
      <c r="B38" s="375" t="s">
        <v>149</v>
      </c>
      <c r="C38" s="376">
        <v>46044</v>
      </c>
      <c r="D38" s="377" t="s">
        <v>76</v>
      </c>
      <c r="E38" s="378">
        <v>0.45833333333333331</v>
      </c>
      <c r="F38" s="364">
        <v>16352</v>
      </c>
      <c r="G38" s="379">
        <v>0.38500000000000001</v>
      </c>
      <c r="H38" s="263">
        <v>0.15</v>
      </c>
      <c r="I38" s="380">
        <v>3.2000000000000001E-2</v>
      </c>
      <c r="J38" s="263">
        <v>0.03</v>
      </c>
      <c r="K38" s="380">
        <f>494/6004</f>
        <v>8.2278481012658222E-2</v>
      </c>
      <c r="L38" s="263">
        <v>0.06</v>
      </c>
      <c r="M38" s="381">
        <f>15589/16352</f>
        <v>0.9533390410958904</v>
      </c>
      <c r="N38" s="263">
        <v>0.95</v>
      </c>
      <c r="O38" s="348">
        <v>3.2073898261594715E-4</v>
      </c>
      <c r="P38" s="385">
        <v>2.5000000000000001E-3</v>
      </c>
      <c r="Q38" s="421" t="s">
        <v>160</v>
      </c>
      <c r="R38" s="411"/>
      <c r="S38" s="411" t="s">
        <v>161</v>
      </c>
    </row>
    <row r="39" spans="1:19" ht="56">
      <c r="A39" s="374" t="s">
        <v>163</v>
      </c>
      <c r="B39" s="375" t="s">
        <v>153</v>
      </c>
      <c r="C39" s="376">
        <v>46048</v>
      </c>
      <c r="D39" s="376" t="s">
        <v>99</v>
      </c>
      <c r="E39" s="378">
        <v>0.47916666666666669</v>
      </c>
      <c r="F39" s="364">
        <v>18763</v>
      </c>
      <c r="G39" s="379">
        <v>0.376</v>
      </c>
      <c r="H39" s="263">
        <v>0.15</v>
      </c>
      <c r="I39" s="380">
        <v>1.9E-2</v>
      </c>
      <c r="J39" s="263">
        <v>0.03</v>
      </c>
      <c r="K39" s="380">
        <f>340/6879</f>
        <v>4.9425788632068618E-2</v>
      </c>
      <c r="L39" s="263">
        <v>0.06</v>
      </c>
      <c r="M39" s="381">
        <f>18310/18763</f>
        <v>0.97585673932739969</v>
      </c>
      <c r="N39" s="263">
        <v>0.95</v>
      </c>
      <c r="O39" s="348">
        <f>7/18310</f>
        <v>3.8230475150191151E-4</v>
      </c>
      <c r="P39" s="385">
        <v>2.5000000000000001E-3</v>
      </c>
      <c r="Q39" s="421" t="s">
        <v>164</v>
      </c>
      <c r="R39" s="411"/>
      <c r="S39" s="411" t="s">
        <v>161</v>
      </c>
    </row>
    <row r="40" spans="1:19" ht="56">
      <c r="A40" s="374" t="s">
        <v>165</v>
      </c>
      <c r="B40" s="375" t="s">
        <v>153</v>
      </c>
      <c r="C40" s="376">
        <v>46059</v>
      </c>
      <c r="D40" s="376" t="s">
        <v>71</v>
      </c>
      <c r="E40" s="378">
        <v>0.45833333333333331</v>
      </c>
      <c r="F40" s="364">
        <v>18592</v>
      </c>
      <c r="G40" s="379">
        <v>0.61099999999999999</v>
      </c>
      <c r="H40" s="263">
        <v>0.15</v>
      </c>
      <c r="I40" s="380">
        <f>106/18069</f>
        <v>5.8664010183186672E-3</v>
      </c>
      <c r="J40" s="263">
        <v>0.03</v>
      </c>
      <c r="K40" s="380">
        <f>106/11049</f>
        <v>9.593628382659064E-3</v>
      </c>
      <c r="L40" s="263">
        <v>0.06</v>
      </c>
      <c r="M40" s="381">
        <f>18069/18592</f>
        <v>0.97186962134251287</v>
      </c>
      <c r="N40" s="263">
        <v>0.95</v>
      </c>
      <c r="O40" s="348">
        <f>1/18069</f>
        <v>5.5343405833194973E-5</v>
      </c>
      <c r="P40" s="385">
        <v>2.5000000000000001E-3</v>
      </c>
      <c r="Q40" s="421" t="s">
        <v>166</v>
      </c>
      <c r="R40" s="411"/>
      <c r="S40" s="411"/>
    </row>
    <row r="41" spans="1:19" ht="56">
      <c r="A41" s="374" t="s">
        <v>167</v>
      </c>
      <c r="B41" s="375" t="s">
        <v>153</v>
      </c>
      <c r="C41" s="376">
        <v>46052</v>
      </c>
      <c r="D41" s="376" t="s">
        <v>71</v>
      </c>
      <c r="E41" s="378">
        <v>0.45833333333333331</v>
      </c>
      <c r="F41" s="364">
        <v>18586</v>
      </c>
      <c r="G41" s="379">
        <v>0.41399999999999998</v>
      </c>
      <c r="H41" s="263">
        <v>0.15</v>
      </c>
      <c r="I41" s="380">
        <v>1.2999999999999999E-2</v>
      </c>
      <c r="J41" s="263">
        <v>0.03</v>
      </c>
      <c r="K41" s="380">
        <f>234/7505</f>
        <v>3.1179213857428383E-2</v>
      </c>
      <c r="L41" s="263">
        <v>0.06</v>
      </c>
      <c r="M41" s="381">
        <f>18139/18586</f>
        <v>0.97594963951361235</v>
      </c>
      <c r="N41" s="263">
        <v>0.95</v>
      </c>
      <c r="O41" s="348">
        <f>7/18139</f>
        <v>3.8590881525993716E-4</v>
      </c>
      <c r="P41" s="385">
        <v>2.5000000000000001E-3</v>
      </c>
      <c r="Q41" s="421" t="s">
        <v>168</v>
      </c>
      <c r="R41" s="411"/>
      <c r="S41" s="411"/>
    </row>
    <row r="42" spans="1:19" ht="56">
      <c r="A42" s="394" t="s">
        <v>169</v>
      </c>
      <c r="B42" s="375" t="s">
        <v>153</v>
      </c>
      <c r="C42" s="396">
        <v>46056</v>
      </c>
      <c r="D42" s="397" t="s">
        <v>90</v>
      </c>
      <c r="E42" s="398">
        <v>0.58333333333333337</v>
      </c>
      <c r="F42" s="399">
        <v>10658</v>
      </c>
      <c r="G42" s="400">
        <v>0.17399999999999999</v>
      </c>
      <c r="H42" s="292">
        <v>0.15</v>
      </c>
      <c r="I42" s="401">
        <v>0.128</v>
      </c>
      <c r="J42" s="292">
        <v>0.03</v>
      </c>
      <c r="K42" s="401">
        <f>1354/1845</f>
        <v>0.73387533875338751</v>
      </c>
      <c r="L42" s="292">
        <v>0.06</v>
      </c>
      <c r="M42" s="402">
        <f>10609/10658</f>
        <v>0.99540251454306627</v>
      </c>
      <c r="N42" s="292">
        <v>0.95</v>
      </c>
      <c r="O42" s="369">
        <f>4/10609</f>
        <v>3.7703836365350174E-4</v>
      </c>
      <c r="P42" s="345">
        <v>2.5000000000000001E-3</v>
      </c>
      <c r="Q42" s="423"/>
      <c r="R42" s="411"/>
      <c r="S42" s="411"/>
    </row>
    <row r="43" spans="1:19" s="391" customFormat="1" ht="28">
      <c r="A43" s="392" t="s">
        <v>170</v>
      </c>
      <c r="B43" s="362" t="s">
        <v>171</v>
      </c>
      <c r="C43" s="346">
        <v>46064</v>
      </c>
      <c r="D43" s="346" t="s">
        <v>80</v>
      </c>
      <c r="E43" s="393">
        <v>0.58333333333333337</v>
      </c>
      <c r="F43" s="399">
        <v>18757</v>
      </c>
      <c r="G43" s="372">
        <v>0.41799999999999998</v>
      </c>
      <c r="H43" s="263">
        <v>0.15</v>
      </c>
      <c r="I43" s="380">
        <v>0.26900000000000002</v>
      </c>
      <c r="J43" s="263">
        <v>0.03</v>
      </c>
      <c r="K43" s="347">
        <f>4912/7622</f>
        <v>0.64445027551823664</v>
      </c>
      <c r="L43" s="263">
        <v>0.06</v>
      </c>
      <c r="M43" s="370">
        <f>18252/18757</f>
        <v>0.97307671802527052</v>
      </c>
      <c r="N43" s="263">
        <v>0.95</v>
      </c>
      <c r="O43" s="348">
        <f>6/18252</f>
        <v>3.2873109796186721E-4</v>
      </c>
      <c r="P43" s="264">
        <v>2.5000000000000001E-3</v>
      </c>
      <c r="Q43" s="611" t="s">
        <v>172</v>
      </c>
      <c r="R43" s="412"/>
      <c r="S43" s="412"/>
    </row>
    <row r="44" spans="1:19" s="391" customFormat="1" ht="28">
      <c r="A44" s="392" t="s">
        <v>173</v>
      </c>
      <c r="B44" s="362" t="s">
        <v>174</v>
      </c>
      <c r="C44" s="346">
        <v>46070</v>
      </c>
      <c r="D44" s="346" t="s">
        <v>90</v>
      </c>
      <c r="E44" s="393">
        <v>0.45833333333333331</v>
      </c>
      <c r="F44" s="399">
        <v>10646</v>
      </c>
      <c r="G44" s="372"/>
      <c r="H44" s="263">
        <v>0.15</v>
      </c>
      <c r="I44" s="380"/>
      <c r="J44" s="263">
        <v>0.03</v>
      </c>
      <c r="K44" s="347"/>
      <c r="L44" s="263">
        <v>0.06</v>
      </c>
      <c r="M44" s="370"/>
      <c r="N44" s="263">
        <v>0.95</v>
      </c>
      <c r="O44" s="348"/>
      <c r="P44" s="264">
        <v>2.5000000000000001E-3</v>
      </c>
      <c r="Q44" s="424"/>
      <c r="R44" s="412"/>
      <c r="S44" s="412"/>
    </row>
    <row r="45" spans="1:19">
      <c r="A45" s="392" t="s">
        <v>175</v>
      </c>
      <c r="B45" s="362" t="s">
        <v>176</v>
      </c>
      <c r="C45" s="346">
        <v>46073</v>
      </c>
      <c r="D45" s="346" t="s">
        <v>71</v>
      </c>
      <c r="E45" s="393">
        <v>0.45833333333333331</v>
      </c>
      <c r="F45" s="399">
        <v>445</v>
      </c>
      <c r="G45" s="372">
        <v>0.55500000000000005</v>
      </c>
      <c r="H45" s="263">
        <v>0.15</v>
      </c>
      <c r="I45" s="380">
        <v>2.8000000000000001E-2</v>
      </c>
      <c r="J45" s="263">
        <v>0.03</v>
      </c>
      <c r="K45" s="347">
        <f>12/239</f>
        <v>5.0209205020920501E-2</v>
      </c>
      <c r="L45" s="263">
        <v>0.06</v>
      </c>
      <c r="M45" s="370">
        <f>431/445</f>
        <v>0.96853932584269664</v>
      </c>
      <c r="N45" s="263">
        <v>0.95</v>
      </c>
      <c r="O45" s="348">
        <v>0</v>
      </c>
      <c r="P45" s="264">
        <v>2.5000000000000001E-3</v>
      </c>
      <c r="Q45" s="424" t="s">
        <v>177</v>
      </c>
      <c r="R45" s="340"/>
      <c r="S45" s="340"/>
    </row>
    <row r="46" spans="1:19">
      <c r="A46" s="392" t="s">
        <v>178</v>
      </c>
      <c r="B46" s="362" t="s">
        <v>87</v>
      </c>
      <c r="C46" s="346">
        <v>46073</v>
      </c>
      <c r="D46" s="341" t="s">
        <v>71</v>
      </c>
      <c r="E46" s="393">
        <v>0.45833333333333331</v>
      </c>
      <c r="F46" s="399">
        <v>2315</v>
      </c>
      <c r="G46" s="372">
        <v>0.442</v>
      </c>
      <c r="H46" s="263">
        <v>0.15</v>
      </c>
      <c r="I46" s="380">
        <v>2.5000000000000001E-2</v>
      </c>
      <c r="J46" s="263">
        <v>0.03</v>
      </c>
      <c r="K46" s="347">
        <f>57/994</f>
        <v>5.7344064386317908E-2</v>
      </c>
      <c r="L46" s="263">
        <v>0.06</v>
      </c>
      <c r="M46" s="370">
        <f>2250/2315</f>
        <v>0.97192224622030232</v>
      </c>
      <c r="N46" s="263">
        <v>0.95</v>
      </c>
      <c r="O46" s="348">
        <v>0</v>
      </c>
      <c r="P46" s="264">
        <v>2.5000000000000001E-3</v>
      </c>
      <c r="Q46" s="424" t="s">
        <v>179</v>
      </c>
      <c r="R46" s="411"/>
      <c r="S46" s="411"/>
    </row>
    <row r="47" spans="1:19">
      <c r="A47" s="392" t="s">
        <v>180</v>
      </c>
      <c r="B47" s="362" t="s">
        <v>181</v>
      </c>
      <c r="C47" s="346">
        <v>46073</v>
      </c>
      <c r="D47" s="341" t="s">
        <v>71</v>
      </c>
      <c r="E47" s="393">
        <v>0.45833333333333331</v>
      </c>
      <c r="F47" s="399">
        <v>16122</v>
      </c>
      <c r="G47" s="372">
        <v>0.49</v>
      </c>
      <c r="H47" s="263">
        <v>0.15</v>
      </c>
      <c r="I47" s="380">
        <v>2.7E-2</v>
      </c>
      <c r="J47" s="263">
        <v>0.03</v>
      </c>
      <c r="K47" s="347">
        <f>423/7657</f>
        <v>5.5243567977014497E-2</v>
      </c>
      <c r="L47" s="263">
        <v>0.06</v>
      </c>
      <c r="M47" s="370">
        <f>15622/16122</f>
        <v>0.9689864781044536</v>
      </c>
      <c r="N47" s="263">
        <v>0.95</v>
      </c>
      <c r="O47" s="348">
        <v>0</v>
      </c>
      <c r="P47" s="264">
        <v>2.5000000000000001E-3</v>
      </c>
      <c r="Q47" s="424" t="s">
        <v>182</v>
      </c>
      <c r="R47" s="340"/>
      <c r="S47" s="340"/>
    </row>
    <row r="48" spans="1:19">
      <c r="A48" s="392" t="s">
        <v>183</v>
      </c>
      <c r="B48" s="362" t="s">
        <v>184</v>
      </c>
      <c r="C48" s="346">
        <v>46078</v>
      </c>
      <c r="D48" s="346" t="s">
        <v>80</v>
      </c>
      <c r="E48" s="393">
        <v>0.58333333333333337</v>
      </c>
      <c r="F48" s="399">
        <v>4299</v>
      </c>
      <c r="G48" s="372">
        <v>0.49199999999999999</v>
      </c>
      <c r="H48" s="263">
        <v>0.15</v>
      </c>
      <c r="I48" s="380">
        <v>2.9000000000000001E-2</v>
      </c>
      <c r="J48" s="263">
        <v>0.03</v>
      </c>
      <c r="K48" s="347">
        <f>113/1899</f>
        <v>5.9505002632964717E-2</v>
      </c>
      <c r="L48" s="263">
        <v>0.06</v>
      </c>
      <c r="M48" s="370">
        <f>3862/4299</f>
        <v>0.89834845312863454</v>
      </c>
      <c r="N48" s="263">
        <v>0.95</v>
      </c>
      <c r="O48" s="348">
        <f>12/3862</f>
        <v>3.1071983428275505E-3</v>
      </c>
      <c r="P48" s="264">
        <v>2.5000000000000001E-3</v>
      </c>
      <c r="Q48" s="424" t="s">
        <v>185</v>
      </c>
      <c r="R48" s="340"/>
      <c r="S48" s="340"/>
    </row>
    <row r="49" spans="1:19">
      <c r="A49" s="392" t="s">
        <v>186</v>
      </c>
      <c r="B49" s="426" t="s">
        <v>87</v>
      </c>
      <c r="C49" s="427">
        <v>46078</v>
      </c>
      <c r="D49" s="350" t="s">
        <v>80</v>
      </c>
      <c r="E49" s="428">
        <v>0.58333333333333337</v>
      </c>
      <c r="F49" s="399">
        <v>2309</v>
      </c>
      <c r="G49" s="429">
        <v>0.39100000000000001</v>
      </c>
      <c r="H49" s="292">
        <v>0.15</v>
      </c>
      <c r="I49" s="401">
        <v>3.1E-2</v>
      </c>
      <c r="J49" s="292">
        <v>0.03</v>
      </c>
      <c r="K49" s="368">
        <f>69/872</f>
        <v>7.9128440366972475E-2</v>
      </c>
      <c r="L49" s="292">
        <v>0.06</v>
      </c>
      <c r="M49" s="368">
        <f>2230/2309</f>
        <v>0.96578605456907751</v>
      </c>
      <c r="N49" s="292">
        <v>0.95</v>
      </c>
      <c r="O49" s="369">
        <v>0</v>
      </c>
      <c r="P49" s="293">
        <v>2.5000000000000001E-3</v>
      </c>
      <c r="Q49" s="430" t="s">
        <v>187</v>
      </c>
      <c r="R49" s="365"/>
      <c r="S49" s="365"/>
    </row>
    <row r="50" spans="1:19" ht="42">
      <c r="A50" s="392" t="s">
        <v>188</v>
      </c>
      <c r="B50" s="362" t="s">
        <v>189</v>
      </c>
      <c r="C50" s="346">
        <v>46078</v>
      </c>
      <c r="D50" s="341" t="s">
        <v>80</v>
      </c>
      <c r="E50" s="428">
        <v>0.58333333333333337</v>
      </c>
      <c r="F50" s="616">
        <v>13776</v>
      </c>
      <c r="G50" s="347">
        <v>0.45100000000000001</v>
      </c>
      <c r="H50" s="292">
        <v>0.15</v>
      </c>
      <c r="I50" s="347">
        <v>2.3E-2</v>
      </c>
      <c r="J50" s="292">
        <v>0.03</v>
      </c>
      <c r="K50" s="347">
        <f>300/5974</f>
        <v>5.0217609641781048E-2</v>
      </c>
      <c r="L50" s="292">
        <v>0.06</v>
      </c>
      <c r="M50" s="347">
        <f>13249/13776</f>
        <v>0.96174506387921022</v>
      </c>
      <c r="N50" s="292">
        <v>0.95</v>
      </c>
      <c r="O50" s="348">
        <f>6/13249</f>
        <v>4.5286436712204693E-4</v>
      </c>
      <c r="P50" s="293">
        <v>2.5000000000000001E-3</v>
      </c>
      <c r="Q50" s="340" t="s">
        <v>190</v>
      </c>
      <c r="R50" s="411"/>
      <c r="S50" s="411"/>
    </row>
    <row r="51" spans="1:19" ht="28">
      <c r="A51" s="365" t="s">
        <v>191</v>
      </c>
      <c r="B51" s="426" t="s">
        <v>192</v>
      </c>
      <c r="C51" s="427">
        <v>46087</v>
      </c>
      <c r="D51" s="427" t="s">
        <v>71</v>
      </c>
      <c r="E51" s="428">
        <v>0.45833333333333331</v>
      </c>
      <c r="F51" s="635">
        <v>17907</v>
      </c>
      <c r="G51" s="368">
        <v>0.41499999999999998</v>
      </c>
      <c r="H51" s="292">
        <v>0.15</v>
      </c>
      <c r="I51" s="368">
        <f>1616/17326</f>
        <v>9.3270229712570707E-2</v>
      </c>
      <c r="J51" s="292">
        <v>0.03</v>
      </c>
      <c r="K51" s="368">
        <f>1616/7190</f>
        <v>0.2247566063977747</v>
      </c>
      <c r="L51" s="292">
        <v>0.06</v>
      </c>
      <c r="M51" s="368">
        <f>17326/17907</f>
        <v>0.96755458759144464</v>
      </c>
      <c r="N51" s="292">
        <v>0.95</v>
      </c>
      <c r="O51" s="369">
        <f>13/17326</f>
        <v>7.5031744199469011E-4</v>
      </c>
      <c r="P51" s="293">
        <v>2.5000000000000001E-3</v>
      </c>
      <c r="Q51" s="431" t="s">
        <v>193</v>
      </c>
      <c r="R51" s="432"/>
      <c r="S51" s="432"/>
    </row>
    <row r="52" spans="1:19" ht="28">
      <c r="A52" s="340" t="s">
        <v>194</v>
      </c>
      <c r="B52" s="362" t="s">
        <v>171</v>
      </c>
      <c r="C52" s="346">
        <v>46099</v>
      </c>
      <c r="D52" s="346" t="s">
        <v>80</v>
      </c>
      <c r="E52" s="393">
        <v>0.58333333333333337</v>
      </c>
      <c r="F52" s="616">
        <v>17526</v>
      </c>
      <c r="G52" s="347">
        <v>0.374</v>
      </c>
      <c r="H52" s="263">
        <v>0.15</v>
      </c>
      <c r="I52" s="347">
        <v>2.9000000000000001E-2</v>
      </c>
      <c r="J52" s="263">
        <v>0.03</v>
      </c>
      <c r="K52" s="347">
        <f>492/6329</f>
        <v>7.7737399273186916E-2</v>
      </c>
      <c r="L52" s="263">
        <v>0.06</v>
      </c>
      <c r="M52" s="347">
        <f>16921/17526</f>
        <v>0.96547985849594886</v>
      </c>
      <c r="N52" s="263">
        <v>0.95</v>
      </c>
      <c r="O52" s="348">
        <f>3/16291</f>
        <v>1.8415075808728745E-4</v>
      </c>
      <c r="P52" s="264">
        <v>2.5000000000000001E-3</v>
      </c>
      <c r="Q52" s="340" t="s">
        <v>195</v>
      </c>
      <c r="R52" s="411"/>
      <c r="S52" s="411"/>
    </row>
    <row r="53" spans="1:19">
      <c r="A53" s="340" t="s">
        <v>196</v>
      </c>
      <c r="B53" s="362" t="s">
        <v>197</v>
      </c>
      <c r="C53" s="346">
        <v>46104</v>
      </c>
      <c r="D53" s="636" t="s">
        <v>99</v>
      </c>
      <c r="E53" s="393">
        <v>0.58333333333333337</v>
      </c>
      <c r="F53" s="341">
        <v>1890</v>
      </c>
      <c r="G53" s="347">
        <v>0.50900000000000001</v>
      </c>
      <c r="H53" s="263">
        <v>0.15</v>
      </c>
      <c r="I53" s="347">
        <v>5.2999999999999999E-2</v>
      </c>
      <c r="J53" s="263">
        <v>0.03</v>
      </c>
      <c r="K53" s="347">
        <f>98/942</f>
        <v>0.1040339702760085</v>
      </c>
      <c r="L53" s="263">
        <v>0.06</v>
      </c>
      <c r="M53" s="347">
        <f>1851/1890</f>
        <v>0.97936507936507933</v>
      </c>
      <c r="N53" s="263">
        <v>0.95</v>
      </c>
      <c r="O53" s="348">
        <v>0</v>
      </c>
      <c r="P53" s="264">
        <v>2.5000000000000001E-3</v>
      </c>
      <c r="Q53" s="340" t="s">
        <v>198</v>
      </c>
      <c r="R53" s="411"/>
      <c r="S53" s="411"/>
    </row>
    <row r="54" spans="1:19">
      <c r="A54" s="340" t="s">
        <v>199</v>
      </c>
      <c r="B54" s="362" t="s">
        <v>200</v>
      </c>
      <c r="C54" s="346">
        <v>46112</v>
      </c>
      <c r="D54" s="341" t="s">
        <v>90</v>
      </c>
      <c r="E54" s="393">
        <v>0.45833333333333331</v>
      </c>
      <c r="F54" s="341">
        <v>16202</v>
      </c>
      <c r="G54" s="347">
        <v>0.39</v>
      </c>
      <c r="H54" s="263">
        <v>0.15</v>
      </c>
      <c r="I54" s="347">
        <v>2.7E-2</v>
      </c>
      <c r="J54" s="263">
        <v>0.03</v>
      </c>
      <c r="K54" s="347">
        <f>417/6107</f>
        <v>6.8282299001146227E-2</v>
      </c>
      <c r="L54" s="263">
        <v>0.06</v>
      </c>
      <c r="M54" s="347">
        <f>15656/16202</f>
        <v>0.96630045673373655</v>
      </c>
      <c r="N54" s="263">
        <v>0.95</v>
      </c>
      <c r="O54" s="348">
        <f>8/15656</f>
        <v>5.1098620337250899E-4</v>
      </c>
      <c r="P54" s="264">
        <v>2.5000000000000001E-3</v>
      </c>
      <c r="Q54" s="340" t="s">
        <v>201</v>
      </c>
      <c r="R54" s="411"/>
      <c r="S54" s="411"/>
    </row>
    <row r="55" spans="1:19" ht="28">
      <c r="A55" s="340" t="s">
        <v>202</v>
      </c>
      <c r="B55" s="362" t="s">
        <v>203</v>
      </c>
      <c r="C55" s="346">
        <v>46112</v>
      </c>
      <c r="D55" s="16" t="s">
        <v>90</v>
      </c>
      <c r="E55" s="393">
        <v>0.35416666666666669</v>
      </c>
      <c r="F55" s="341">
        <v>112</v>
      </c>
      <c r="G55" s="347">
        <v>0.47199999999999998</v>
      </c>
      <c r="H55" s="263">
        <v>0.15</v>
      </c>
      <c r="I55" s="347">
        <v>5.6000000000000001E-2</v>
      </c>
      <c r="J55" s="263">
        <v>0.03</v>
      </c>
      <c r="K55" s="347">
        <f>6/51</f>
        <v>0.11764705882352941</v>
      </c>
      <c r="L55" s="263">
        <v>0.06</v>
      </c>
      <c r="M55" s="347">
        <f>109/112</f>
        <v>0.9732142857142857</v>
      </c>
      <c r="N55" s="263">
        <v>0.95</v>
      </c>
      <c r="O55" s="348">
        <v>0</v>
      </c>
      <c r="P55" s="264">
        <v>2.5000000000000001E-3</v>
      </c>
      <c r="Q55" s="340" t="s">
        <v>204</v>
      </c>
      <c r="R55" s="411"/>
      <c r="S55" s="411"/>
    </row>
    <row r="56" spans="1:19">
      <c r="A56" s="340" t="s">
        <v>205</v>
      </c>
      <c r="B56" s="362" t="s">
        <v>206</v>
      </c>
      <c r="C56" s="346">
        <v>46112</v>
      </c>
      <c r="D56" s="341" t="s">
        <v>90</v>
      </c>
      <c r="E56" s="393">
        <v>0.36458333333333331</v>
      </c>
      <c r="F56" s="341">
        <v>97</v>
      </c>
      <c r="G56" s="347">
        <v>0.46200000000000002</v>
      </c>
      <c r="H56" s="263">
        <v>0.15</v>
      </c>
      <c r="I56" s="347">
        <v>2.1999999999999999E-2</v>
      </c>
      <c r="J56" s="263">
        <v>0.03</v>
      </c>
      <c r="K56" s="347">
        <f>2/43</f>
        <v>4.6511627906976744E-2</v>
      </c>
      <c r="L56" s="263">
        <v>0.06</v>
      </c>
      <c r="M56" s="347">
        <f>93/97</f>
        <v>0.95876288659793818</v>
      </c>
      <c r="N56" s="263">
        <v>0.95</v>
      </c>
      <c r="O56" s="348">
        <v>0</v>
      </c>
      <c r="P56" s="264">
        <v>2.5000000000000001E-3</v>
      </c>
      <c r="Q56" s="340" t="s">
        <v>204</v>
      </c>
      <c r="R56" s="340"/>
      <c r="S56" s="340"/>
    </row>
    <row r="57" spans="1:19" ht="42">
      <c r="A57" s="340" t="s">
        <v>207</v>
      </c>
      <c r="B57" s="362" t="s">
        <v>208</v>
      </c>
      <c r="C57" s="346">
        <v>46112</v>
      </c>
      <c r="D57" s="341" t="s">
        <v>90</v>
      </c>
      <c r="E57" s="393">
        <v>0.375</v>
      </c>
      <c r="F57" s="341">
        <v>2331</v>
      </c>
      <c r="G57" s="347">
        <v>0.38300000000000001</v>
      </c>
      <c r="H57" s="263">
        <v>0.15</v>
      </c>
      <c r="I57" s="347">
        <v>0.02</v>
      </c>
      <c r="J57" s="263">
        <v>0.03</v>
      </c>
      <c r="K57" s="347">
        <f>45/866</f>
        <v>5.1963048498845268E-2</v>
      </c>
      <c r="L57" s="263">
        <v>0.06</v>
      </c>
      <c r="M57" s="347">
        <f>2260/2331</f>
        <v>0.96954096954096958</v>
      </c>
      <c r="N57" s="263">
        <v>0.95</v>
      </c>
      <c r="O57" s="348">
        <f>1/2260</f>
        <v>4.4247787610619468E-4</v>
      </c>
      <c r="P57" s="264">
        <v>2.5000000000000001E-3</v>
      </c>
      <c r="Q57" s="340" t="s">
        <v>209</v>
      </c>
      <c r="R57" s="411"/>
      <c r="S57" s="411"/>
    </row>
    <row r="58" spans="1:19" ht="28">
      <c r="A58" s="340" t="s">
        <v>210</v>
      </c>
      <c r="B58" s="362" t="s">
        <v>171</v>
      </c>
      <c r="C58" s="346">
        <v>46115</v>
      </c>
      <c r="D58" s="346" t="s">
        <v>71</v>
      </c>
      <c r="E58" s="393">
        <v>0.58333333333333337</v>
      </c>
      <c r="F58" s="616">
        <v>17395</v>
      </c>
      <c r="G58" s="347">
        <v>0.41399999999999998</v>
      </c>
      <c r="H58" s="263">
        <v>0.15</v>
      </c>
      <c r="I58" s="347">
        <v>7.0000000000000007E-2</v>
      </c>
      <c r="J58" s="263">
        <v>0.03</v>
      </c>
      <c r="K58" s="347">
        <f>1169/6974</f>
        <v>0.16762259822196732</v>
      </c>
      <c r="L58" s="263">
        <v>0.06</v>
      </c>
      <c r="M58" s="347">
        <v>0.96330000000000005</v>
      </c>
      <c r="N58" s="263">
        <v>0.95</v>
      </c>
      <c r="O58" s="348">
        <f>5/16757</f>
        <v>2.9838276541146986E-4</v>
      </c>
      <c r="P58" s="264">
        <v>2.5000000000000001E-3</v>
      </c>
      <c r="Q58" s="340" t="s">
        <v>211</v>
      </c>
      <c r="R58" s="411"/>
      <c r="S58" s="411"/>
    </row>
    <row r="59" spans="1:19" ht="28">
      <c r="A59" s="340" t="s">
        <v>212</v>
      </c>
      <c r="B59" s="362" t="s">
        <v>171</v>
      </c>
      <c r="C59" s="346">
        <v>46121</v>
      </c>
      <c r="D59" s="341" t="s">
        <v>76</v>
      </c>
      <c r="E59" s="393">
        <v>0.45833333333333331</v>
      </c>
      <c r="F59" s="616">
        <v>17398</v>
      </c>
      <c r="G59" s="347">
        <v>0.376</v>
      </c>
      <c r="H59" s="263">
        <v>0.15</v>
      </c>
      <c r="I59" s="347">
        <v>2.1000000000000001E-2</v>
      </c>
      <c r="J59" s="263">
        <v>0.03</v>
      </c>
      <c r="K59" s="347">
        <f>345/5934</f>
        <v>5.8139534883720929E-2</v>
      </c>
      <c r="L59" s="263">
        <v>0.06</v>
      </c>
      <c r="M59" s="347">
        <f>16811/17398</f>
        <v>0.96626048971146106</v>
      </c>
      <c r="N59" s="263">
        <v>0.95</v>
      </c>
      <c r="O59" s="348">
        <f>4/16811</f>
        <v>2.379394444113973E-4</v>
      </c>
      <c r="P59" s="264">
        <v>2.5000000000000001E-3</v>
      </c>
      <c r="Q59" s="340" t="s">
        <v>213</v>
      </c>
      <c r="R59" s="411"/>
      <c r="S59" s="411"/>
    </row>
    <row r="60" spans="1:19" ht="22.5" customHeight="1">
      <c r="A60" s="340" t="s">
        <v>214</v>
      </c>
      <c r="B60" s="362" t="s">
        <v>215</v>
      </c>
      <c r="C60" s="346">
        <v>46126</v>
      </c>
      <c r="D60" s="346" t="s">
        <v>90</v>
      </c>
      <c r="E60" s="393">
        <v>0.45833333333333331</v>
      </c>
      <c r="F60" s="616">
        <v>14897</v>
      </c>
      <c r="G60" s="347">
        <v>0.41099999999999998</v>
      </c>
      <c r="H60" s="263">
        <v>0.15</v>
      </c>
      <c r="I60" s="347">
        <v>4.2999999999999997E-2</v>
      </c>
      <c r="J60" s="263">
        <v>0.03</v>
      </c>
      <c r="K60" s="347">
        <f>620/3126</f>
        <v>0.19833653230966092</v>
      </c>
      <c r="L60" s="263">
        <v>0.06</v>
      </c>
      <c r="M60" s="347">
        <f>14336/14897</f>
        <v>0.96234141102235349</v>
      </c>
      <c r="N60" s="263">
        <v>0.95</v>
      </c>
      <c r="O60" s="348">
        <f>4/14336</f>
        <v>2.7901785714285713E-4</v>
      </c>
      <c r="P60" s="264">
        <v>2.5000000000000001E-3</v>
      </c>
      <c r="Q60" s="340" t="s">
        <v>216</v>
      </c>
      <c r="R60" s="411"/>
      <c r="S60" s="411"/>
    </row>
    <row r="61" spans="1:19">
      <c r="A61" s="340" t="s">
        <v>217</v>
      </c>
      <c r="B61" s="362" t="s">
        <v>87</v>
      </c>
      <c r="C61" s="346">
        <v>46126</v>
      </c>
      <c r="D61" s="341" t="s">
        <v>90</v>
      </c>
      <c r="E61" s="393">
        <v>0.45833333333333331</v>
      </c>
      <c r="F61" s="341">
        <v>2470</v>
      </c>
      <c r="G61" s="347">
        <v>0.443</v>
      </c>
      <c r="H61" s="263">
        <v>0.15</v>
      </c>
      <c r="I61" s="347">
        <v>3.2000000000000001E-2</v>
      </c>
      <c r="J61" s="263">
        <v>0.03</v>
      </c>
      <c r="K61" s="347">
        <f>76/568</f>
        <v>0.13380281690140844</v>
      </c>
      <c r="L61" s="263">
        <v>0.06</v>
      </c>
      <c r="M61" s="347">
        <f>2396/2470</f>
        <v>0.9700404858299595</v>
      </c>
      <c r="N61" s="263">
        <v>0.95</v>
      </c>
      <c r="O61" s="348">
        <v>0</v>
      </c>
      <c r="P61" s="264">
        <v>2.5000000000000001E-3</v>
      </c>
      <c r="Q61" s="340" t="s">
        <v>216</v>
      </c>
      <c r="R61" s="411"/>
      <c r="S61" s="411"/>
    </row>
    <row r="62" spans="1:19" ht="28">
      <c r="A62" s="340" t="s">
        <v>218</v>
      </c>
      <c r="B62" s="362" t="s">
        <v>171</v>
      </c>
      <c r="C62" s="346">
        <v>46128</v>
      </c>
      <c r="D62" s="341" t="s">
        <v>76</v>
      </c>
      <c r="E62" s="393">
        <v>0.45833333333333331</v>
      </c>
      <c r="F62" s="341">
        <v>17363</v>
      </c>
      <c r="G62" s="347">
        <v>0.40899999999999997</v>
      </c>
      <c r="H62" s="263">
        <v>0.15</v>
      </c>
      <c r="I62" s="347">
        <v>2.5999999999999999E-2</v>
      </c>
      <c r="J62" s="263">
        <v>0.03</v>
      </c>
      <c r="K62" s="347">
        <f>432/3549</f>
        <v>0.12172442941673711</v>
      </c>
      <c r="L62" s="263">
        <v>0.06</v>
      </c>
      <c r="M62" s="347">
        <f>16722/17363</f>
        <v>0.96308241663307037</v>
      </c>
      <c r="N62" s="263">
        <v>0.95</v>
      </c>
      <c r="O62" s="348">
        <f>5/16722</f>
        <v>2.9900729577801699E-4</v>
      </c>
      <c r="P62" s="264">
        <v>2.5000000000000001E-3</v>
      </c>
      <c r="Q62" s="340" t="s">
        <v>219</v>
      </c>
      <c r="R62" s="411"/>
      <c r="S62" s="411"/>
    </row>
    <row r="63" spans="1:19">
      <c r="A63" s="340" t="s">
        <v>220</v>
      </c>
      <c r="B63" s="362" t="s">
        <v>197</v>
      </c>
      <c r="C63" s="346">
        <v>46132</v>
      </c>
      <c r="D63" s="341" t="s">
        <v>99</v>
      </c>
      <c r="E63" s="393">
        <v>0.58333333333333337</v>
      </c>
      <c r="F63" s="341">
        <v>2200</v>
      </c>
      <c r="G63" s="347">
        <v>0.56100000000000005</v>
      </c>
      <c r="H63" s="263">
        <v>0.15</v>
      </c>
      <c r="I63" s="347">
        <v>5.8999999999999997E-2</v>
      </c>
      <c r="J63" s="263">
        <v>0.03</v>
      </c>
      <c r="K63" s="347">
        <f>128/796</f>
        <v>0.16080402010050251</v>
      </c>
      <c r="L63" s="263">
        <v>0.06</v>
      </c>
      <c r="M63" s="347">
        <f>2160/2200</f>
        <v>0.98181818181818181</v>
      </c>
      <c r="N63" s="263">
        <v>0.95</v>
      </c>
      <c r="O63" s="348">
        <v>0</v>
      </c>
      <c r="P63" s="264">
        <v>2.5000000000000001E-3</v>
      </c>
      <c r="Q63" s="340" t="s">
        <v>221</v>
      </c>
      <c r="R63" s="411"/>
      <c r="S63" s="411"/>
    </row>
    <row r="64" spans="1:19">
      <c r="A64" s="340" t="s">
        <v>222</v>
      </c>
      <c r="B64" s="362" t="s">
        <v>223</v>
      </c>
      <c r="C64" s="346">
        <v>46137</v>
      </c>
      <c r="D64" s="341" t="s">
        <v>224</v>
      </c>
      <c r="E64" s="393">
        <v>0.45833333333333331</v>
      </c>
      <c r="F64" s="341">
        <v>4936</v>
      </c>
      <c r="G64" s="347">
        <v>0.52900000000000003</v>
      </c>
      <c r="H64" s="263">
        <v>0.15</v>
      </c>
      <c r="I64" s="347">
        <v>3.3000000000000002E-2</v>
      </c>
      <c r="J64" s="263">
        <v>0.03</v>
      </c>
      <c r="K64" s="347">
        <f>157/1273</f>
        <v>0.12333071484681854</v>
      </c>
      <c r="L64" s="263">
        <v>0.06</v>
      </c>
      <c r="M64" s="347">
        <f>4697/4936</f>
        <v>0.95158022690437605</v>
      </c>
      <c r="N64" s="263">
        <v>0.95</v>
      </c>
      <c r="O64" s="348">
        <v>0</v>
      </c>
      <c r="P64" s="264">
        <v>2.5000000000000001E-3</v>
      </c>
      <c r="Q64" s="340" t="s">
        <v>225</v>
      </c>
      <c r="R64" s="411"/>
      <c r="S64" s="411"/>
    </row>
    <row r="65" spans="1:19" ht="28">
      <c r="A65" s="340" t="s">
        <v>226</v>
      </c>
      <c r="B65" s="362" t="s">
        <v>227</v>
      </c>
      <c r="C65" s="346">
        <v>46137</v>
      </c>
      <c r="D65" s="341" t="s">
        <v>224</v>
      </c>
      <c r="E65" s="393">
        <v>0.45833333333333331</v>
      </c>
      <c r="F65" s="341">
        <v>12534</v>
      </c>
      <c r="G65" s="347">
        <v>0.39300000000000002</v>
      </c>
      <c r="H65" s="263">
        <v>0.15</v>
      </c>
      <c r="I65" s="347">
        <v>9.0999999999999998E-2</v>
      </c>
      <c r="J65" s="263">
        <v>0.03</v>
      </c>
      <c r="K65" s="347">
        <f>1091/2409</f>
        <v>0.45288501452885016</v>
      </c>
      <c r="L65" s="263">
        <v>0.06</v>
      </c>
      <c r="M65" s="347">
        <f>11982/12534</f>
        <v>0.95595978937290571</v>
      </c>
      <c r="N65" s="263">
        <v>0.95</v>
      </c>
      <c r="O65" s="348">
        <f>4/11982</f>
        <v>3.3383408446002337E-4</v>
      </c>
      <c r="P65" s="264">
        <v>2.5000000000000001E-3</v>
      </c>
      <c r="Q65" s="340" t="s">
        <v>228</v>
      </c>
      <c r="R65" s="411"/>
      <c r="S65" s="411"/>
    </row>
    <row r="66" spans="1:19" ht="28">
      <c r="A66" s="340" t="s">
        <v>229</v>
      </c>
      <c r="B66" s="362" t="s">
        <v>171</v>
      </c>
      <c r="C66" s="346">
        <v>46135</v>
      </c>
      <c r="D66" s="341" t="s">
        <v>76</v>
      </c>
      <c r="E66" s="393">
        <v>0.45833333333333331</v>
      </c>
      <c r="F66" s="341">
        <v>17296</v>
      </c>
      <c r="G66" s="347">
        <v>0.434</v>
      </c>
      <c r="H66" s="263">
        <v>0.15</v>
      </c>
      <c r="I66" s="347">
        <v>9.7000000000000003E-2</v>
      </c>
      <c r="J66" s="263">
        <v>0.03</v>
      </c>
      <c r="K66" s="347">
        <f>1611/3868</f>
        <v>0.41649431230610134</v>
      </c>
      <c r="L66" s="263">
        <v>0.06</v>
      </c>
      <c r="M66" s="347">
        <f>16639/17296</f>
        <v>0.9620143385753932</v>
      </c>
      <c r="N66" s="263">
        <v>0.95</v>
      </c>
      <c r="O66" s="348">
        <f>2/16639</f>
        <v>1.2019953122182824E-4</v>
      </c>
      <c r="P66" s="264">
        <v>2.5000000000000001E-3</v>
      </c>
      <c r="Q66" s="340" t="s">
        <v>230</v>
      </c>
      <c r="R66" s="411"/>
      <c r="S66" s="411"/>
    </row>
    <row r="67" spans="1:19" ht="28">
      <c r="A67" s="340" t="s">
        <v>231</v>
      </c>
      <c r="B67" s="362" t="s">
        <v>171</v>
      </c>
      <c r="C67" s="346">
        <v>46141</v>
      </c>
      <c r="D67" s="341" t="s">
        <v>80</v>
      </c>
      <c r="E67" s="393">
        <v>0.45833333333333331</v>
      </c>
      <c r="F67" s="616">
        <v>17290</v>
      </c>
      <c r="G67" s="347">
        <v>0.36299999999999999</v>
      </c>
      <c r="H67" s="263">
        <v>0.15</v>
      </c>
      <c r="I67" s="347">
        <v>2.5000000000000001E-2</v>
      </c>
      <c r="J67" s="263">
        <v>0.03</v>
      </c>
      <c r="K67" s="347">
        <f>411/3159</f>
        <v>0.13010446343779677</v>
      </c>
      <c r="L67" s="263">
        <v>0.06</v>
      </c>
      <c r="M67" s="347">
        <f>16695/17290</f>
        <v>0.96558704453441291</v>
      </c>
      <c r="N67" s="263">
        <v>0.95</v>
      </c>
      <c r="O67" s="348">
        <f>2/16695</f>
        <v>1.1979634621144055E-4</v>
      </c>
      <c r="P67" s="264">
        <v>2.5000000000000001E-3</v>
      </c>
      <c r="Q67" s="340" t="s">
        <v>232</v>
      </c>
      <c r="R67" s="411"/>
      <c r="S67" s="411"/>
    </row>
    <row r="68" spans="1:19">
      <c r="A68" s="340" t="s">
        <v>233</v>
      </c>
      <c r="B68" s="362" t="s">
        <v>184</v>
      </c>
      <c r="C68" s="346">
        <v>46149</v>
      </c>
      <c r="D68" s="341" t="s">
        <v>76</v>
      </c>
      <c r="E68" s="393">
        <v>0.45833333333333331</v>
      </c>
      <c r="F68" s="341">
        <v>3200</v>
      </c>
      <c r="G68" s="347">
        <v>0.43</v>
      </c>
      <c r="H68" s="263">
        <v>0.15</v>
      </c>
      <c r="I68" s="347">
        <v>3.7999999999999999E-2</v>
      </c>
      <c r="J68" s="263">
        <v>0.03</v>
      </c>
      <c r="K68" s="347">
        <f>109/695</f>
        <v>0.15683453237410072</v>
      </c>
      <c r="L68" s="263">
        <v>0.06</v>
      </c>
      <c r="M68" s="347">
        <v>0.89781250000000001</v>
      </c>
      <c r="N68" s="263">
        <v>0.95</v>
      </c>
      <c r="O68" s="348">
        <f>2/2873</f>
        <v>6.9613644274277764E-4</v>
      </c>
      <c r="P68" s="264">
        <v>2.5000000000000001E-3</v>
      </c>
      <c r="Q68" s="340" t="s">
        <v>234</v>
      </c>
      <c r="R68" s="411"/>
      <c r="S68" s="411"/>
    </row>
    <row r="69" spans="1:19" ht="28">
      <c r="A69" s="340" t="s">
        <v>235</v>
      </c>
      <c r="B69" s="362" t="s">
        <v>236</v>
      </c>
      <c r="C69" s="346">
        <v>46149</v>
      </c>
      <c r="D69" s="341" t="s">
        <v>76</v>
      </c>
      <c r="E69" s="393">
        <v>0.45833333333333331</v>
      </c>
      <c r="F69" s="341">
        <v>14461</v>
      </c>
      <c r="G69" s="347">
        <v>0.373</v>
      </c>
      <c r="H69" s="263">
        <v>0.15</v>
      </c>
      <c r="I69" s="347">
        <v>2.1999999999999999E-2</v>
      </c>
      <c r="J69" s="263">
        <v>0.03</v>
      </c>
      <c r="K69" s="347">
        <f>304/2315</f>
        <v>0.13131749460043196</v>
      </c>
      <c r="L69" s="263">
        <v>0.06</v>
      </c>
      <c r="M69" s="347">
        <v>0.96</v>
      </c>
      <c r="N69" s="263">
        <v>0.95</v>
      </c>
      <c r="O69" s="348">
        <f>4/13884</f>
        <v>2.8810141169691731E-4</v>
      </c>
      <c r="P69" s="264">
        <v>2.5000000000000001E-3</v>
      </c>
      <c r="Q69" s="340" t="s">
        <v>237</v>
      </c>
      <c r="R69" s="411"/>
      <c r="S69" s="411"/>
    </row>
    <row r="70" spans="1:19">
      <c r="A70" s="340" t="s">
        <v>238</v>
      </c>
      <c r="B70" s="362" t="s">
        <v>239</v>
      </c>
      <c r="C70" s="346">
        <v>46155</v>
      </c>
      <c r="D70" s="341" t="s">
        <v>80</v>
      </c>
      <c r="E70" s="393">
        <v>0.625</v>
      </c>
      <c r="F70" s="341">
        <v>159</v>
      </c>
      <c r="G70" s="347">
        <v>0.40799999999999997</v>
      </c>
      <c r="H70" s="263">
        <v>0.15</v>
      </c>
      <c r="I70" s="347">
        <v>2.7E-2</v>
      </c>
      <c r="J70" s="263">
        <v>0.03</v>
      </c>
      <c r="K70" s="347">
        <f>4/25</f>
        <v>0.16</v>
      </c>
      <c r="L70" s="263">
        <v>0.06</v>
      </c>
      <c r="M70" s="347">
        <f>147/159</f>
        <v>0.92452830188679247</v>
      </c>
      <c r="N70" s="263">
        <v>0.95</v>
      </c>
      <c r="O70" s="348">
        <v>0</v>
      </c>
      <c r="P70" s="264">
        <v>2.5000000000000001E-3</v>
      </c>
      <c r="Q70" s="340" t="s">
        <v>240</v>
      </c>
      <c r="R70" s="411"/>
      <c r="S70" s="411"/>
    </row>
    <row r="71" spans="1:19" ht="28">
      <c r="A71" s="340" t="s">
        <v>241</v>
      </c>
      <c r="B71" s="362" t="s">
        <v>242</v>
      </c>
      <c r="C71" s="346">
        <v>46155</v>
      </c>
      <c r="D71" s="341" t="s">
        <v>80</v>
      </c>
      <c r="E71" s="393">
        <v>0.63541666666666663</v>
      </c>
      <c r="F71" s="341">
        <v>473</v>
      </c>
      <c r="G71" s="347">
        <v>0.47799999999999998</v>
      </c>
      <c r="H71" s="263">
        <v>0.15</v>
      </c>
      <c r="I71" s="347">
        <v>0.04</v>
      </c>
      <c r="J71" s="263">
        <v>0.03</v>
      </c>
      <c r="K71" s="347">
        <f>17/102</f>
        <v>0.16666666666666666</v>
      </c>
      <c r="L71" s="263">
        <v>0.06</v>
      </c>
      <c r="M71" s="347">
        <f>429/473</f>
        <v>0.90697674418604646</v>
      </c>
      <c r="N71" s="263">
        <v>0.95</v>
      </c>
      <c r="O71" s="348">
        <v>0</v>
      </c>
      <c r="P71" s="264">
        <v>2.5000000000000001E-3</v>
      </c>
      <c r="Q71" s="340" t="s">
        <v>243</v>
      </c>
      <c r="R71" s="411"/>
      <c r="S71" s="411"/>
    </row>
    <row r="72" spans="1:19">
      <c r="A72" s="340" t="s">
        <v>244</v>
      </c>
      <c r="B72" s="362" t="s">
        <v>245</v>
      </c>
      <c r="C72" s="346">
        <v>46155</v>
      </c>
      <c r="D72" s="341" t="s">
        <v>80</v>
      </c>
      <c r="E72" s="393">
        <v>0.64236111111111116</v>
      </c>
      <c r="F72" s="341">
        <v>1597</v>
      </c>
      <c r="G72" s="347">
        <v>0.43</v>
      </c>
      <c r="H72" s="263">
        <v>0.15</v>
      </c>
      <c r="I72" s="347">
        <v>1.9E-2</v>
      </c>
      <c r="J72" s="263">
        <v>0.03</v>
      </c>
      <c r="K72" s="347">
        <f>26/305</f>
        <v>8.5245901639344257E-2</v>
      </c>
      <c r="L72" s="263">
        <v>0.06</v>
      </c>
      <c r="M72" s="347">
        <f>1347/1597</f>
        <v>0.84345648090169068</v>
      </c>
      <c r="N72" s="263">
        <v>0.95</v>
      </c>
      <c r="O72" s="348">
        <f>1/1347</f>
        <v>7.4239049740163323E-4</v>
      </c>
      <c r="P72" s="264">
        <v>2.5000000000000001E-3</v>
      </c>
      <c r="Q72" s="340" t="s">
        <v>246</v>
      </c>
      <c r="R72" s="411"/>
      <c r="S72" s="411"/>
    </row>
    <row r="73" spans="1:19">
      <c r="A73" s="340" t="s">
        <v>247</v>
      </c>
      <c r="B73" s="362" t="s">
        <v>248</v>
      </c>
      <c r="C73" s="346">
        <v>46155</v>
      </c>
      <c r="D73" s="341" t="s">
        <v>80</v>
      </c>
      <c r="E73" s="393">
        <v>0.64583333333333337</v>
      </c>
      <c r="F73" s="341">
        <v>15411</v>
      </c>
      <c r="G73" s="347">
        <v>0.38700000000000001</v>
      </c>
      <c r="H73" s="263">
        <v>0.15</v>
      </c>
      <c r="I73" s="347">
        <v>3.5000000000000003E-2</v>
      </c>
      <c r="J73" s="263">
        <v>0.03</v>
      </c>
      <c r="K73" s="347">
        <f>516/2552</f>
        <v>0.20219435736677116</v>
      </c>
      <c r="L73" s="263">
        <v>0.06</v>
      </c>
      <c r="M73" s="347">
        <f>14806/15411</f>
        <v>0.96074232690935046</v>
      </c>
      <c r="N73" s="263">
        <v>0.95</v>
      </c>
      <c r="O73" s="348">
        <f>7/14806</f>
        <v>4.7278130487640144E-4</v>
      </c>
      <c r="P73" s="264">
        <v>2.5000000000000001E-3</v>
      </c>
      <c r="Q73" s="340" t="s">
        <v>249</v>
      </c>
      <c r="R73" s="411"/>
      <c r="S73" s="411"/>
    </row>
    <row r="74" spans="1:19" ht="28">
      <c r="A74" s="340" t="s">
        <v>250</v>
      </c>
      <c r="B74" s="362" t="s">
        <v>171</v>
      </c>
      <c r="C74" s="346">
        <v>46157</v>
      </c>
      <c r="D74" s="341" t="s">
        <v>71</v>
      </c>
      <c r="E74" s="393">
        <v>0.45833333333333331</v>
      </c>
      <c r="F74" s="341">
        <v>17274</v>
      </c>
      <c r="G74" s="347">
        <v>0.47099999999999997</v>
      </c>
      <c r="H74" s="263">
        <v>0.15</v>
      </c>
      <c r="I74" s="347">
        <v>2.1000000000000001E-2</v>
      </c>
      <c r="J74" s="263">
        <v>0.03</v>
      </c>
      <c r="K74" s="347">
        <f>311/2955</f>
        <v>0.10524534686971235</v>
      </c>
      <c r="L74" s="263">
        <v>0.06</v>
      </c>
      <c r="M74" s="347">
        <f>16600/17274</f>
        <v>0.96098182239203422</v>
      </c>
      <c r="N74" s="263">
        <v>0.95</v>
      </c>
      <c r="O74" s="348">
        <f>7/16600</f>
        <v>4.216867469879518E-4</v>
      </c>
      <c r="P74" s="264">
        <v>2.5000000000000001E-3</v>
      </c>
      <c r="Q74" s="340" t="s">
        <v>237</v>
      </c>
      <c r="R74" s="411"/>
      <c r="S74" s="411"/>
    </row>
    <row r="75" spans="1:19" ht="42">
      <c r="A75" s="340" t="s">
        <v>251</v>
      </c>
      <c r="B75" s="362" t="s">
        <v>252</v>
      </c>
      <c r="C75" s="346">
        <v>46163</v>
      </c>
      <c r="D75" s="341" t="s">
        <v>76</v>
      </c>
      <c r="E75" s="393">
        <v>0.45833333333333331</v>
      </c>
      <c r="F75" s="341">
        <v>2981</v>
      </c>
      <c r="G75" s="347">
        <v>0.41399999999999998</v>
      </c>
      <c r="H75" s="263">
        <v>0.15</v>
      </c>
      <c r="I75" s="347">
        <v>2.9000000000000001E-2</v>
      </c>
      <c r="J75" s="263">
        <v>0.03</v>
      </c>
      <c r="K75" s="347">
        <f>77/604</f>
        <v>0.12748344370860928</v>
      </c>
      <c r="L75" s="263">
        <v>0.06</v>
      </c>
      <c r="M75" s="347">
        <f>2657/2981</f>
        <v>0.89131164038913113</v>
      </c>
      <c r="N75" s="263">
        <v>0.95</v>
      </c>
      <c r="O75" s="348">
        <f>3/2657</f>
        <v>1.1290929619872036E-3</v>
      </c>
      <c r="P75" s="264">
        <v>2.5000000000000001E-3</v>
      </c>
      <c r="Q75" s="340" t="s">
        <v>253</v>
      </c>
      <c r="R75" s="411"/>
      <c r="S75" s="411"/>
    </row>
    <row r="76" spans="1:19" ht="42">
      <c r="A76" s="340" t="s">
        <v>254</v>
      </c>
      <c r="B76" s="362" t="s">
        <v>255</v>
      </c>
      <c r="C76" s="346">
        <v>46163</v>
      </c>
      <c r="D76" s="341" t="s">
        <v>76</v>
      </c>
      <c r="E76" s="393">
        <v>0.45833333333333331</v>
      </c>
      <c r="F76" s="341">
        <v>16111</v>
      </c>
      <c r="G76" s="347">
        <v>0.39400000000000002</v>
      </c>
      <c r="H76" s="263">
        <v>0.15</v>
      </c>
      <c r="I76" s="347">
        <v>1.9E-2</v>
      </c>
      <c r="J76" s="263">
        <v>0.03</v>
      </c>
      <c r="K76" s="347">
        <f>290/2872</f>
        <v>0.10097493036211699</v>
      </c>
      <c r="L76" s="263">
        <v>0.06</v>
      </c>
      <c r="M76" s="347">
        <f>15482/16111</f>
        <v>0.96095835143690644</v>
      </c>
      <c r="N76" s="263">
        <v>0.95</v>
      </c>
      <c r="O76" s="348">
        <f>4/15482</f>
        <v>2.5836455238341301E-4</v>
      </c>
      <c r="P76" s="264">
        <v>2.5000000000000001E-3</v>
      </c>
      <c r="Q76" s="340" t="s">
        <v>256</v>
      </c>
      <c r="R76" s="411"/>
      <c r="S76" s="411"/>
    </row>
    <row r="77" spans="1:19" ht="28">
      <c r="A77" s="340" t="s">
        <v>257</v>
      </c>
      <c r="B77" s="362" t="s">
        <v>258</v>
      </c>
      <c r="C77" s="346">
        <v>46164</v>
      </c>
      <c r="D77" s="341" t="s">
        <v>71</v>
      </c>
      <c r="E77" s="393">
        <v>0.69791666666666663</v>
      </c>
      <c r="F77" s="341">
        <v>358</v>
      </c>
      <c r="G77" s="347">
        <v>0.436</v>
      </c>
      <c r="H77" s="263">
        <v>0.15</v>
      </c>
      <c r="I77" s="347">
        <v>8.9999999999999993E-3</v>
      </c>
      <c r="J77" s="263">
        <v>0.03</v>
      </c>
      <c r="K77" s="347">
        <f>3/73</f>
        <v>4.1095890410958902E-2</v>
      </c>
      <c r="L77" s="263">
        <v>0.06</v>
      </c>
      <c r="M77" s="347">
        <f>342/358</f>
        <v>0.95530726256983245</v>
      </c>
      <c r="N77" s="263">
        <v>0.95</v>
      </c>
      <c r="O77" s="348">
        <f>1/342</f>
        <v>2.9239766081871343E-3</v>
      </c>
      <c r="P77" s="264">
        <v>2.5000000000000001E-3</v>
      </c>
      <c r="Q77" s="340" t="s">
        <v>259</v>
      </c>
      <c r="R77" s="411"/>
      <c r="S77" s="411"/>
    </row>
    <row r="78" spans="1:19" ht="42">
      <c r="A78" s="340" t="s">
        <v>260</v>
      </c>
      <c r="B78" s="362" t="s">
        <v>261</v>
      </c>
      <c r="C78" s="346">
        <v>46164</v>
      </c>
      <c r="D78" s="341" t="s">
        <v>71</v>
      </c>
      <c r="E78" s="393">
        <v>0.69791666666666663</v>
      </c>
      <c r="F78" s="341">
        <v>16526</v>
      </c>
      <c r="G78" s="347">
        <v>0.41</v>
      </c>
      <c r="H78" s="263">
        <v>0.15</v>
      </c>
      <c r="I78" s="347">
        <v>1.7999999999999999E-2</v>
      </c>
      <c r="J78" s="263">
        <v>0.03</v>
      </c>
      <c r="K78" s="347">
        <f>285/3178</f>
        <v>8.9679043423536817E-2</v>
      </c>
      <c r="L78" s="263">
        <v>0.06</v>
      </c>
      <c r="M78" s="347">
        <f>15862/16526</f>
        <v>0.95982088829722856</v>
      </c>
      <c r="N78" s="263">
        <v>0.95</v>
      </c>
      <c r="O78" s="348">
        <f>5/15862</f>
        <v>3.1521876182070356E-4</v>
      </c>
      <c r="P78" s="264">
        <v>2.5000000000000001E-3</v>
      </c>
      <c r="Q78" s="340" t="s">
        <v>262</v>
      </c>
      <c r="R78" s="411"/>
      <c r="S78" s="411"/>
    </row>
    <row r="79" spans="1:19" ht="28">
      <c r="A79" s="340" t="s">
        <v>263</v>
      </c>
      <c r="B79" s="362" t="s">
        <v>264</v>
      </c>
      <c r="C79" s="346">
        <v>46168</v>
      </c>
      <c r="D79" s="341" t="s">
        <v>90</v>
      </c>
      <c r="E79" s="393">
        <v>0.73263888888888884</v>
      </c>
      <c r="F79" s="341">
        <v>3347</v>
      </c>
      <c r="G79" s="347">
        <v>0.57399999999999995</v>
      </c>
      <c r="H79" s="263">
        <v>0.15</v>
      </c>
      <c r="I79" s="347">
        <v>0.189</v>
      </c>
      <c r="J79" s="263">
        <v>0.03</v>
      </c>
      <c r="K79" s="347">
        <f>617/1314</f>
        <v>0.469558599695586</v>
      </c>
      <c r="L79" s="263">
        <v>0.06</v>
      </c>
      <c r="M79" s="347">
        <f>3272/3347</f>
        <v>0.97759187331939046</v>
      </c>
      <c r="N79" s="263">
        <v>0.95</v>
      </c>
      <c r="O79" s="348">
        <f>1/3272</f>
        <v>3.0562347188264059E-4</v>
      </c>
      <c r="P79" s="264">
        <v>2.5000000000000001E-3</v>
      </c>
      <c r="Q79" s="340" t="s">
        <v>265</v>
      </c>
      <c r="R79" s="411"/>
      <c r="S79" s="411"/>
    </row>
    <row r="80" spans="1:19" ht="28">
      <c r="A80" s="340" t="s">
        <v>266</v>
      </c>
      <c r="B80" s="362" t="s">
        <v>264</v>
      </c>
      <c r="C80" s="346">
        <v>46170</v>
      </c>
      <c r="D80" s="341" t="s">
        <v>76</v>
      </c>
      <c r="E80" s="393">
        <v>0.68541666666666667</v>
      </c>
      <c r="F80" s="341">
        <v>3422</v>
      </c>
      <c r="G80" s="347">
        <v>0.64600000000000002</v>
      </c>
      <c r="H80" s="263">
        <v>0.15</v>
      </c>
      <c r="I80" s="347">
        <v>0.15</v>
      </c>
      <c r="J80" s="263">
        <v>0.03</v>
      </c>
      <c r="K80" s="347">
        <f>465/1345</f>
        <v>0.34572490706319703</v>
      </c>
      <c r="L80" s="263">
        <v>0.06</v>
      </c>
      <c r="M80" s="347">
        <f>3344/3422</f>
        <v>0.9772063120981882</v>
      </c>
      <c r="N80" s="263">
        <v>0.95</v>
      </c>
      <c r="O80" s="348">
        <v>2.9904306220095695E-6</v>
      </c>
      <c r="P80" s="264">
        <v>2.5000000000000001E-3</v>
      </c>
      <c r="Q80" s="340" t="s">
        <v>267</v>
      </c>
      <c r="R80" s="411"/>
      <c r="S80" s="411"/>
    </row>
    <row r="81" spans="1:19" ht="28">
      <c r="A81" s="340" t="s">
        <v>268</v>
      </c>
      <c r="B81" s="362" t="s">
        <v>171</v>
      </c>
      <c r="C81" s="346">
        <v>46171</v>
      </c>
      <c r="D81" s="341" t="s">
        <v>71</v>
      </c>
      <c r="E81" s="393">
        <v>0.42708333333333331</v>
      </c>
      <c r="F81" s="341">
        <v>16798</v>
      </c>
      <c r="G81" s="347">
        <v>0.4</v>
      </c>
      <c r="H81" s="263">
        <v>0.15</v>
      </c>
      <c r="I81" s="347">
        <v>8.7999999999999995E-2</v>
      </c>
      <c r="J81" s="263">
        <v>0.03</v>
      </c>
      <c r="K81" s="347">
        <f>1421/3238</f>
        <v>0.43885114268066711</v>
      </c>
      <c r="L81" s="263">
        <v>0.06</v>
      </c>
      <c r="M81" s="347">
        <f>16121/16798</f>
        <v>0.95969758304560071</v>
      </c>
      <c r="N81" s="263">
        <v>0.95</v>
      </c>
      <c r="O81" s="348">
        <v>0</v>
      </c>
      <c r="P81" s="264">
        <v>2.5000000000000001E-3</v>
      </c>
      <c r="Q81" s="340" t="s">
        <v>269</v>
      </c>
      <c r="R81" s="411"/>
      <c r="S81" s="411"/>
    </row>
    <row r="82" spans="1:19" ht="28">
      <c r="A82" s="340" t="s">
        <v>270</v>
      </c>
      <c r="B82" s="362" t="s">
        <v>264</v>
      </c>
      <c r="C82" s="346">
        <v>46176</v>
      </c>
      <c r="D82" s="341" t="s">
        <v>80</v>
      </c>
      <c r="E82" s="393">
        <v>0.54166666666666663</v>
      </c>
      <c r="F82" s="616">
        <v>3504</v>
      </c>
      <c r="G82" s="347">
        <v>0.54300000000000004</v>
      </c>
      <c r="H82" s="263">
        <v>0.15</v>
      </c>
      <c r="I82" s="347">
        <v>0.10299999999999999</v>
      </c>
      <c r="J82" s="263">
        <v>0.03</v>
      </c>
      <c r="K82" s="347">
        <f>354/1304</f>
        <v>0.2714723926380368</v>
      </c>
      <c r="L82" s="263">
        <v>0.06</v>
      </c>
      <c r="M82" s="347">
        <f>3427/3504</f>
        <v>0.97802511415525117</v>
      </c>
      <c r="N82" s="263">
        <v>0.95</v>
      </c>
      <c r="O82" s="348">
        <f>1/3427</f>
        <v>2.9180040852057191E-4</v>
      </c>
      <c r="P82" s="264">
        <v>2.5000000000000001E-3</v>
      </c>
      <c r="Q82" s="340" t="s">
        <v>271</v>
      </c>
      <c r="R82" s="411"/>
      <c r="S82" s="411"/>
    </row>
    <row r="83" spans="1:19" ht="28">
      <c r="A83" s="340" t="s">
        <v>272</v>
      </c>
      <c r="B83" s="362" t="s">
        <v>258</v>
      </c>
      <c r="C83" s="346">
        <v>46175</v>
      </c>
      <c r="D83" s="341" t="s">
        <v>90</v>
      </c>
      <c r="E83" s="393">
        <v>0.45833333333333331</v>
      </c>
      <c r="F83" s="341">
        <v>349</v>
      </c>
      <c r="G83" s="347">
        <v>0.47</v>
      </c>
      <c r="H83" s="263">
        <v>0.15</v>
      </c>
      <c r="I83" s="347">
        <v>3.3000000000000002E-2</v>
      </c>
      <c r="J83" s="263">
        <v>0.03</v>
      </c>
      <c r="K83" s="347">
        <f>11/83</f>
        <v>0.13253012048192772</v>
      </c>
      <c r="L83" s="263">
        <v>0.06</v>
      </c>
      <c r="M83" s="347">
        <f>333/349</f>
        <v>0.95415472779369626</v>
      </c>
      <c r="N83" s="263">
        <v>0.95</v>
      </c>
      <c r="O83" s="348">
        <v>0</v>
      </c>
      <c r="P83" s="264">
        <v>2.5000000000000001E-3</v>
      </c>
      <c r="Q83" s="340" t="s">
        <v>273</v>
      </c>
      <c r="R83" s="411"/>
      <c r="S83" s="411"/>
    </row>
    <row r="84" spans="1:19" ht="42">
      <c r="A84" s="340" t="s">
        <v>274</v>
      </c>
      <c r="B84" s="362" t="s">
        <v>261</v>
      </c>
      <c r="C84" s="346">
        <v>46175</v>
      </c>
      <c r="D84" s="341" t="s">
        <v>90</v>
      </c>
      <c r="E84" s="393">
        <v>0.4597222222222222</v>
      </c>
      <c r="F84" s="341">
        <v>16432</v>
      </c>
      <c r="G84" s="347">
        <v>0.46700000000000003</v>
      </c>
      <c r="H84" s="263">
        <v>0.15</v>
      </c>
      <c r="I84" s="347">
        <v>7.8E-2</v>
      </c>
      <c r="J84" s="263">
        <v>0.03</v>
      </c>
      <c r="K84" s="347">
        <f>1220/3659</f>
        <v>0.33342443290516532</v>
      </c>
      <c r="L84" s="263">
        <v>0.06</v>
      </c>
      <c r="M84" s="347">
        <f>15727/16432</f>
        <v>0.95709591041869524</v>
      </c>
      <c r="N84" s="263">
        <v>0.95</v>
      </c>
      <c r="O84" s="348">
        <f>5/15727</f>
        <v>3.1792458828765814E-4</v>
      </c>
      <c r="P84" s="264">
        <v>2.5000000000000001E-3</v>
      </c>
      <c r="Q84" s="340" t="s">
        <v>275</v>
      </c>
      <c r="R84" s="411"/>
      <c r="S84" s="411"/>
    </row>
    <row r="85" spans="1:19" ht="28">
      <c r="A85" s="340" t="s">
        <v>276</v>
      </c>
      <c r="B85" s="362" t="s">
        <v>171</v>
      </c>
      <c r="C85" s="346">
        <v>46183</v>
      </c>
      <c r="D85" s="341" t="s">
        <v>80</v>
      </c>
      <c r="E85" s="393">
        <v>0.51041666666666663</v>
      </c>
      <c r="F85" s="341">
        <v>16681</v>
      </c>
      <c r="G85" s="347">
        <v>0.39400000000000002</v>
      </c>
      <c r="H85" s="263">
        <v>0.15</v>
      </c>
      <c r="I85" s="347">
        <v>1.6E-2</v>
      </c>
      <c r="J85" s="263">
        <v>0.03</v>
      </c>
      <c r="K85" s="347">
        <f>255/3101</f>
        <v>8.2231538213479519E-2</v>
      </c>
      <c r="L85" s="263">
        <v>0.06</v>
      </c>
      <c r="M85" s="347">
        <f>15952/16681</f>
        <v>0.95629758407769316</v>
      </c>
      <c r="N85" s="263">
        <v>0.95</v>
      </c>
      <c r="O85" s="348">
        <f>7/15952</f>
        <v>4.3881644934804415E-4</v>
      </c>
      <c r="P85" s="264">
        <v>2.5000000000000001E-3</v>
      </c>
      <c r="Q85" s="340" t="s">
        <v>277</v>
      </c>
      <c r="R85" s="411"/>
      <c r="S85" s="411"/>
    </row>
    <row r="86" spans="1:19">
      <c r="A86" s="340"/>
      <c r="B86" s="362"/>
      <c r="C86" s="346"/>
      <c r="D86" s="341"/>
      <c r="E86" s="393"/>
      <c r="F86" s="341"/>
      <c r="G86" s="347"/>
      <c r="H86" s="263">
        <v>0.15</v>
      </c>
      <c r="I86" s="347"/>
      <c r="J86" s="263">
        <v>0.03</v>
      </c>
      <c r="K86" s="347"/>
      <c r="L86" s="263">
        <v>0.06</v>
      </c>
      <c r="M86" s="347"/>
      <c r="N86" s="263">
        <v>0.95</v>
      </c>
      <c r="O86" s="348"/>
      <c r="P86" s="264">
        <v>2.5000000000000001E-3</v>
      </c>
      <c r="Q86" s="340"/>
      <c r="R86" s="411"/>
      <c r="S86" s="411"/>
    </row>
    <row r="87" spans="1:19">
      <c r="A87" s="340"/>
      <c r="B87" s="362"/>
      <c r="C87" s="346"/>
      <c r="D87" s="341"/>
      <c r="E87" s="393"/>
      <c r="F87" s="341"/>
      <c r="G87" s="347"/>
      <c r="H87" s="263">
        <v>0.15</v>
      </c>
      <c r="I87" s="347"/>
      <c r="J87" s="263">
        <v>0.03</v>
      </c>
      <c r="K87" s="347"/>
      <c r="L87" s="263">
        <v>0.06</v>
      </c>
      <c r="M87" s="347"/>
      <c r="N87" s="263">
        <v>0.95</v>
      </c>
      <c r="O87" s="348"/>
      <c r="P87" s="264">
        <v>2.5000000000000001E-3</v>
      </c>
      <c r="Q87" s="340"/>
      <c r="R87" s="411"/>
      <c r="S87" s="411"/>
    </row>
  </sheetData>
  <autoFilter ref="A2:P61" xr:uid="{D28B6405-3E64-E143-9CEE-0BE69C91CAE1}"/>
  <dataValidations count="3">
    <dataValidation allowBlank="1" showInputMessage="1" showErrorMessage="1" prompt="This column pulls data from LinkedIn Analytics worksheet: Impressions" sqref="I2:S2" xr:uid="{F764B6F7-637A-AB4D-9156-0FDB6788B5E0}"/>
    <dataValidation allowBlank="1" showInputMessage="1" showErrorMessage="1" prompt="This column pulls data from Twitter Analytics worksheet: Tweet Impressions" sqref="G2:H2" xr:uid="{150F86D1-60D4-7B46-BA5E-F6206FDCBBD3}"/>
    <dataValidation allowBlank="1" showInputMessage="1" showErrorMessage="1" prompt="Copy the same date periods used across all analytic worksheets." sqref="A2:H2" xr:uid="{7F916390-2D2E-CA49-BD6C-90827C8E8B18}"/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C6396-6453-47FB-82F9-76B655908344}">
  <dimension ref="A1:S87"/>
  <sheetViews>
    <sheetView showGridLines="0" zoomScale="80" zoomScaleNormal="80" workbookViewId="0">
      <pane xSplit="1" ySplit="2" topLeftCell="K3" activePane="bottomRight" state="frozen"/>
      <selection pane="topRight" activeCell="C1" sqref="C1"/>
      <selection pane="bottomLeft" activeCell="A5" sqref="A5"/>
      <selection pane="bottomRight" activeCell="Q4" sqref="Q4:Q12"/>
    </sheetView>
  </sheetViews>
  <sheetFormatPr defaultColWidth="14.5" defaultRowHeight="14"/>
  <cols>
    <col min="1" max="1" width="39" style="15" customWidth="1"/>
    <col min="2" max="2" width="24" style="1" customWidth="1"/>
    <col min="3" max="3" width="15.5" style="16" customWidth="1"/>
    <col min="4" max="4" width="16" style="16" customWidth="1"/>
    <col min="5" max="5" width="15.5" style="16" customWidth="1"/>
    <col min="6" max="6" width="16" style="16" customWidth="1"/>
    <col min="7" max="7" width="14.5" style="15" customWidth="1"/>
    <col min="8" max="8" width="16.5" style="15" customWidth="1"/>
    <col min="9" max="9" width="21.5" style="15" customWidth="1"/>
    <col min="10" max="10" width="16.5" style="15" customWidth="1"/>
    <col min="11" max="11" width="22" style="15" customWidth="1"/>
    <col min="12" max="12" width="16.5" style="15" customWidth="1"/>
    <col min="13" max="13" width="13" style="15" customWidth="1"/>
    <col min="14" max="14" width="17" style="15" customWidth="1"/>
    <col min="15" max="15" width="18.5" style="303" customWidth="1"/>
    <col min="16" max="16" width="42" style="15" customWidth="1"/>
    <col min="17" max="17" width="75" style="15" customWidth="1"/>
    <col min="18" max="18" width="28" style="3" customWidth="1"/>
    <col min="19" max="16384" width="14.5" style="3"/>
  </cols>
  <sheetData>
    <row r="1" spans="1:19" ht="15.5">
      <c r="A1" s="17" t="s">
        <v>49</v>
      </c>
      <c r="B1" s="8"/>
      <c r="C1" s="9"/>
      <c r="D1" s="10"/>
      <c r="E1" s="10"/>
      <c r="F1" s="10"/>
      <c r="G1" s="11"/>
      <c r="H1" s="11"/>
      <c r="I1" s="11"/>
      <c r="J1" s="11"/>
      <c r="K1" s="11"/>
      <c r="L1" s="11"/>
      <c r="M1" s="11"/>
      <c r="N1" s="11"/>
      <c r="O1" s="302"/>
      <c r="P1" s="11"/>
      <c r="Q1" s="11"/>
      <c r="R1" s="11"/>
      <c r="S1" s="11"/>
    </row>
    <row r="2" spans="1:19" s="12" customFormat="1" ht="28">
      <c r="A2" s="19" t="s">
        <v>50</v>
      </c>
      <c r="B2" s="97" t="s">
        <v>51</v>
      </c>
      <c r="C2" s="20" t="s">
        <v>52</v>
      </c>
      <c r="D2" s="20" t="s">
        <v>53</v>
      </c>
      <c r="E2" s="20" t="s">
        <v>54</v>
      </c>
      <c r="F2" s="20" t="s">
        <v>55</v>
      </c>
      <c r="G2" s="97" t="s">
        <v>56</v>
      </c>
      <c r="H2" s="20" t="s">
        <v>57</v>
      </c>
      <c r="I2" s="20" t="s">
        <v>58</v>
      </c>
      <c r="J2" s="20" t="s">
        <v>59</v>
      </c>
      <c r="K2" s="97" t="s">
        <v>60</v>
      </c>
      <c r="L2" s="20" t="s">
        <v>61</v>
      </c>
      <c r="M2" s="20" t="s">
        <v>62</v>
      </c>
      <c r="N2" s="20" t="s">
        <v>63</v>
      </c>
      <c r="O2" s="301" t="s">
        <v>64</v>
      </c>
      <c r="P2" s="20" t="s">
        <v>65</v>
      </c>
      <c r="Q2" s="413" t="s">
        <v>66</v>
      </c>
      <c r="R2" s="409" t="s">
        <v>67</v>
      </c>
      <c r="S2" s="409" t="s">
        <v>68</v>
      </c>
    </row>
    <row r="3" spans="1:19" s="12" customFormat="1">
      <c r="A3" s="96" t="s">
        <v>278</v>
      </c>
      <c r="B3" s="102" t="s">
        <v>279</v>
      </c>
      <c r="C3" s="103">
        <v>46182</v>
      </c>
      <c r="D3" s="95" t="s">
        <v>90</v>
      </c>
      <c r="E3" s="21">
        <v>0.40625</v>
      </c>
      <c r="F3" s="98">
        <v>3700</v>
      </c>
      <c r="G3" s="443">
        <v>0.54</v>
      </c>
      <c r="H3" s="100">
        <v>0.15</v>
      </c>
      <c r="I3" s="259">
        <v>0.04</v>
      </c>
      <c r="J3" s="191">
        <v>0.03</v>
      </c>
      <c r="K3" s="104">
        <f>145/1366</f>
        <v>0.1061493411420205</v>
      </c>
      <c r="L3" s="100">
        <v>0.06</v>
      </c>
      <c r="M3" s="101">
        <f>3613/3700</f>
        <v>0.9764864864864865</v>
      </c>
      <c r="N3" s="192">
        <v>0.95</v>
      </c>
      <c r="O3" s="444">
        <f>1/3613</f>
        <v>2.7677830058123442E-4</v>
      </c>
      <c r="P3" s="193">
        <v>2.5000000000000001E-3</v>
      </c>
      <c r="Q3" s="672" t="s">
        <v>280</v>
      </c>
      <c r="R3" s="410"/>
      <c r="S3" s="410"/>
    </row>
    <row r="4" spans="1:19" s="12" customFormat="1" ht="28">
      <c r="A4" s="96" t="s">
        <v>281</v>
      </c>
      <c r="B4" s="102" t="s">
        <v>282</v>
      </c>
      <c r="C4" s="103">
        <v>46184</v>
      </c>
      <c r="D4" s="95" t="s">
        <v>76</v>
      </c>
      <c r="E4" s="21">
        <v>0.48958333333333331</v>
      </c>
      <c r="F4" s="98">
        <v>1288</v>
      </c>
      <c r="G4" s="443">
        <v>0.53600000000000003</v>
      </c>
      <c r="H4" s="100">
        <v>0.15</v>
      </c>
      <c r="I4" s="259">
        <v>2.9000000000000001E-2</v>
      </c>
      <c r="J4" s="191">
        <v>0.03</v>
      </c>
      <c r="K4" s="104">
        <f>37/473</f>
        <v>7.8224101479915431E-2</v>
      </c>
      <c r="L4" s="100">
        <v>0.06</v>
      </c>
      <c r="M4" s="101">
        <f>1261/1288</f>
        <v>0.97903726708074534</v>
      </c>
      <c r="N4" s="192">
        <v>0.95</v>
      </c>
      <c r="O4" s="444">
        <v>0</v>
      </c>
      <c r="P4" s="193">
        <v>2.5000000000000001E-3</v>
      </c>
      <c r="Q4" s="672" t="s">
        <v>283</v>
      </c>
      <c r="R4" s="410"/>
      <c r="S4" s="410"/>
    </row>
    <row r="5" spans="1:19" s="12" customFormat="1">
      <c r="A5" s="96"/>
      <c r="B5" s="102"/>
      <c r="C5" s="103"/>
      <c r="D5" s="95"/>
      <c r="E5" s="21"/>
      <c r="F5" s="98"/>
      <c r="G5" s="194"/>
      <c r="H5" s="100">
        <v>0.15</v>
      </c>
      <c r="I5" s="259"/>
      <c r="J5" s="191">
        <v>0.03</v>
      </c>
      <c r="K5" s="104"/>
      <c r="L5" s="100">
        <v>0.06</v>
      </c>
      <c r="M5" s="101"/>
      <c r="N5" s="192">
        <v>0.95</v>
      </c>
      <c r="O5" s="444"/>
      <c r="P5" s="193">
        <v>2.5000000000000001E-3</v>
      </c>
      <c r="Q5" s="672"/>
      <c r="R5" s="410"/>
      <c r="S5" s="410"/>
    </row>
    <row r="6" spans="1:19" s="12" customFormat="1">
      <c r="A6" s="96"/>
      <c r="B6" s="102"/>
      <c r="C6" s="103"/>
      <c r="D6" s="95"/>
      <c r="E6" s="21"/>
      <c r="F6" s="98"/>
      <c r="G6" s="443"/>
      <c r="H6" s="100">
        <v>0.15</v>
      </c>
      <c r="I6" s="259"/>
      <c r="J6" s="191">
        <v>0.03</v>
      </c>
      <c r="K6" s="104"/>
      <c r="L6" s="100">
        <v>0.06</v>
      </c>
      <c r="M6" s="101"/>
      <c r="N6" s="192">
        <v>0.95</v>
      </c>
      <c r="O6" s="466"/>
      <c r="P6" s="193">
        <v>2.5000000000000001E-3</v>
      </c>
      <c r="Q6" s="672"/>
      <c r="R6" s="410"/>
      <c r="S6" s="410"/>
    </row>
    <row r="7" spans="1:19" s="12" customFormat="1">
      <c r="A7" s="96"/>
      <c r="B7" s="102"/>
      <c r="C7" s="103"/>
      <c r="D7" s="95"/>
      <c r="E7" s="21"/>
      <c r="F7" s="98"/>
      <c r="G7" s="443"/>
      <c r="H7" s="100">
        <v>0.15</v>
      </c>
      <c r="I7" s="259"/>
      <c r="J7" s="191">
        <v>0.03</v>
      </c>
      <c r="K7" s="104"/>
      <c r="L7" s="100">
        <v>0.06</v>
      </c>
      <c r="M7" s="101"/>
      <c r="N7" s="192">
        <v>0.95</v>
      </c>
      <c r="O7" s="466"/>
      <c r="P7" s="193">
        <v>2.5000000000000001E-3</v>
      </c>
      <c r="Q7" s="672"/>
      <c r="R7" s="410"/>
      <c r="S7" s="410"/>
    </row>
    <row r="8" spans="1:19" s="12" customFormat="1">
      <c r="A8" s="96"/>
      <c r="B8" s="102"/>
      <c r="C8" s="103"/>
      <c r="D8" s="95"/>
      <c r="E8" s="21"/>
      <c r="F8" s="98"/>
      <c r="G8" s="443"/>
      <c r="H8" s="100">
        <v>0.15</v>
      </c>
      <c r="I8" s="259"/>
      <c r="J8" s="99">
        <v>0.03</v>
      </c>
      <c r="K8" s="104"/>
      <c r="L8" s="100">
        <v>0.06</v>
      </c>
      <c r="M8" s="101"/>
      <c r="N8" s="192">
        <v>0.95</v>
      </c>
      <c r="O8" s="466"/>
      <c r="P8" s="36">
        <v>2.5000000000000001E-3</v>
      </c>
      <c r="Q8" s="672"/>
      <c r="R8" s="410"/>
      <c r="S8" s="410"/>
    </row>
    <row r="9" spans="1:19" s="12" customFormat="1">
      <c r="A9" s="96"/>
      <c r="B9" s="102"/>
      <c r="C9" s="103"/>
      <c r="D9" s="95"/>
      <c r="E9" s="21"/>
      <c r="F9" s="98"/>
      <c r="G9" s="443"/>
      <c r="H9" s="100">
        <v>0.15</v>
      </c>
      <c r="I9" s="467"/>
      <c r="J9" s="99">
        <v>0.03</v>
      </c>
      <c r="K9" s="104"/>
      <c r="L9" s="100">
        <v>0.06</v>
      </c>
      <c r="M9" s="101"/>
      <c r="N9" s="192">
        <v>0.95</v>
      </c>
      <c r="O9" s="466"/>
      <c r="P9" s="36">
        <v>2.5000000000000001E-3</v>
      </c>
      <c r="Q9" s="672"/>
      <c r="R9" s="410"/>
      <c r="S9" s="410"/>
    </row>
    <row r="10" spans="1:19" s="12" customFormat="1">
      <c r="A10" s="96"/>
      <c r="B10" s="102"/>
      <c r="C10" s="103"/>
      <c r="D10" s="95"/>
      <c r="E10" s="21"/>
      <c r="F10" s="98"/>
      <c r="G10" s="443"/>
      <c r="H10" s="100">
        <v>0.15</v>
      </c>
      <c r="I10" s="259"/>
      <c r="J10" s="99">
        <v>0.03</v>
      </c>
      <c r="K10" s="104"/>
      <c r="L10" s="100">
        <v>0.06</v>
      </c>
      <c r="M10" s="101"/>
      <c r="N10" s="192">
        <v>0.95</v>
      </c>
      <c r="O10" s="466"/>
      <c r="P10" s="36">
        <v>2.5000000000000001E-3</v>
      </c>
      <c r="Q10" s="672"/>
      <c r="R10" s="410"/>
      <c r="S10" s="410"/>
    </row>
    <row r="11" spans="1:19" s="12" customFormat="1">
      <c r="A11" s="96"/>
      <c r="B11" s="102"/>
      <c r="C11" s="103"/>
      <c r="D11" s="95"/>
      <c r="E11" s="21"/>
      <c r="F11" s="98"/>
      <c r="G11" s="470"/>
      <c r="H11" s="100">
        <v>0.15</v>
      </c>
      <c r="I11" s="467"/>
      <c r="J11" s="191">
        <v>0.03</v>
      </c>
      <c r="K11" s="104"/>
      <c r="L11" s="100">
        <v>0.06</v>
      </c>
      <c r="M11" s="101"/>
      <c r="N11" s="192">
        <v>0.95</v>
      </c>
      <c r="O11" s="466"/>
      <c r="P11" s="193">
        <v>2.5000000000000001E-3</v>
      </c>
      <c r="Q11" s="672"/>
      <c r="R11" s="410"/>
      <c r="S11" s="410"/>
    </row>
    <row r="12" spans="1:19" s="12" customFormat="1">
      <c r="A12" s="96"/>
      <c r="B12" s="102"/>
      <c r="C12" s="103"/>
      <c r="D12" s="95"/>
      <c r="E12" s="21"/>
      <c r="F12" s="98"/>
      <c r="G12" s="470"/>
      <c r="H12" s="100">
        <v>0.15</v>
      </c>
      <c r="I12" s="467"/>
      <c r="J12" s="191">
        <v>0.03</v>
      </c>
      <c r="K12" s="104"/>
      <c r="L12" s="100">
        <v>0.06</v>
      </c>
      <c r="M12" s="101"/>
      <c r="N12" s="192">
        <v>0.95</v>
      </c>
      <c r="O12" s="466"/>
      <c r="P12" s="193">
        <v>2.5000000000000001E-3</v>
      </c>
      <c r="Q12" s="672"/>
      <c r="R12" s="410"/>
      <c r="S12" s="410"/>
    </row>
    <row r="13" spans="1:19" s="12" customFormat="1">
      <c r="A13" s="96"/>
      <c r="B13" s="102"/>
      <c r="C13" s="103"/>
      <c r="D13" s="95"/>
      <c r="E13" s="21"/>
      <c r="F13" s="98"/>
      <c r="G13" s="470"/>
      <c r="H13" s="100">
        <v>0.15</v>
      </c>
      <c r="I13" s="467"/>
      <c r="J13" s="191">
        <v>0.03</v>
      </c>
      <c r="K13" s="104"/>
      <c r="L13" s="100">
        <v>0.06</v>
      </c>
      <c r="M13" s="101"/>
      <c r="N13" s="192">
        <v>0.95</v>
      </c>
      <c r="O13" s="466"/>
      <c r="P13" s="193">
        <v>2.5000000000000001E-3</v>
      </c>
      <c r="Q13" s="414"/>
      <c r="R13" s="410"/>
      <c r="S13" s="410"/>
    </row>
    <row r="14" spans="1:19" s="12" customFormat="1">
      <c r="A14" s="96"/>
      <c r="B14" s="102"/>
      <c r="C14" s="103"/>
      <c r="D14" s="95"/>
      <c r="E14" s="21"/>
      <c r="F14" s="98"/>
      <c r="G14" s="470"/>
      <c r="H14" s="100">
        <v>0.15</v>
      </c>
      <c r="I14" s="467"/>
      <c r="J14" s="191">
        <v>0.03</v>
      </c>
      <c r="K14" s="104"/>
      <c r="L14" s="100">
        <v>0.06</v>
      </c>
      <c r="M14" s="101"/>
      <c r="N14" s="192">
        <v>0.95</v>
      </c>
      <c r="O14" s="466"/>
      <c r="P14" s="193">
        <v>2.5000000000000001E-3</v>
      </c>
      <c r="Q14" s="414"/>
      <c r="R14" s="410"/>
      <c r="S14" s="410"/>
    </row>
    <row r="15" spans="1:19" s="12" customFormat="1">
      <c r="A15" s="96"/>
      <c r="B15" s="102"/>
      <c r="C15" s="103"/>
      <c r="D15" s="95"/>
      <c r="E15" s="21"/>
      <c r="F15" s="98"/>
      <c r="G15" s="470"/>
      <c r="H15" s="100">
        <v>0.15</v>
      </c>
      <c r="I15" s="467"/>
      <c r="J15" s="191">
        <v>0.03</v>
      </c>
      <c r="K15" s="104"/>
      <c r="L15" s="100">
        <v>0.06</v>
      </c>
      <c r="M15" s="101"/>
      <c r="N15" s="192">
        <v>0.95</v>
      </c>
      <c r="O15" s="466"/>
      <c r="P15" s="193">
        <v>2.5000000000000001E-3</v>
      </c>
      <c r="Q15" s="414"/>
      <c r="R15" s="410"/>
      <c r="S15" s="410"/>
    </row>
    <row r="16" spans="1:19" s="12" customFormat="1">
      <c r="A16" s="96"/>
      <c r="B16" s="102"/>
      <c r="C16" s="103"/>
      <c r="D16" s="95"/>
      <c r="E16" s="21"/>
      <c r="F16" s="98"/>
      <c r="G16" s="470"/>
      <c r="H16" s="100">
        <v>0.15</v>
      </c>
      <c r="I16" s="467"/>
      <c r="J16" s="191">
        <v>0.03</v>
      </c>
      <c r="K16" s="104"/>
      <c r="L16" s="100">
        <v>0.06</v>
      </c>
      <c r="M16" s="101"/>
      <c r="N16" s="192">
        <v>0.95</v>
      </c>
      <c r="O16" s="466"/>
      <c r="P16" s="193">
        <v>2.5000000000000001E-3</v>
      </c>
      <c r="Q16" s="414"/>
      <c r="R16" s="410"/>
      <c r="S16" s="410"/>
    </row>
    <row r="17" spans="1:19" s="12" customFormat="1">
      <c r="A17" s="241"/>
      <c r="B17" s="242"/>
      <c r="C17" s="243"/>
      <c r="D17" s="244"/>
      <c r="E17" s="245"/>
      <c r="F17" s="246"/>
      <c r="G17" s="471"/>
      <c r="H17" s="247">
        <v>0.15</v>
      </c>
      <c r="I17" s="473"/>
      <c r="J17" s="248">
        <v>0.03</v>
      </c>
      <c r="K17" s="249"/>
      <c r="L17" s="247">
        <v>0.06</v>
      </c>
      <c r="M17" s="250"/>
      <c r="N17" s="251">
        <v>0.95</v>
      </c>
      <c r="O17" s="474"/>
      <c r="P17" s="252">
        <v>2.5000000000000001E-3</v>
      </c>
      <c r="Q17" s="415"/>
      <c r="R17" s="410"/>
      <c r="S17" s="410"/>
    </row>
    <row r="18" spans="1:19">
      <c r="A18" s="304"/>
      <c r="B18" s="305"/>
      <c r="C18" s="306"/>
      <c r="D18" s="244"/>
      <c r="E18" s="307"/>
      <c r="F18" s="308"/>
      <c r="G18" s="471"/>
      <c r="H18" s="247">
        <v>0.15</v>
      </c>
      <c r="I18" s="473"/>
      <c r="J18" s="248">
        <v>0.03</v>
      </c>
      <c r="K18" s="249"/>
      <c r="L18" s="247">
        <v>0.06</v>
      </c>
      <c r="M18" s="250"/>
      <c r="N18" s="251">
        <v>0.95</v>
      </c>
      <c r="O18" s="474"/>
      <c r="P18" s="252">
        <v>2.5000000000000001E-3</v>
      </c>
      <c r="Q18" s="416"/>
      <c r="R18" s="411"/>
      <c r="S18" s="411"/>
    </row>
    <row r="19" spans="1:19" s="258" customFormat="1">
      <c r="A19" s="102"/>
      <c r="B19" s="309"/>
      <c r="C19" s="310"/>
      <c r="D19" s="260"/>
      <c r="E19" s="311"/>
      <c r="F19" s="261"/>
      <c r="G19" s="472"/>
      <c r="H19" s="263">
        <v>0.15</v>
      </c>
      <c r="I19" s="467"/>
      <c r="J19" s="263">
        <v>0.03</v>
      </c>
      <c r="K19" s="104"/>
      <c r="L19" s="263">
        <v>0.06</v>
      </c>
      <c r="M19" s="262"/>
      <c r="N19" s="263">
        <v>0.95</v>
      </c>
      <c r="O19" s="472"/>
      <c r="P19" s="264">
        <v>2.5000000000000001E-3</v>
      </c>
      <c r="Q19" s="416"/>
      <c r="R19" s="411"/>
      <c r="S19" s="411"/>
    </row>
    <row r="20" spans="1:19">
      <c r="A20" s="242"/>
      <c r="B20" s="305"/>
      <c r="C20" s="306"/>
      <c r="D20" s="312"/>
      <c r="E20" s="307"/>
      <c r="F20" s="308"/>
      <c r="G20" s="249"/>
      <c r="H20" s="292">
        <v>0.15</v>
      </c>
      <c r="I20" s="249"/>
      <c r="J20" s="292">
        <v>0.03</v>
      </c>
      <c r="K20" s="314"/>
      <c r="L20" s="292">
        <v>0.06</v>
      </c>
      <c r="M20" s="313"/>
      <c r="N20" s="292">
        <v>0.95</v>
      </c>
      <c r="O20" s="473"/>
      <c r="P20" s="293">
        <v>2.5000000000000001E-3</v>
      </c>
      <c r="Q20" s="416"/>
      <c r="R20" s="411"/>
      <c r="S20" s="411"/>
    </row>
    <row r="21" spans="1:19">
      <c r="A21" s="315"/>
      <c r="B21" s="316"/>
      <c r="C21" s="317"/>
      <c r="D21" s="318"/>
      <c r="E21" s="319"/>
      <c r="F21" s="320"/>
      <c r="G21" s="322"/>
      <c r="H21" s="292">
        <v>0.15</v>
      </c>
      <c r="I21" s="322"/>
      <c r="J21" s="292">
        <v>0.03</v>
      </c>
      <c r="K21" s="322"/>
      <c r="L21" s="292">
        <v>0.06</v>
      </c>
      <c r="M21" s="323"/>
      <c r="N21" s="292">
        <v>0.95</v>
      </c>
      <c r="O21" s="322"/>
      <c r="P21" s="345">
        <v>2.5000000000000001E-3</v>
      </c>
      <c r="Q21" s="417"/>
      <c r="R21" s="411"/>
      <c r="S21" s="411"/>
    </row>
    <row r="22" spans="1:19">
      <c r="A22" s="324"/>
      <c r="B22" s="325"/>
      <c r="C22" s="317"/>
      <c r="D22" s="326"/>
      <c r="E22" s="327"/>
      <c r="F22" s="328"/>
      <c r="G22" s="329"/>
      <c r="H22" s="292">
        <v>0.15</v>
      </c>
      <c r="I22" s="330"/>
      <c r="J22" s="292">
        <v>0.03</v>
      </c>
      <c r="K22" s="330"/>
      <c r="L22" s="292">
        <v>0.06</v>
      </c>
      <c r="M22" s="339"/>
      <c r="N22" s="292">
        <v>0.95</v>
      </c>
      <c r="O22" s="322"/>
      <c r="P22" s="345">
        <v>2.5000000000000001E-3</v>
      </c>
      <c r="Q22" s="418"/>
      <c r="R22" s="411"/>
      <c r="S22" s="411"/>
    </row>
    <row r="23" spans="1:19" ht="55.5" customHeight="1">
      <c r="A23" s="315"/>
      <c r="B23" s="325"/>
      <c r="C23" s="317"/>
      <c r="D23" s="318"/>
      <c r="E23" s="319"/>
      <c r="F23" s="320"/>
      <c r="G23" s="321"/>
      <c r="H23" s="295">
        <v>0.15</v>
      </c>
      <c r="I23" s="322"/>
      <c r="J23" s="295">
        <v>0.03</v>
      </c>
      <c r="K23" s="322"/>
      <c r="L23" s="294">
        <v>0.06</v>
      </c>
      <c r="M23" s="339"/>
      <c r="N23" s="292">
        <v>0.95</v>
      </c>
      <c r="O23" s="322"/>
      <c r="P23" s="345">
        <v>2.5000000000000001E-3</v>
      </c>
      <c r="Q23" s="418"/>
      <c r="R23" s="411"/>
      <c r="S23" s="411"/>
    </row>
    <row r="24" spans="1:19">
      <c r="A24" s="315"/>
      <c r="B24" s="316"/>
      <c r="C24" s="317"/>
      <c r="D24" s="318"/>
      <c r="E24" s="319"/>
      <c r="F24" s="320"/>
      <c r="G24" s="323"/>
      <c r="H24" s="295">
        <v>0.15</v>
      </c>
      <c r="I24" s="322"/>
      <c r="J24" s="295">
        <v>0.03</v>
      </c>
      <c r="K24" s="322"/>
      <c r="L24" s="294">
        <v>0.06</v>
      </c>
      <c r="M24" s="339"/>
      <c r="N24" s="292">
        <v>0.95</v>
      </c>
      <c r="O24" s="322"/>
      <c r="P24" s="345">
        <v>2.5000000000000001E-3</v>
      </c>
      <c r="Q24" s="417"/>
      <c r="R24" s="411"/>
      <c r="S24" s="411"/>
    </row>
    <row r="25" spans="1:19">
      <c r="A25" s="324"/>
      <c r="B25" s="325"/>
      <c r="C25" s="342"/>
      <c r="D25" s="326"/>
      <c r="E25" s="327"/>
      <c r="F25" s="328"/>
      <c r="G25" s="337"/>
      <c r="H25" s="343">
        <v>0.15</v>
      </c>
      <c r="I25" s="330"/>
      <c r="J25" s="343">
        <v>0.03</v>
      </c>
      <c r="K25" s="330"/>
      <c r="L25" s="294">
        <v>0.06</v>
      </c>
      <c r="M25" s="344"/>
      <c r="N25" s="292">
        <v>0.95</v>
      </c>
      <c r="O25" s="330"/>
      <c r="P25" s="345">
        <v>2.5000000000000001E-3</v>
      </c>
      <c r="Q25" s="419"/>
      <c r="R25" s="411"/>
      <c r="S25" s="411"/>
    </row>
    <row r="26" spans="1:19">
      <c r="A26" s="340"/>
      <c r="B26" s="309"/>
      <c r="C26" s="346"/>
      <c r="D26" s="350"/>
      <c r="E26" s="327"/>
      <c r="F26" s="351"/>
      <c r="G26" s="259"/>
      <c r="H26" s="263">
        <v>0.15</v>
      </c>
      <c r="I26" s="347"/>
      <c r="J26" s="349">
        <v>0.03</v>
      </c>
      <c r="K26" s="347"/>
      <c r="L26" s="294">
        <v>0.06</v>
      </c>
      <c r="M26" s="344"/>
      <c r="N26" s="292">
        <v>0.95</v>
      </c>
      <c r="O26" s="348"/>
      <c r="P26" s="345">
        <v>2.5000000000000001E-3</v>
      </c>
      <c r="Q26" s="419"/>
      <c r="R26" s="411"/>
      <c r="S26" s="411"/>
    </row>
    <row r="27" spans="1:19">
      <c r="A27" s="365"/>
      <c r="B27" s="305"/>
      <c r="C27" s="366"/>
      <c r="D27" s="350"/>
      <c r="E27" s="367"/>
      <c r="F27" s="351"/>
      <c r="G27" s="253"/>
      <c r="H27" s="292">
        <v>0.15</v>
      </c>
      <c r="I27" s="368"/>
      <c r="J27" s="349">
        <v>0.03</v>
      </c>
      <c r="K27" s="368"/>
      <c r="L27" s="294">
        <v>0.06</v>
      </c>
      <c r="M27" s="344"/>
      <c r="N27" s="292">
        <v>0.95</v>
      </c>
      <c r="O27" s="369"/>
      <c r="P27" s="345">
        <v>2.5000000000000001E-3</v>
      </c>
      <c r="Q27" s="420"/>
      <c r="R27" s="411"/>
      <c r="S27" s="411"/>
    </row>
    <row r="28" spans="1:19">
      <c r="A28" s="340"/>
      <c r="B28" s="362"/>
      <c r="C28" s="346"/>
      <c r="D28" s="341"/>
      <c r="E28" s="363"/>
      <c r="F28" s="364"/>
      <c r="G28" s="372"/>
      <c r="H28" s="263">
        <v>0.15</v>
      </c>
      <c r="I28" s="347"/>
      <c r="J28" s="263">
        <v>0.03</v>
      </c>
      <c r="K28" s="373"/>
      <c r="L28" s="263">
        <v>0.06</v>
      </c>
      <c r="M28" s="371"/>
      <c r="N28" s="263">
        <v>0.95</v>
      </c>
      <c r="O28" s="348"/>
      <c r="P28" s="264">
        <v>2.5000000000000001E-3</v>
      </c>
      <c r="Q28" s="421"/>
      <c r="R28" s="411"/>
      <c r="S28" s="411"/>
    </row>
    <row r="29" spans="1:19">
      <c r="A29" s="340"/>
      <c r="B29" s="362"/>
      <c r="C29" s="346"/>
      <c r="D29" s="341"/>
      <c r="E29" s="363"/>
      <c r="F29" s="364"/>
      <c r="G29" s="372"/>
      <c r="H29" s="263">
        <v>0.15</v>
      </c>
      <c r="I29" s="347"/>
      <c r="J29" s="263">
        <v>0.03</v>
      </c>
      <c r="K29" s="347"/>
      <c r="L29" s="263">
        <v>0.06</v>
      </c>
      <c r="M29" s="370"/>
      <c r="N29" s="263">
        <v>0.95</v>
      </c>
      <c r="O29" s="348"/>
      <c r="P29" s="264">
        <v>2.5000000000000001E-3</v>
      </c>
      <c r="Q29" s="422"/>
      <c r="R29" s="411"/>
      <c r="S29" s="411"/>
    </row>
    <row r="30" spans="1:19">
      <c r="A30" s="340"/>
      <c r="B30" s="362"/>
      <c r="C30" s="346"/>
      <c r="D30" s="341"/>
      <c r="E30" s="363"/>
      <c r="F30" s="364"/>
      <c r="G30" s="372"/>
      <c r="H30" s="263">
        <v>0.15</v>
      </c>
      <c r="I30" s="347"/>
      <c r="J30" s="263">
        <v>0.03</v>
      </c>
      <c r="K30" s="347"/>
      <c r="L30" s="263">
        <v>0.06</v>
      </c>
      <c r="M30" s="591"/>
      <c r="N30" s="263">
        <v>0.95</v>
      </c>
      <c r="O30" s="348"/>
      <c r="P30" s="264">
        <v>2.5000000000000001E-3</v>
      </c>
      <c r="Q30" s="421"/>
      <c r="R30" s="411"/>
      <c r="S30" s="411"/>
    </row>
    <row r="31" spans="1:19">
      <c r="A31" s="374"/>
      <c r="B31" s="375"/>
      <c r="C31" s="376"/>
      <c r="D31" s="377"/>
      <c r="E31" s="378"/>
      <c r="F31" s="364"/>
      <c r="G31" s="379"/>
      <c r="H31" s="263">
        <v>0.15</v>
      </c>
      <c r="I31" s="380"/>
      <c r="J31" s="263">
        <v>0.03</v>
      </c>
      <c r="K31" s="380"/>
      <c r="L31" s="590">
        <v>0.06</v>
      </c>
      <c r="M31" s="381"/>
      <c r="N31" s="513">
        <v>0.95</v>
      </c>
      <c r="O31" s="348"/>
      <c r="P31" s="264">
        <v>2.5000000000000001E-3</v>
      </c>
      <c r="Q31" s="419"/>
      <c r="R31" s="411"/>
      <c r="S31" s="411"/>
    </row>
    <row r="32" spans="1:19">
      <c r="A32" s="374"/>
      <c r="B32" s="375"/>
      <c r="C32" s="376"/>
      <c r="D32" s="377"/>
      <c r="E32" s="378"/>
      <c r="F32" s="364"/>
      <c r="G32" s="379"/>
      <c r="H32" s="263">
        <v>0.15</v>
      </c>
      <c r="I32" s="380"/>
      <c r="J32" s="263">
        <v>0.03</v>
      </c>
      <c r="K32" s="380"/>
      <c r="L32" s="263">
        <v>0.06</v>
      </c>
      <c r="M32" s="592"/>
      <c r="N32" s="263">
        <v>0.95</v>
      </c>
      <c r="O32" s="348"/>
      <c r="P32" s="264">
        <v>2.5000000000000001E-3</v>
      </c>
      <c r="Q32" s="419"/>
      <c r="R32" s="411"/>
      <c r="S32" s="411"/>
    </row>
    <row r="33" spans="1:19">
      <c r="A33" s="374"/>
      <c r="B33" s="375"/>
      <c r="C33" s="376"/>
      <c r="D33" s="377"/>
      <c r="E33" s="378"/>
      <c r="F33" s="364"/>
      <c r="G33" s="379"/>
      <c r="H33" s="263">
        <v>0.15</v>
      </c>
      <c r="I33" s="380"/>
      <c r="J33" s="263">
        <v>0.03</v>
      </c>
      <c r="K33" s="380"/>
      <c r="L33" s="263">
        <v>0.06</v>
      </c>
      <c r="M33" s="592"/>
      <c r="N33" s="263">
        <v>0.95</v>
      </c>
      <c r="O33" s="348"/>
      <c r="P33" s="264">
        <v>2.5000000000000001E-3</v>
      </c>
      <c r="Q33" s="419"/>
      <c r="R33" s="411"/>
      <c r="S33" s="411"/>
    </row>
    <row r="34" spans="1:19">
      <c r="A34" s="374"/>
      <c r="B34" s="375"/>
      <c r="C34" s="376"/>
      <c r="D34" s="377"/>
      <c r="E34" s="378"/>
      <c r="F34" s="364"/>
      <c r="G34" s="379"/>
      <c r="H34" s="263">
        <v>0.15</v>
      </c>
      <c r="I34" s="380"/>
      <c r="J34" s="263">
        <v>0.03</v>
      </c>
      <c r="K34" s="380"/>
      <c r="L34" s="263">
        <v>0.06</v>
      </c>
      <c r="M34" s="592"/>
      <c r="N34" s="263">
        <v>0.95</v>
      </c>
      <c r="O34" s="348"/>
      <c r="P34" s="264">
        <v>2.5000000000000001E-3</v>
      </c>
      <c r="Q34" s="419"/>
      <c r="R34" s="411"/>
      <c r="S34" s="411"/>
    </row>
    <row r="35" spans="1:19">
      <c r="A35" s="374"/>
      <c r="B35" s="375"/>
      <c r="C35" s="376"/>
      <c r="D35" s="377"/>
      <c r="E35" s="378"/>
      <c r="F35" s="364"/>
      <c r="G35" s="379"/>
      <c r="H35" s="263">
        <v>0.15</v>
      </c>
      <c r="I35" s="380"/>
      <c r="J35" s="263">
        <v>0.03</v>
      </c>
      <c r="K35" s="380"/>
      <c r="L35" s="263">
        <v>0.06</v>
      </c>
      <c r="M35" s="381"/>
      <c r="N35" s="263">
        <v>0.95</v>
      </c>
      <c r="O35" s="348"/>
      <c r="P35" s="264">
        <v>2.5000000000000001E-3</v>
      </c>
      <c r="Q35" s="419"/>
      <c r="R35" s="411"/>
      <c r="S35" s="411"/>
    </row>
    <row r="36" spans="1:19">
      <c r="A36" s="374"/>
      <c r="B36" s="375"/>
      <c r="C36" s="376"/>
      <c r="D36" s="377"/>
      <c r="E36" s="378"/>
      <c r="F36" s="364"/>
      <c r="G36" s="379"/>
      <c r="H36" s="263">
        <v>0.15</v>
      </c>
      <c r="I36" s="380"/>
      <c r="J36" s="263">
        <v>0.03</v>
      </c>
      <c r="K36" s="380"/>
      <c r="L36" s="263">
        <v>0.06</v>
      </c>
      <c r="M36" s="381"/>
      <c r="N36" s="263">
        <v>0.95</v>
      </c>
      <c r="O36" s="348"/>
      <c r="P36" s="385">
        <v>2.5000000000000001E-3</v>
      </c>
      <c r="Q36" s="421"/>
      <c r="R36" s="411"/>
      <c r="S36" s="411"/>
    </row>
    <row r="37" spans="1:19">
      <c r="A37" s="374"/>
      <c r="B37" s="375"/>
      <c r="C37" s="376"/>
      <c r="D37" s="377"/>
      <c r="E37" s="378"/>
      <c r="F37" s="364"/>
      <c r="G37" s="379"/>
      <c r="H37" s="263">
        <v>0.15</v>
      </c>
      <c r="I37" s="380"/>
      <c r="J37" s="263">
        <v>0.03</v>
      </c>
      <c r="K37" s="380"/>
      <c r="L37" s="263">
        <v>0.06</v>
      </c>
      <c r="M37" s="381"/>
      <c r="N37" s="263">
        <v>0.95</v>
      </c>
      <c r="O37" s="348"/>
      <c r="P37" s="385">
        <v>2.5000000000000001E-3</v>
      </c>
      <c r="Q37" s="421"/>
      <c r="R37" s="411"/>
      <c r="S37" s="340"/>
    </row>
    <row r="38" spans="1:19">
      <c r="A38" s="374"/>
      <c r="B38" s="375"/>
      <c r="C38" s="376"/>
      <c r="D38" s="377"/>
      <c r="E38" s="378"/>
      <c r="F38" s="364"/>
      <c r="G38" s="379"/>
      <c r="H38" s="263">
        <v>0.15</v>
      </c>
      <c r="I38" s="380"/>
      <c r="J38" s="263">
        <v>0.03</v>
      </c>
      <c r="K38" s="380"/>
      <c r="L38" s="263">
        <v>0.06</v>
      </c>
      <c r="M38" s="381"/>
      <c r="N38" s="263">
        <v>0.95</v>
      </c>
      <c r="O38" s="348"/>
      <c r="P38" s="385">
        <v>2.5000000000000001E-3</v>
      </c>
      <c r="Q38" s="421"/>
      <c r="R38" s="411"/>
      <c r="S38" s="411"/>
    </row>
    <row r="39" spans="1:19">
      <c r="A39" s="374"/>
      <c r="B39" s="375"/>
      <c r="C39" s="376"/>
      <c r="D39" s="376"/>
      <c r="E39" s="378"/>
      <c r="F39" s="364"/>
      <c r="G39" s="379"/>
      <c r="H39" s="263">
        <v>0.15</v>
      </c>
      <c r="I39" s="380"/>
      <c r="J39" s="263">
        <v>0.03</v>
      </c>
      <c r="K39" s="380"/>
      <c r="L39" s="263">
        <v>0.06</v>
      </c>
      <c r="M39" s="381"/>
      <c r="N39" s="263">
        <v>0.95</v>
      </c>
      <c r="O39" s="348"/>
      <c r="P39" s="385">
        <v>2.5000000000000001E-3</v>
      </c>
      <c r="Q39" s="421"/>
      <c r="R39" s="411"/>
      <c r="S39" s="411"/>
    </row>
    <row r="40" spans="1:19">
      <c r="A40" s="374"/>
      <c r="B40" s="375"/>
      <c r="C40" s="376"/>
      <c r="D40" s="376"/>
      <c r="E40" s="378"/>
      <c r="F40" s="364"/>
      <c r="G40" s="379"/>
      <c r="H40" s="263">
        <v>0.15</v>
      </c>
      <c r="I40" s="380"/>
      <c r="J40" s="263">
        <v>0.03</v>
      </c>
      <c r="K40" s="380"/>
      <c r="L40" s="263">
        <v>0.06</v>
      </c>
      <c r="M40" s="381"/>
      <c r="N40" s="263">
        <v>0.95</v>
      </c>
      <c r="O40" s="348"/>
      <c r="P40" s="385">
        <v>2.5000000000000001E-3</v>
      </c>
      <c r="Q40" s="421"/>
      <c r="R40" s="411"/>
      <c r="S40" s="411"/>
    </row>
    <row r="41" spans="1:19">
      <c r="A41" s="374"/>
      <c r="B41" s="375"/>
      <c r="C41" s="376"/>
      <c r="D41" s="376"/>
      <c r="E41" s="378"/>
      <c r="F41" s="364"/>
      <c r="G41" s="379"/>
      <c r="H41" s="263">
        <v>0.15</v>
      </c>
      <c r="I41" s="380"/>
      <c r="J41" s="263">
        <v>0.03</v>
      </c>
      <c r="K41" s="380"/>
      <c r="L41" s="263">
        <v>0.06</v>
      </c>
      <c r="M41" s="381"/>
      <c r="N41" s="263">
        <v>0.95</v>
      </c>
      <c r="O41" s="348"/>
      <c r="P41" s="385">
        <v>2.5000000000000001E-3</v>
      </c>
      <c r="Q41" s="421"/>
      <c r="R41" s="411"/>
      <c r="S41" s="411"/>
    </row>
    <row r="42" spans="1:19">
      <c r="A42" s="394"/>
      <c r="B42" s="375"/>
      <c r="C42" s="396"/>
      <c r="D42" s="397"/>
      <c r="E42" s="398"/>
      <c r="F42" s="399"/>
      <c r="G42" s="400"/>
      <c r="H42" s="292">
        <v>0.15</v>
      </c>
      <c r="I42" s="401"/>
      <c r="J42" s="292">
        <v>0.03</v>
      </c>
      <c r="K42" s="401"/>
      <c r="L42" s="292">
        <v>0.06</v>
      </c>
      <c r="M42" s="402"/>
      <c r="N42" s="292">
        <v>0.95</v>
      </c>
      <c r="O42" s="369"/>
      <c r="P42" s="345">
        <v>2.5000000000000001E-3</v>
      </c>
      <c r="Q42" s="423"/>
      <c r="R42" s="411"/>
      <c r="S42" s="411"/>
    </row>
    <row r="43" spans="1:19" s="391" customFormat="1">
      <c r="A43" s="392"/>
      <c r="B43" s="362"/>
      <c r="C43" s="346"/>
      <c r="D43" s="346"/>
      <c r="E43" s="393"/>
      <c r="F43" s="399"/>
      <c r="G43" s="372"/>
      <c r="H43" s="263">
        <v>0.15</v>
      </c>
      <c r="I43" s="380"/>
      <c r="J43" s="263">
        <v>0.03</v>
      </c>
      <c r="K43" s="347"/>
      <c r="L43" s="263">
        <v>0.06</v>
      </c>
      <c r="M43" s="370"/>
      <c r="N43" s="263">
        <v>0.95</v>
      </c>
      <c r="O43" s="348"/>
      <c r="P43" s="264">
        <v>2.5000000000000001E-3</v>
      </c>
      <c r="Q43" s="611"/>
      <c r="R43" s="412"/>
      <c r="S43" s="412"/>
    </row>
    <row r="44" spans="1:19" s="391" customFormat="1">
      <c r="A44" s="392"/>
      <c r="B44" s="362"/>
      <c r="C44" s="346"/>
      <c r="D44" s="346"/>
      <c r="E44" s="393"/>
      <c r="F44" s="399"/>
      <c r="G44" s="372"/>
      <c r="H44" s="263">
        <v>0.15</v>
      </c>
      <c r="I44" s="380"/>
      <c r="J44" s="263">
        <v>0.03</v>
      </c>
      <c r="K44" s="347"/>
      <c r="L44" s="263">
        <v>0.06</v>
      </c>
      <c r="M44" s="370"/>
      <c r="N44" s="263">
        <v>0.95</v>
      </c>
      <c r="O44" s="348"/>
      <c r="P44" s="264">
        <v>2.5000000000000001E-3</v>
      </c>
      <c r="Q44" s="424"/>
      <c r="R44" s="412"/>
      <c r="S44" s="412"/>
    </row>
    <row r="45" spans="1:19">
      <c r="A45" s="392"/>
      <c r="B45" s="362"/>
      <c r="C45" s="346"/>
      <c r="D45" s="346"/>
      <c r="E45" s="393"/>
      <c r="F45" s="399"/>
      <c r="G45" s="372"/>
      <c r="H45" s="263">
        <v>0.15</v>
      </c>
      <c r="I45" s="380"/>
      <c r="J45" s="263">
        <v>0.03</v>
      </c>
      <c r="K45" s="347"/>
      <c r="L45" s="263">
        <v>0.06</v>
      </c>
      <c r="M45" s="370"/>
      <c r="N45" s="263">
        <v>0.95</v>
      </c>
      <c r="O45" s="348"/>
      <c r="P45" s="264">
        <v>2.5000000000000001E-3</v>
      </c>
      <c r="Q45" s="424"/>
      <c r="R45" s="340"/>
      <c r="S45" s="340"/>
    </row>
    <row r="46" spans="1:19">
      <c r="A46" s="392"/>
      <c r="B46" s="362"/>
      <c r="C46" s="346"/>
      <c r="D46" s="341"/>
      <c r="E46" s="393"/>
      <c r="F46" s="399"/>
      <c r="G46" s="372"/>
      <c r="H46" s="263">
        <v>0.15</v>
      </c>
      <c r="I46" s="380"/>
      <c r="J46" s="263">
        <v>0.03</v>
      </c>
      <c r="K46" s="347"/>
      <c r="L46" s="263">
        <v>0.06</v>
      </c>
      <c r="M46" s="370"/>
      <c r="N46" s="263">
        <v>0.95</v>
      </c>
      <c r="O46" s="348"/>
      <c r="P46" s="264">
        <v>2.5000000000000001E-3</v>
      </c>
      <c r="Q46" s="424"/>
      <c r="R46" s="411"/>
      <c r="S46" s="411"/>
    </row>
    <row r="47" spans="1:19">
      <c r="A47" s="392"/>
      <c r="B47" s="362"/>
      <c r="C47" s="346"/>
      <c r="D47" s="341"/>
      <c r="E47" s="393"/>
      <c r="F47" s="399"/>
      <c r="G47" s="372"/>
      <c r="H47" s="263">
        <v>0.15</v>
      </c>
      <c r="I47" s="380"/>
      <c r="J47" s="263">
        <v>0.03</v>
      </c>
      <c r="K47" s="347"/>
      <c r="L47" s="263">
        <v>0.06</v>
      </c>
      <c r="M47" s="370"/>
      <c r="N47" s="263">
        <v>0.95</v>
      </c>
      <c r="O47" s="348"/>
      <c r="P47" s="264">
        <v>2.5000000000000001E-3</v>
      </c>
      <c r="Q47" s="424"/>
      <c r="R47" s="340"/>
      <c r="S47" s="340"/>
    </row>
    <row r="48" spans="1:19">
      <c r="A48" s="392"/>
      <c r="B48" s="362"/>
      <c r="C48" s="346"/>
      <c r="D48" s="346"/>
      <c r="E48" s="393"/>
      <c r="F48" s="399"/>
      <c r="G48" s="372"/>
      <c r="H48" s="263">
        <v>0.15</v>
      </c>
      <c r="I48" s="380"/>
      <c r="J48" s="263">
        <v>0.03</v>
      </c>
      <c r="K48" s="347"/>
      <c r="L48" s="263">
        <v>0.06</v>
      </c>
      <c r="M48" s="370"/>
      <c r="N48" s="263">
        <v>0.95</v>
      </c>
      <c r="O48" s="348"/>
      <c r="P48" s="264">
        <v>2.5000000000000001E-3</v>
      </c>
      <c r="Q48" s="424"/>
      <c r="R48" s="340"/>
      <c r="S48" s="340"/>
    </row>
    <row r="49" spans="1:19">
      <c r="A49" s="392"/>
      <c r="B49" s="426"/>
      <c r="C49" s="427"/>
      <c r="D49" s="350"/>
      <c r="E49" s="428"/>
      <c r="F49" s="399"/>
      <c r="G49" s="429"/>
      <c r="H49" s="292">
        <v>0.15</v>
      </c>
      <c r="I49" s="401"/>
      <c r="J49" s="292">
        <v>0.03</v>
      </c>
      <c r="K49" s="368"/>
      <c r="L49" s="292">
        <v>0.06</v>
      </c>
      <c r="M49" s="368"/>
      <c r="N49" s="292">
        <v>0.95</v>
      </c>
      <c r="O49" s="369"/>
      <c r="P49" s="293">
        <v>2.5000000000000001E-3</v>
      </c>
      <c r="Q49" s="430"/>
      <c r="R49" s="365"/>
      <c r="S49" s="365"/>
    </row>
    <row r="50" spans="1:19">
      <c r="A50" s="392"/>
      <c r="B50" s="362"/>
      <c r="C50" s="346"/>
      <c r="D50" s="341"/>
      <c r="E50" s="428"/>
      <c r="F50" s="616"/>
      <c r="G50" s="347"/>
      <c r="H50" s="292">
        <v>0.15</v>
      </c>
      <c r="I50" s="347"/>
      <c r="J50" s="292">
        <v>0.03</v>
      </c>
      <c r="K50" s="347"/>
      <c r="L50" s="292">
        <v>0.06</v>
      </c>
      <c r="M50" s="347"/>
      <c r="N50" s="292">
        <v>0.95</v>
      </c>
      <c r="O50" s="348"/>
      <c r="P50" s="293">
        <v>2.5000000000000001E-3</v>
      </c>
      <c r="Q50" s="340"/>
      <c r="R50" s="411"/>
      <c r="S50" s="411"/>
    </row>
    <row r="51" spans="1:19">
      <c r="A51" s="365"/>
      <c r="B51" s="426"/>
      <c r="C51" s="427"/>
      <c r="D51" s="427"/>
      <c r="E51" s="428"/>
      <c r="F51" s="635"/>
      <c r="G51" s="368"/>
      <c r="H51" s="292">
        <v>0.15</v>
      </c>
      <c r="I51" s="368"/>
      <c r="J51" s="292">
        <v>0.03</v>
      </c>
      <c r="K51" s="368"/>
      <c r="L51" s="292">
        <v>0.06</v>
      </c>
      <c r="M51" s="368"/>
      <c r="N51" s="292">
        <v>0.95</v>
      </c>
      <c r="O51" s="369"/>
      <c r="P51" s="293">
        <v>2.5000000000000001E-3</v>
      </c>
      <c r="Q51" s="431"/>
      <c r="R51" s="432"/>
      <c r="S51" s="432"/>
    </row>
    <row r="52" spans="1:19">
      <c r="A52" s="340"/>
      <c r="B52" s="362"/>
      <c r="C52" s="346"/>
      <c r="D52" s="346"/>
      <c r="E52" s="393"/>
      <c r="F52" s="616"/>
      <c r="G52" s="347"/>
      <c r="H52" s="263">
        <v>0.15</v>
      </c>
      <c r="I52" s="347"/>
      <c r="J52" s="263">
        <v>0.03</v>
      </c>
      <c r="K52" s="347"/>
      <c r="L52" s="263">
        <v>0.06</v>
      </c>
      <c r="M52" s="347"/>
      <c r="N52" s="263">
        <v>0.95</v>
      </c>
      <c r="O52" s="348"/>
      <c r="P52" s="264">
        <v>2.5000000000000001E-3</v>
      </c>
      <c r="Q52" s="340"/>
      <c r="R52" s="411"/>
      <c r="S52" s="411"/>
    </row>
    <row r="53" spans="1:19">
      <c r="A53" s="340"/>
      <c r="B53" s="362"/>
      <c r="C53" s="346"/>
      <c r="D53" s="636"/>
      <c r="E53" s="393"/>
      <c r="F53" s="341"/>
      <c r="G53" s="347"/>
      <c r="H53" s="263">
        <v>0.15</v>
      </c>
      <c r="I53" s="347"/>
      <c r="J53" s="263">
        <v>0.03</v>
      </c>
      <c r="K53" s="347"/>
      <c r="L53" s="263">
        <v>0.06</v>
      </c>
      <c r="M53" s="347"/>
      <c r="N53" s="263">
        <v>0.95</v>
      </c>
      <c r="O53" s="348"/>
      <c r="P53" s="264">
        <v>2.5000000000000001E-3</v>
      </c>
      <c r="Q53" s="340"/>
      <c r="R53" s="411"/>
      <c r="S53" s="411"/>
    </row>
    <row r="54" spans="1:19">
      <c r="A54" s="340"/>
      <c r="B54" s="362"/>
      <c r="C54" s="346"/>
      <c r="D54" s="341"/>
      <c r="E54" s="393"/>
      <c r="F54" s="341"/>
      <c r="G54" s="347"/>
      <c r="H54" s="263">
        <v>0.15</v>
      </c>
      <c r="I54" s="347"/>
      <c r="J54" s="263">
        <v>0.03</v>
      </c>
      <c r="K54" s="347"/>
      <c r="L54" s="263">
        <v>0.06</v>
      </c>
      <c r="M54" s="347"/>
      <c r="N54" s="263">
        <v>0.95</v>
      </c>
      <c r="O54" s="348"/>
      <c r="P54" s="264">
        <v>2.5000000000000001E-3</v>
      </c>
      <c r="Q54" s="340"/>
      <c r="R54" s="411"/>
      <c r="S54" s="411"/>
    </row>
    <row r="55" spans="1:19">
      <c r="A55" s="340"/>
      <c r="B55" s="362"/>
      <c r="C55" s="346"/>
      <c r="E55" s="393"/>
      <c r="F55" s="341"/>
      <c r="G55" s="347"/>
      <c r="H55" s="263">
        <v>0.15</v>
      </c>
      <c r="I55" s="347"/>
      <c r="J55" s="263">
        <v>0.03</v>
      </c>
      <c r="K55" s="347"/>
      <c r="L55" s="263">
        <v>0.06</v>
      </c>
      <c r="M55" s="347"/>
      <c r="N55" s="263">
        <v>0.95</v>
      </c>
      <c r="O55" s="348"/>
      <c r="P55" s="264">
        <v>2.5000000000000001E-3</v>
      </c>
      <c r="Q55" s="340"/>
      <c r="R55" s="411"/>
      <c r="S55" s="411"/>
    </row>
    <row r="56" spans="1:19">
      <c r="A56" s="340"/>
      <c r="B56" s="362"/>
      <c r="C56" s="346"/>
      <c r="D56" s="341"/>
      <c r="E56" s="393"/>
      <c r="F56" s="341"/>
      <c r="G56" s="347"/>
      <c r="H56" s="263">
        <v>0.15</v>
      </c>
      <c r="I56" s="347"/>
      <c r="J56" s="263">
        <v>0.03</v>
      </c>
      <c r="K56" s="347"/>
      <c r="L56" s="263">
        <v>0.06</v>
      </c>
      <c r="M56" s="347"/>
      <c r="N56" s="263">
        <v>0.95</v>
      </c>
      <c r="O56" s="348"/>
      <c r="P56" s="264">
        <v>2.5000000000000001E-3</v>
      </c>
      <c r="Q56" s="340"/>
      <c r="R56" s="340"/>
      <c r="S56" s="340"/>
    </row>
    <row r="57" spans="1:19">
      <c r="A57" s="340"/>
      <c r="B57" s="362"/>
      <c r="C57" s="346"/>
      <c r="D57" s="341"/>
      <c r="E57" s="393"/>
      <c r="F57" s="341"/>
      <c r="G57" s="347"/>
      <c r="H57" s="263">
        <v>0.15</v>
      </c>
      <c r="I57" s="347"/>
      <c r="J57" s="263">
        <v>0.03</v>
      </c>
      <c r="K57" s="347"/>
      <c r="L57" s="263">
        <v>0.06</v>
      </c>
      <c r="M57" s="347"/>
      <c r="N57" s="263">
        <v>0.95</v>
      </c>
      <c r="O57" s="348"/>
      <c r="P57" s="264">
        <v>2.5000000000000001E-3</v>
      </c>
      <c r="Q57" s="340"/>
      <c r="R57" s="411"/>
      <c r="S57" s="411"/>
    </row>
    <row r="58" spans="1:19">
      <c r="A58" s="340"/>
      <c r="B58" s="362"/>
      <c r="C58" s="346"/>
      <c r="D58" s="346"/>
      <c r="E58" s="393"/>
      <c r="F58" s="616"/>
      <c r="G58" s="347"/>
      <c r="H58" s="263">
        <v>0.15</v>
      </c>
      <c r="I58" s="347"/>
      <c r="J58" s="263">
        <v>0.03</v>
      </c>
      <c r="K58" s="347"/>
      <c r="L58" s="263">
        <v>0.06</v>
      </c>
      <c r="M58" s="347"/>
      <c r="N58" s="263">
        <v>0.95</v>
      </c>
      <c r="O58" s="348"/>
      <c r="P58" s="264">
        <v>2.5000000000000001E-3</v>
      </c>
      <c r="Q58" s="340"/>
      <c r="R58" s="411"/>
      <c r="S58" s="411"/>
    </row>
    <row r="59" spans="1:19">
      <c r="A59" s="340"/>
      <c r="B59" s="362"/>
      <c r="C59" s="346"/>
      <c r="D59" s="341"/>
      <c r="E59" s="393"/>
      <c r="F59" s="616"/>
      <c r="G59" s="347"/>
      <c r="H59" s="263">
        <v>0.15</v>
      </c>
      <c r="I59" s="347"/>
      <c r="J59" s="263">
        <v>0.03</v>
      </c>
      <c r="K59" s="347"/>
      <c r="L59" s="263">
        <v>0.06</v>
      </c>
      <c r="M59" s="347"/>
      <c r="N59" s="263">
        <v>0.95</v>
      </c>
      <c r="O59" s="348"/>
      <c r="P59" s="264">
        <v>2.5000000000000001E-3</v>
      </c>
      <c r="Q59" s="340"/>
      <c r="R59" s="411"/>
      <c r="S59" s="411"/>
    </row>
    <row r="60" spans="1:19" ht="22.5" customHeight="1">
      <c r="A60" s="340"/>
      <c r="B60" s="362"/>
      <c r="C60" s="346"/>
      <c r="D60" s="346"/>
      <c r="E60" s="393"/>
      <c r="F60" s="616"/>
      <c r="G60" s="347"/>
      <c r="H60" s="263">
        <v>0.15</v>
      </c>
      <c r="I60" s="347"/>
      <c r="J60" s="263">
        <v>0.03</v>
      </c>
      <c r="K60" s="347"/>
      <c r="L60" s="263">
        <v>0.06</v>
      </c>
      <c r="M60" s="347"/>
      <c r="N60" s="263">
        <v>0.95</v>
      </c>
      <c r="O60" s="348"/>
      <c r="P60" s="264">
        <v>2.5000000000000001E-3</v>
      </c>
      <c r="Q60" s="340"/>
      <c r="R60" s="411"/>
      <c r="S60" s="411"/>
    </row>
    <row r="61" spans="1:19">
      <c r="A61" s="340"/>
      <c r="B61" s="362"/>
      <c r="C61" s="346"/>
      <c r="D61" s="341"/>
      <c r="E61" s="393"/>
      <c r="F61" s="341"/>
      <c r="G61" s="347"/>
      <c r="H61" s="263">
        <v>0.15</v>
      </c>
      <c r="I61" s="347"/>
      <c r="J61" s="263">
        <v>0.03</v>
      </c>
      <c r="K61" s="347"/>
      <c r="L61" s="263">
        <v>0.06</v>
      </c>
      <c r="M61" s="347"/>
      <c r="N61" s="263">
        <v>0.95</v>
      </c>
      <c r="O61" s="348"/>
      <c r="P61" s="264">
        <v>2.5000000000000001E-3</v>
      </c>
      <c r="Q61" s="340"/>
      <c r="R61" s="411"/>
      <c r="S61" s="411"/>
    </row>
    <row r="62" spans="1:19">
      <c r="A62" s="340"/>
      <c r="B62" s="362"/>
      <c r="C62" s="346"/>
      <c r="D62" s="341"/>
      <c r="E62" s="393"/>
      <c r="F62" s="341"/>
      <c r="G62" s="347"/>
      <c r="H62" s="263">
        <v>0.15</v>
      </c>
      <c r="I62" s="347"/>
      <c r="J62" s="263">
        <v>0.03</v>
      </c>
      <c r="K62" s="347"/>
      <c r="L62" s="263">
        <v>0.06</v>
      </c>
      <c r="M62" s="347"/>
      <c r="N62" s="263">
        <v>0.95</v>
      </c>
      <c r="O62" s="348"/>
      <c r="P62" s="264">
        <v>2.5000000000000001E-3</v>
      </c>
      <c r="Q62" s="340"/>
      <c r="R62" s="411"/>
      <c r="S62" s="411"/>
    </row>
    <row r="63" spans="1:19">
      <c r="A63" s="340"/>
      <c r="B63" s="362"/>
      <c r="C63" s="346"/>
      <c r="D63" s="341"/>
      <c r="E63" s="393"/>
      <c r="F63" s="341"/>
      <c r="G63" s="347"/>
      <c r="H63" s="263">
        <v>0.15</v>
      </c>
      <c r="I63" s="347"/>
      <c r="J63" s="263">
        <v>0.03</v>
      </c>
      <c r="K63" s="347"/>
      <c r="L63" s="263">
        <v>0.06</v>
      </c>
      <c r="M63" s="347"/>
      <c r="N63" s="263">
        <v>0.95</v>
      </c>
      <c r="O63" s="348"/>
      <c r="P63" s="264">
        <v>2.5000000000000001E-3</v>
      </c>
      <c r="Q63" s="340"/>
      <c r="R63" s="411"/>
      <c r="S63" s="411"/>
    </row>
    <row r="64" spans="1:19">
      <c r="A64" s="340"/>
      <c r="B64" s="362"/>
      <c r="C64" s="346"/>
      <c r="D64" s="341"/>
      <c r="E64" s="393"/>
      <c r="F64" s="341"/>
      <c r="G64" s="347"/>
      <c r="H64" s="263">
        <v>0.15</v>
      </c>
      <c r="I64" s="347"/>
      <c r="J64" s="263">
        <v>0.03</v>
      </c>
      <c r="K64" s="347"/>
      <c r="L64" s="263">
        <v>0.06</v>
      </c>
      <c r="M64" s="347"/>
      <c r="N64" s="263">
        <v>0.95</v>
      </c>
      <c r="O64" s="348"/>
      <c r="P64" s="264">
        <v>2.5000000000000001E-3</v>
      </c>
      <c r="Q64" s="340"/>
      <c r="R64" s="411"/>
      <c r="S64" s="411"/>
    </row>
    <row r="65" spans="1:19">
      <c r="A65" s="340"/>
      <c r="B65" s="362"/>
      <c r="C65" s="346"/>
      <c r="D65" s="341"/>
      <c r="E65" s="393"/>
      <c r="F65" s="341"/>
      <c r="G65" s="347"/>
      <c r="H65" s="263">
        <v>0.15</v>
      </c>
      <c r="I65" s="347"/>
      <c r="J65" s="263">
        <v>0.03</v>
      </c>
      <c r="K65" s="347"/>
      <c r="L65" s="263">
        <v>0.06</v>
      </c>
      <c r="M65" s="347"/>
      <c r="N65" s="263">
        <v>0.95</v>
      </c>
      <c r="O65" s="348"/>
      <c r="P65" s="264">
        <v>2.5000000000000001E-3</v>
      </c>
      <c r="Q65" s="340"/>
      <c r="R65" s="411"/>
      <c r="S65" s="411"/>
    </row>
    <row r="66" spans="1:19">
      <c r="A66" s="340"/>
      <c r="B66" s="362"/>
      <c r="C66" s="346"/>
      <c r="D66" s="341"/>
      <c r="E66" s="393"/>
      <c r="F66" s="341"/>
      <c r="G66" s="347"/>
      <c r="H66" s="263">
        <v>0.15</v>
      </c>
      <c r="I66" s="347"/>
      <c r="J66" s="263">
        <v>0.03</v>
      </c>
      <c r="K66" s="347"/>
      <c r="L66" s="263">
        <v>0.06</v>
      </c>
      <c r="M66" s="347"/>
      <c r="N66" s="263">
        <v>0.95</v>
      </c>
      <c r="O66" s="348"/>
      <c r="P66" s="264">
        <v>2.5000000000000001E-3</v>
      </c>
      <c r="Q66" s="340"/>
      <c r="R66" s="411"/>
      <c r="S66" s="411"/>
    </row>
    <row r="67" spans="1:19">
      <c r="A67" s="340"/>
      <c r="B67" s="362"/>
      <c r="C67" s="346"/>
      <c r="D67" s="341"/>
      <c r="E67" s="393"/>
      <c r="F67" s="616"/>
      <c r="G67" s="347"/>
      <c r="H67" s="263">
        <v>0.15</v>
      </c>
      <c r="I67" s="347"/>
      <c r="J67" s="263">
        <v>0.03</v>
      </c>
      <c r="K67" s="347"/>
      <c r="L67" s="263">
        <v>0.06</v>
      </c>
      <c r="M67" s="347"/>
      <c r="N67" s="263">
        <v>0.95</v>
      </c>
      <c r="O67" s="348"/>
      <c r="P67" s="264">
        <v>2.5000000000000001E-3</v>
      </c>
      <c r="Q67" s="340"/>
      <c r="R67" s="411"/>
      <c r="S67" s="411"/>
    </row>
    <row r="68" spans="1:19">
      <c r="A68" s="340"/>
      <c r="B68" s="362"/>
      <c r="C68" s="346"/>
      <c r="D68" s="341"/>
      <c r="E68" s="393"/>
      <c r="F68" s="341"/>
      <c r="G68" s="347"/>
      <c r="H68" s="263">
        <v>0.15</v>
      </c>
      <c r="I68" s="347"/>
      <c r="J68" s="263">
        <v>0.03</v>
      </c>
      <c r="K68" s="347"/>
      <c r="L68" s="263">
        <v>0.06</v>
      </c>
      <c r="M68" s="347"/>
      <c r="N68" s="263">
        <v>0.95</v>
      </c>
      <c r="O68" s="348"/>
      <c r="P68" s="264">
        <v>2.5000000000000001E-3</v>
      </c>
      <c r="Q68" s="340"/>
      <c r="R68" s="411"/>
      <c r="S68" s="411"/>
    </row>
    <row r="69" spans="1:19">
      <c r="A69" s="340"/>
      <c r="B69" s="362"/>
      <c r="C69" s="346"/>
      <c r="D69" s="341"/>
      <c r="E69" s="393"/>
      <c r="F69" s="341"/>
      <c r="G69" s="347"/>
      <c r="H69" s="263">
        <v>0.15</v>
      </c>
      <c r="I69" s="347"/>
      <c r="J69" s="263">
        <v>0.03</v>
      </c>
      <c r="K69" s="347"/>
      <c r="L69" s="263">
        <v>0.06</v>
      </c>
      <c r="M69" s="347"/>
      <c r="N69" s="263">
        <v>0.95</v>
      </c>
      <c r="O69" s="348"/>
      <c r="P69" s="264">
        <v>2.5000000000000001E-3</v>
      </c>
      <c r="Q69" s="340"/>
      <c r="R69" s="411"/>
      <c r="S69" s="411"/>
    </row>
    <row r="70" spans="1:19">
      <c r="A70" s="340"/>
      <c r="B70" s="362"/>
      <c r="C70" s="346"/>
      <c r="D70" s="341"/>
      <c r="E70" s="393"/>
      <c r="F70" s="341"/>
      <c r="G70" s="347"/>
      <c r="H70" s="263">
        <v>0.15</v>
      </c>
      <c r="I70" s="347"/>
      <c r="J70" s="263">
        <v>0.03</v>
      </c>
      <c r="K70" s="347"/>
      <c r="L70" s="263">
        <v>0.06</v>
      </c>
      <c r="M70" s="347"/>
      <c r="N70" s="263">
        <v>0.95</v>
      </c>
      <c r="O70" s="348"/>
      <c r="P70" s="264">
        <v>2.5000000000000001E-3</v>
      </c>
      <c r="Q70" s="340"/>
      <c r="R70" s="411"/>
      <c r="S70" s="411"/>
    </row>
    <row r="71" spans="1:19">
      <c r="A71" s="340"/>
      <c r="B71" s="362"/>
      <c r="C71" s="346"/>
      <c r="D71" s="341"/>
      <c r="E71" s="393"/>
      <c r="F71" s="341"/>
      <c r="G71" s="347"/>
      <c r="H71" s="263">
        <v>0.15</v>
      </c>
      <c r="I71" s="347"/>
      <c r="J71" s="263">
        <v>0.03</v>
      </c>
      <c r="K71" s="347"/>
      <c r="L71" s="263">
        <v>0.06</v>
      </c>
      <c r="M71" s="347"/>
      <c r="N71" s="263">
        <v>0.95</v>
      </c>
      <c r="O71" s="348"/>
      <c r="P71" s="264">
        <v>2.5000000000000001E-3</v>
      </c>
      <c r="Q71" s="340"/>
      <c r="R71" s="411"/>
      <c r="S71" s="411"/>
    </row>
    <row r="72" spans="1:19">
      <c r="A72" s="340"/>
      <c r="B72" s="362"/>
      <c r="C72" s="346"/>
      <c r="D72" s="341"/>
      <c r="E72" s="393"/>
      <c r="F72" s="341"/>
      <c r="G72" s="347"/>
      <c r="H72" s="263">
        <v>0.15</v>
      </c>
      <c r="I72" s="347"/>
      <c r="J72" s="263">
        <v>0.03</v>
      </c>
      <c r="K72" s="347"/>
      <c r="L72" s="263">
        <v>0.06</v>
      </c>
      <c r="M72" s="347"/>
      <c r="N72" s="263">
        <v>0.95</v>
      </c>
      <c r="O72" s="348"/>
      <c r="P72" s="264">
        <v>2.5000000000000001E-3</v>
      </c>
      <c r="Q72" s="340"/>
      <c r="R72" s="411"/>
      <c r="S72" s="411"/>
    </row>
    <row r="73" spans="1:19">
      <c r="A73" s="340"/>
      <c r="B73" s="362"/>
      <c r="C73" s="346"/>
      <c r="D73" s="341"/>
      <c r="E73" s="393"/>
      <c r="F73" s="341"/>
      <c r="G73" s="347"/>
      <c r="H73" s="263">
        <v>0.15</v>
      </c>
      <c r="I73" s="347"/>
      <c r="J73" s="263">
        <v>0.03</v>
      </c>
      <c r="K73" s="347"/>
      <c r="L73" s="263">
        <v>0.06</v>
      </c>
      <c r="M73" s="347"/>
      <c r="N73" s="263">
        <v>0.95</v>
      </c>
      <c r="O73" s="348"/>
      <c r="P73" s="264">
        <v>2.5000000000000001E-3</v>
      </c>
      <c r="Q73" s="340"/>
      <c r="R73" s="411"/>
      <c r="S73" s="411"/>
    </row>
    <row r="74" spans="1:19">
      <c r="A74" s="340"/>
      <c r="B74" s="362"/>
      <c r="C74" s="346"/>
      <c r="D74" s="341"/>
      <c r="E74" s="393"/>
      <c r="F74" s="341"/>
      <c r="G74" s="347"/>
      <c r="H74" s="263">
        <v>0.15</v>
      </c>
      <c r="I74" s="347"/>
      <c r="J74" s="263">
        <v>0.03</v>
      </c>
      <c r="K74" s="347"/>
      <c r="L74" s="263">
        <v>0.06</v>
      </c>
      <c r="M74" s="347"/>
      <c r="N74" s="263">
        <v>0.95</v>
      </c>
      <c r="O74" s="348"/>
      <c r="P74" s="264">
        <v>2.5000000000000001E-3</v>
      </c>
      <c r="Q74" s="340"/>
      <c r="R74" s="411"/>
      <c r="S74" s="411"/>
    </row>
    <row r="75" spans="1:19">
      <c r="A75" s="340"/>
      <c r="B75" s="362"/>
      <c r="C75" s="346"/>
      <c r="D75" s="341"/>
      <c r="E75" s="393"/>
      <c r="F75" s="341"/>
      <c r="G75" s="347"/>
      <c r="H75" s="263">
        <v>0.15</v>
      </c>
      <c r="I75" s="347"/>
      <c r="J75" s="263">
        <v>0.03</v>
      </c>
      <c r="K75" s="347"/>
      <c r="L75" s="263">
        <v>0.06</v>
      </c>
      <c r="M75" s="347"/>
      <c r="N75" s="263">
        <v>0.95</v>
      </c>
      <c r="O75" s="348"/>
      <c r="P75" s="264">
        <v>2.5000000000000001E-3</v>
      </c>
      <c r="Q75" s="340"/>
      <c r="R75" s="411"/>
      <c r="S75" s="411"/>
    </row>
    <row r="76" spans="1:19">
      <c r="A76" s="340"/>
      <c r="B76" s="362"/>
      <c r="C76" s="346"/>
      <c r="D76" s="341"/>
      <c r="E76" s="393"/>
      <c r="F76" s="341"/>
      <c r="G76" s="347"/>
      <c r="H76" s="263">
        <v>0.15</v>
      </c>
      <c r="I76" s="347"/>
      <c r="J76" s="263">
        <v>0.03</v>
      </c>
      <c r="K76" s="347"/>
      <c r="L76" s="263">
        <v>0.06</v>
      </c>
      <c r="M76" s="347"/>
      <c r="N76" s="263">
        <v>0.95</v>
      </c>
      <c r="O76" s="348"/>
      <c r="P76" s="264">
        <v>2.5000000000000001E-3</v>
      </c>
      <c r="Q76" s="340"/>
      <c r="R76" s="411"/>
      <c r="S76" s="411"/>
    </row>
    <row r="77" spans="1:19">
      <c r="A77" s="340"/>
      <c r="B77" s="362"/>
      <c r="C77" s="346"/>
      <c r="D77" s="341"/>
      <c r="E77" s="393"/>
      <c r="F77" s="341"/>
      <c r="G77" s="347"/>
      <c r="H77" s="263">
        <v>0.15</v>
      </c>
      <c r="I77" s="347"/>
      <c r="J77" s="263">
        <v>0.03</v>
      </c>
      <c r="K77" s="347"/>
      <c r="L77" s="263">
        <v>0.06</v>
      </c>
      <c r="M77" s="347"/>
      <c r="N77" s="263">
        <v>0.95</v>
      </c>
      <c r="O77" s="348"/>
      <c r="P77" s="264">
        <v>2.5000000000000001E-3</v>
      </c>
      <c r="Q77" s="340"/>
      <c r="R77" s="411"/>
      <c r="S77" s="411"/>
    </row>
    <row r="78" spans="1:19">
      <c r="A78" s="340"/>
      <c r="B78" s="362"/>
      <c r="C78" s="346"/>
      <c r="D78" s="341"/>
      <c r="E78" s="393"/>
      <c r="F78" s="341"/>
      <c r="G78" s="347"/>
      <c r="H78" s="263">
        <v>0.15</v>
      </c>
      <c r="I78" s="347"/>
      <c r="J78" s="263">
        <v>0.03</v>
      </c>
      <c r="K78" s="347"/>
      <c r="L78" s="263">
        <v>0.06</v>
      </c>
      <c r="M78" s="347"/>
      <c r="N78" s="263">
        <v>0.95</v>
      </c>
      <c r="O78" s="348"/>
      <c r="P78" s="264">
        <v>2.5000000000000001E-3</v>
      </c>
      <c r="Q78" s="340"/>
      <c r="R78" s="411"/>
      <c r="S78" s="411"/>
    </row>
    <row r="79" spans="1:19">
      <c r="A79" s="340"/>
      <c r="B79" s="362"/>
      <c r="C79" s="346"/>
      <c r="D79" s="341"/>
      <c r="E79" s="393"/>
      <c r="F79" s="341"/>
      <c r="G79" s="347"/>
      <c r="H79" s="263">
        <v>0.15</v>
      </c>
      <c r="I79" s="347"/>
      <c r="J79" s="263">
        <v>0.03</v>
      </c>
      <c r="K79" s="347"/>
      <c r="L79" s="263">
        <v>0.06</v>
      </c>
      <c r="M79" s="347"/>
      <c r="N79" s="263">
        <v>0.95</v>
      </c>
      <c r="O79" s="348"/>
      <c r="P79" s="264">
        <v>2.5000000000000001E-3</v>
      </c>
      <c r="Q79" s="340"/>
      <c r="R79" s="411"/>
      <c r="S79" s="411"/>
    </row>
    <row r="80" spans="1:19">
      <c r="A80" s="340"/>
      <c r="B80" s="362"/>
      <c r="C80" s="346"/>
      <c r="D80" s="341"/>
      <c r="E80" s="393"/>
      <c r="F80" s="341"/>
      <c r="G80" s="347"/>
      <c r="H80" s="263">
        <v>0.15</v>
      </c>
      <c r="I80" s="347"/>
      <c r="J80" s="263">
        <v>0.03</v>
      </c>
      <c r="K80" s="347"/>
      <c r="L80" s="263">
        <v>0.06</v>
      </c>
      <c r="M80" s="347"/>
      <c r="N80" s="263">
        <v>0.95</v>
      </c>
      <c r="O80" s="348"/>
      <c r="P80" s="264">
        <v>2.5000000000000001E-3</v>
      </c>
      <c r="Q80" s="340"/>
      <c r="R80" s="411"/>
      <c r="S80" s="411"/>
    </row>
    <row r="81" spans="1:19">
      <c r="A81" s="340"/>
      <c r="B81" s="362"/>
      <c r="C81" s="346"/>
      <c r="D81" s="341"/>
      <c r="E81" s="393"/>
      <c r="F81" s="341"/>
      <c r="G81" s="347"/>
      <c r="H81" s="263">
        <v>0.15</v>
      </c>
      <c r="I81" s="347"/>
      <c r="J81" s="263">
        <v>0.03</v>
      </c>
      <c r="K81" s="347"/>
      <c r="L81" s="263">
        <v>0.06</v>
      </c>
      <c r="M81" s="347"/>
      <c r="N81" s="263">
        <v>0.95</v>
      </c>
      <c r="O81" s="348"/>
      <c r="P81" s="264">
        <v>2.5000000000000001E-3</v>
      </c>
      <c r="Q81" s="340"/>
      <c r="R81" s="411"/>
      <c r="S81" s="411"/>
    </row>
    <row r="82" spans="1:19">
      <c r="A82" s="340"/>
      <c r="B82" s="362"/>
      <c r="C82" s="346"/>
      <c r="D82" s="341"/>
      <c r="E82" s="393"/>
      <c r="F82" s="616"/>
      <c r="G82" s="347"/>
      <c r="H82" s="263">
        <v>0.15</v>
      </c>
      <c r="I82" s="347"/>
      <c r="J82" s="263">
        <v>0.03</v>
      </c>
      <c r="K82" s="347"/>
      <c r="L82" s="263">
        <v>0.06</v>
      </c>
      <c r="M82" s="347"/>
      <c r="N82" s="263">
        <v>0.95</v>
      </c>
      <c r="O82" s="348"/>
      <c r="P82" s="264">
        <v>2.5000000000000001E-3</v>
      </c>
      <c r="Q82" s="340"/>
      <c r="R82" s="411"/>
      <c r="S82" s="411"/>
    </row>
    <row r="83" spans="1:19">
      <c r="A83" s="340"/>
      <c r="B83" s="362"/>
      <c r="C83" s="346"/>
      <c r="D83" s="341"/>
      <c r="E83" s="393"/>
      <c r="F83" s="341"/>
      <c r="G83" s="347"/>
      <c r="H83" s="263">
        <v>0.15</v>
      </c>
      <c r="I83" s="347"/>
      <c r="J83" s="263">
        <v>0.03</v>
      </c>
      <c r="K83" s="347"/>
      <c r="L83" s="263">
        <v>0.06</v>
      </c>
      <c r="M83" s="347"/>
      <c r="N83" s="263">
        <v>0.95</v>
      </c>
      <c r="O83" s="348"/>
      <c r="P83" s="264">
        <v>2.5000000000000001E-3</v>
      </c>
      <c r="Q83" s="340"/>
      <c r="R83" s="411"/>
      <c r="S83" s="411"/>
    </row>
    <row r="84" spans="1:19">
      <c r="A84" s="340"/>
      <c r="B84" s="362"/>
      <c r="C84" s="346"/>
      <c r="D84" s="341"/>
      <c r="E84" s="393"/>
      <c r="F84" s="341"/>
      <c r="G84" s="347"/>
      <c r="H84" s="263">
        <v>0.15</v>
      </c>
      <c r="I84" s="347"/>
      <c r="J84" s="263">
        <v>0.03</v>
      </c>
      <c r="K84" s="347"/>
      <c r="L84" s="263">
        <v>0.06</v>
      </c>
      <c r="M84" s="347"/>
      <c r="N84" s="263">
        <v>0.95</v>
      </c>
      <c r="O84" s="348"/>
      <c r="P84" s="264">
        <v>2.5000000000000001E-3</v>
      </c>
      <c r="Q84" s="340"/>
      <c r="R84" s="411"/>
      <c r="S84" s="411"/>
    </row>
    <row r="85" spans="1:19">
      <c r="A85" s="340"/>
      <c r="B85" s="362"/>
      <c r="C85" s="346"/>
      <c r="D85" s="341"/>
      <c r="E85" s="393"/>
      <c r="F85" s="341"/>
      <c r="G85" s="347"/>
      <c r="H85" s="263">
        <v>0.15</v>
      </c>
      <c r="I85" s="347"/>
      <c r="J85" s="263">
        <v>0.03</v>
      </c>
      <c r="K85" s="347"/>
      <c r="L85" s="263">
        <v>0.06</v>
      </c>
      <c r="M85" s="347"/>
      <c r="N85" s="263">
        <v>0.95</v>
      </c>
      <c r="O85" s="348"/>
      <c r="P85" s="264">
        <v>2.5000000000000001E-3</v>
      </c>
      <c r="Q85" s="340"/>
      <c r="R85" s="411"/>
      <c r="S85" s="411"/>
    </row>
    <row r="86" spans="1:19">
      <c r="A86" s="340"/>
      <c r="B86" s="362"/>
      <c r="C86" s="346"/>
      <c r="D86" s="341"/>
      <c r="E86" s="393"/>
      <c r="F86" s="341"/>
      <c r="G86" s="347"/>
      <c r="H86" s="263">
        <v>0.15</v>
      </c>
      <c r="I86" s="347"/>
      <c r="J86" s="263">
        <v>0.03</v>
      </c>
      <c r="K86" s="347"/>
      <c r="L86" s="263">
        <v>0.06</v>
      </c>
      <c r="M86" s="347"/>
      <c r="N86" s="263">
        <v>0.95</v>
      </c>
      <c r="O86" s="348"/>
      <c r="P86" s="264">
        <v>2.5000000000000001E-3</v>
      </c>
      <c r="Q86" s="340"/>
      <c r="R86" s="411"/>
      <c r="S86" s="411"/>
    </row>
    <row r="87" spans="1:19">
      <c r="A87" s="340"/>
      <c r="B87" s="362"/>
      <c r="C87" s="346"/>
      <c r="D87" s="341"/>
      <c r="E87" s="393"/>
      <c r="F87" s="341"/>
      <c r="G87" s="347"/>
      <c r="H87" s="263">
        <v>0.15</v>
      </c>
      <c r="I87" s="347"/>
      <c r="J87" s="263">
        <v>0.03</v>
      </c>
      <c r="K87" s="347"/>
      <c r="L87" s="263">
        <v>0.06</v>
      </c>
      <c r="M87" s="347"/>
      <c r="N87" s="263">
        <v>0.95</v>
      </c>
      <c r="O87" s="348"/>
      <c r="P87" s="264">
        <v>2.5000000000000001E-3</v>
      </c>
      <c r="Q87" s="340"/>
      <c r="R87" s="411"/>
      <c r="S87" s="411"/>
    </row>
  </sheetData>
  <autoFilter ref="A2:P61" xr:uid="{D28B6405-3E64-E143-9CEE-0BE69C91CAE1}"/>
  <dataValidations count="3">
    <dataValidation allowBlank="1" showInputMessage="1" showErrorMessage="1" prompt="Copy the same date periods used across all analytic worksheets." sqref="A2:H2" xr:uid="{71C88919-FABD-4A22-9ACB-EEB4E56C3CB2}"/>
    <dataValidation allowBlank="1" showInputMessage="1" showErrorMessage="1" prompt="This column pulls data from Twitter Analytics worksheet: Tweet Impressions" sqref="G2:H2" xr:uid="{9E770512-E8FD-4F06-8578-39C745FE9D59}"/>
    <dataValidation allowBlank="1" showInputMessage="1" showErrorMessage="1" prompt="This column pulls data from LinkedIn Analytics worksheet: Impressions" sqref="I2:S2" xr:uid="{225A0CE9-76E2-4182-ABFC-001FFC91BF42}"/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D8A89-2390-054F-9C70-0919DD715FAD}">
  <dimension ref="A1:T303"/>
  <sheetViews>
    <sheetView showGridLines="0" zoomScale="92" zoomScaleNormal="60" workbookViewId="0">
      <pane xSplit="6" ySplit="2" topLeftCell="G256" activePane="bottomRight" state="frozen"/>
      <selection pane="topRight" activeCell="C1" sqref="C1"/>
      <selection pane="bottomLeft" activeCell="A5" sqref="A5"/>
      <selection pane="bottomRight" activeCell="K271" sqref="K271"/>
    </sheetView>
  </sheetViews>
  <sheetFormatPr defaultColWidth="14.5" defaultRowHeight="14"/>
  <cols>
    <col min="1" max="1" width="32" style="15" customWidth="1"/>
    <col min="2" max="2" width="14.5" style="15" customWidth="1"/>
    <col min="3" max="3" width="16.5" style="15" customWidth="1"/>
    <col min="4" max="4" width="21.5" style="15" customWidth="1"/>
    <col min="5" max="5" width="16.5" style="15" customWidth="1"/>
    <col min="6" max="6" width="22" style="15" customWidth="1"/>
    <col min="7" max="7" width="16.5" style="15" customWidth="1"/>
    <col min="8" max="16384" width="14.5" style="3"/>
  </cols>
  <sheetData>
    <row r="1" spans="1:20" ht="15.5">
      <c r="A1" s="17" t="s">
        <v>49</v>
      </c>
      <c r="B1" s="11"/>
      <c r="C1" s="11"/>
      <c r="D1" s="11"/>
      <c r="E1" s="11"/>
      <c r="F1" s="11"/>
      <c r="G1" s="11"/>
    </row>
    <row r="2" spans="1:20" s="12" customFormat="1" ht="28">
      <c r="A2" s="19" t="s">
        <v>50</v>
      </c>
      <c r="B2" s="97" t="s">
        <v>56</v>
      </c>
      <c r="C2" s="20" t="s">
        <v>57</v>
      </c>
      <c r="D2" s="20" t="s">
        <v>284</v>
      </c>
      <c r="E2" s="20" t="s">
        <v>59</v>
      </c>
      <c r="F2" s="97" t="s">
        <v>60</v>
      </c>
      <c r="G2" s="20" t="s">
        <v>61</v>
      </c>
    </row>
    <row r="3" spans="1:20" s="12" customFormat="1">
      <c r="A3" s="96" t="s">
        <v>285</v>
      </c>
      <c r="B3" s="470">
        <v>0.443</v>
      </c>
      <c r="C3" s="100">
        <v>0.15</v>
      </c>
      <c r="D3" s="467">
        <f>222/17937</f>
        <v>1.2376651613982272E-2</v>
      </c>
      <c r="E3" s="191">
        <v>0.03</v>
      </c>
      <c r="F3" s="104">
        <f>222/7940</f>
        <v>2.7959697732997481E-2</v>
      </c>
      <c r="G3" s="100">
        <v>0.06</v>
      </c>
    </row>
    <row r="4" spans="1:20" s="12" customFormat="1">
      <c r="A4" s="96" t="s">
        <v>103</v>
      </c>
      <c r="B4" s="470">
        <v>9.5000000000000001E-2</v>
      </c>
      <c r="C4" s="100">
        <v>0.15</v>
      </c>
      <c r="D4" s="467">
        <f>499/5227</f>
        <v>9.5465850392194379E-2</v>
      </c>
      <c r="E4" s="191">
        <v>0.03</v>
      </c>
      <c r="F4" s="104">
        <f>499/499</f>
        <v>1</v>
      </c>
      <c r="G4" s="100">
        <v>0.06</v>
      </c>
    </row>
    <row r="5" spans="1:20" s="258" customFormat="1">
      <c r="A5" s="102" t="s">
        <v>112</v>
      </c>
      <c r="B5" s="472">
        <v>0.433</v>
      </c>
      <c r="C5" s="263">
        <v>0.15</v>
      </c>
      <c r="D5" s="467">
        <v>5.0000000000000001E-3</v>
      </c>
      <c r="E5" s="263">
        <v>0.03</v>
      </c>
      <c r="F5" s="104">
        <f>48/3998</f>
        <v>1.200600300150075E-2</v>
      </c>
      <c r="G5" s="263">
        <v>0.06</v>
      </c>
    </row>
    <row r="6" spans="1:20">
      <c r="A6" s="242" t="s">
        <v>115</v>
      </c>
      <c r="B6" s="249">
        <v>0.44</v>
      </c>
      <c r="C6" s="292">
        <v>0.15</v>
      </c>
      <c r="D6" s="249">
        <f>73/9201</f>
        <v>7.9339202260623846E-3</v>
      </c>
      <c r="E6" s="292">
        <v>0.03</v>
      </c>
      <c r="F6" s="314">
        <f>73/4046</f>
        <v>1.8042511122095897E-2</v>
      </c>
      <c r="G6" s="292">
        <v>0.06</v>
      </c>
    </row>
    <row r="7" spans="1:20">
      <c r="A7" s="315" t="s">
        <v>286</v>
      </c>
      <c r="B7" s="322">
        <v>0.46700000000000003</v>
      </c>
      <c r="C7" s="292">
        <v>0.15</v>
      </c>
      <c r="D7" s="322">
        <v>2.7E-2</v>
      </c>
      <c r="E7" s="292">
        <v>0.03</v>
      </c>
      <c r="F7" s="322">
        <f>71/1241</f>
        <v>5.7211925866236905E-2</v>
      </c>
      <c r="G7" s="292">
        <v>0.06</v>
      </c>
    </row>
    <row r="8" spans="1:20" ht="28">
      <c r="A8" s="324" t="s">
        <v>120</v>
      </c>
      <c r="B8" s="329">
        <v>0.42</v>
      </c>
      <c r="C8" s="292">
        <v>0.15</v>
      </c>
      <c r="D8" s="330">
        <v>8.9999999999999998E-4</v>
      </c>
      <c r="E8" s="292">
        <v>0.03</v>
      </c>
      <c r="F8" s="330">
        <f>146/6578</f>
        <v>2.2195196108239588E-2</v>
      </c>
      <c r="G8" s="292">
        <v>0.06</v>
      </c>
    </row>
    <row r="9" spans="1:20" ht="26.25" customHeight="1">
      <c r="A9" s="315" t="s">
        <v>123</v>
      </c>
      <c r="B9" s="321">
        <v>0.43</v>
      </c>
      <c r="C9" s="295">
        <v>0.15</v>
      </c>
      <c r="D9" s="322">
        <v>9.0999999999999998E-2</v>
      </c>
      <c r="E9" s="295">
        <v>0.03</v>
      </c>
      <c r="F9" s="322">
        <f>1668/7843</f>
        <v>0.21267372179013133</v>
      </c>
      <c r="G9" s="294">
        <v>0.06</v>
      </c>
    </row>
    <row r="10" spans="1:20">
      <c r="A10" s="324" t="s">
        <v>128</v>
      </c>
      <c r="B10" s="337">
        <v>0.52400000000000002</v>
      </c>
      <c r="C10" s="343">
        <v>0.15</v>
      </c>
      <c r="D10" s="330">
        <f>189/18217</f>
        <v>1.0374924521051765E-2</v>
      </c>
      <c r="E10" s="343">
        <v>0.03</v>
      </c>
      <c r="F10" s="330">
        <f>189/9452</f>
        <v>1.9995768091409225E-2</v>
      </c>
      <c r="G10" s="294">
        <v>0.06</v>
      </c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340" t="s">
        <v>130</v>
      </c>
      <c r="B11" s="259">
        <v>0.36499999999999999</v>
      </c>
      <c r="C11" s="263">
        <v>0.15</v>
      </c>
      <c r="D11" s="347">
        <f>169/18393</f>
        <v>9.1882781492959274E-3</v>
      </c>
      <c r="E11" s="349">
        <v>0.03</v>
      </c>
      <c r="F11" s="347">
        <f>169/6719</f>
        <v>2.5152552463164161E-2</v>
      </c>
      <c r="G11" s="294">
        <v>0.06</v>
      </c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365" t="s">
        <v>133</v>
      </c>
      <c r="B12" s="253">
        <v>0.45800000000000002</v>
      </c>
      <c r="C12" s="263">
        <v>0.15</v>
      </c>
      <c r="D12" s="368">
        <v>1.2999999999999999E-2</v>
      </c>
      <c r="E12" s="349">
        <v>0.03</v>
      </c>
      <c r="F12" s="368">
        <f>244/8397</f>
        <v>2.9057996903656069E-2</v>
      </c>
      <c r="G12" s="294">
        <v>0.06</v>
      </c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340" t="s">
        <v>136</v>
      </c>
      <c r="B13" s="372">
        <v>3.5999999999999997E-2</v>
      </c>
      <c r="C13" s="263">
        <v>0.15</v>
      </c>
      <c r="D13" s="347">
        <v>1.4E-2</v>
      </c>
      <c r="E13" s="349">
        <v>0.03</v>
      </c>
      <c r="F13" s="373">
        <f>261/663</f>
        <v>0.39366515837104071</v>
      </c>
      <c r="G13" s="294">
        <v>0.06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340" t="s">
        <v>140</v>
      </c>
      <c r="B14" s="372">
        <v>1.2E-2</v>
      </c>
      <c r="C14" s="263">
        <v>0.15</v>
      </c>
      <c r="D14" s="347">
        <v>1.2E-2</v>
      </c>
      <c r="E14" s="349">
        <v>0.03</v>
      </c>
      <c r="F14" s="347">
        <v>1</v>
      </c>
      <c r="G14" s="294">
        <v>0.06</v>
      </c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 ht="28">
      <c r="A15" s="340" t="s">
        <v>143</v>
      </c>
      <c r="B15" s="372">
        <v>0.52700000000000002</v>
      </c>
      <c r="C15" s="263">
        <v>0.15</v>
      </c>
      <c r="D15" s="347">
        <v>1.7999999999999999E-2</v>
      </c>
      <c r="E15" s="349">
        <v>0.03</v>
      </c>
      <c r="F15" s="347">
        <f>334/10042</f>
        <v>3.3260306711810399E-2</v>
      </c>
      <c r="G15" s="294">
        <v>0.06</v>
      </c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374" t="s">
        <v>152</v>
      </c>
      <c r="B16" s="379">
        <v>0.42899999999999999</v>
      </c>
      <c r="C16" s="263">
        <v>0.15</v>
      </c>
      <c r="D16" s="380">
        <f>194/18156</f>
        <v>1.0685172945582728E-2</v>
      </c>
      <c r="E16" s="263">
        <v>0.03</v>
      </c>
      <c r="F16" s="380">
        <f>194/7784</f>
        <v>2.4922918807810893E-2</v>
      </c>
      <c r="G16" s="263">
        <v>0.06</v>
      </c>
      <c r="H16" s="592"/>
      <c r="I16" s="263"/>
      <c r="J16" s="348"/>
      <c r="K16" s="264"/>
      <c r="L16" s="419"/>
      <c r="M16" s="411"/>
      <c r="N16" s="411"/>
    </row>
    <row r="17" spans="1:16" ht="28">
      <c r="A17" s="374" t="s">
        <v>155</v>
      </c>
      <c r="B17" s="379">
        <v>0.39600000000000002</v>
      </c>
      <c r="C17" s="263">
        <v>0.15</v>
      </c>
      <c r="D17" s="380">
        <f>565/18123</f>
        <v>3.1175853887325498E-2</v>
      </c>
      <c r="E17" s="263">
        <v>0.03</v>
      </c>
      <c r="F17" s="380">
        <f>568/7184</f>
        <v>7.9064587973273939E-2</v>
      </c>
      <c r="G17" s="263">
        <v>0.06</v>
      </c>
      <c r="H17" s="381"/>
      <c r="I17" s="263"/>
      <c r="J17" s="348"/>
      <c r="K17" s="264"/>
      <c r="L17" s="419"/>
      <c r="M17" s="411"/>
      <c r="N17" s="411"/>
    </row>
    <row r="18" spans="1:16" ht="28">
      <c r="A18" s="374" t="s">
        <v>159</v>
      </c>
      <c r="B18" s="379">
        <v>0.38400000000000001</v>
      </c>
      <c r="C18" s="263">
        <v>0.15</v>
      </c>
      <c r="D18" s="380">
        <v>2.1000000000000001E-2</v>
      </c>
      <c r="E18" s="263">
        <v>0.03</v>
      </c>
      <c r="F18" s="380">
        <f>48/873</f>
        <v>5.4982817869415807E-2</v>
      </c>
      <c r="G18" s="263">
        <v>0.06</v>
      </c>
      <c r="H18" s="381"/>
      <c r="I18" s="263"/>
      <c r="J18" s="348"/>
      <c r="K18" s="385"/>
      <c r="L18" s="421"/>
      <c r="M18" s="411"/>
      <c r="N18" s="340"/>
    </row>
    <row r="19" spans="1:16" ht="28">
      <c r="A19" s="374" t="s">
        <v>162</v>
      </c>
      <c r="B19" s="379">
        <v>0.38500000000000001</v>
      </c>
      <c r="C19" s="263">
        <v>0.15</v>
      </c>
      <c r="D19" s="380">
        <v>3.2000000000000001E-2</v>
      </c>
      <c r="E19" s="263">
        <v>0.03</v>
      </c>
      <c r="F19" s="380">
        <f>494/6004</f>
        <v>8.2278481012658222E-2</v>
      </c>
      <c r="G19" s="263">
        <v>0.06</v>
      </c>
      <c r="H19" s="381"/>
      <c r="I19" s="263"/>
      <c r="J19" s="348"/>
      <c r="K19" s="385"/>
      <c r="L19" s="421"/>
      <c r="M19" s="411"/>
      <c r="N19" s="411"/>
    </row>
    <row r="20" spans="1:16" ht="56">
      <c r="A20" s="374" t="s">
        <v>165</v>
      </c>
      <c r="B20" s="379">
        <v>0.61099999999999999</v>
      </c>
      <c r="C20" s="263">
        <v>0.15</v>
      </c>
      <c r="D20" s="380">
        <f>106/18069</f>
        <v>5.8664010183186672E-3</v>
      </c>
      <c r="E20" s="263">
        <v>0.03</v>
      </c>
      <c r="F20" s="380">
        <f>106/11049</f>
        <v>9.593628382659064E-3</v>
      </c>
      <c r="G20" s="263">
        <v>0.06</v>
      </c>
      <c r="H20" s="381"/>
      <c r="I20" s="263"/>
      <c r="J20" s="348">
        <f>1/18069</f>
        <v>5.5343405833194973E-5</v>
      </c>
      <c r="K20" s="385">
        <v>2.5000000000000001E-3</v>
      </c>
      <c r="L20" s="421" t="s">
        <v>166</v>
      </c>
      <c r="M20" s="623"/>
      <c r="N20" s="623"/>
    </row>
    <row r="21" spans="1:16">
      <c r="A21" s="374"/>
      <c r="B21" s="379"/>
      <c r="C21" s="263">
        <v>0.15</v>
      </c>
      <c r="D21" s="380"/>
      <c r="E21" s="263">
        <v>0.03</v>
      </c>
      <c r="F21" s="380"/>
      <c r="G21" s="263">
        <v>0.06</v>
      </c>
    </row>
    <row r="22" spans="1:16">
      <c r="A22" s="374"/>
      <c r="B22" s="379"/>
      <c r="C22" s="263">
        <v>0.15</v>
      </c>
      <c r="D22" s="380"/>
      <c r="E22" s="263">
        <v>0.03</v>
      </c>
      <c r="F22" s="380"/>
      <c r="G22" s="263">
        <v>0.06</v>
      </c>
    </row>
    <row r="23" spans="1:16">
      <c r="A23" s="374"/>
      <c r="B23" s="379"/>
      <c r="C23" s="263">
        <v>0.15</v>
      </c>
      <c r="D23" s="380"/>
      <c r="E23" s="263">
        <v>0.03</v>
      </c>
      <c r="F23" s="380"/>
      <c r="G23" s="263">
        <v>0.06</v>
      </c>
      <c r="P23"/>
    </row>
    <row r="24" spans="1:16">
      <c r="A24" s="374"/>
      <c r="B24" s="379"/>
      <c r="C24" s="263">
        <v>0.15</v>
      </c>
      <c r="D24" s="380"/>
      <c r="E24" s="263">
        <v>0.03</v>
      </c>
      <c r="F24" s="380"/>
      <c r="G24" s="263">
        <v>0.06</v>
      </c>
    </row>
    <row r="25" spans="1:16">
      <c r="A25" s="394"/>
      <c r="B25" s="400"/>
      <c r="C25" s="292">
        <v>0.15</v>
      </c>
      <c r="D25" s="401"/>
      <c r="E25" s="292">
        <v>0.03</v>
      </c>
      <c r="F25" s="401"/>
      <c r="G25" s="292">
        <v>0.06</v>
      </c>
    </row>
    <row r="26" spans="1:16" s="391" customFormat="1">
      <c r="A26" s="392"/>
      <c r="B26" s="372"/>
      <c r="C26" s="263">
        <v>0.15</v>
      </c>
      <c r="D26" s="380"/>
      <c r="E26" s="263">
        <v>0.03</v>
      </c>
      <c r="F26" s="347"/>
      <c r="G26" s="263">
        <v>0.06</v>
      </c>
    </row>
    <row r="27" spans="1:16" s="391" customFormat="1">
      <c r="A27" s="392"/>
      <c r="B27" s="372"/>
      <c r="C27" s="263">
        <v>0.15</v>
      </c>
      <c r="D27" s="380"/>
      <c r="E27" s="263">
        <v>0.03</v>
      </c>
      <c r="F27" s="347"/>
      <c r="G27" s="263">
        <v>0.06</v>
      </c>
    </row>
    <row r="28" spans="1:16">
      <c r="A28" s="392"/>
      <c r="B28" s="372"/>
      <c r="C28" s="263">
        <v>0.15</v>
      </c>
      <c r="D28" s="380"/>
      <c r="E28" s="263">
        <v>0.03</v>
      </c>
      <c r="F28" s="347"/>
      <c r="G28" s="263">
        <v>0.06</v>
      </c>
    </row>
    <row r="29" spans="1:16">
      <c r="A29" s="392"/>
      <c r="B29" s="372"/>
      <c r="C29" s="263">
        <v>0.15</v>
      </c>
      <c r="D29" s="380"/>
      <c r="E29" s="263">
        <v>0.03</v>
      </c>
      <c r="F29" s="347"/>
      <c r="G29" s="263">
        <v>0.06</v>
      </c>
    </row>
    <row r="30" spans="1:16">
      <c r="A30" s="392"/>
      <c r="B30" s="372"/>
      <c r="C30" s="263">
        <v>0.15</v>
      </c>
      <c r="D30" s="380"/>
      <c r="E30" s="263">
        <v>0.03</v>
      </c>
      <c r="F30" s="347"/>
      <c r="G30" s="263">
        <v>0.06</v>
      </c>
    </row>
    <row r="31" spans="1:16">
      <c r="A31" s="392"/>
      <c r="B31" s="372"/>
      <c r="C31" s="263">
        <v>0.15</v>
      </c>
      <c r="D31" s="380"/>
      <c r="E31" s="263">
        <v>0.03</v>
      </c>
      <c r="F31" s="347"/>
      <c r="G31" s="263">
        <v>0.06</v>
      </c>
    </row>
    <row r="32" spans="1:16">
      <c r="A32" s="425"/>
      <c r="B32" s="429"/>
      <c r="C32" s="292">
        <v>0.15</v>
      </c>
      <c r="D32" s="401"/>
      <c r="E32" s="292">
        <v>0.03</v>
      </c>
      <c r="F32" s="368"/>
      <c r="G32" s="292">
        <v>0.06</v>
      </c>
    </row>
    <row r="33" spans="1:7">
      <c r="A33" s="340"/>
      <c r="B33" s="347"/>
      <c r="C33" s="292">
        <v>0.15</v>
      </c>
      <c r="D33" s="347"/>
      <c r="E33" s="292">
        <v>0.03</v>
      </c>
      <c r="F33" s="347"/>
      <c r="G33" s="292">
        <v>0.06</v>
      </c>
    </row>
    <row r="34" spans="1:7">
      <c r="A34" s="365"/>
      <c r="B34" s="368"/>
      <c r="C34" s="292">
        <v>0.15</v>
      </c>
      <c r="D34" s="368"/>
      <c r="E34" s="292">
        <v>0.03</v>
      </c>
      <c r="F34" s="368"/>
      <c r="G34" s="292">
        <v>0.06</v>
      </c>
    </row>
    <row r="35" spans="1:7">
      <c r="A35" s="340"/>
      <c r="B35" s="347"/>
      <c r="C35" s="263">
        <v>0.15</v>
      </c>
      <c r="D35" s="347"/>
      <c r="E35" s="263">
        <v>0.03</v>
      </c>
      <c r="F35" s="347"/>
      <c r="G35" s="263">
        <v>0.06</v>
      </c>
    </row>
    <row r="36" spans="1:7">
      <c r="A36" s="340"/>
      <c r="B36" s="347"/>
      <c r="C36" s="263">
        <v>0.15</v>
      </c>
      <c r="D36" s="347"/>
      <c r="E36" s="263">
        <v>0.03</v>
      </c>
      <c r="F36" s="347"/>
      <c r="G36" s="263">
        <v>0.06</v>
      </c>
    </row>
    <row r="37" spans="1:7" ht="15" customHeight="1">
      <c r="A37" s="17" t="s">
        <v>49</v>
      </c>
      <c r="B37" s="11"/>
      <c r="C37" s="11"/>
      <c r="D37" s="11"/>
      <c r="E37" s="11"/>
      <c r="F37" s="11"/>
      <c r="G37" s="11"/>
    </row>
    <row r="38" spans="1:7" ht="28">
      <c r="A38" s="19" t="s">
        <v>50</v>
      </c>
      <c r="B38" s="97" t="s">
        <v>56</v>
      </c>
      <c r="C38" s="20" t="s">
        <v>57</v>
      </c>
      <c r="D38" s="20" t="s">
        <v>58</v>
      </c>
      <c r="E38" s="20" t="s">
        <v>59</v>
      </c>
      <c r="F38" s="97" t="s">
        <v>60</v>
      </c>
      <c r="G38" s="20" t="s">
        <v>61</v>
      </c>
    </row>
    <row r="39" spans="1:7">
      <c r="A39" s="241" t="s">
        <v>287</v>
      </c>
      <c r="B39" s="471">
        <v>1.6E-2</v>
      </c>
      <c r="C39" s="247">
        <v>0.15</v>
      </c>
      <c r="D39" s="473">
        <f>95/5939</f>
        <v>1.5995958915642365E-2</v>
      </c>
      <c r="E39" s="248">
        <v>0.03</v>
      </c>
      <c r="F39" s="249">
        <v>1</v>
      </c>
      <c r="G39" s="247">
        <v>0.06</v>
      </c>
    </row>
    <row r="40" spans="1:7">
      <c r="A40" s="304" t="s">
        <v>288</v>
      </c>
      <c r="B40" s="471">
        <v>0.01</v>
      </c>
      <c r="C40" s="247">
        <v>0.15</v>
      </c>
      <c r="D40" s="473">
        <v>0.01</v>
      </c>
      <c r="E40" s="248">
        <v>0.03</v>
      </c>
      <c r="F40" s="249">
        <v>1</v>
      </c>
      <c r="G40" s="247">
        <v>0.06</v>
      </c>
    </row>
    <row r="41" spans="1:7">
      <c r="A41" s="315" t="s">
        <v>289</v>
      </c>
      <c r="B41" s="323">
        <v>0.45500000000000002</v>
      </c>
      <c r="C41" s="295">
        <v>0.15</v>
      </c>
      <c r="D41" s="322">
        <f>2113/18248</f>
        <v>0.11579351161771154</v>
      </c>
      <c r="E41" s="295">
        <v>0.03</v>
      </c>
      <c r="F41" s="322">
        <f>2113/8304</f>
        <v>0.25445568400770713</v>
      </c>
      <c r="G41" s="294">
        <v>0.06</v>
      </c>
    </row>
    <row r="107" spans="1:19">
      <c r="A107" s="374" t="s">
        <v>146</v>
      </c>
      <c r="B107" s="379">
        <v>0.41599999999999998</v>
      </c>
      <c r="C107" s="263">
        <v>0.15</v>
      </c>
      <c r="D107" s="380">
        <v>1.4999999999999999E-2</v>
      </c>
      <c r="E107" s="263">
        <v>0.03</v>
      </c>
      <c r="F107" s="380">
        <f>267/7595</f>
        <v>3.5154707044107968E-2</v>
      </c>
      <c r="G107" s="590">
        <v>0.06</v>
      </c>
      <c r="H107" s="263"/>
      <c r="I107" s="380"/>
      <c r="J107" s="263"/>
      <c r="K107" s="380"/>
      <c r="L107" s="590"/>
      <c r="M107" s="381"/>
      <c r="N107" s="513"/>
      <c r="O107" s="348"/>
      <c r="P107" s="264"/>
      <c r="Q107" s="419"/>
      <c r="R107" s="411"/>
      <c r="S107" s="411"/>
    </row>
    <row r="108" spans="1:19">
      <c r="A108" s="374" t="s">
        <v>148</v>
      </c>
      <c r="B108" s="379">
        <v>0.376</v>
      </c>
      <c r="C108" s="263">
        <v>0.15</v>
      </c>
      <c r="D108" s="380">
        <v>0.02</v>
      </c>
      <c r="E108" s="263">
        <v>0.03</v>
      </c>
      <c r="F108" s="380">
        <f>308/5885</f>
        <v>5.2336448598130844E-2</v>
      </c>
      <c r="G108" s="263">
        <v>0.06</v>
      </c>
      <c r="H108" s="263"/>
      <c r="I108" s="380"/>
      <c r="J108" s="263"/>
      <c r="K108" s="380"/>
      <c r="L108" s="263"/>
      <c r="M108" s="592"/>
      <c r="N108" s="263"/>
      <c r="O108" s="348"/>
      <c r="P108" s="264"/>
      <c r="Q108" s="419"/>
      <c r="R108" s="411"/>
      <c r="S108" s="411"/>
    </row>
    <row r="109" spans="1:19">
      <c r="A109" s="374" t="s">
        <v>151</v>
      </c>
      <c r="B109" s="379">
        <v>0.39400000000000002</v>
      </c>
      <c r="C109" s="263">
        <v>0.15</v>
      </c>
      <c r="D109" s="380">
        <v>1.9E-2</v>
      </c>
      <c r="E109" s="263">
        <v>0.03</v>
      </c>
      <c r="F109" s="380">
        <f>44/900</f>
        <v>4.8888888888888891E-2</v>
      </c>
      <c r="G109" s="263">
        <v>0.06</v>
      </c>
      <c r="H109" s="263"/>
      <c r="I109" s="380"/>
      <c r="J109" s="263"/>
      <c r="K109" s="380"/>
      <c r="L109" s="263"/>
      <c r="M109" s="592"/>
      <c r="N109" s="263"/>
      <c r="O109" s="348"/>
      <c r="P109" s="264"/>
      <c r="Q109" s="419"/>
      <c r="R109" s="411"/>
      <c r="S109" s="411"/>
    </row>
    <row r="134" spans="1:3">
      <c r="A134" s="374" t="s">
        <v>146</v>
      </c>
      <c r="B134" s="380">
        <f>267/7595</f>
        <v>3.5154707044107968E-2</v>
      </c>
      <c r="C134" s="590">
        <v>0.06</v>
      </c>
    </row>
    <row r="135" spans="1:3">
      <c r="A135" s="374" t="s">
        <v>148</v>
      </c>
      <c r="B135" s="380">
        <f>308/5885</f>
        <v>5.2336448598130844E-2</v>
      </c>
      <c r="C135" s="263">
        <v>0.06</v>
      </c>
    </row>
    <row r="136" spans="1:3">
      <c r="A136" s="374" t="s">
        <v>151</v>
      </c>
      <c r="B136" s="380">
        <f>44/900</f>
        <v>4.8888888888888891E-2</v>
      </c>
      <c r="C136" s="263">
        <v>0.06</v>
      </c>
    </row>
    <row r="162" spans="1:19">
      <c r="A162" s="241" t="s">
        <v>106</v>
      </c>
      <c r="B162" s="471">
        <v>1.6E-2</v>
      </c>
      <c r="C162" s="247">
        <v>0.15</v>
      </c>
      <c r="D162" s="473">
        <f>95/5939</f>
        <v>1.5995958915642365E-2</v>
      </c>
      <c r="E162" s="248">
        <v>0.03</v>
      </c>
      <c r="F162" s="249">
        <v>1</v>
      </c>
      <c r="G162" s="247">
        <v>0.06</v>
      </c>
      <c r="H162" s="250">
        <f>5939/6180</f>
        <v>0.96100323624595474</v>
      </c>
      <c r="I162" s="251">
        <v>0.95</v>
      </c>
      <c r="J162" s="474">
        <f>15/5939</f>
        <v>2.5256777235224785E-3</v>
      </c>
      <c r="K162" s="252">
        <v>2.5000000000000001E-3</v>
      </c>
      <c r="L162" s="247"/>
      <c r="M162" s="250"/>
      <c r="N162" s="251"/>
      <c r="O162" s="474"/>
      <c r="P162" s="252"/>
      <c r="Q162" s="415"/>
      <c r="R162" s="410"/>
      <c r="S162" s="410"/>
    </row>
    <row r="163" spans="1:19">
      <c r="A163" s="304" t="s">
        <v>109</v>
      </c>
      <c r="B163" s="471">
        <v>0.01</v>
      </c>
      <c r="C163" s="247">
        <v>0.15</v>
      </c>
      <c r="D163" s="473">
        <v>0.01</v>
      </c>
      <c r="E163" s="248">
        <v>0.03</v>
      </c>
      <c r="F163" s="249">
        <v>1</v>
      </c>
      <c r="G163" s="247">
        <v>0.06</v>
      </c>
      <c r="H163" s="250">
        <f>15099/16868</f>
        <v>0.89512686744130898</v>
      </c>
      <c r="I163" s="251">
        <v>0.95</v>
      </c>
      <c r="J163" s="474">
        <f>5/15099</f>
        <v>3.3114775812967748E-4</v>
      </c>
      <c r="K163" s="252">
        <v>2.5000000000000001E-3</v>
      </c>
      <c r="L163" s="247"/>
      <c r="M163" s="250"/>
      <c r="N163" s="251"/>
      <c r="O163" s="474"/>
      <c r="P163" s="252"/>
      <c r="Q163" s="416"/>
      <c r="R163" s="411"/>
      <c r="S163" s="411"/>
    </row>
    <row r="164" spans="1:19">
      <c r="A164" s="315" t="s">
        <v>125</v>
      </c>
      <c r="B164" s="323">
        <v>0.45500000000000002</v>
      </c>
      <c r="C164" s="295">
        <v>0.15</v>
      </c>
      <c r="D164" s="322">
        <f>2113/18248</f>
        <v>0.11579351161771154</v>
      </c>
      <c r="E164" s="295">
        <v>0.03</v>
      </c>
      <c r="F164" s="322">
        <f>2113/8304</f>
        <v>0.25445568400770713</v>
      </c>
      <c r="G164" s="294">
        <v>0.06</v>
      </c>
      <c r="H164" s="339">
        <f>18248/18868</f>
        <v>0.96714013143947419</v>
      </c>
      <c r="I164" s="292">
        <v>0.95</v>
      </c>
      <c r="J164" s="322">
        <f>3/18248</f>
        <v>1.6440157825515125E-4</v>
      </c>
      <c r="K164" s="345">
        <v>2.5000000000000001E-3</v>
      </c>
      <c r="L164" s="294"/>
      <c r="M164" s="339"/>
      <c r="N164" s="292"/>
      <c r="O164" s="322"/>
      <c r="P164" s="345"/>
      <c r="Q164" s="417"/>
      <c r="R164" s="411"/>
      <c r="S164" s="411"/>
    </row>
    <row r="165" spans="1:19">
      <c r="A165" s="374" t="s">
        <v>146</v>
      </c>
      <c r="B165" s="379">
        <v>0.41599999999999998</v>
      </c>
      <c r="C165" s="263">
        <v>0.15</v>
      </c>
      <c r="D165" s="380">
        <v>1.4999999999999999E-2</v>
      </c>
      <c r="E165" s="263">
        <v>0.03</v>
      </c>
      <c r="F165" s="380">
        <f>267/7595</f>
        <v>3.5154707044107968E-2</v>
      </c>
      <c r="G165" s="590">
        <v>0.06</v>
      </c>
      <c r="H165" s="381">
        <f>18244/18955</f>
        <v>0.96249010815088365</v>
      </c>
      <c r="I165" s="513">
        <v>0.95</v>
      </c>
      <c r="J165" s="348">
        <f>11/18244</f>
        <v>6.0293795220346419E-4</v>
      </c>
      <c r="K165" s="264">
        <v>2.5000000000000001E-3</v>
      </c>
      <c r="L165" s="590"/>
      <c r="M165" s="381"/>
      <c r="N165" s="513"/>
      <c r="O165" s="348"/>
      <c r="P165" s="264"/>
      <c r="Q165" s="419"/>
      <c r="R165" s="411"/>
      <c r="S165" s="411"/>
    </row>
    <row r="166" spans="1:19">
      <c r="A166" s="374" t="s">
        <v>148</v>
      </c>
      <c r="B166" s="379">
        <v>0.376</v>
      </c>
      <c r="C166" s="263">
        <v>0.15</v>
      </c>
      <c r="D166" s="380">
        <v>0.02</v>
      </c>
      <c r="E166" s="263">
        <v>0.03</v>
      </c>
      <c r="F166" s="380">
        <f>308/5885</f>
        <v>5.2336448598130844E-2</v>
      </c>
      <c r="G166" s="263">
        <v>0.06</v>
      </c>
      <c r="H166" s="592">
        <f>15642/16335</f>
        <v>0.95757575757575752</v>
      </c>
      <c r="I166" s="263">
        <v>0.95</v>
      </c>
      <c r="J166" s="348">
        <f>7/15642</f>
        <v>4.4751310574095383E-4</v>
      </c>
      <c r="K166" s="264">
        <v>2.5000000000000001E-3</v>
      </c>
      <c r="L166" s="263"/>
      <c r="M166" s="592"/>
      <c r="N166" s="263"/>
      <c r="O166" s="348"/>
      <c r="P166" s="264"/>
      <c r="Q166" s="419"/>
      <c r="R166" s="411"/>
      <c r="S166" s="411"/>
    </row>
    <row r="167" spans="1:19">
      <c r="A167" s="374" t="s">
        <v>151</v>
      </c>
      <c r="B167" s="379">
        <v>0.39400000000000002</v>
      </c>
      <c r="C167" s="263">
        <v>0.15</v>
      </c>
      <c r="D167" s="380">
        <v>1.9E-2</v>
      </c>
      <c r="E167" s="263">
        <v>0.03</v>
      </c>
      <c r="F167" s="380">
        <f>44/900</f>
        <v>4.8888888888888891E-2</v>
      </c>
      <c r="G167" s="263">
        <v>0.06</v>
      </c>
      <c r="H167" s="592">
        <f>2285/2367</f>
        <v>0.96535699197296154</v>
      </c>
      <c r="I167" s="263">
        <v>0.95</v>
      </c>
      <c r="J167" s="348">
        <f>1/2285</f>
        <v>4.3763676148796501E-4</v>
      </c>
      <c r="K167" s="264">
        <v>2.5000000000000001E-3</v>
      </c>
      <c r="L167" s="263"/>
      <c r="M167" s="592"/>
      <c r="N167" s="263"/>
      <c r="O167" s="348"/>
      <c r="P167" s="264"/>
      <c r="Q167" s="419"/>
      <c r="R167" s="411"/>
      <c r="S167" s="411"/>
    </row>
    <row r="168" spans="1:19">
      <c r="A168" s="374" t="s">
        <v>157</v>
      </c>
      <c r="B168" s="379">
        <v>0.41699999999999998</v>
      </c>
      <c r="C168" s="263">
        <v>0.15</v>
      </c>
      <c r="D168" s="380">
        <v>1.9E-2</v>
      </c>
      <c r="E168" s="263">
        <v>0.03</v>
      </c>
      <c r="F168" s="380">
        <f>340/7560</f>
        <v>4.4973544973544971E-2</v>
      </c>
      <c r="G168" s="263">
        <v>0.06</v>
      </c>
      <c r="H168" s="381"/>
      <c r="I168" s="263"/>
      <c r="J168" s="348"/>
      <c r="K168" s="385"/>
      <c r="L168" s="421"/>
      <c r="M168" s="411"/>
      <c r="N168" s="411"/>
    </row>
    <row r="200" spans="1:15" ht="15.5">
      <c r="A200" s="17" t="s">
        <v>49</v>
      </c>
      <c r="B200" s="11"/>
      <c r="C200" s="11"/>
      <c r="D200" s="11"/>
      <c r="E200" s="11"/>
      <c r="F200" s="11"/>
      <c r="G200" s="11"/>
    </row>
    <row r="201" spans="1:15" ht="28">
      <c r="A201" s="597" t="s">
        <v>50</v>
      </c>
      <c r="B201" s="97" t="s">
        <v>56</v>
      </c>
      <c r="C201" s="97" t="s">
        <v>57</v>
      </c>
      <c r="D201" s="97" t="s">
        <v>284</v>
      </c>
      <c r="E201" s="97" t="s">
        <v>59</v>
      </c>
      <c r="F201" s="97" t="s">
        <v>60</v>
      </c>
      <c r="G201" s="20" t="s">
        <v>61</v>
      </c>
      <c r="H201"/>
      <c r="I201"/>
      <c r="J201"/>
      <c r="K201"/>
      <c r="L201"/>
      <c r="M201"/>
      <c r="N201"/>
      <c r="O201"/>
    </row>
    <row r="202" spans="1:15">
      <c r="A202" s="598" t="s">
        <v>163</v>
      </c>
      <c r="B202" s="599">
        <v>0.376</v>
      </c>
      <c r="C202" s="600">
        <v>0.15</v>
      </c>
      <c r="D202" s="601">
        <v>1.9E-2</v>
      </c>
      <c r="E202" s="600">
        <v>0.03</v>
      </c>
      <c r="F202" s="602">
        <f>340/6879</f>
        <v>4.9425788632068618E-2</v>
      </c>
      <c r="G202" s="513">
        <v>0.06</v>
      </c>
      <c r="H202"/>
      <c r="I202"/>
      <c r="J202"/>
      <c r="K202"/>
      <c r="L202"/>
      <c r="M202"/>
      <c r="N202"/>
      <c r="O202"/>
    </row>
    <row r="203" spans="1:15">
      <c r="A203" s="603" t="s">
        <v>167</v>
      </c>
      <c r="B203" s="379">
        <v>0.41399999999999998</v>
      </c>
      <c r="C203" s="263">
        <v>0.15</v>
      </c>
      <c r="D203" s="380">
        <v>1.2999999999999999E-2</v>
      </c>
      <c r="E203" s="263">
        <v>0.03</v>
      </c>
      <c r="F203" s="604">
        <f>234/7505</f>
        <v>3.1179213857428383E-2</v>
      </c>
      <c r="G203" s="513">
        <v>0.06</v>
      </c>
      <c r="H203"/>
      <c r="I203"/>
      <c r="J203"/>
      <c r="K203"/>
      <c r="L203"/>
      <c r="M203"/>
      <c r="N203"/>
      <c r="O203"/>
    </row>
    <row r="204" spans="1:15">
      <c r="A204" s="392" t="s">
        <v>170</v>
      </c>
      <c r="B204" s="372">
        <v>0.41799999999999998</v>
      </c>
      <c r="C204" s="263">
        <v>0.15</v>
      </c>
      <c r="D204" s="380">
        <v>0.26900000000000002</v>
      </c>
      <c r="E204" s="263">
        <v>0.03</v>
      </c>
      <c r="F204" s="347">
        <f>4912/7622</f>
        <v>0.64445027551823664</v>
      </c>
      <c r="G204" s="263">
        <v>0.06</v>
      </c>
      <c r="H204"/>
      <c r="I204"/>
      <c r="J204"/>
      <c r="K204"/>
      <c r="L204"/>
      <c r="M204"/>
      <c r="N204"/>
      <c r="O204"/>
    </row>
    <row r="205" spans="1:15">
      <c r="A205" s="392" t="s">
        <v>180</v>
      </c>
      <c r="B205" s="372">
        <v>0.49</v>
      </c>
      <c r="C205" s="263">
        <v>0.15</v>
      </c>
      <c r="D205" s="380">
        <v>2.7E-2</v>
      </c>
      <c r="E205" s="263">
        <v>0.03</v>
      </c>
      <c r="F205" s="347">
        <f>423/7657</f>
        <v>5.5243567977014497E-2</v>
      </c>
      <c r="G205" s="263">
        <v>0.06</v>
      </c>
      <c r="H205"/>
      <c r="I205"/>
      <c r="J205"/>
      <c r="K205"/>
      <c r="L205"/>
      <c r="M205"/>
      <c r="N205"/>
      <c r="O205"/>
    </row>
    <row r="206" spans="1:15">
      <c r="A206" s="392" t="s">
        <v>178</v>
      </c>
      <c r="B206" s="372">
        <v>0.442</v>
      </c>
      <c r="C206" s="263">
        <v>0.15</v>
      </c>
      <c r="D206" s="380">
        <v>2.5000000000000001E-2</v>
      </c>
      <c r="E206" s="263">
        <v>0.03</v>
      </c>
      <c r="F206" s="347">
        <f>57/994</f>
        <v>5.7344064386317908E-2</v>
      </c>
      <c r="G206" s="263">
        <v>0.06</v>
      </c>
      <c r="H206"/>
      <c r="I206"/>
      <c r="J206"/>
      <c r="K206"/>
      <c r="L206"/>
      <c r="M206"/>
      <c r="N206"/>
      <c r="O206"/>
    </row>
    <row r="207" spans="1:15">
      <c r="A207" s="392" t="s">
        <v>175</v>
      </c>
      <c r="B207" s="372">
        <v>0.55500000000000005</v>
      </c>
      <c r="C207" s="263">
        <v>0.15</v>
      </c>
      <c r="D207" s="380">
        <v>2.8000000000000001E-2</v>
      </c>
      <c r="E207" s="263">
        <v>0.03</v>
      </c>
      <c r="F207" s="347">
        <f>12/239</f>
        <v>5.0209205020920501E-2</v>
      </c>
      <c r="G207" s="263">
        <v>0.06</v>
      </c>
      <c r="H207"/>
      <c r="I207"/>
      <c r="J207"/>
      <c r="K207"/>
      <c r="L207"/>
      <c r="M207"/>
      <c r="N207"/>
      <c r="O207"/>
    </row>
    <row r="208" spans="1:15">
      <c r="A208" s="392" t="s">
        <v>183</v>
      </c>
      <c r="B208" s="372">
        <v>0.49199999999999999</v>
      </c>
      <c r="C208" s="263">
        <v>0.15</v>
      </c>
      <c r="D208" s="380">
        <v>2.9000000000000001E-2</v>
      </c>
      <c r="E208" s="263">
        <v>0.03</v>
      </c>
      <c r="F208" s="347">
        <f>113/1899</f>
        <v>5.9505002632964717E-2</v>
      </c>
      <c r="G208" s="263">
        <v>0.06</v>
      </c>
      <c r="H208"/>
      <c r="I208"/>
      <c r="J208"/>
      <c r="K208"/>
      <c r="L208"/>
      <c r="M208"/>
      <c r="N208"/>
      <c r="O208"/>
    </row>
    <row r="209" spans="1:18">
      <c r="A209" s="392" t="s">
        <v>186</v>
      </c>
      <c r="B209" s="429">
        <v>0.39100000000000001</v>
      </c>
      <c r="C209" s="292">
        <v>0.15</v>
      </c>
      <c r="D209" s="401">
        <v>3.1E-2</v>
      </c>
      <c r="E209" s="292">
        <v>0.03</v>
      </c>
      <c r="F209" s="368">
        <f>69/872</f>
        <v>7.9128440366972475E-2</v>
      </c>
      <c r="G209" s="292">
        <v>0.06</v>
      </c>
      <c r="H209"/>
      <c r="I209"/>
      <c r="J209"/>
      <c r="K209"/>
      <c r="L209"/>
      <c r="M209"/>
      <c r="N209"/>
      <c r="O209"/>
    </row>
    <row r="210" spans="1:18">
      <c r="A210" s="392" t="s">
        <v>188</v>
      </c>
      <c r="B210" s="347">
        <v>0.45100000000000001</v>
      </c>
      <c r="C210" s="292">
        <v>0.15</v>
      </c>
      <c r="D210" s="347">
        <v>2.3E-2</v>
      </c>
      <c r="E210" s="292">
        <v>0.03</v>
      </c>
      <c r="F210" s="347">
        <f>300/5974</f>
        <v>5.0217609641781048E-2</v>
      </c>
      <c r="G210" s="292">
        <v>0.06</v>
      </c>
      <c r="H210"/>
      <c r="I210"/>
      <c r="J210"/>
      <c r="K210"/>
      <c r="L210"/>
      <c r="M210"/>
      <c r="N210"/>
      <c r="O210"/>
    </row>
    <row r="211" spans="1:18">
      <c r="A211" s="365" t="s">
        <v>191</v>
      </c>
      <c r="B211" s="368">
        <v>0.41499999999999998</v>
      </c>
      <c r="C211" s="292">
        <v>0.15</v>
      </c>
      <c r="D211" s="368">
        <f>1616/17326</f>
        <v>9.3270229712570707E-2</v>
      </c>
      <c r="E211" s="292">
        <v>0.03</v>
      </c>
      <c r="F211" s="368">
        <f>1616/7190</f>
        <v>0.2247566063977747</v>
      </c>
      <c r="G211" s="292">
        <v>0.06</v>
      </c>
      <c r="H211"/>
      <c r="I211"/>
      <c r="J211"/>
      <c r="K211"/>
      <c r="L211"/>
      <c r="M211"/>
      <c r="N211"/>
    </row>
    <row r="212" spans="1:18">
      <c r="A212" s="340" t="s">
        <v>194</v>
      </c>
      <c r="B212" s="347">
        <v>0.374</v>
      </c>
      <c r="C212" s="263">
        <v>0.15</v>
      </c>
      <c r="D212" s="347">
        <v>2.9000000000000001E-2</v>
      </c>
      <c r="E212" s="263">
        <v>0.03</v>
      </c>
      <c r="F212" s="347">
        <f>492/6329</f>
        <v>7.7737399273186916E-2</v>
      </c>
      <c r="G212" s="263">
        <v>0.06</v>
      </c>
      <c r="H212"/>
      <c r="I212"/>
      <c r="J212"/>
      <c r="K212"/>
      <c r="L212"/>
      <c r="M212"/>
      <c r="N212"/>
    </row>
    <row r="213" spans="1:18">
      <c r="A213" s="340" t="s">
        <v>199</v>
      </c>
      <c r="B213" s="347">
        <v>0.39</v>
      </c>
      <c r="C213" s="263">
        <v>0.15</v>
      </c>
      <c r="D213" s="347">
        <v>2.7E-2</v>
      </c>
      <c r="E213" s="263">
        <v>0.03</v>
      </c>
      <c r="F213" s="347">
        <f>417/6107</f>
        <v>6.8282299001146227E-2</v>
      </c>
      <c r="G213" s="263">
        <v>0.06</v>
      </c>
      <c r="H213"/>
      <c r="I213"/>
      <c r="J213"/>
      <c r="K213"/>
      <c r="L213"/>
      <c r="M213"/>
      <c r="N213"/>
    </row>
    <row r="214" spans="1:18">
      <c r="A214" s="340" t="s">
        <v>202</v>
      </c>
      <c r="B214" s="347">
        <v>0.47199999999999998</v>
      </c>
      <c r="C214" s="263">
        <v>0.15</v>
      </c>
      <c r="D214" s="347">
        <v>5.6000000000000001E-2</v>
      </c>
      <c r="E214" s="263">
        <v>0.03</v>
      </c>
      <c r="F214" s="347">
        <f>6/51</f>
        <v>0.11764705882352941</v>
      </c>
      <c r="G214" s="263">
        <v>0.06</v>
      </c>
      <c r="H214"/>
      <c r="I214"/>
      <c r="J214"/>
      <c r="K214"/>
      <c r="L214"/>
      <c r="M214"/>
      <c r="N214"/>
    </row>
    <row r="215" spans="1:18">
      <c r="A215" s="340" t="s">
        <v>205</v>
      </c>
      <c r="B215" s="347">
        <v>0.46200000000000002</v>
      </c>
      <c r="C215" s="263">
        <v>0.15</v>
      </c>
      <c r="D215" s="347">
        <v>2.1999999999999999E-2</v>
      </c>
      <c r="E215" s="263">
        <v>0.03</v>
      </c>
      <c r="F215" s="347">
        <f>2/43</f>
        <v>4.6511627906976744E-2</v>
      </c>
      <c r="G215" s="263">
        <v>0.06</v>
      </c>
      <c r="H215"/>
      <c r="I215"/>
      <c r="J215"/>
      <c r="K215"/>
      <c r="L215"/>
      <c r="M215"/>
      <c r="N215"/>
    </row>
    <row r="216" spans="1:18">
      <c r="A216" s="340" t="s">
        <v>207</v>
      </c>
      <c r="B216" s="347">
        <v>0.38300000000000001</v>
      </c>
      <c r="C216" s="263">
        <v>0.15</v>
      </c>
      <c r="D216" s="347">
        <v>0.02</v>
      </c>
      <c r="E216" s="263">
        <v>0.03</v>
      </c>
      <c r="F216" s="347">
        <f>45/866</f>
        <v>5.1963048498845268E-2</v>
      </c>
      <c r="G216" s="263">
        <v>0.06</v>
      </c>
      <c r="H216"/>
      <c r="I216"/>
      <c r="J216"/>
      <c r="K216"/>
      <c r="L216"/>
      <c r="M216"/>
      <c r="N216"/>
    </row>
    <row r="217" spans="1:18">
      <c r="A217" s="340" t="s">
        <v>210</v>
      </c>
      <c r="B217" s="347">
        <v>0.41399999999999998</v>
      </c>
      <c r="C217" s="263">
        <v>0.15</v>
      </c>
      <c r="D217" s="347">
        <v>7.0000000000000007E-2</v>
      </c>
      <c r="E217" s="263">
        <v>0.03</v>
      </c>
      <c r="F217" s="347">
        <f>1169/6974</f>
        <v>0.16762259822196732</v>
      </c>
      <c r="G217" s="263">
        <v>0.06</v>
      </c>
      <c r="H217"/>
      <c r="I217"/>
      <c r="J217" s="643"/>
      <c r="K217"/>
      <c r="L217"/>
      <c r="M217"/>
      <c r="N217"/>
      <c r="O217"/>
    </row>
    <row r="218" spans="1:18">
      <c r="A218" s="340" t="s">
        <v>212</v>
      </c>
      <c r="B218" s="347">
        <v>0.376</v>
      </c>
      <c r="C218" s="263">
        <v>0.15</v>
      </c>
      <c r="D218" s="347">
        <v>2.1000000000000001E-2</v>
      </c>
      <c r="E218" s="263">
        <v>0.03</v>
      </c>
      <c r="F218" s="347">
        <f>345/5934</f>
        <v>5.8139534883720929E-2</v>
      </c>
      <c r="G218" s="263">
        <v>0.06</v>
      </c>
      <c r="H218"/>
      <c r="I218"/>
      <c r="J218"/>
      <c r="K218"/>
      <c r="L218"/>
      <c r="M218"/>
      <c r="N218"/>
      <c r="O218"/>
    </row>
    <row r="219" spans="1:18" ht="22.5" customHeight="1">
      <c r="A219" s="340" t="s">
        <v>214</v>
      </c>
      <c r="B219" s="347">
        <v>0.41099999999999998</v>
      </c>
      <c r="C219" s="263">
        <v>0.15</v>
      </c>
      <c r="D219" s="347">
        <v>4.2999999999999997E-2</v>
      </c>
      <c r="E219" s="263">
        <v>0.03</v>
      </c>
      <c r="F219" s="347">
        <f>620/3126</f>
        <v>0.19833653230966092</v>
      </c>
      <c r="G219" s="263">
        <v>0.06</v>
      </c>
      <c r="H219"/>
      <c r="I219"/>
      <c r="J219"/>
      <c r="K219"/>
      <c r="L219"/>
      <c r="M219"/>
      <c r="N219"/>
      <c r="O219"/>
    </row>
    <row r="220" spans="1:18">
      <c r="A220" s="340" t="s">
        <v>217</v>
      </c>
      <c r="B220" s="347">
        <v>0.443</v>
      </c>
      <c r="C220" s="263">
        <v>0.15</v>
      </c>
      <c r="D220" s="347">
        <v>3.2000000000000001E-2</v>
      </c>
      <c r="E220" s="263">
        <v>0.03</v>
      </c>
      <c r="F220" s="347">
        <f>76/568</f>
        <v>0.13380281690140844</v>
      </c>
      <c r="G220" s="263">
        <v>0.06</v>
      </c>
      <c r="H220"/>
      <c r="I220" s="643"/>
      <c r="J220"/>
      <c r="K220"/>
      <c r="L220"/>
      <c r="M220"/>
      <c r="N220"/>
      <c r="O220"/>
    </row>
    <row r="221" spans="1:18">
      <c r="A221" s="340" t="s">
        <v>218</v>
      </c>
      <c r="B221" s="347">
        <v>0.40899999999999997</v>
      </c>
      <c r="C221" s="263">
        <v>0.15</v>
      </c>
      <c r="D221" s="347">
        <v>2.5999999999999999E-2</v>
      </c>
      <c r="E221" s="263">
        <v>0.03</v>
      </c>
      <c r="F221" s="347">
        <f>432/3549</f>
        <v>0.12172442941673711</v>
      </c>
      <c r="G221" s="263">
        <v>0.06</v>
      </c>
      <c r="H221"/>
      <c r="I221"/>
      <c r="J221"/>
      <c r="K221"/>
      <c r="L221"/>
      <c r="M221"/>
      <c r="N221"/>
      <c r="O221"/>
    </row>
    <row r="222" spans="1:18">
      <c r="A222" s="340" t="s">
        <v>222</v>
      </c>
      <c r="B222" s="347">
        <v>0.52900000000000003</v>
      </c>
      <c r="C222" s="263">
        <v>0.15</v>
      </c>
      <c r="D222" s="347">
        <v>3.3000000000000002E-2</v>
      </c>
      <c r="E222" s="263">
        <v>0.03</v>
      </c>
      <c r="F222" s="347">
        <f>157/1273</f>
        <v>0.12333071484681854</v>
      </c>
      <c r="G222" s="263">
        <v>0.06</v>
      </c>
      <c r="H222"/>
      <c r="I222"/>
      <c r="J222"/>
      <c r="K222"/>
      <c r="L222"/>
      <c r="M222"/>
      <c r="N222"/>
      <c r="O222"/>
      <c r="P222"/>
      <c r="Q222"/>
      <c r="R222"/>
    </row>
    <row r="223" spans="1:18">
      <c r="A223" s="340" t="s">
        <v>226</v>
      </c>
      <c r="B223" s="347">
        <v>0.39300000000000002</v>
      </c>
      <c r="C223" s="263">
        <v>0.15</v>
      </c>
      <c r="D223" s="347">
        <v>9.0999999999999998E-2</v>
      </c>
      <c r="E223" s="263">
        <v>0.03</v>
      </c>
      <c r="F223" s="347">
        <f>1091/2409</f>
        <v>0.45288501452885016</v>
      </c>
      <c r="G223" s="263">
        <v>0.06</v>
      </c>
      <c r="H223"/>
      <c r="I223"/>
      <c r="J223"/>
      <c r="K223"/>
      <c r="L223"/>
      <c r="M223"/>
      <c r="N223"/>
      <c r="O223"/>
      <c r="P223"/>
      <c r="Q223"/>
      <c r="R223"/>
    </row>
    <row r="224" spans="1:18">
      <c r="A224" s="340" t="s">
        <v>229</v>
      </c>
      <c r="B224" s="347">
        <v>0.434</v>
      </c>
      <c r="C224" s="263">
        <v>0.15</v>
      </c>
      <c r="D224" s="347">
        <v>9.7000000000000003E-2</v>
      </c>
      <c r="E224" s="263">
        <v>0.03</v>
      </c>
      <c r="F224" s="347">
        <f>1611/3868</f>
        <v>0.41649431230610134</v>
      </c>
      <c r="G224" s="263">
        <v>0.06</v>
      </c>
      <c r="H224"/>
      <c r="I224"/>
      <c r="J224"/>
      <c r="K224"/>
      <c r="L224"/>
      <c r="M224"/>
      <c r="N224"/>
      <c r="O224"/>
      <c r="P224"/>
      <c r="Q224"/>
      <c r="R224"/>
    </row>
    <row r="225" spans="1:18">
      <c r="A225" s="340" t="s">
        <v>231</v>
      </c>
      <c r="B225" s="347">
        <v>0.36299999999999999</v>
      </c>
      <c r="C225" s="263">
        <v>0.15</v>
      </c>
      <c r="D225" s="347">
        <v>2.5000000000000001E-2</v>
      </c>
      <c r="E225" s="263">
        <v>0.03</v>
      </c>
      <c r="F225" s="347">
        <f>411/3159</f>
        <v>0.13010446343779677</v>
      </c>
      <c r="G225" s="263">
        <v>0.06</v>
      </c>
      <c r="H225"/>
      <c r="I225"/>
      <c r="J225"/>
      <c r="K225"/>
      <c r="L225"/>
      <c r="M225"/>
      <c r="N225"/>
      <c r="O225"/>
      <c r="P225"/>
      <c r="Q225"/>
      <c r="R225"/>
    </row>
    <row r="226" spans="1:18">
      <c r="A226" s="340" t="s">
        <v>233</v>
      </c>
      <c r="B226" s="347">
        <v>0.43</v>
      </c>
      <c r="C226" s="263">
        <v>0.15</v>
      </c>
      <c r="D226" s="347">
        <v>3.7999999999999999E-2</v>
      </c>
      <c r="E226" s="263">
        <v>0.03</v>
      </c>
      <c r="F226" s="347">
        <f>109/695</f>
        <v>0.15683453237410072</v>
      </c>
      <c r="G226" s="263">
        <v>0.06</v>
      </c>
      <c r="H226"/>
      <c r="I226"/>
      <c r="J226"/>
      <c r="K226"/>
      <c r="L226"/>
      <c r="M226"/>
      <c r="N226"/>
    </row>
    <row r="227" spans="1:18">
      <c r="A227" s="340" t="s">
        <v>235</v>
      </c>
      <c r="B227" s="347">
        <v>0.373</v>
      </c>
      <c r="C227" s="263">
        <v>0.15</v>
      </c>
      <c r="D227" s="347">
        <v>2.1999999999999999E-2</v>
      </c>
      <c r="E227" s="263">
        <v>0.03</v>
      </c>
      <c r="F227" s="347">
        <f>304/2315</f>
        <v>0.13131749460043196</v>
      </c>
      <c r="G227" s="263">
        <v>0.06</v>
      </c>
      <c r="H227"/>
      <c r="I227"/>
      <c r="J227"/>
      <c r="K227"/>
      <c r="L227"/>
      <c r="M227"/>
      <c r="N227"/>
    </row>
    <row r="228" spans="1:18">
      <c r="A228" s="340" t="s">
        <v>238</v>
      </c>
      <c r="B228" s="347">
        <v>0.40799999999999997</v>
      </c>
      <c r="C228" s="263">
        <v>0.15</v>
      </c>
      <c r="D228" s="347">
        <v>2.7E-2</v>
      </c>
      <c r="E228" s="263">
        <v>0.03</v>
      </c>
      <c r="F228" s="347">
        <f>4/25</f>
        <v>0.16</v>
      </c>
      <c r="G228" s="263">
        <v>0.06</v>
      </c>
      <c r="H228"/>
      <c r="I228"/>
      <c r="J228"/>
      <c r="K228"/>
      <c r="L228"/>
      <c r="M228"/>
      <c r="N228"/>
    </row>
    <row r="229" spans="1:18">
      <c r="A229" s="340" t="s">
        <v>241</v>
      </c>
      <c r="B229" s="347">
        <v>0.47799999999999998</v>
      </c>
      <c r="C229" s="263">
        <v>0.15</v>
      </c>
      <c r="D229" s="347">
        <v>0.04</v>
      </c>
      <c r="E229" s="263">
        <v>0.03</v>
      </c>
      <c r="F229" s="347">
        <f>17/102</f>
        <v>0.16666666666666666</v>
      </c>
      <c r="G229" s="263">
        <v>0.06</v>
      </c>
      <c r="H229"/>
      <c r="I229"/>
      <c r="J229"/>
      <c r="K229"/>
      <c r="L229"/>
      <c r="M229"/>
      <c r="N229"/>
    </row>
    <row r="230" spans="1:18">
      <c r="A230" s="340" t="s">
        <v>244</v>
      </c>
      <c r="B230" s="347">
        <v>0.43</v>
      </c>
      <c r="C230" s="263">
        <v>0.15</v>
      </c>
      <c r="D230" s="347">
        <v>1.9E-2</v>
      </c>
      <c r="E230" s="263">
        <v>0.03</v>
      </c>
      <c r="F230" s="347">
        <f>26/305</f>
        <v>8.5245901639344257E-2</v>
      </c>
      <c r="G230" s="263">
        <v>0.06</v>
      </c>
      <c r="H230"/>
      <c r="I230"/>
      <c r="J230"/>
      <c r="K230"/>
      <c r="L230"/>
      <c r="M230"/>
      <c r="N230"/>
    </row>
    <row r="231" spans="1:18">
      <c r="A231" s="340" t="s">
        <v>247</v>
      </c>
      <c r="B231" s="347">
        <v>0.38700000000000001</v>
      </c>
      <c r="C231" s="263">
        <v>0.15</v>
      </c>
      <c r="D231" s="347">
        <v>3.5000000000000003E-2</v>
      </c>
      <c r="E231" s="263">
        <v>0.03</v>
      </c>
      <c r="F231" s="347">
        <f>516/2552</f>
        <v>0.20219435736677116</v>
      </c>
      <c r="G231" s="263">
        <v>0.06</v>
      </c>
      <c r="H231"/>
      <c r="I231"/>
      <c r="J231"/>
      <c r="K231"/>
      <c r="L231"/>
      <c r="M231"/>
      <c r="N231"/>
    </row>
    <row r="232" spans="1:18">
      <c r="A232" s="340" t="s">
        <v>250</v>
      </c>
      <c r="B232" s="347">
        <v>0.47099999999999997</v>
      </c>
      <c r="C232" s="263">
        <v>0.15</v>
      </c>
      <c r="D232" s="347">
        <v>2.1000000000000001E-2</v>
      </c>
      <c r="E232" s="263">
        <v>0.03</v>
      </c>
      <c r="F232" s="347">
        <f>311/2955</f>
        <v>0.10524534686971235</v>
      </c>
      <c r="G232" s="263">
        <v>0.06</v>
      </c>
      <c r="H232"/>
      <c r="I232"/>
      <c r="J232"/>
      <c r="K232"/>
      <c r="L232"/>
      <c r="M232"/>
      <c r="N232"/>
    </row>
    <row r="233" spans="1:18">
      <c r="A233" s="340" t="s">
        <v>251</v>
      </c>
      <c r="B233" s="347">
        <v>0.41399999999999998</v>
      </c>
      <c r="C233" s="263">
        <v>0.15</v>
      </c>
      <c r="D233" s="347">
        <v>2.9000000000000001E-2</v>
      </c>
      <c r="E233" s="263">
        <v>0.03</v>
      </c>
      <c r="F233" s="347">
        <f>77/604</f>
        <v>0.12748344370860928</v>
      </c>
      <c r="G233" s="263">
        <v>0.06</v>
      </c>
      <c r="H233"/>
      <c r="I233"/>
      <c r="J233"/>
      <c r="K233"/>
      <c r="L233"/>
      <c r="M233"/>
      <c r="N233"/>
    </row>
    <row r="234" spans="1:18">
      <c r="A234" s="340" t="s">
        <v>254</v>
      </c>
      <c r="B234" s="347">
        <v>0.39400000000000002</v>
      </c>
      <c r="C234" s="263">
        <v>0.15</v>
      </c>
      <c r="D234" s="347">
        <v>1.9E-2</v>
      </c>
      <c r="E234" s="263">
        <v>0.03</v>
      </c>
      <c r="F234" s="347">
        <f>290/2872</f>
        <v>0.10097493036211699</v>
      </c>
      <c r="G234" s="263">
        <v>0.06</v>
      </c>
      <c r="H234"/>
      <c r="I234"/>
      <c r="J234"/>
      <c r="K234"/>
      <c r="L234"/>
      <c r="M234"/>
      <c r="N234"/>
    </row>
    <row r="235" spans="1:18">
      <c r="A235" s="340" t="s">
        <v>257</v>
      </c>
      <c r="B235" s="347">
        <v>0.436</v>
      </c>
      <c r="C235" s="263">
        <v>0.15</v>
      </c>
      <c r="D235" s="347">
        <v>8.9999999999999993E-3</v>
      </c>
      <c r="E235" s="263">
        <v>0.03</v>
      </c>
      <c r="F235" s="347">
        <f>3/73</f>
        <v>4.1095890410958902E-2</v>
      </c>
      <c r="G235" s="263">
        <v>0.06</v>
      </c>
      <c r="H235"/>
      <c r="I235"/>
      <c r="J235"/>
      <c r="K235"/>
      <c r="L235"/>
      <c r="M235"/>
      <c r="N235"/>
    </row>
    <row r="236" spans="1:18">
      <c r="A236" s="340" t="s">
        <v>260</v>
      </c>
      <c r="B236" s="347">
        <v>0.41</v>
      </c>
      <c r="C236" s="263">
        <v>0.15</v>
      </c>
      <c r="D236" s="347">
        <v>1.7999999999999999E-2</v>
      </c>
      <c r="E236" s="263">
        <v>0.03</v>
      </c>
      <c r="F236" s="347">
        <f>285/3178</f>
        <v>8.9679043423536817E-2</v>
      </c>
      <c r="G236" s="263">
        <v>0.06</v>
      </c>
      <c r="H236"/>
      <c r="I236"/>
      <c r="J236"/>
      <c r="K236"/>
      <c r="L236"/>
      <c r="M236"/>
      <c r="N236"/>
    </row>
    <row r="237" spans="1:18">
      <c r="A237" s="340" t="s">
        <v>268</v>
      </c>
      <c r="B237" s="347">
        <v>0.4</v>
      </c>
      <c r="C237" s="263">
        <v>0.15</v>
      </c>
      <c r="D237" s="347">
        <v>8.7999999999999995E-2</v>
      </c>
      <c r="E237" s="263">
        <v>0.03</v>
      </c>
      <c r="F237" s="347">
        <v>0.44159999999999999</v>
      </c>
      <c r="G237" s="263">
        <v>0.06</v>
      </c>
      <c r="H237"/>
      <c r="I237"/>
      <c r="J237"/>
      <c r="K237"/>
      <c r="L237"/>
      <c r="M237"/>
      <c r="N237"/>
    </row>
    <row r="238" spans="1:18">
      <c r="B238" s="642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1:18">
      <c r="B239" s="642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1:18">
      <c r="B240" s="642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1:18" ht="15" customHeight="1">
      <c r="B241" s="642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8">
      <c r="B242" s="6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8">
      <c r="H243"/>
      <c r="I243"/>
      <c r="J243"/>
      <c r="K243"/>
      <c r="L243"/>
      <c r="M243"/>
      <c r="N243"/>
      <c r="O243"/>
    </row>
    <row r="244" spans="1:18">
      <c r="H244"/>
    </row>
    <row r="246" spans="1:18" ht="15.5">
      <c r="A246" s="17" t="s">
        <v>49</v>
      </c>
      <c r="B246" s="11"/>
      <c r="C246" s="11"/>
      <c r="D246" s="11"/>
      <c r="E246" s="11"/>
      <c r="F246" s="11"/>
      <c r="G246" s="11"/>
    </row>
    <row r="247" spans="1:18" ht="28">
      <c r="A247" s="597" t="s">
        <v>50</v>
      </c>
      <c r="B247" s="97" t="s">
        <v>56</v>
      </c>
      <c r="C247" s="97" t="s">
        <v>57</v>
      </c>
      <c r="D247" s="97" t="s">
        <v>284</v>
      </c>
      <c r="E247" s="97" t="s">
        <v>59</v>
      </c>
      <c r="F247" s="97" t="s">
        <v>60</v>
      </c>
      <c r="G247" s="20" t="s">
        <v>61</v>
      </c>
    </row>
    <row r="248" spans="1:18">
      <c r="A248" s="374" t="s">
        <v>152</v>
      </c>
      <c r="B248" s="379">
        <v>0.42899999999999999</v>
      </c>
      <c r="C248" s="263">
        <v>0.15</v>
      </c>
      <c r="D248" s="380">
        <f>194/18156</f>
        <v>1.0685172945582728E-2</v>
      </c>
      <c r="E248" s="263">
        <v>0.03</v>
      </c>
      <c r="F248" s="380">
        <f>194/7784</f>
        <v>2.4922918807810893E-2</v>
      </c>
      <c r="G248" s="263">
        <v>0.06</v>
      </c>
      <c r="H248" s="592"/>
      <c r="I248" s="263"/>
      <c r="J248" s="348"/>
      <c r="K248" s="264"/>
      <c r="L248" s="419"/>
      <c r="M248" s="411"/>
      <c r="N248" s="411"/>
    </row>
    <row r="249" spans="1:18" ht="28">
      <c r="A249" s="374" t="s">
        <v>155</v>
      </c>
      <c r="B249" s="379">
        <v>0.39600000000000002</v>
      </c>
      <c r="C249" s="263">
        <v>0.15</v>
      </c>
      <c r="D249" s="380">
        <f>565/18123</f>
        <v>3.1175853887325498E-2</v>
      </c>
      <c r="E249" s="263">
        <v>0.03</v>
      </c>
      <c r="F249" s="380">
        <f>568/7184</f>
        <v>7.9064587973273939E-2</v>
      </c>
      <c r="G249" s="263">
        <v>0.06</v>
      </c>
      <c r="H249" s="381"/>
      <c r="I249" s="263"/>
      <c r="J249" s="348"/>
      <c r="K249" s="264"/>
      <c r="L249" s="419"/>
      <c r="M249" s="411"/>
      <c r="N249" s="411"/>
    </row>
    <row r="250" spans="1:18" ht="28">
      <c r="A250" s="374" t="s">
        <v>159</v>
      </c>
      <c r="B250" s="379">
        <v>0.38400000000000001</v>
      </c>
      <c r="C250" s="263">
        <v>0.15</v>
      </c>
      <c r="D250" s="380">
        <v>2.1000000000000001E-2</v>
      </c>
      <c r="E250" s="263">
        <v>0.03</v>
      </c>
      <c r="F250" s="380">
        <f>48/873</f>
        <v>5.4982817869415807E-2</v>
      </c>
      <c r="G250" s="263">
        <v>0.06</v>
      </c>
      <c r="H250" s="381"/>
      <c r="I250" s="263"/>
      <c r="J250" s="348"/>
      <c r="K250" s="385"/>
      <c r="L250" s="421"/>
      <c r="M250" s="411"/>
      <c r="N250" s="340"/>
    </row>
    <row r="251" spans="1:18" ht="28">
      <c r="A251" s="374" t="s">
        <v>162</v>
      </c>
      <c r="B251" s="379">
        <v>0.38500000000000001</v>
      </c>
      <c r="C251" s="263">
        <v>0.15</v>
      </c>
      <c r="D251" s="380">
        <v>3.2000000000000001E-2</v>
      </c>
      <c r="E251" s="263">
        <v>0.03</v>
      </c>
      <c r="F251" s="380">
        <f>494/6004</f>
        <v>8.2278481012658222E-2</v>
      </c>
      <c r="G251" s="263">
        <v>0.06</v>
      </c>
      <c r="H251" s="381"/>
      <c r="I251" s="263"/>
      <c r="J251" s="348"/>
      <c r="K251" s="385"/>
      <c r="L251" s="421"/>
      <c r="M251" s="411"/>
      <c r="N251" s="411"/>
    </row>
    <row r="252" spans="1:18" ht="28">
      <c r="A252" s="374" t="s">
        <v>165</v>
      </c>
      <c r="B252" s="379">
        <v>0.61099999999999999</v>
      </c>
      <c r="C252" s="263">
        <v>0.15</v>
      </c>
      <c r="D252" s="380">
        <v>5.8999999999999999E-3</v>
      </c>
      <c r="E252" s="263">
        <v>0.03</v>
      </c>
      <c r="F252" s="380">
        <v>9.5999999999999992E-3</v>
      </c>
      <c r="G252" s="263">
        <v>0.06</v>
      </c>
      <c r="H252" s="381"/>
      <c r="I252" s="263"/>
      <c r="J252" s="348"/>
      <c r="K252" s="385"/>
      <c r="L252" s="421"/>
      <c r="M252" s="411"/>
      <c r="N252" s="411"/>
    </row>
    <row r="253" spans="1:18" ht="59.25" customHeight="1">
      <c r="A253"/>
      <c r="B253"/>
      <c r="C253" s="617"/>
      <c r="D253"/>
      <c r="E253" s="618"/>
      <c r="F253" s="619"/>
      <c r="G253" s="620"/>
      <c r="H253" s="621"/>
      <c r="I253" s="620"/>
      <c r="J253" s="621"/>
      <c r="K253" s="620"/>
      <c r="L253" s="621"/>
      <c r="M253" s="621"/>
      <c r="N253" s="621"/>
      <c r="O253" s="620"/>
      <c r="P253" s="620"/>
      <c r="Q253"/>
      <c r="R253"/>
    </row>
    <row r="256" spans="1:18" ht="28">
      <c r="A256" s="19" t="s">
        <v>50</v>
      </c>
      <c r="B256" s="97" t="s">
        <v>56</v>
      </c>
      <c r="C256" s="20" t="s">
        <v>57</v>
      </c>
      <c r="D256" s="20" t="s">
        <v>284</v>
      </c>
      <c r="E256" s="20" t="s">
        <v>59</v>
      </c>
      <c r="F256" s="97" t="s">
        <v>60</v>
      </c>
      <c r="G256" s="20" t="s">
        <v>61</v>
      </c>
    </row>
    <row r="257" spans="1:14">
      <c r="A257" s="340" t="s">
        <v>196</v>
      </c>
      <c r="B257" s="347">
        <v>0.50900000000000001</v>
      </c>
      <c r="C257" s="263">
        <v>0.15</v>
      </c>
      <c r="D257" s="347">
        <v>5.2999999999999999E-2</v>
      </c>
      <c r="E257" s="263">
        <v>0.03</v>
      </c>
      <c r="F257" s="347">
        <f>98/942</f>
        <v>0.1040339702760085</v>
      </c>
      <c r="G257" s="263">
        <v>0.06</v>
      </c>
      <c r="H257"/>
      <c r="I257"/>
      <c r="J257"/>
      <c r="K257"/>
      <c r="L257"/>
      <c r="M257"/>
      <c r="N257"/>
    </row>
    <row r="258" spans="1:14">
      <c r="A258" s="340" t="s">
        <v>220</v>
      </c>
      <c r="B258" s="347">
        <v>0.56100000000000005</v>
      </c>
      <c r="C258" s="263">
        <v>0.15</v>
      </c>
      <c r="D258" s="347">
        <v>5.8999999999999997E-2</v>
      </c>
      <c r="E258" s="263">
        <v>0.03</v>
      </c>
      <c r="F258" s="347">
        <f>128/796</f>
        <v>0.16080402010050251</v>
      </c>
      <c r="G258" s="263">
        <v>0.06</v>
      </c>
      <c r="H258"/>
      <c r="I258"/>
      <c r="J258"/>
      <c r="K258"/>
      <c r="L258"/>
      <c r="M258"/>
      <c r="N258"/>
    </row>
    <row r="259" spans="1:14">
      <c r="A259" s="340" t="s">
        <v>263</v>
      </c>
      <c r="B259" s="347">
        <v>0.57399999999999995</v>
      </c>
      <c r="C259" s="263">
        <v>0.15</v>
      </c>
      <c r="D259" s="347">
        <v>0.189</v>
      </c>
      <c r="E259" s="263">
        <v>0.03</v>
      </c>
      <c r="F259" s="347">
        <f>617/1314</f>
        <v>0.469558599695586</v>
      </c>
      <c r="G259" s="263">
        <v>0.06</v>
      </c>
      <c r="H259"/>
      <c r="I259"/>
      <c r="J259"/>
      <c r="K259"/>
      <c r="L259"/>
      <c r="M259"/>
      <c r="N259"/>
    </row>
    <row r="260" spans="1:14">
      <c r="A260" s="340" t="s">
        <v>266</v>
      </c>
      <c r="B260" s="347">
        <v>0.64600000000000002</v>
      </c>
      <c r="C260" s="263">
        <v>0.15</v>
      </c>
      <c r="D260" s="347">
        <v>0.15</v>
      </c>
      <c r="E260" s="263">
        <v>0.03</v>
      </c>
      <c r="F260" s="347">
        <f>465/1345</f>
        <v>0.34572490706319703</v>
      </c>
      <c r="G260" s="263">
        <v>0.06</v>
      </c>
      <c r="H260"/>
      <c r="I260"/>
      <c r="J260"/>
      <c r="K260"/>
      <c r="L260"/>
      <c r="M260"/>
      <c r="N260"/>
    </row>
    <row r="288" spans="1:14" ht="56">
      <c r="A288" s="340" t="s">
        <v>196</v>
      </c>
      <c r="B288" s="347">
        <v>0.50900000000000001</v>
      </c>
      <c r="C288" s="263">
        <v>0.15</v>
      </c>
      <c r="D288" s="347">
        <v>5.2999999999999999E-2</v>
      </c>
      <c r="E288" s="263">
        <v>0.03</v>
      </c>
      <c r="F288" s="347">
        <f>98/942</f>
        <v>0.1040339702760085</v>
      </c>
      <c r="G288" s="263">
        <v>0.06</v>
      </c>
      <c r="H288" s="347">
        <f>1851/1890</f>
        <v>0.97936507936507933</v>
      </c>
      <c r="I288" s="263">
        <v>0.95</v>
      </c>
      <c r="J288" s="348">
        <v>0</v>
      </c>
      <c r="K288" s="264">
        <v>2.5000000000000001E-3</v>
      </c>
      <c r="L288" s="340" t="s">
        <v>198</v>
      </c>
      <c r="M288" s="411"/>
      <c r="N288" s="411"/>
    </row>
    <row r="298" spans="1:2">
      <c r="A298" s="15" t="s">
        <v>290</v>
      </c>
      <c r="B298" s="15" t="s">
        <v>291</v>
      </c>
    </row>
    <row r="299" spans="1:2">
      <c r="A299" s="15" t="s">
        <v>292</v>
      </c>
      <c r="B299" s="15">
        <v>50</v>
      </c>
    </row>
    <row r="300" spans="1:2" ht="28">
      <c r="A300" s="15" t="s">
        <v>293</v>
      </c>
      <c r="B300" s="15">
        <v>16</v>
      </c>
    </row>
    <row r="301" spans="1:2">
      <c r="A301" s="15" t="s">
        <v>294</v>
      </c>
      <c r="B301" s="15">
        <v>8</v>
      </c>
    </row>
    <row r="302" spans="1:2">
      <c r="A302" s="15" t="s">
        <v>295</v>
      </c>
      <c r="B302" s="15">
        <v>9</v>
      </c>
    </row>
    <row r="303" spans="1:2">
      <c r="A303" s="15" t="s">
        <v>296</v>
      </c>
      <c r="B303" s="15">
        <v>12</v>
      </c>
    </row>
  </sheetData>
  <autoFilter ref="A2:G2" xr:uid="{D28B6405-3E64-E143-9CEE-0BE69C91CAE1}"/>
  <dataValidations count="3">
    <dataValidation allowBlank="1" showInputMessage="1" showErrorMessage="1" prompt="This column pulls data from Twitter Analytics worksheet: Tweet Impressions" sqref="B2:C2 B38:C38 B201:C201 B247:C247 B256:C256" xr:uid="{6DA0FD90-1349-AC42-9C24-6A6D52D17CBC}"/>
    <dataValidation allowBlank="1" showInputMessage="1" showErrorMessage="1" prompt="This column pulls data from LinkedIn Analytics worksheet: Impressions" sqref="D2:G2 D38:G38 D201:G201 D247:G247 D256:G256" xr:uid="{9F63FB2B-59E3-FC43-A871-1DE860F6B7DE}"/>
    <dataValidation allowBlank="1" showInputMessage="1" showErrorMessage="1" prompt="Copy the same date periods used across all analytic worksheets." sqref="A2:C2 A38:C38 A201:C201 A247:C247 A256:C256" xr:uid="{D7330318-55F3-0548-9472-43D1B635D336}"/>
  </dataValidation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34C6-E517-4A23-A7B1-82058C75922C}">
  <dimension ref="A1:V64"/>
  <sheetViews>
    <sheetView showGridLines="0" zoomScale="76" zoomScaleNormal="76" workbookViewId="0">
      <pane xSplit="1" ySplit="2" topLeftCell="C3" activePane="bottomRight" state="frozen"/>
      <selection pane="topRight" activeCell="C1" sqref="C1"/>
      <selection pane="bottomLeft" activeCell="A5" sqref="A5"/>
      <selection pane="bottomRight" activeCell="C3" sqref="C3"/>
    </sheetView>
  </sheetViews>
  <sheetFormatPr defaultColWidth="14.5" defaultRowHeight="14"/>
  <cols>
    <col min="1" max="1" width="32" style="15" customWidth="1"/>
    <col min="2" max="2" width="24" style="1" customWidth="1"/>
    <col min="3" max="3" width="15.5" style="524" customWidth="1"/>
    <col min="4" max="4" width="16" style="16" customWidth="1"/>
    <col min="5" max="5" width="16" style="482" customWidth="1"/>
    <col min="6" max="6" width="15.5" style="16" customWidth="1"/>
    <col min="7" max="7" width="15.5" style="482" customWidth="1"/>
    <col min="8" max="8" width="16" style="16" customWidth="1"/>
    <col min="9" max="9" width="16" style="341" customWidth="1"/>
    <col min="10" max="10" width="14.5" style="15" customWidth="1"/>
    <col min="11" max="11" width="14.5" style="340" customWidth="1"/>
    <col min="12" max="12" width="16.5" style="15" customWidth="1"/>
    <col min="13" max="13" width="21.5" style="15" customWidth="1"/>
    <col min="14" max="14" width="16.5" style="15" customWidth="1"/>
    <col min="15" max="15" width="22" style="15" customWidth="1"/>
    <col min="16" max="16" width="16.5" style="15" customWidth="1"/>
    <col min="17" max="17" width="13" style="15" customWidth="1"/>
    <col min="18" max="18" width="17" style="15" customWidth="1"/>
    <col min="19" max="19" width="18.5" style="303" customWidth="1"/>
    <col min="20" max="20" width="42" style="15" customWidth="1"/>
    <col min="21" max="21" width="75" style="15" customWidth="1"/>
    <col min="22" max="22" width="28" style="3" customWidth="1"/>
    <col min="23" max="16384" width="14.5" style="3"/>
  </cols>
  <sheetData>
    <row r="1" spans="1:22" ht="15.5">
      <c r="A1" s="17" t="s">
        <v>49</v>
      </c>
      <c r="B1" s="8"/>
      <c r="C1" s="515"/>
      <c r="D1" s="10"/>
      <c r="E1" s="478"/>
      <c r="F1" s="10"/>
      <c r="G1" s="478"/>
      <c r="H1" s="10"/>
      <c r="I1" s="491"/>
      <c r="J1" s="11"/>
      <c r="K1" s="491"/>
      <c r="L1" s="11"/>
      <c r="M1" s="11"/>
      <c r="N1" s="11"/>
      <c r="O1" s="11"/>
      <c r="P1" s="11"/>
      <c r="Q1" s="11"/>
      <c r="R1" s="11"/>
      <c r="S1" s="302"/>
      <c r="T1" s="11"/>
      <c r="U1" s="11"/>
      <c r="V1" s="11"/>
    </row>
    <row r="2" spans="1:22" s="12" customFormat="1" ht="28">
      <c r="A2" s="19" t="s">
        <v>50</v>
      </c>
      <c r="B2" s="97" t="s">
        <v>51</v>
      </c>
      <c r="C2" s="516" t="s">
        <v>297</v>
      </c>
      <c r="D2" s="20" t="s">
        <v>298</v>
      </c>
      <c r="E2" s="479" t="s">
        <v>299</v>
      </c>
      <c r="F2" s="20" t="s">
        <v>300</v>
      </c>
      <c r="G2" s="479" t="s">
        <v>301</v>
      </c>
      <c r="H2" s="493" t="s">
        <v>302</v>
      </c>
      <c r="I2" s="492" t="s">
        <v>303</v>
      </c>
      <c r="J2" s="498" t="s">
        <v>304</v>
      </c>
      <c r="K2" s="492" t="s">
        <v>305</v>
      </c>
      <c r="L2" s="512"/>
      <c r="M2" s="20"/>
      <c r="N2" s="20"/>
      <c r="O2" s="97"/>
      <c r="P2" s="20"/>
      <c r="Q2" s="20"/>
      <c r="R2" s="20"/>
      <c r="S2" s="301"/>
      <c r="T2" s="20"/>
      <c r="U2" s="413"/>
      <c r="V2" s="409"/>
    </row>
    <row r="3" spans="1:22" s="12" customFormat="1" ht="28">
      <c r="A3" s="96" t="s">
        <v>69</v>
      </c>
      <c r="B3" s="102"/>
      <c r="C3" s="476">
        <v>1432</v>
      </c>
      <c r="D3" s="475">
        <v>358</v>
      </c>
      <c r="E3" s="480">
        <f>(D3/C3)</f>
        <v>0.25</v>
      </c>
      <c r="F3" s="475">
        <v>347</v>
      </c>
      <c r="G3" s="487">
        <f>(F3/C3)</f>
        <v>0.24231843575418993</v>
      </c>
      <c r="H3" s="98">
        <v>346</v>
      </c>
      <c r="I3" s="497">
        <f>(H3/C3)</f>
        <v>0.24162011173184358</v>
      </c>
      <c r="J3" s="499">
        <v>381</v>
      </c>
      <c r="K3" s="497">
        <f>(J3/C3)</f>
        <v>0.26606145251396646</v>
      </c>
      <c r="L3" s="100"/>
      <c r="M3" s="259"/>
      <c r="N3" s="191"/>
      <c r="O3" s="104"/>
      <c r="P3" s="100"/>
      <c r="Q3" s="101"/>
      <c r="R3" s="192"/>
      <c r="S3" s="444"/>
      <c r="T3" s="193"/>
      <c r="U3" s="414"/>
      <c r="V3" s="410"/>
    </row>
    <row r="4" spans="1:22" s="12" customFormat="1" ht="28">
      <c r="A4" s="96" t="s">
        <v>73</v>
      </c>
      <c r="B4" s="102"/>
      <c r="C4" s="476">
        <v>10843</v>
      </c>
      <c r="D4" s="475">
        <v>3611</v>
      </c>
      <c r="E4" s="480">
        <f t="shared" ref="E4:E19" si="0">(D4/C4)</f>
        <v>0.33302591533708381</v>
      </c>
      <c r="F4" s="475">
        <v>0</v>
      </c>
      <c r="G4" s="487">
        <f t="shared" ref="G4:G20" si="1">(F4/C4)</f>
        <v>0</v>
      </c>
      <c r="H4" s="98">
        <v>3613</v>
      </c>
      <c r="I4" s="497">
        <f>(H4/C4)</f>
        <v>0.33321036613483351</v>
      </c>
      <c r="J4" s="525">
        <v>3619</v>
      </c>
      <c r="K4" s="497">
        <f t="shared" ref="K4:K20" si="2">(J4/C4)</f>
        <v>0.33376371852808262</v>
      </c>
      <c r="L4" s="100"/>
      <c r="M4" s="259"/>
      <c r="N4" s="191"/>
      <c r="O4" s="104"/>
      <c r="P4" s="100"/>
      <c r="Q4" s="101"/>
      <c r="R4" s="192"/>
      <c r="S4" s="444"/>
      <c r="T4" s="193"/>
      <c r="U4" s="414"/>
      <c r="V4" s="410"/>
    </row>
    <row r="5" spans="1:22" s="12" customFormat="1" ht="28">
      <c r="A5" s="96" t="s">
        <v>75</v>
      </c>
      <c r="B5" s="102"/>
      <c r="C5" s="476">
        <v>9810</v>
      </c>
      <c r="D5" s="475">
        <f>2433+8</f>
        <v>2441</v>
      </c>
      <c r="E5" s="480">
        <f t="shared" si="0"/>
        <v>0.24882772680937817</v>
      </c>
      <c r="F5" s="475">
        <f>1+2431</f>
        <v>2432</v>
      </c>
      <c r="G5" s="487">
        <f t="shared" si="1"/>
        <v>0.24791029561671762</v>
      </c>
      <c r="H5" s="98">
        <f>2428+3</f>
        <v>2431</v>
      </c>
      <c r="I5" s="497">
        <f>(H5/C5)</f>
        <v>0.24780835881753313</v>
      </c>
      <c r="J5" s="525">
        <f>21+2485</f>
        <v>2506</v>
      </c>
      <c r="K5" s="497">
        <f t="shared" si="2"/>
        <v>0.25545361875637107</v>
      </c>
      <c r="L5" s="100"/>
      <c r="M5" s="259"/>
      <c r="N5" s="191"/>
      <c r="O5" s="104"/>
      <c r="P5" s="100"/>
      <c r="Q5" s="101"/>
      <c r="R5" s="192"/>
      <c r="S5" s="444"/>
      <c r="T5" s="193"/>
      <c r="U5" s="414"/>
      <c r="V5" s="410"/>
    </row>
    <row r="6" spans="1:22" s="12" customFormat="1" ht="28">
      <c r="A6" s="96" t="s">
        <v>78</v>
      </c>
      <c r="B6" s="102"/>
      <c r="C6" s="476">
        <v>109</v>
      </c>
      <c r="D6" s="475">
        <v>27</v>
      </c>
      <c r="E6" s="480">
        <f t="shared" si="0"/>
        <v>0.24770642201834864</v>
      </c>
      <c r="F6" s="475">
        <v>26</v>
      </c>
      <c r="G6" s="487">
        <f t="shared" si="1"/>
        <v>0.23853211009174313</v>
      </c>
      <c r="H6" s="98">
        <v>26</v>
      </c>
      <c r="I6" s="497">
        <f>(H6/C6)</f>
        <v>0.23853211009174313</v>
      </c>
      <c r="J6" s="525">
        <v>30</v>
      </c>
      <c r="K6" s="497">
        <f t="shared" si="2"/>
        <v>0.27522935779816515</v>
      </c>
      <c r="L6" s="100"/>
      <c r="M6" s="259"/>
      <c r="N6" s="191"/>
      <c r="O6" s="104"/>
      <c r="P6" s="100"/>
      <c r="Q6" s="101"/>
      <c r="R6" s="192"/>
      <c r="S6" s="466"/>
      <c r="T6" s="193"/>
      <c r="U6" s="414"/>
      <c r="V6" s="410"/>
    </row>
    <row r="7" spans="1:22" s="12" customFormat="1" ht="56">
      <c r="A7" s="96" t="s">
        <v>82</v>
      </c>
      <c r="B7" s="102"/>
      <c r="C7" s="476">
        <v>5882</v>
      </c>
      <c r="D7" s="475">
        <v>1466</v>
      </c>
      <c r="E7" s="480">
        <f t="shared" si="0"/>
        <v>0.24923495409724583</v>
      </c>
      <c r="F7" s="475">
        <v>1461</v>
      </c>
      <c r="G7" s="487">
        <f t="shared" si="1"/>
        <v>0.24838490309418565</v>
      </c>
      <c r="H7" s="98">
        <v>1462</v>
      </c>
      <c r="I7" s="497">
        <f t="shared" ref="I7:I20" si="3">(H7/C7)</f>
        <v>0.24855491329479767</v>
      </c>
      <c r="J7" s="525">
        <v>1493</v>
      </c>
      <c r="K7" s="497">
        <f t="shared" si="2"/>
        <v>0.25382522951377084</v>
      </c>
      <c r="L7" s="100"/>
      <c r="M7" s="259"/>
      <c r="N7" s="191"/>
      <c r="O7" s="104"/>
      <c r="P7" s="100"/>
      <c r="Q7" s="101"/>
      <c r="R7" s="192"/>
      <c r="S7" s="466"/>
      <c r="T7" s="193"/>
      <c r="U7" s="414"/>
      <c r="V7" s="410"/>
    </row>
    <row r="8" spans="1:22" s="12" customFormat="1" ht="28">
      <c r="A8" s="96" t="s">
        <v>84</v>
      </c>
      <c r="B8" s="102"/>
      <c r="C8" s="476">
        <v>4142</v>
      </c>
      <c r="D8" s="475">
        <v>1051</v>
      </c>
      <c r="E8" s="480">
        <f t="shared" si="0"/>
        <v>0.25374215354901014</v>
      </c>
      <c r="F8" s="475">
        <v>1046</v>
      </c>
      <c r="G8" s="487">
        <f t="shared" si="1"/>
        <v>0.25253500724287786</v>
      </c>
      <c r="H8" s="98">
        <v>1017</v>
      </c>
      <c r="I8" s="497">
        <f t="shared" si="3"/>
        <v>0.24553355866731047</v>
      </c>
      <c r="J8" s="525">
        <v>1028</v>
      </c>
      <c r="K8" s="497">
        <f t="shared" si="2"/>
        <v>0.24818928054080155</v>
      </c>
      <c r="L8" s="100"/>
      <c r="M8" s="259"/>
      <c r="N8" s="99"/>
      <c r="O8" s="104"/>
      <c r="P8" s="100"/>
      <c r="Q8" s="101"/>
      <c r="R8" s="192"/>
      <c r="S8" s="466"/>
      <c r="T8" s="36"/>
      <c r="U8" s="414"/>
      <c r="V8" s="410"/>
    </row>
    <row r="9" spans="1:22" s="12" customFormat="1" ht="28">
      <c r="A9" s="96" t="s">
        <v>86</v>
      </c>
      <c r="B9" s="102"/>
      <c r="C9" s="476">
        <v>224</v>
      </c>
      <c r="D9" s="475">
        <f>54+3</f>
        <v>57</v>
      </c>
      <c r="E9" s="480">
        <f t="shared" si="0"/>
        <v>0.2544642857142857</v>
      </c>
      <c r="F9" s="475">
        <f>54+3</f>
        <v>57</v>
      </c>
      <c r="G9" s="487">
        <f t="shared" si="1"/>
        <v>0.2544642857142857</v>
      </c>
      <c r="H9" s="98">
        <f>4+55</f>
        <v>59</v>
      </c>
      <c r="I9" s="497">
        <f t="shared" si="3"/>
        <v>0.26339285714285715</v>
      </c>
      <c r="J9" s="525">
        <f>48+3</f>
        <v>51</v>
      </c>
      <c r="K9" s="497">
        <f t="shared" si="2"/>
        <v>0.22767857142857142</v>
      </c>
      <c r="L9" s="100"/>
      <c r="M9" s="467"/>
      <c r="N9" s="99"/>
      <c r="O9" s="104"/>
      <c r="P9" s="100"/>
      <c r="Q9" s="101"/>
      <c r="R9" s="192"/>
      <c r="S9" s="466"/>
      <c r="T9" s="36"/>
      <c r="U9" s="414"/>
      <c r="V9" s="410"/>
    </row>
    <row r="10" spans="1:22" s="12" customFormat="1" ht="28">
      <c r="A10" s="96" t="s">
        <v>89</v>
      </c>
      <c r="B10" s="102"/>
      <c r="C10" s="476">
        <v>937</v>
      </c>
      <c r="D10" s="475">
        <f>222+13</f>
        <v>235</v>
      </c>
      <c r="E10" s="480">
        <f t="shared" si="0"/>
        <v>0.25080042689434368</v>
      </c>
      <c r="F10" s="475">
        <f>8+217</f>
        <v>225</v>
      </c>
      <c r="G10" s="487">
        <f t="shared" si="1"/>
        <v>0.24012806830309499</v>
      </c>
      <c r="H10" s="98">
        <f>213+11</f>
        <v>224</v>
      </c>
      <c r="I10" s="497">
        <f t="shared" si="3"/>
        <v>0.23906083244397011</v>
      </c>
      <c r="J10" s="525">
        <f>10+243</f>
        <v>253</v>
      </c>
      <c r="K10" s="497">
        <f t="shared" si="2"/>
        <v>0.27001067235859127</v>
      </c>
      <c r="L10" s="100"/>
      <c r="M10" s="259"/>
      <c r="N10" s="99"/>
      <c r="O10" s="104"/>
      <c r="P10" s="100"/>
      <c r="Q10" s="101"/>
      <c r="R10" s="192"/>
      <c r="S10" s="466"/>
      <c r="T10" s="36"/>
      <c r="U10" s="414"/>
      <c r="V10" s="410"/>
    </row>
    <row r="11" spans="1:22" s="12" customFormat="1" ht="28">
      <c r="A11" s="96" t="s">
        <v>92</v>
      </c>
      <c r="B11" s="102"/>
      <c r="C11" s="476">
        <v>1043</v>
      </c>
      <c r="D11" s="475">
        <v>256</v>
      </c>
      <c r="E11" s="480">
        <f t="shared" si="0"/>
        <v>0.24544582933844677</v>
      </c>
      <c r="F11" s="475">
        <v>235</v>
      </c>
      <c r="G11" s="487">
        <f t="shared" si="1"/>
        <v>0.22531160115052731</v>
      </c>
      <c r="H11" s="98">
        <v>248</v>
      </c>
      <c r="I11" s="497">
        <f t="shared" si="3"/>
        <v>0.23777564717162034</v>
      </c>
      <c r="J11" s="525">
        <v>304</v>
      </c>
      <c r="K11" s="497">
        <f t="shared" si="2"/>
        <v>0.29146692233940558</v>
      </c>
      <c r="L11" s="100"/>
      <c r="M11" s="467"/>
      <c r="N11" s="191"/>
      <c r="O11" s="104"/>
      <c r="P11" s="100"/>
      <c r="Q11" s="101"/>
      <c r="R11" s="192"/>
      <c r="S11" s="466"/>
      <c r="T11" s="193"/>
      <c r="U11" s="414"/>
      <c r="V11" s="410"/>
    </row>
    <row r="12" spans="1:22" s="12" customFormat="1" ht="28">
      <c r="A12" s="96" t="s">
        <v>94</v>
      </c>
      <c r="B12" s="102"/>
      <c r="C12" s="476">
        <v>136</v>
      </c>
      <c r="D12" s="475">
        <v>23</v>
      </c>
      <c r="E12" s="480">
        <f t="shared" si="0"/>
        <v>0.16911764705882354</v>
      </c>
      <c r="F12" s="475">
        <v>14</v>
      </c>
      <c r="G12" s="487">
        <f t="shared" si="1"/>
        <v>0.10294117647058823</v>
      </c>
      <c r="H12" s="98">
        <v>22</v>
      </c>
      <c r="I12" s="497">
        <f t="shared" si="3"/>
        <v>0.16176470588235295</v>
      </c>
      <c r="J12" s="525">
        <v>77</v>
      </c>
      <c r="K12" s="497">
        <f t="shared" si="2"/>
        <v>0.56617647058823528</v>
      </c>
      <c r="L12" s="100"/>
      <c r="M12" s="467"/>
      <c r="N12" s="191"/>
      <c r="O12" s="104"/>
      <c r="P12" s="100"/>
      <c r="Q12" s="101"/>
      <c r="R12" s="192"/>
      <c r="S12" s="466"/>
      <c r="T12" s="193"/>
      <c r="U12" s="414"/>
      <c r="V12" s="410"/>
    </row>
    <row r="13" spans="1:22" s="12" customFormat="1" ht="42">
      <c r="A13" s="96" t="s">
        <v>96</v>
      </c>
      <c r="B13" s="102"/>
      <c r="C13" s="476">
        <v>684</v>
      </c>
      <c r="D13" s="475">
        <v>185</v>
      </c>
      <c r="E13" s="480">
        <f t="shared" si="0"/>
        <v>0.27046783625730997</v>
      </c>
      <c r="F13" s="475">
        <v>170</v>
      </c>
      <c r="G13" s="487">
        <f>(F13/C13)</f>
        <v>0.24853801169590642</v>
      </c>
      <c r="H13" s="98">
        <v>150</v>
      </c>
      <c r="I13" s="497">
        <f>(H13/C13)</f>
        <v>0.21929824561403508</v>
      </c>
      <c r="J13" s="525">
        <v>179</v>
      </c>
      <c r="K13" s="497">
        <f>(J13/C13)</f>
        <v>0.26169590643274854</v>
      </c>
      <c r="L13" s="100"/>
      <c r="M13" s="467"/>
      <c r="N13" s="191"/>
      <c r="O13" s="104"/>
      <c r="P13" s="100"/>
      <c r="Q13" s="101"/>
      <c r="R13" s="192"/>
      <c r="S13" s="466"/>
      <c r="T13" s="193"/>
      <c r="U13" s="414"/>
      <c r="V13" s="410"/>
    </row>
    <row r="14" spans="1:22" s="12" customFormat="1" ht="28">
      <c r="A14" s="96" t="s">
        <v>306</v>
      </c>
      <c r="B14" s="102"/>
      <c r="C14" s="476">
        <v>261</v>
      </c>
      <c r="D14" s="475">
        <v>58</v>
      </c>
      <c r="E14" s="480">
        <f t="shared" si="0"/>
        <v>0.22222222222222221</v>
      </c>
      <c r="F14" s="475">
        <v>69</v>
      </c>
      <c r="G14" s="487">
        <f t="shared" si="1"/>
        <v>0.26436781609195403</v>
      </c>
      <c r="H14" s="98">
        <v>57</v>
      </c>
      <c r="I14" s="497">
        <f t="shared" si="3"/>
        <v>0.21839080459770116</v>
      </c>
      <c r="J14" s="525">
        <v>77</v>
      </c>
      <c r="K14" s="497">
        <f t="shared" si="2"/>
        <v>0.2950191570881226</v>
      </c>
      <c r="L14" s="100"/>
      <c r="M14" s="467"/>
      <c r="N14" s="191"/>
      <c r="O14" s="104"/>
      <c r="P14" s="100"/>
      <c r="Q14" s="101"/>
      <c r="R14" s="192"/>
      <c r="S14" s="466"/>
      <c r="T14" s="193"/>
      <c r="U14" s="414"/>
      <c r="V14" s="410"/>
    </row>
    <row r="15" spans="1:22" s="12" customFormat="1" ht="28">
      <c r="A15" s="96" t="s">
        <v>101</v>
      </c>
      <c r="B15" s="102"/>
      <c r="C15" s="476">
        <v>1092</v>
      </c>
      <c r="D15" s="475">
        <v>25</v>
      </c>
      <c r="E15" s="480">
        <f t="shared" si="0"/>
        <v>2.2893772893772892E-2</v>
      </c>
      <c r="F15" s="475">
        <v>25</v>
      </c>
      <c r="G15" s="487">
        <f t="shared" si="1"/>
        <v>2.2893772893772892E-2</v>
      </c>
      <c r="H15" s="98">
        <v>31</v>
      </c>
      <c r="I15" s="497">
        <f t="shared" si="3"/>
        <v>2.8388278388278388E-2</v>
      </c>
      <c r="J15" s="525">
        <v>1011</v>
      </c>
      <c r="K15" s="497">
        <f t="shared" si="2"/>
        <v>0.92582417582417587</v>
      </c>
      <c r="L15" s="100"/>
      <c r="M15" s="467"/>
      <c r="N15" s="191"/>
      <c r="O15" s="104"/>
      <c r="P15" s="100"/>
      <c r="Q15" s="101"/>
      <c r="R15" s="192"/>
      <c r="S15" s="466"/>
      <c r="T15" s="193"/>
      <c r="U15" s="414"/>
      <c r="V15" s="410"/>
    </row>
    <row r="16" spans="1:22" s="12" customFormat="1" ht="56">
      <c r="A16" s="96" t="s">
        <v>307</v>
      </c>
      <c r="B16" s="102"/>
      <c r="C16" s="476">
        <v>887</v>
      </c>
      <c r="D16" s="475">
        <v>213</v>
      </c>
      <c r="E16" s="480">
        <f t="shared" si="0"/>
        <v>0.24013528748590757</v>
      </c>
      <c r="F16" s="475">
        <v>305</v>
      </c>
      <c r="G16" s="487">
        <f t="shared" si="1"/>
        <v>0.3438556933483653</v>
      </c>
      <c r="H16" s="98">
        <v>194</v>
      </c>
      <c r="I16" s="497">
        <f t="shared" si="3"/>
        <v>0.21871476888387825</v>
      </c>
      <c r="J16" s="525">
        <v>175</v>
      </c>
      <c r="K16" s="497">
        <f t="shared" si="2"/>
        <v>0.19729425028184894</v>
      </c>
      <c r="L16" s="100"/>
      <c r="M16" s="467"/>
      <c r="N16" s="191"/>
      <c r="O16" s="104"/>
      <c r="P16" s="100"/>
      <c r="Q16" s="101"/>
      <c r="R16" s="192"/>
      <c r="S16" s="466"/>
      <c r="T16" s="193"/>
      <c r="U16" s="414"/>
      <c r="V16" s="410"/>
    </row>
    <row r="17" spans="1:22" s="12" customFormat="1">
      <c r="A17" s="241" t="s">
        <v>287</v>
      </c>
      <c r="B17" s="242"/>
      <c r="C17" s="476">
        <v>80</v>
      </c>
      <c r="D17" s="475">
        <v>17</v>
      </c>
      <c r="E17" s="480">
        <f t="shared" si="0"/>
        <v>0.21249999999999999</v>
      </c>
      <c r="F17" s="475">
        <v>18</v>
      </c>
      <c r="G17" s="487">
        <f t="shared" si="1"/>
        <v>0.22500000000000001</v>
      </c>
      <c r="H17" s="98">
        <v>38</v>
      </c>
      <c r="I17" s="497">
        <f t="shared" si="3"/>
        <v>0.47499999999999998</v>
      </c>
      <c r="J17" s="525">
        <v>7</v>
      </c>
      <c r="K17" s="497">
        <f t="shared" si="2"/>
        <v>8.7499999999999994E-2</v>
      </c>
      <c r="L17" s="247"/>
      <c r="M17" s="473"/>
      <c r="N17" s="248"/>
      <c r="O17" s="249"/>
      <c r="P17" s="247"/>
      <c r="Q17" s="250"/>
      <c r="R17" s="251"/>
      <c r="S17" s="474"/>
      <c r="T17" s="252"/>
      <c r="U17" s="415"/>
      <c r="V17" s="410"/>
    </row>
    <row r="18" spans="1:22">
      <c r="A18" s="304" t="s">
        <v>288</v>
      </c>
      <c r="B18" s="305"/>
      <c r="C18" s="476">
        <v>151</v>
      </c>
      <c r="D18" s="475">
        <v>26</v>
      </c>
      <c r="E18" s="480">
        <f t="shared" si="0"/>
        <v>0.17218543046357615</v>
      </c>
      <c r="F18" s="475">
        <v>32</v>
      </c>
      <c r="G18" s="487">
        <f t="shared" si="1"/>
        <v>0.2119205298013245</v>
      </c>
      <c r="H18" s="98">
        <v>46</v>
      </c>
      <c r="I18" s="497">
        <f t="shared" si="3"/>
        <v>0.30463576158940397</v>
      </c>
      <c r="J18" s="525">
        <v>47</v>
      </c>
      <c r="K18" s="497">
        <f t="shared" si="2"/>
        <v>0.31125827814569534</v>
      </c>
      <c r="L18" s="247"/>
      <c r="M18" s="473"/>
      <c r="N18" s="248"/>
      <c r="O18" s="249"/>
      <c r="P18" s="247"/>
      <c r="Q18" s="250"/>
      <c r="R18" s="251"/>
      <c r="S18" s="474"/>
      <c r="T18" s="252"/>
      <c r="U18" s="416"/>
      <c r="V18" s="411"/>
    </row>
    <row r="19" spans="1:22" s="258" customFormat="1" ht="28">
      <c r="A19" s="102" t="s">
        <v>308</v>
      </c>
      <c r="B19" s="309"/>
      <c r="C19" s="476">
        <v>43</v>
      </c>
      <c r="D19" s="475">
        <v>0</v>
      </c>
      <c r="E19" s="480">
        <f t="shared" si="0"/>
        <v>0</v>
      </c>
      <c r="F19" s="475">
        <v>43</v>
      </c>
      <c r="G19" s="487">
        <f t="shared" si="1"/>
        <v>1</v>
      </c>
      <c r="H19" s="98">
        <v>0</v>
      </c>
      <c r="I19" s="497">
        <f t="shared" si="3"/>
        <v>0</v>
      </c>
      <c r="J19" s="525">
        <v>0</v>
      </c>
      <c r="K19" s="497">
        <f t="shared" si="2"/>
        <v>0</v>
      </c>
      <c r="L19" s="513"/>
      <c r="M19" s="467"/>
      <c r="N19" s="263"/>
      <c r="O19" s="104"/>
      <c r="P19" s="263"/>
      <c r="Q19" s="262"/>
      <c r="R19" s="263"/>
      <c r="S19" s="472"/>
      <c r="T19" s="264"/>
      <c r="U19" s="416"/>
      <c r="V19" s="411"/>
    </row>
    <row r="20" spans="1:22" ht="28">
      <c r="A20" s="242" t="s">
        <v>309</v>
      </c>
      <c r="B20" s="305"/>
      <c r="C20" s="476">
        <v>57</v>
      </c>
      <c r="D20" s="475">
        <v>16</v>
      </c>
      <c r="E20" s="480">
        <f>(D20/C20)</f>
        <v>0.2807017543859649</v>
      </c>
      <c r="F20" s="475">
        <v>12</v>
      </c>
      <c r="G20" s="487">
        <f t="shared" si="1"/>
        <v>0.21052631578947367</v>
      </c>
      <c r="H20" s="98">
        <v>11</v>
      </c>
      <c r="I20" s="497">
        <f t="shared" si="3"/>
        <v>0.19298245614035087</v>
      </c>
      <c r="J20" s="525">
        <v>18</v>
      </c>
      <c r="K20" s="497">
        <f t="shared" si="2"/>
        <v>0.31578947368421051</v>
      </c>
      <c r="L20" s="294"/>
      <c r="M20" s="249"/>
      <c r="N20" s="292"/>
      <c r="O20" s="314"/>
      <c r="P20" s="292"/>
      <c r="Q20" s="313"/>
      <c r="R20" s="292"/>
      <c r="S20" s="473"/>
      <c r="T20" s="293"/>
      <c r="U20" s="416"/>
      <c r="V20" s="411"/>
    </row>
    <row r="21" spans="1:22">
      <c r="A21" s="315" t="s">
        <v>310</v>
      </c>
      <c r="B21" s="315"/>
      <c r="C21" s="316">
        <v>63</v>
      </c>
      <c r="D21" s="316">
        <v>16</v>
      </c>
      <c r="E21" s="480">
        <f>(D21/C21)</f>
        <v>0.25396825396825395</v>
      </c>
      <c r="F21" s="316">
        <v>14</v>
      </c>
      <c r="G21" s="487">
        <f>(F21/C21)</f>
        <v>0.22222222222222221</v>
      </c>
      <c r="H21" s="316">
        <v>15</v>
      </c>
      <c r="I21" s="497">
        <f>(H21/C21)</f>
        <v>0.23809523809523808</v>
      </c>
      <c r="J21" s="525">
        <v>18</v>
      </c>
      <c r="K21" s="497">
        <f>(J21/C21)</f>
        <v>0.2857142857142857</v>
      </c>
      <c r="L21" s="294"/>
      <c r="M21" s="545"/>
      <c r="N21" s="292"/>
      <c r="O21" s="546"/>
      <c r="P21" s="292"/>
      <c r="Q21" s="481"/>
      <c r="R21" s="292"/>
      <c r="S21" s="547"/>
      <c r="T21" s="345"/>
      <c r="U21" s="416"/>
      <c r="V21" s="411"/>
    </row>
    <row r="22" spans="1:22">
      <c r="A22" s="315" t="s">
        <v>311</v>
      </c>
      <c r="B22" s="316"/>
      <c r="C22" s="316">
        <f>55+50+37+53</f>
        <v>195</v>
      </c>
      <c r="D22" s="316">
        <v>55</v>
      </c>
      <c r="E22" s="480">
        <f>(D22/C22)</f>
        <v>0.28205128205128205</v>
      </c>
      <c r="F22" s="316">
        <v>50</v>
      </c>
      <c r="G22" s="487">
        <f>(F22/C22)</f>
        <v>0.25641025641025639</v>
      </c>
      <c r="H22" s="589">
        <v>37</v>
      </c>
      <c r="I22" s="497">
        <f>(H22/C22)</f>
        <v>0.18974358974358974</v>
      </c>
      <c r="J22" s="525">
        <v>53</v>
      </c>
      <c r="K22" s="497">
        <f>(J22/C22)</f>
        <v>0.27179487179487177</v>
      </c>
      <c r="L22" s="294"/>
      <c r="M22" s="545"/>
      <c r="N22" s="292"/>
      <c r="O22" s="546"/>
      <c r="P22" s="292"/>
      <c r="Q22" s="481"/>
      <c r="R22" s="292"/>
      <c r="S22" s="547"/>
      <c r="T22" s="345"/>
      <c r="U22" s="416"/>
      <c r="V22" s="411"/>
    </row>
    <row r="23" spans="1:22">
      <c r="A23" s="315"/>
      <c r="B23" s="316"/>
      <c r="C23" s="315"/>
      <c r="D23" s="315"/>
      <c r="E23" s="480" t="e">
        <f>(D23/C23)</f>
        <v>#DIV/0!</v>
      </c>
      <c r="F23" s="315"/>
      <c r="G23" s="487" t="e">
        <f>(F23/C23)</f>
        <v>#DIV/0!</v>
      </c>
      <c r="H23" s="315"/>
      <c r="I23" s="497" t="e">
        <f>(H23/C23)</f>
        <v>#DIV/0!</v>
      </c>
      <c r="J23" s="525"/>
      <c r="K23" s="497" t="e">
        <f>(J23/C23)</f>
        <v>#DIV/0!</v>
      </c>
      <c r="L23" s="294"/>
      <c r="M23" s="545"/>
      <c r="N23" s="292"/>
      <c r="O23" s="546"/>
      <c r="P23" s="292"/>
      <c r="Q23" s="481"/>
      <c r="R23" s="292"/>
      <c r="S23" s="547"/>
      <c r="T23" s="345"/>
      <c r="U23" s="416"/>
      <c r="V23" s="411"/>
    </row>
    <row r="24" spans="1:22">
      <c r="A24" s="315"/>
      <c r="B24" s="316"/>
      <c r="C24" s="315"/>
      <c r="D24" s="315"/>
      <c r="E24" s="480" t="e">
        <f>(D24/C24)</f>
        <v>#DIV/0!</v>
      </c>
      <c r="F24" s="315"/>
      <c r="G24" s="315"/>
      <c r="H24" s="589"/>
      <c r="I24" s="497"/>
      <c r="J24" s="525"/>
      <c r="K24" s="497"/>
      <c r="L24" s="294"/>
      <c r="M24" s="545"/>
      <c r="N24" s="292"/>
      <c r="O24" s="546"/>
      <c r="P24" s="292"/>
      <c r="Q24" s="481"/>
      <c r="R24" s="292"/>
      <c r="S24" s="547"/>
      <c r="T24" s="345"/>
      <c r="U24" s="416"/>
      <c r="V24" s="411"/>
    </row>
    <row r="25" spans="1:22">
      <c r="A25" s="315"/>
      <c r="B25" s="316"/>
      <c r="C25" s="315"/>
      <c r="D25" s="315"/>
      <c r="E25" s="339"/>
      <c r="F25" s="315"/>
      <c r="G25" s="315"/>
      <c r="H25" s="494"/>
      <c r="I25" s="489"/>
      <c r="J25" s="500"/>
      <c r="K25" s="489"/>
      <c r="L25" s="294"/>
      <c r="M25" s="322"/>
      <c r="N25" s="292"/>
      <c r="O25" s="322"/>
      <c r="P25" s="292"/>
      <c r="Q25" s="323"/>
      <c r="R25" s="292"/>
      <c r="S25" s="322"/>
      <c r="T25" s="345"/>
      <c r="U25" s="417"/>
      <c r="V25" s="411"/>
    </row>
    <row r="26" spans="1:22">
      <c r="A26" s="324"/>
      <c r="B26" s="325"/>
      <c r="C26" s="315"/>
      <c r="D26" s="326"/>
      <c r="E26" s="344"/>
      <c r="F26" s="327"/>
      <c r="G26" s="344"/>
      <c r="H26" s="495"/>
      <c r="I26" s="489"/>
      <c r="J26" s="501"/>
      <c r="K26" s="489"/>
      <c r="L26" s="294"/>
      <c r="M26" s="330"/>
      <c r="N26" s="292"/>
      <c r="O26" s="330"/>
      <c r="P26" s="292"/>
      <c r="Q26" s="339"/>
      <c r="R26" s="292"/>
      <c r="S26" s="322"/>
      <c r="T26" s="345"/>
      <c r="U26" s="418"/>
      <c r="V26" s="411"/>
    </row>
    <row r="27" spans="1:22" s="23" customFormat="1">
      <c r="A27" s="526" t="s">
        <v>312</v>
      </c>
      <c r="B27" s="527"/>
      <c r="C27" s="528">
        <f>AVERAGE(C3:C20)</f>
        <v>2100.7222222222222</v>
      </c>
      <c r="D27" s="528">
        <f>AVERAGE(D3:D20)</f>
        <v>559.16666666666663</v>
      </c>
      <c r="E27" s="529">
        <f>AVERAGE(E3:E20)</f>
        <v>0.21797064802920665</v>
      </c>
      <c r="F27" s="532">
        <f>AVERAGE(F3:F20)</f>
        <v>362.05555555555554</v>
      </c>
      <c r="G27" s="529">
        <f>AVERAGE(G3:G20)</f>
        <v>0.25442377905883373</v>
      </c>
      <c r="H27" s="528">
        <f t="shared" ref="H27:K27" si="4">AVERAGE(H3:H20)</f>
        <v>554.16666666666663</v>
      </c>
      <c r="I27" s="529">
        <f>AVERAGE(I3:I20)</f>
        <v>0.22859243203291721</v>
      </c>
      <c r="J27" s="528">
        <f t="shared" si="4"/>
        <v>625.33333333333337</v>
      </c>
      <c r="K27" s="529">
        <f t="shared" si="4"/>
        <v>0.29901314087904241</v>
      </c>
      <c r="L27" s="514"/>
      <c r="M27" s="530"/>
      <c r="N27" s="295"/>
      <c r="O27" s="530"/>
      <c r="P27" s="294"/>
      <c r="Q27" s="529"/>
      <c r="R27" s="292"/>
      <c r="S27" s="530"/>
      <c r="T27" s="345"/>
      <c r="U27" s="418"/>
      <c r="V27" s="531"/>
    </row>
    <row r="28" spans="1:22">
      <c r="A28" s="315"/>
      <c r="B28" s="316"/>
      <c r="C28" s="517"/>
      <c r="D28" s="318"/>
      <c r="E28" s="339"/>
      <c r="F28" s="319"/>
      <c r="G28" s="339"/>
      <c r="H28" s="494"/>
      <c r="I28" s="489"/>
      <c r="J28" s="502"/>
      <c r="K28" s="489"/>
      <c r="L28" s="514"/>
      <c r="M28" s="322"/>
      <c r="N28" s="295"/>
      <c r="O28" s="322"/>
      <c r="P28" s="294"/>
      <c r="Q28" s="339"/>
      <c r="R28" s="292"/>
      <c r="S28" s="322"/>
      <c r="T28" s="345"/>
      <c r="U28" s="417"/>
      <c r="V28" s="411"/>
    </row>
    <row r="29" spans="1:22">
      <c r="A29" s="324"/>
      <c r="B29" s="325"/>
      <c r="C29" s="518"/>
      <c r="D29" s="326"/>
      <c r="E29" s="344"/>
      <c r="F29" s="327"/>
      <c r="G29" s="344"/>
      <c r="H29" s="495"/>
      <c r="I29" s="489"/>
      <c r="J29" s="503"/>
      <c r="K29" s="489"/>
      <c r="L29" s="349"/>
      <c r="M29" s="330"/>
      <c r="N29" s="343"/>
      <c r="O29" s="330"/>
      <c r="P29" s="294"/>
      <c r="Q29" s="344"/>
      <c r="R29" s="292"/>
      <c r="S29" s="330"/>
      <c r="T29" s="345"/>
      <c r="U29" s="419"/>
      <c r="V29" s="411"/>
    </row>
    <row r="30" spans="1:22">
      <c r="A30" s="340"/>
      <c r="B30" s="309"/>
      <c r="C30" s="519"/>
      <c r="D30" s="350"/>
      <c r="F30" s="327"/>
      <c r="G30" s="481"/>
      <c r="H30" s="351"/>
      <c r="I30" s="364"/>
      <c r="J30" s="504"/>
      <c r="K30" s="364"/>
      <c r="L30" s="513"/>
      <c r="M30" s="347"/>
      <c r="N30" s="349"/>
      <c r="O30" s="347"/>
      <c r="P30" s="294"/>
      <c r="Q30" s="344"/>
      <c r="R30" s="292"/>
      <c r="S30" s="348"/>
      <c r="T30" s="345"/>
      <c r="U30" s="419"/>
      <c r="V30" s="411"/>
    </row>
    <row r="31" spans="1:22">
      <c r="A31" s="365"/>
      <c r="B31" s="305"/>
      <c r="C31" s="520"/>
      <c r="D31" s="350"/>
      <c r="E31" s="483"/>
      <c r="F31" s="367"/>
      <c r="G31" s="488"/>
      <c r="H31" s="351"/>
      <c r="I31" s="364"/>
      <c r="J31" s="505"/>
      <c r="K31" s="364"/>
      <c r="L31" s="294"/>
      <c r="M31" s="368"/>
      <c r="N31" s="349"/>
      <c r="O31" s="368"/>
      <c r="P31" s="294"/>
      <c r="Q31" s="344"/>
      <c r="R31" s="292"/>
      <c r="S31" s="369"/>
      <c r="T31" s="345"/>
      <c r="U31" s="420"/>
      <c r="V31" s="411"/>
    </row>
    <row r="32" spans="1:22">
      <c r="A32" s="340"/>
      <c r="B32" s="362"/>
      <c r="C32" s="519"/>
      <c r="D32" s="341"/>
      <c r="E32" s="371"/>
      <c r="F32" s="363"/>
      <c r="G32" s="371"/>
      <c r="H32" s="490"/>
      <c r="I32" s="364"/>
      <c r="J32" s="506"/>
      <c r="K32" s="364"/>
      <c r="L32" s="513"/>
      <c r="M32" s="347"/>
      <c r="N32" s="263"/>
      <c r="O32" s="373"/>
      <c r="P32" s="263"/>
      <c r="Q32" s="371"/>
      <c r="R32" s="263"/>
      <c r="S32" s="348"/>
      <c r="T32" s="264"/>
      <c r="U32" s="421"/>
      <c r="V32" s="411"/>
    </row>
    <row r="33" spans="1:22">
      <c r="A33" s="340"/>
      <c r="B33" s="362"/>
      <c r="C33" s="519"/>
      <c r="D33" s="341"/>
      <c r="E33" s="371"/>
      <c r="F33" s="363"/>
      <c r="G33" s="371"/>
      <c r="H33" s="490"/>
      <c r="I33" s="364"/>
      <c r="J33" s="506"/>
      <c r="K33" s="364"/>
      <c r="L33" s="513"/>
      <c r="M33" s="347"/>
      <c r="N33" s="263"/>
      <c r="O33" s="347"/>
      <c r="P33" s="263"/>
      <c r="Q33" s="370"/>
      <c r="R33" s="263"/>
      <c r="S33" s="348"/>
      <c r="T33" s="264"/>
      <c r="U33" s="422"/>
      <c r="V33" s="411"/>
    </row>
    <row r="34" spans="1:22">
      <c r="A34" s="340"/>
      <c r="B34" s="362"/>
      <c r="C34" s="519"/>
      <c r="D34" s="341"/>
      <c r="E34" s="371"/>
      <c r="F34" s="363"/>
      <c r="G34" s="371"/>
      <c r="H34" s="490"/>
      <c r="I34" s="364"/>
      <c r="J34" s="506"/>
      <c r="K34" s="364"/>
      <c r="L34" s="513"/>
      <c r="M34" s="347"/>
      <c r="N34" s="263"/>
      <c r="O34" s="347"/>
      <c r="P34" s="263"/>
      <c r="Q34" s="370"/>
      <c r="R34" s="263"/>
      <c r="S34" s="348"/>
      <c r="T34" s="264"/>
      <c r="U34" s="421"/>
      <c r="V34" s="411"/>
    </row>
    <row r="35" spans="1:22">
      <c r="A35" s="374"/>
      <c r="B35" s="375"/>
      <c r="C35" s="521"/>
      <c r="D35" s="377"/>
      <c r="E35" s="484"/>
      <c r="F35" s="378"/>
      <c r="G35" s="484"/>
      <c r="H35" s="490"/>
      <c r="I35" s="364"/>
      <c r="J35" s="507"/>
      <c r="K35" s="364"/>
      <c r="L35" s="513"/>
      <c r="M35" s="380"/>
      <c r="N35" s="263"/>
      <c r="O35" s="380"/>
      <c r="P35" s="263"/>
      <c r="Q35" s="381"/>
      <c r="R35" s="263"/>
      <c r="S35" s="348"/>
      <c r="T35" s="264"/>
      <c r="U35" s="419"/>
      <c r="V35" s="411"/>
    </row>
    <row r="36" spans="1:22">
      <c r="A36" s="374"/>
      <c r="B36" s="375"/>
      <c r="C36" s="521"/>
      <c r="D36" s="377"/>
      <c r="E36" s="484"/>
      <c r="F36" s="378"/>
      <c r="G36" s="484"/>
      <c r="H36" s="490"/>
      <c r="I36" s="364"/>
      <c r="J36" s="507"/>
      <c r="K36" s="364"/>
      <c r="L36" s="513"/>
      <c r="M36" s="380"/>
      <c r="N36" s="263"/>
      <c r="O36" s="380"/>
      <c r="P36" s="263"/>
      <c r="Q36" s="381"/>
      <c r="R36" s="263"/>
      <c r="S36" s="348"/>
      <c r="T36" s="264"/>
      <c r="U36" s="419"/>
      <c r="V36" s="411"/>
    </row>
    <row r="37" spans="1:22">
      <c r="A37" s="374"/>
      <c r="B37" s="375"/>
      <c r="C37" s="521"/>
      <c r="D37" s="377"/>
      <c r="E37" s="484"/>
      <c r="F37" s="378"/>
      <c r="G37" s="484"/>
      <c r="H37" s="490"/>
      <c r="I37" s="364"/>
      <c r="J37" s="507"/>
      <c r="K37" s="364"/>
      <c r="L37" s="513"/>
      <c r="M37" s="380"/>
      <c r="N37" s="263"/>
      <c r="O37" s="380"/>
      <c r="P37" s="263"/>
      <c r="Q37" s="381"/>
      <c r="R37" s="263"/>
      <c r="S37" s="348"/>
      <c r="T37" s="264"/>
      <c r="U37" s="419"/>
      <c r="V37" s="411"/>
    </row>
    <row r="38" spans="1:22">
      <c r="A38" s="374"/>
      <c r="B38" s="375"/>
      <c r="C38" s="521"/>
      <c r="D38" s="377"/>
      <c r="E38" s="484"/>
      <c r="F38" s="378"/>
      <c r="G38" s="484"/>
      <c r="H38" s="490"/>
      <c r="I38" s="364"/>
      <c r="J38" s="507"/>
      <c r="K38" s="364"/>
      <c r="L38" s="513"/>
      <c r="M38" s="380"/>
      <c r="N38" s="263"/>
      <c r="O38" s="380"/>
      <c r="P38" s="263"/>
      <c r="Q38" s="381"/>
      <c r="R38" s="263"/>
      <c r="S38" s="348"/>
      <c r="T38" s="264"/>
      <c r="U38" s="420"/>
      <c r="V38" s="411"/>
    </row>
    <row r="39" spans="1:22">
      <c r="A39" s="374"/>
      <c r="B39" s="375"/>
      <c r="C39" s="521"/>
      <c r="D39" s="377"/>
      <c r="E39" s="484"/>
      <c r="F39" s="378"/>
      <c r="G39" s="484"/>
      <c r="H39" s="490"/>
      <c r="I39" s="364"/>
      <c r="J39" s="507"/>
      <c r="K39" s="364"/>
      <c r="L39" s="513"/>
      <c r="M39" s="380"/>
      <c r="N39" s="263"/>
      <c r="O39" s="380"/>
      <c r="P39" s="263"/>
      <c r="Q39" s="381"/>
      <c r="R39" s="263"/>
      <c r="S39" s="348"/>
      <c r="T39" s="385"/>
      <c r="U39" s="421"/>
      <c r="V39" s="411"/>
    </row>
    <row r="40" spans="1:22">
      <c r="A40" s="374"/>
      <c r="B40" s="375"/>
      <c r="C40" s="521"/>
      <c r="D40" s="377"/>
      <c r="E40" s="484"/>
      <c r="F40" s="378"/>
      <c r="G40" s="484"/>
      <c r="H40" s="490"/>
      <c r="I40" s="364"/>
      <c r="J40" s="507"/>
      <c r="K40" s="364"/>
      <c r="L40" s="513"/>
      <c r="M40" s="380"/>
      <c r="N40" s="263"/>
      <c r="O40" s="380"/>
      <c r="P40" s="263"/>
      <c r="Q40" s="381"/>
      <c r="R40" s="263"/>
      <c r="S40" s="348"/>
      <c r="T40" s="385"/>
      <c r="U40" s="421"/>
      <c r="V40" s="411"/>
    </row>
    <row r="41" spans="1:22">
      <c r="A41" s="374"/>
      <c r="B41" s="375"/>
      <c r="C41" s="521"/>
      <c r="D41" s="377"/>
      <c r="E41" s="484"/>
      <c r="F41" s="378"/>
      <c r="G41" s="484"/>
      <c r="H41" s="490"/>
      <c r="I41" s="364"/>
      <c r="J41" s="507"/>
      <c r="K41" s="364"/>
      <c r="L41" s="513"/>
      <c r="M41" s="380"/>
      <c r="N41" s="263"/>
      <c r="O41" s="380"/>
      <c r="P41" s="263"/>
      <c r="Q41" s="381"/>
      <c r="R41" s="263"/>
      <c r="S41" s="348"/>
      <c r="T41" s="385"/>
      <c r="U41" s="421"/>
      <c r="V41" s="411"/>
    </row>
    <row r="42" spans="1:22">
      <c r="A42" s="374"/>
      <c r="B42" s="375"/>
      <c r="C42" s="521"/>
      <c r="D42" s="377"/>
      <c r="E42" s="484"/>
      <c r="F42" s="378"/>
      <c r="G42" s="484"/>
      <c r="H42" s="490"/>
      <c r="I42" s="364"/>
      <c r="J42" s="507"/>
      <c r="K42" s="364"/>
      <c r="L42" s="513"/>
      <c r="M42" s="380"/>
      <c r="N42" s="263"/>
      <c r="O42" s="380"/>
      <c r="P42" s="263"/>
      <c r="Q42" s="381"/>
      <c r="R42" s="263"/>
      <c r="S42" s="348"/>
      <c r="T42" s="385"/>
      <c r="U42" s="421"/>
      <c r="V42" s="411"/>
    </row>
    <row r="43" spans="1:22">
      <c r="A43" s="374"/>
      <c r="B43" s="375"/>
      <c r="C43" s="521"/>
      <c r="D43" s="377"/>
      <c r="E43" s="484"/>
      <c r="F43" s="378"/>
      <c r="G43" s="484"/>
      <c r="H43" s="490"/>
      <c r="I43" s="364"/>
      <c r="J43" s="507"/>
      <c r="K43" s="364"/>
      <c r="L43" s="513"/>
      <c r="M43" s="380"/>
      <c r="N43" s="263"/>
      <c r="O43" s="380"/>
      <c r="P43" s="263"/>
      <c r="Q43" s="381"/>
      <c r="R43" s="263"/>
      <c r="S43" s="348"/>
      <c r="T43" s="385"/>
      <c r="U43" s="421"/>
      <c r="V43" s="411"/>
    </row>
    <row r="44" spans="1:22">
      <c r="A44" s="394"/>
      <c r="B44" s="395"/>
      <c r="C44" s="522"/>
      <c r="D44" s="397"/>
      <c r="E44" s="485"/>
      <c r="F44" s="398"/>
      <c r="G44" s="485"/>
      <c r="H44" s="351"/>
      <c r="I44" s="364"/>
      <c r="J44" s="508"/>
      <c r="K44" s="364"/>
      <c r="L44" s="294"/>
      <c r="M44" s="401"/>
      <c r="N44" s="292"/>
      <c r="O44" s="401"/>
      <c r="P44" s="292"/>
      <c r="Q44" s="402"/>
      <c r="R44" s="292"/>
      <c r="S44" s="369"/>
      <c r="T44" s="345"/>
      <c r="U44" s="423"/>
      <c r="V44" s="411"/>
    </row>
    <row r="45" spans="1:22" s="391" customFormat="1">
      <c r="A45" s="392"/>
      <c r="B45" s="362"/>
      <c r="C45" s="519"/>
      <c r="D45" s="341"/>
      <c r="E45" s="371"/>
      <c r="F45" s="393"/>
      <c r="G45" s="483"/>
      <c r="H45" s="351"/>
      <c r="I45" s="364"/>
      <c r="J45" s="506"/>
      <c r="K45" s="364"/>
      <c r="L45" s="513"/>
      <c r="M45" s="380"/>
      <c r="N45" s="263"/>
      <c r="O45" s="347"/>
      <c r="P45" s="263"/>
      <c r="Q45" s="370"/>
      <c r="R45" s="263"/>
      <c r="S45" s="348"/>
      <c r="T45" s="264"/>
      <c r="U45" s="424"/>
      <c r="V45" s="412"/>
    </row>
    <row r="46" spans="1:22" s="391" customFormat="1">
      <c r="A46" s="392"/>
      <c r="B46" s="362"/>
      <c r="C46" s="519"/>
      <c r="D46" s="341"/>
      <c r="E46" s="371"/>
      <c r="F46" s="393"/>
      <c r="G46" s="483"/>
      <c r="H46" s="351"/>
      <c r="I46" s="364"/>
      <c r="J46" s="506"/>
      <c r="K46" s="364"/>
      <c r="L46" s="513"/>
      <c r="M46" s="380"/>
      <c r="N46" s="263"/>
      <c r="O46" s="347"/>
      <c r="P46" s="263"/>
      <c r="Q46" s="370"/>
      <c r="R46" s="263"/>
      <c r="S46" s="348"/>
      <c r="T46" s="264"/>
      <c r="U46" s="424"/>
      <c r="V46" s="412"/>
    </row>
    <row r="47" spans="1:22">
      <c r="A47" s="392"/>
      <c r="B47" s="362"/>
      <c r="C47" s="519"/>
      <c r="D47" s="341"/>
      <c r="E47" s="371"/>
      <c r="F47" s="393"/>
      <c r="G47" s="483"/>
      <c r="H47" s="351"/>
      <c r="I47" s="364"/>
      <c r="J47" s="506"/>
      <c r="K47" s="364"/>
      <c r="L47" s="513"/>
      <c r="M47" s="380"/>
      <c r="N47" s="263"/>
      <c r="O47" s="347"/>
      <c r="P47" s="263"/>
      <c r="Q47" s="370"/>
      <c r="R47" s="263"/>
      <c r="S47" s="348"/>
      <c r="T47" s="264"/>
      <c r="U47" s="424"/>
      <c r="V47" s="340"/>
    </row>
    <row r="48" spans="1:22">
      <c r="A48" s="392"/>
      <c r="B48" s="362"/>
      <c r="C48" s="519"/>
      <c r="D48" s="341"/>
      <c r="E48" s="371"/>
      <c r="F48" s="393"/>
      <c r="G48" s="483"/>
      <c r="H48" s="351"/>
      <c r="I48" s="364"/>
      <c r="J48" s="506"/>
      <c r="K48" s="364"/>
      <c r="L48" s="513"/>
      <c r="M48" s="380"/>
      <c r="N48" s="263"/>
      <c r="O48" s="347"/>
      <c r="P48" s="263"/>
      <c r="Q48" s="370"/>
      <c r="R48" s="263"/>
      <c r="S48" s="348"/>
      <c r="T48" s="264"/>
      <c r="U48" s="424"/>
      <c r="V48" s="411"/>
    </row>
    <row r="49" spans="1:22">
      <c r="A49" s="392"/>
      <c r="B49" s="362"/>
      <c r="C49" s="519"/>
      <c r="D49" s="341"/>
      <c r="E49" s="371"/>
      <c r="F49" s="393"/>
      <c r="G49" s="483"/>
      <c r="H49" s="351"/>
      <c r="I49" s="364"/>
      <c r="J49" s="506"/>
      <c r="K49" s="364"/>
      <c r="L49" s="513"/>
      <c r="M49" s="380"/>
      <c r="N49" s="263"/>
      <c r="O49" s="347"/>
      <c r="P49" s="263"/>
      <c r="Q49" s="370"/>
      <c r="R49" s="263"/>
      <c r="S49" s="348"/>
      <c r="T49" s="264"/>
      <c r="U49" s="424"/>
      <c r="V49" s="340"/>
    </row>
    <row r="50" spans="1:22">
      <c r="A50" s="392"/>
      <c r="B50" s="362"/>
      <c r="C50" s="519"/>
      <c r="D50" s="341"/>
      <c r="E50" s="371"/>
      <c r="F50" s="393"/>
      <c r="G50" s="483"/>
      <c r="H50" s="351"/>
      <c r="I50" s="364"/>
      <c r="J50" s="506"/>
      <c r="K50" s="364"/>
      <c r="L50" s="513"/>
      <c r="M50" s="380"/>
      <c r="N50" s="263"/>
      <c r="O50" s="347"/>
      <c r="P50" s="263"/>
      <c r="Q50" s="370"/>
      <c r="R50" s="263"/>
      <c r="S50" s="348"/>
      <c r="T50" s="264"/>
      <c r="U50" s="424"/>
      <c r="V50" s="340"/>
    </row>
    <row r="51" spans="1:22">
      <c r="A51" s="425"/>
      <c r="B51" s="426"/>
      <c r="C51" s="523"/>
      <c r="D51" s="350"/>
      <c r="E51" s="486"/>
      <c r="F51" s="428"/>
      <c r="G51" s="486"/>
      <c r="H51" s="351"/>
      <c r="I51" s="364"/>
      <c r="J51" s="509"/>
      <c r="K51" s="364"/>
      <c r="L51" s="294"/>
      <c r="M51" s="401"/>
      <c r="N51" s="292"/>
      <c r="O51" s="368"/>
      <c r="P51" s="292"/>
      <c r="Q51" s="368"/>
      <c r="R51" s="292"/>
      <c r="S51" s="369"/>
      <c r="T51" s="293"/>
      <c r="U51" s="430"/>
      <c r="V51" s="365"/>
    </row>
    <row r="52" spans="1:22">
      <c r="A52" s="340"/>
      <c r="B52" s="362"/>
      <c r="C52" s="519"/>
      <c r="D52" s="341"/>
      <c r="E52" s="486"/>
      <c r="F52" s="428"/>
      <c r="G52" s="486"/>
      <c r="H52" s="496"/>
      <c r="J52" s="510"/>
      <c r="K52" s="341"/>
      <c r="L52" s="294"/>
      <c r="M52" s="347"/>
      <c r="N52" s="292"/>
      <c r="O52" s="347"/>
      <c r="P52" s="292"/>
      <c r="Q52" s="347"/>
      <c r="R52" s="292"/>
      <c r="S52" s="348"/>
      <c r="T52" s="293"/>
      <c r="U52" s="340"/>
      <c r="V52" s="411"/>
    </row>
    <row r="53" spans="1:22">
      <c r="A53" s="365"/>
      <c r="B53" s="426"/>
      <c r="C53" s="523"/>
      <c r="D53" s="350"/>
      <c r="E53" s="486"/>
      <c r="F53" s="428"/>
      <c r="G53" s="486"/>
      <c r="H53" s="477"/>
      <c r="J53" s="511"/>
      <c r="K53" s="341"/>
      <c r="L53" s="294"/>
      <c r="M53" s="368"/>
      <c r="N53" s="292"/>
      <c r="O53" s="368"/>
      <c r="P53" s="292"/>
      <c r="Q53" s="368"/>
      <c r="R53" s="292"/>
      <c r="S53" s="369"/>
      <c r="T53" s="293"/>
      <c r="U53" s="431"/>
      <c r="V53" s="432"/>
    </row>
    <row r="54" spans="1:22">
      <c r="A54" s="340"/>
      <c r="B54" s="362"/>
      <c r="C54" s="519"/>
      <c r="D54" s="341"/>
      <c r="E54" s="371"/>
      <c r="F54" s="393"/>
      <c r="G54" s="371"/>
      <c r="H54" s="496"/>
      <c r="J54" s="510"/>
      <c r="K54" s="341"/>
      <c r="L54" s="513"/>
      <c r="M54" s="347"/>
      <c r="N54" s="263"/>
      <c r="O54" s="347"/>
      <c r="P54" s="263"/>
      <c r="Q54" s="347"/>
      <c r="R54" s="263"/>
      <c r="S54" s="348"/>
      <c r="T54" s="264"/>
      <c r="U54" s="340"/>
      <c r="V54" s="411"/>
    </row>
    <row r="55" spans="1:22">
      <c r="A55" s="340"/>
      <c r="B55" s="362"/>
      <c r="C55" s="519"/>
      <c r="D55" s="341"/>
      <c r="E55" s="371"/>
      <c r="F55" s="393"/>
      <c r="G55" s="371"/>
      <c r="H55" s="496"/>
      <c r="J55" s="510"/>
      <c r="K55" s="341"/>
      <c r="L55" s="513"/>
      <c r="M55" s="347"/>
      <c r="N55" s="263"/>
      <c r="O55" s="347"/>
      <c r="P55" s="263"/>
      <c r="Q55" s="347"/>
      <c r="R55" s="263"/>
      <c r="S55" s="348"/>
      <c r="T55" s="264"/>
      <c r="U55" s="340"/>
      <c r="V55" s="411"/>
    </row>
    <row r="56" spans="1:22">
      <c r="A56" s="340"/>
      <c r="B56" s="362"/>
      <c r="C56" s="519"/>
      <c r="D56" s="341"/>
      <c r="E56" s="371"/>
      <c r="F56" s="393"/>
      <c r="G56" s="371"/>
      <c r="H56" s="496"/>
      <c r="J56" s="510"/>
      <c r="K56" s="341"/>
      <c r="L56" s="513"/>
      <c r="M56" s="347"/>
      <c r="N56" s="263"/>
      <c r="O56" s="347"/>
      <c r="P56" s="263"/>
      <c r="Q56" s="347"/>
      <c r="R56" s="263"/>
      <c r="S56" s="348"/>
      <c r="T56" s="264"/>
      <c r="U56" s="340"/>
      <c r="V56" s="411"/>
    </row>
    <row r="57" spans="1:22">
      <c r="A57" s="340"/>
      <c r="B57" s="362"/>
      <c r="C57" s="519"/>
      <c r="D57" s="341"/>
      <c r="E57" s="371"/>
      <c r="F57" s="393"/>
      <c r="G57" s="371"/>
      <c r="H57" s="496"/>
      <c r="J57" s="510"/>
      <c r="K57" s="341"/>
      <c r="L57" s="513"/>
      <c r="M57" s="347"/>
      <c r="N57" s="263"/>
      <c r="O57" s="347"/>
      <c r="P57" s="263"/>
      <c r="Q57" s="347"/>
      <c r="R57" s="263"/>
      <c r="S57" s="348"/>
      <c r="T57" s="264"/>
      <c r="U57" s="340"/>
      <c r="V57" s="411"/>
    </row>
    <row r="58" spans="1:22">
      <c r="A58" s="340"/>
      <c r="B58" s="362"/>
      <c r="C58" s="519"/>
      <c r="D58" s="341"/>
      <c r="E58" s="371"/>
      <c r="F58" s="393"/>
      <c r="G58" s="371"/>
      <c r="H58" s="496"/>
      <c r="J58" s="510"/>
      <c r="K58" s="341"/>
      <c r="L58" s="513"/>
      <c r="M58" s="347"/>
      <c r="N58" s="263"/>
      <c r="O58" s="347"/>
      <c r="P58" s="263"/>
      <c r="Q58" s="347"/>
      <c r="R58" s="263"/>
      <c r="S58" s="348"/>
      <c r="T58" s="264"/>
      <c r="U58" s="340"/>
      <c r="V58" s="340"/>
    </row>
    <row r="59" spans="1:22">
      <c r="A59" s="340"/>
      <c r="B59" s="362"/>
      <c r="C59" s="519"/>
      <c r="D59" s="341"/>
      <c r="E59" s="371"/>
      <c r="F59" s="393"/>
      <c r="G59" s="371"/>
      <c r="H59" s="496"/>
      <c r="J59" s="510"/>
      <c r="K59" s="341"/>
      <c r="L59" s="513"/>
      <c r="M59" s="347"/>
      <c r="N59" s="263"/>
      <c r="O59" s="347"/>
      <c r="P59" s="263"/>
      <c r="Q59" s="347"/>
      <c r="R59" s="263"/>
      <c r="S59" s="348"/>
      <c r="T59" s="264"/>
      <c r="U59" s="340"/>
      <c r="V59" s="411"/>
    </row>
    <row r="60" spans="1:22">
      <c r="A60" s="340"/>
      <c r="B60" s="362"/>
      <c r="C60" s="519"/>
      <c r="D60" s="341"/>
      <c r="E60" s="371"/>
      <c r="F60" s="393"/>
      <c r="G60" s="371"/>
      <c r="H60" s="496"/>
      <c r="J60" s="510"/>
      <c r="K60" s="341"/>
      <c r="L60" s="513"/>
      <c r="M60" s="347"/>
      <c r="N60" s="263"/>
      <c r="O60" s="347"/>
      <c r="P60" s="263"/>
      <c r="Q60" s="347"/>
      <c r="R60" s="263"/>
      <c r="S60" s="348"/>
      <c r="T60" s="264"/>
      <c r="U60" s="340"/>
      <c r="V60" s="411"/>
    </row>
    <row r="61" spans="1:22">
      <c r="A61" s="340"/>
      <c r="B61" s="362"/>
      <c r="C61" s="519"/>
      <c r="D61" s="341"/>
      <c r="E61" s="371"/>
      <c r="F61" s="393"/>
      <c r="G61" s="371"/>
      <c r="H61" s="496"/>
      <c r="J61" s="510"/>
      <c r="K61" s="341"/>
      <c r="L61" s="513"/>
      <c r="M61" s="347"/>
      <c r="N61" s="263"/>
      <c r="O61" s="347"/>
      <c r="P61" s="263"/>
      <c r="Q61" s="347"/>
      <c r="R61" s="263"/>
      <c r="S61" s="348"/>
      <c r="T61" s="264"/>
      <c r="U61" s="340"/>
      <c r="V61" s="411"/>
    </row>
    <row r="62" spans="1:22">
      <c r="A62" s="340"/>
      <c r="B62" s="362"/>
      <c r="C62" s="519"/>
      <c r="D62" s="341"/>
      <c r="E62" s="371"/>
      <c r="F62" s="393"/>
      <c r="G62" s="371"/>
      <c r="H62" s="496"/>
      <c r="J62" s="510"/>
      <c r="K62" s="341"/>
      <c r="L62" s="513"/>
      <c r="M62" s="347"/>
      <c r="N62" s="263"/>
      <c r="O62" s="347"/>
      <c r="P62" s="263"/>
      <c r="Q62" s="347"/>
      <c r="R62" s="263"/>
      <c r="S62" s="348"/>
      <c r="T62" s="264"/>
      <c r="U62" s="340"/>
      <c r="V62" s="411"/>
    </row>
    <row r="63" spans="1:22">
      <c r="A63" s="340"/>
      <c r="B63" s="362"/>
      <c r="C63" s="519"/>
      <c r="D63" s="341"/>
      <c r="E63" s="371"/>
      <c r="F63" s="393"/>
      <c r="G63" s="371"/>
      <c r="H63" s="496"/>
      <c r="J63" s="510"/>
      <c r="K63" s="341"/>
      <c r="L63" s="513"/>
      <c r="M63" s="347"/>
      <c r="N63" s="263"/>
      <c r="O63" s="347"/>
      <c r="P63" s="263"/>
      <c r="Q63" s="347"/>
      <c r="R63" s="263"/>
      <c r="S63" s="348"/>
      <c r="T63" s="264"/>
      <c r="U63" s="340"/>
      <c r="V63" s="411"/>
    </row>
    <row r="64" spans="1:22">
      <c r="K64" s="341"/>
    </row>
  </sheetData>
  <autoFilter ref="A2:T2" xr:uid="{D28B6405-3E64-E143-9CEE-0BE69C91CAE1}"/>
  <dataValidations count="3">
    <dataValidation allowBlank="1" showInputMessage="1" showErrorMessage="1" prompt="Copy the same date periods used across all analytic worksheets." sqref="A2:L2" xr:uid="{598E180C-7C02-4BAE-B375-3698BCF51B1C}"/>
    <dataValidation allowBlank="1" showInputMessage="1" showErrorMessage="1" prompt="This column pulls data from Twitter Analytics worksheet: Tweet Impressions" sqref="J2 L2" xr:uid="{4A6DCDDD-B594-4223-AB8F-5203A843953A}"/>
    <dataValidation allowBlank="1" showInputMessage="1" showErrorMessage="1" prompt="This column pulls data from LinkedIn Analytics worksheet: Impressions" sqref="M2:V2" xr:uid="{6EE5D233-79FD-4372-A58E-9E20E2BD29F7}"/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6405-3E64-E143-9CEE-0BE69C91CAE1}">
  <dimension ref="A1:AS791"/>
  <sheetViews>
    <sheetView showGridLines="0" zoomScale="107" zoomScaleNormal="82" workbookViewId="0">
      <pane xSplit="1" ySplit="4" topLeftCell="B52" activePane="bottomRight" state="frozen"/>
      <selection pane="topRight" activeCell="B1" sqref="B1"/>
      <selection pane="bottomLeft" activeCell="A5" sqref="A5"/>
      <selection pane="bottomRight" activeCell="F55" sqref="F55"/>
    </sheetView>
  </sheetViews>
  <sheetFormatPr defaultColWidth="14.5" defaultRowHeight="15" customHeight="1"/>
  <cols>
    <col min="1" max="1" width="18" style="23" customWidth="1"/>
    <col min="2" max="2" width="20" style="13" customWidth="1"/>
    <col min="3" max="3" width="17" style="13" customWidth="1"/>
    <col min="4" max="4" width="23.5" style="14" customWidth="1"/>
    <col min="5" max="6" width="24.5" style="14" customWidth="1"/>
    <col min="7" max="7" width="20.5" style="14" customWidth="1"/>
    <col min="8" max="8" width="17.5" style="14" customWidth="1"/>
    <col min="9" max="9" width="24" style="14" customWidth="1"/>
    <col min="10" max="10" width="25.5" style="14" customWidth="1"/>
    <col min="11" max="11" width="24.5" style="14" customWidth="1"/>
    <col min="12" max="12" width="20" style="14" customWidth="1"/>
    <col min="13" max="13" width="16.5" style="14" customWidth="1"/>
    <col min="14" max="14" width="24" style="14" customWidth="1"/>
    <col min="15" max="15" width="25" style="14" customWidth="1"/>
    <col min="16" max="16" width="24.5" style="14" customWidth="1"/>
    <col min="17" max="17" width="19.5" style="3" customWidth="1"/>
    <col min="18" max="18" width="18" style="3" customWidth="1"/>
    <col min="19" max="19" width="23" style="3" customWidth="1"/>
    <col min="20" max="20" width="24" style="3" customWidth="1"/>
    <col min="21" max="21" width="24.5" style="14" customWidth="1"/>
    <col min="22" max="22" width="13" style="3" customWidth="1"/>
    <col min="23" max="23" width="14" style="3" customWidth="1"/>
    <col min="24" max="24" width="13.5" style="3" customWidth="1"/>
    <col min="25" max="27" width="12.5" style="3" customWidth="1"/>
    <col min="28" max="28" width="15" style="12" customWidth="1"/>
    <col min="29" max="29" width="16" style="12" customWidth="1"/>
    <col min="30" max="30" width="15.5" style="12" customWidth="1"/>
    <col min="31" max="31" width="14.5" style="12" customWidth="1"/>
    <col min="32" max="39" width="18.5" style="3" bestFit="1" customWidth="1"/>
    <col min="40" max="40" width="18.5" style="3" customWidth="1"/>
    <col min="41" max="44" width="18.5" style="3" bestFit="1" customWidth="1"/>
    <col min="45" max="45" width="18.5" style="3" customWidth="1"/>
    <col min="46" max="16384" width="14.5" style="3"/>
  </cols>
  <sheetData>
    <row r="1" spans="1:45" s="32" customFormat="1" ht="29.25" customHeight="1">
      <c r="A1" s="35" t="s">
        <v>313</v>
      </c>
      <c r="B1" s="57"/>
      <c r="C1" s="58"/>
      <c r="D1" s="57"/>
      <c r="E1" s="57"/>
      <c r="F1" s="57"/>
      <c r="G1" s="57"/>
      <c r="H1" s="72"/>
      <c r="I1" s="72"/>
      <c r="J1" s="72"/>
      <c r="K1" s="57"/>
      <c r="L1" s="72"/>
      <c r="M1" s="72"/>
      <c r="N1" s="72"/>
      <c r="O1" s="72"/>
      <c r="P1" s="57"/>
      <c r="Q1" s="72"/>
      <c r="R1" s="72"/>
      <c r="S1" s="72"/>
      <c r="T1" s="55"/>
      <c r="U1" s="57"/>
      <c r="V1" s="55"/>
      <c r="W1" s="55"/>
      <c r="X1" s="55"/>
      <c r="Y1" s="55"/>
      <c r="Z1" s="55"/>
      <c r="AA1" s="55"/>
      <c r="AB1" s="55"/>
      <c r="AC1" s="55"/>
      <c r="AD1" s="55"/>
      <c r="AE1" s="56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</row>
    <row r="2" spans="1:45" s="32" customFormat="1" ht="29.25" customHeight="1">
      <c r="A2" s="40"/>
      <c r="B2" s="59" t="s">
        <v>314</v>
      </c>
      <c r="C2" s="60"/>
      <c r="D2" s="61"/>
      <c r="E2" s="61"/>
      <c r="F2" s="62"/>
      <c r="G2" s="59" t="s">
        <v>315</v>
      </c>
      <c r="H2" s="60"/>
      <c r="I2" s="61"/>
      <c r="J2" s="61"/>
      <c r="K2" s="62"/>
      <c r="L2" s="59" t="s">
        <v>316</v>
      </c>
      <c r="M2" s="60"/>
      <c r="N2" s="61"/>
      <c r="O2" s="61"/>
      <c r="P2" s="62"/>
      <c r="Q2" s="59" t="s">
        <v>317</v>
      </c>
      <c r="R2" s="60"/>
      <c r="S2" s="61"/>
      <c r="T2" s="61"/>
      <c r="U2" s="61"/>
      <c r="V2" s="88" t="s">
        <v>318</v>
      </c>
      <c r="W2" s="89"/>
      <c r="X2" s="89"/>
      <c r="Y2" s="89"/>
      <c r="Z2" s="89"/>
      <c r="AA2" s="89"/>
      <c r="AB2" s="90"/>
      <c r="AC2" s="90"/>
      <c r="AD2" s="90"/>
      <c r="AE2" s="90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2"/>
      <c r="AS2" s="440"/>
    </row>
    <row r="3" spans="1:45" s="22" customFormat="1" ht="60" customHeight="1">
      <c r="A3" s="39" t="s">
        <v>319</v>
      </c>
      <c r="B3" s="63" t="s">
        <v>320</v>
      </c>
      <c r="C3" s="37" t="s">
        <v>321</v>
      </c>
      <c r="D3" s="38" t="s">
        <v>322</v>
      </c>
      <c r="E3" s="38" t="s">
        <v>323</v>
      </c>
      <c r="F3" s="64" t="s">
        <v>324</v>
      </c>
      <c r="G3" s="63" t="s">
        <v>320</v>
      </c>
      <c r="H3" s="37" t="s">
        <v>321</v>
      </c>
      <c r="I3" s="38" t="s">
        <v>322</v>
      </c>
      <c r="J3" s="38" t="s">
        <v>323</v>
      </c>
      <c r="K3" s="64" t="s">
        <v>324</v>
      </c>
      <c r="L3" s="63" t="s">
        <v>320</v>
      </c>
      <c r="M3" s="37" t="s">
        <v>321</v>
      </c>
      <c r="N3" s="38" t="s">
        <v>325</v>
      </c>
      <c r="O3" s="38" t="s">
        <v>323</v>
      </c>
      <c r="P3" s="64" t="s">
        <v>324</v>
      </c>
      <c r="Q3" s="63" t="s">
        <v>320</v>
      </c>
      <c r="R3" s="37" t="s">
        <v>321</v>
      </c>
      <c r="S3" s="38" t="s">
        <v>322</v>
      </c>
      <c r="T3" s="38" t="s">
        <v>323</v>
      </c>
      <c r="U3" s="64" t="s">
        <v>324</v>
      </c>
      <c r="V3" s="677" t="s">
        <v>326</v>
      </c>
      <c r="W3" s="678"/>
      <c r="X3" s="678"/>
      <c r="Y3" s="679"/>
      <c r="Z3" s="434"/>
      <c r="AA3" s="434"/>
      <c r="AB3" s="680" t="s">
        <v>327</v>
      </c>
      <c r="AC3" s="681"/>
      <c r="AD3" s="681"/>
      <c r="AE3" s="682"/>
      <c r="AF3" s="680" t="s">
        <v>35</v>
      </c>
      <c r="AG3" s="681"/>
      <c r="AH3" s="681"/>
      <c r="AI3" s="682"/>
      <c r="AJ3" s="680" t="s">
        <v>328</v>
      </c>
      <c r="AK3" s="681"/>
      <c r="AL3" s="681"/>
      <c r="AM3" s="682"/>
      <c r="AN3" s="437"/>
      <c r="AO3" s="680" t="s">
        <v>329</v>
      </c>
      <c r="AP3" s="681"/>
      <c r="AQ3" s="681"/>
      <c r="AR3" s="682"/>
      <c r="AS3" s="434"/>
    </row>
    <row r="4" spans="1:45" s="2" customFormat="1" ht="33" customHeight="1">
      <c r="A4" s="24" t="s">
        <v>330</v>
      </c>
      <c r="B4" s="65" t="s">
        <v>331</v>
      </c>
      <c r="C4" s="29" t="s">
        <v>332</v>
      </c>
      <c r="D4" s="31" t="s">
        <v>333</v>
      </c>
      <c r="E4" s="31" t="s">
        <v>334</v>
      </c>
      <c r="F4" s="66" t="s">
        <v>335</v>
      </c>
      <c r="G4" s="73" t="s">
        <v>336</v>
      </c>
      <c r="H4" s="29" t="s">
        <v>337</v>
      </c>
      <c r="I4" s="31" t="s">
        <v>338</v>
      </c>
      <c r="J4" s="31" t="s">
        <v>339</v>
      </c>
      <c r="K4" s="66" t="s">
        <v>340</v>
      </c>
      <c r="L4" s="73" t="s">
        <v>341</v>
      </c>
      <c r="M4" s="29" t="s">
        <v>342</v>
      </c>
      <c r="N4" s="31" t="s">
        <v>343</v>
      </c>
      <c r="O4" s="31" t="s">
        <v>344</v>
      </c>
      <c r="P4" s="66" t="s">
        <v>345</v>
      </c>
      <c r="Q4" s="73" t="s">
        <v>346</v>
      </c>
      <c r="R4" s="29" t="s">
        <v>347</v>
      </c>
      <c r="S4" s="31" t="s">
        <v>348</v>
      </c>
      <c r="T4" s="31" t="s">
        <v>349</v>
      </c>
      <c r="U4" s="66" t="s">
        <v>350</v>
      </c>
      <c r="V4" s="73" t="s">
        <v>331</v>
      </c>
      <c r="W4" s="30" t="s">
        <v>336</v>
      </c>
      <c r="X4" s="30" t="s">
        <v>341</v>
      </c>
      <c r="Y4" s="74" t="s">
        <v>346</v>
      </c>
      <c r="Z4" s="435" t="s">
        <v>351</v>
      </c>
      <c r="AA4" s="435"/>
      <c r="AB4" s="80" t="s">
        <v>352</v>
      </c>
      <c r="AC4" s="34" t="s">
        <v>353</v>
      </c>
      <c r="AD4" s="34" t="s">
        <v>354</v>
      </c>
      <c r="AE4" s="81" t="s">
        <v>355</v>
      </c>
      <c r="AF4" s="82" t="s">
        <v>333</v>
      </c>
      <c r="AG4" s="7" t="s">
        <v>338</v>
      </c>
      <c r="AH4" s="7" t="s">
        <v>343</v>
      </c>
      <c r="AI4" s="83" t="s">
        <v>348</v>
      </c>
      <c r="AJ4" s="82" t="s">
        <v>334</v>
      </c>
      <c r="AK4" s="7" t="s">
        <v>339</v>
      </c>
      <c r="AL4" s="7" t="s">
        <v>344</v>
      </c>
      <c r="AM4" s="83" t="s">
        <v>349</v>
      </c>
      <c r="AN4" s="438" t="s">
        <v>356</v>
      </c>
      <c r="AO4" s="82" t="s">
        <v>335</v>
      </c>
      <c r="AP4" s="7" t="s">
        <v>340</v>
      </c>
      <c r="AQ4" s="7" t="s">
        <v>345</v>
      </c>
      <c r="AR4" s="83" t="s">
        <v>350</v>
      </c>
      <c r="AS4" s="435" t="s">
        <v>357</v>
      </c>
    </row>
    <row r="5" spans="1:45" ht="15.75" customHeight="1">
      <c r="A5" s="442">
        <v>45831</v>
      </c>
      <c r="B5" s="67">
        <v>1490</v>
      </c>
      <c r="C5" s="27">
        <f>(B6/B5)-1</f>
        <v>-6.7114093959730337E-4</v>
      </c>
      <c r="D5" s="26">
        <v>807</v>
      </c>
      <c r="E5" s="26">
        <v>26</v>
      </c>
      <c r="F5" s="68">
        <v>2</v>
      </c>
      <c r="G5" s="67">
        <v>2311</v>
      </c>
      <c r="H5" s="27">
        <f>(G6/G5)-1</f>
        <v>-8.6542622241458922E-4</v>
      </c>
      <c r="I5" s="26">
        <v>329</v>
      </c>
      <c r="J5" s="26">
        <v>10</v>
      </c>
      <c r="K5" s="68">
        <v>2</v>
      </c>
      <c r="L5" s="67">
        <v>921</v>
      </c>
      <c r="M5" s="27">
        <f>(L6/L5)-1</f>
        <v>2.1715526601520097E-3</v>
      </c>
      <c r="N5" s="26">
        <v>384</v>
      </c>
      <c r="O5" s="26">
        <v>15</v>
      </c>
      <c r="P5" s="68">
        <v>2</v>
      </c>
      <c r="Q5" s="67">
        <v>5627</v>
      </c>
      <c r="R5" s="265">
        <f>(Q6/Q5)-1</f>
        <v>0</v>
      </c>
      <c r="S5" s="26">
        <v>1141</v>
      </c>
      <c r="T5" s="26">
        <v>24</v>
      </c>
      <c r="U5" s="68">
        <v>3</v>
      </c>
      <c r="V5" s="75">
        <f t="shared" ref="V5:V36" si="0">B5</f>
        <v>1490</v>
      </c>
      <c r="W5" s="28">
        <f>G5</f>
        <v>2311</v>
      </c>
      <c r="X5" s="28">
        <f>L5</f>
        <v>921</v>
      </c>
      <c r="Y5" s="76">
        <f>Q5</f>
        <v>5627</v>
      </c>
      <c r="Z5" s="436"/>
      <c r="AA5" s="265" t="e">
        <f>(Z5-Z4)/Z4</f>
        <v>#VALUE!</v>
      </c>
      <c r="AB5" s="266">
        <f>C5</f>
        <v>-6.7114093959730337E-4</v>
      </c>
      <c r="AC5" s="267">
        <f>H5</f>
        <v>-8.6542622241458922E-4</v>
      </c>
      <c r="AD5" s="267">
        <f>M5</f>
        <v>2.1715526601520097E-3</v>
      </c>
      <c r="AE5" s="268">
        <f>R5</f>
        <v>0</v>
      </c>
      <c r="AF5" s="84">
        <f>D5</f>
        <v>807</v>
      </c>
      <c r="AG5" s="54">
        <f>I5</f>
        <v>329</v>
      </c>
      <c r="AH5" s="54">
        <f>N5</f>
        <v>384</v>
      </c>
      <c r="AI5" s="85">
        <f>S5</f>
        <v>1141</v>
      </c>
      <c r="AJ5" s="84">
        <f>E5</f>
        <v>26</v>
      </c>
      <c r="AK5" s="54">
        <f>J5</f>
        <v>10</v>
      </c>
      <c r="AL5" s="54">
        <f>O5</f>
        <v>15</v>
      </c>
      <c r="AM5" s="85">
        <f>T5</f>
        <v>24</v>
      </c>
      <c r="AN5" s="439">
        <f>SUM(AJ5:AM5)</f>
        <v>75</v>
      </c>
      <c r="AO5" s="84">
        <f>F5</f>
        <v>2</v>
      </c>
      <c r="AP5" s="54">
        <f>K5</f>
        <v>2</v>
      </c>
      <c r="AQ5" s="54">
        <f>P5</f>
        <v>2</v>
      </c>
      <c r="AR5" s="85">
        <f>U5</f>
        <v>3</v>
      </c>
      <c r="AS5" s="441">
        <f>SUM(AO5:AR5)</f>
        <v>9</v>
      </c>
    </row>
    <row r="6" spans="1:45" ht="15.75" customHeight="1">
      <c r="A6" s="442">
        <v>45838</v>
      </c>
      <c r="B6" s="67">
        <v>1489</v>
      </c>
      <c r="C6" s="265">
        <f t="shared" ref="C6:C15" si="1">(B6-B5)/B5</f>
        <v>-6.711409395973154E-4</v>
      </c>
      <c r="D6" s="26">
        <v>179</v>
      </c>
      <c r="E6" s="26">
        <v>3</v>
      </c>
      <c r="F6" s="68">
        <v>0</v>
      </c>
      <c r="G6" s="67">
        <v>2309</v>
      </c>
      <c r="H6" s="27">
        <f t="shared" ref="H6:H9" si="2">(G7/G6)-1</f>
        <v>0</v>
      </c>
      <c r="I6" s="26">
        <v>18</v>
      </c>
      <c r="J6" s="26">
        <v>0</v>
      </c>
      <c r="K6" s="68">
        <v>0</v>
      </c>
      <c r="L6" s="67">
        <v>923</v>
      </c>
      <c r="M6" s="27">
        <f t="shared" ref="M6:M9" si="3">(L7/L6)-1</f>
        <v>5.4171180931743557E-3</v>
      </c>
      <c r="N6" s="26">
        <v>87</v>
      </c>
      <c r="O6" s="26">
        <v>2</v>
      </c>
      <c r="P6" s="68">
        <v>0</v>
      </c>
      <c r="Q6" s="67">
        <v>5627</v>
      </c>
      <c r="R6" s="265">
        <f t="shared" ref="R6:R10" si="4">(Q7/Q6)-1</f>
        <v>-3.5542918073572238E-4</v>
      </c>
      <c r="S6" s="26">
        <v>107</v>
      </c>
      <c r="T6" s="26">
        <v>8</v>
      </c>
      <c r="U6" s="68">
        <v>0</v>
      </c>
      <c r="V6" s="75">
        <f t="shared" si="0"/>
        <v>1489</v>
      </c>
      <c r="W6" s="28">
        <f t="shared" ref="W6:W57" si="5">G6</f>
        <v>2309</v>
      </c>
      <c r="X6" s="28">
        <f t="shared" ref="X6:X57" si="6">L6</f>
        <v>923</v>
      </c>
      <c r="Y6" s="76">
        <f t="shared" ref="Y6:Y57" si="7">Q6</f>
        <v>5627</v>
      </c>
      <c r="Z6" s="436"/>
      <c r="AA6" s="436"/>
      <c r="AB6" s="266">
        <f>C6</f>
        <v>-6.711409395973154E-4</v>
      </c>
      <c r="AC6" s="267">
        <f t="shared" ref="AC6:AC57" si="8">H6</f>
        <v>0</v>
      </c>
      <c r="AD6" s="267">
        <f t="shared" ref="AD6:AD57" si="9">M6</f>
        <v>5.4171180931743557E-3</v>
      </c>
      <c r="AE6" s="268">
        <f t="shared" ref="AE6:AE57" si="10">R6</f>
        <v>-3.5542918073572238E-4</v>
      </c>
      <c r="AF6" s="84">
        <f t="shared" ref="AF6:AF57" si="11">D6</f>
        <v>179</v>
      </c>
      <c r="AG6" s="54">
        <f t="shared" ref="AG6:AG57" si="12">I6</f>
        <v>18</v>
      </c>
      <c r="AH6" s="54">
        <f t="shared" ref="AH6:AH57" si="13">N6</f>
        <v>87</v>
      </c>
      <c r="AI6" s="85">
        <f t="shared" ref="AI6:AI55" si="14">S6</f>
        <v>107</v>
      </c>
      <c r="AJ6" s="84">
        <f t="shared" ref="AJ6:AJ55" si="15">E6</f>
        <v>3</v>
      </c>
      <c r="AK6" s="54">
        <f t="shared" ref="AK6:AK55" si="16">J6</f>
        <v>0</v>
      </c>
      <c r="AL6" s="54">
        <f t="shared" ref="AL6:AL55" si="17">O6</f>
        <v>2</v>
      </c>
      <c r="AM6" s="85">
        <f t="shared" ref="AM6:AM55" si="18">T6</f>
        <v>8</v>
      </c>
      <c r="AN6" s="439">
        <f t="shared" ref="AN6:AN69" si="19">SUM(AJ6:AM6)</f>
        <v>13</v>
      </c>
      <c r="AO6" s="84">
        <f t="shared" ref="AO6:AO55" si="20">F6</f>
        <v>0</v>
      </c>
      <c r="AP6" s="54">
        <f t="shared" ref="AP6:AP55" si="21">K6</f>
        <v>0</v>
      </c>
      <c r="AQ6" s="54">
        <f t="shared" ref="AQ6:AQ55" si="22">P6</f>
        <v>0</v>
      </c>
      <c r="AR6" s="85">
        <f t="shared" ref="AR6:AR55" si="23">U6</f>
        <v>0</v>
      </c>
      <c r="AS6" s="441">
        <f t="shared" ref="AS6:AS69" si="24">SUM(AO6:AR6)</f>
        <v>0</v>
      </c>
    </row>
    <row r="7" spans="1:45" ht="15.75" customHeight="1">
      <c r="A7" s="442">
        <v>45845</v>
      </c>
      <c r="B7" s="67">
        <v>1488</v>
      </c>
      <c r="C7" s="265">
        <f t="shared" si="1"/>
        <v>-6.7159167226326397E-4</v>
      </c>
      <c r="D7" s="26">
        <v>293</v>
      </c>
      <c r="E7" s="26">
        <v>4</v>
      </c>
      <c r="F7" s="68">
        <v>1</v>
      </c>
      <c r="G7" s="67">
        <v>2309</v>
      </c>
      <c r="H7" s="27">
        <f t="shared" si="2"/>
        <v>-4.3308791684715242E-4</v>
      </c>
      <c r="I7" s="26">
        <v>94</v>
      </c>
      <c r="J7" s="26">
        <v>0</v>
      </c>
      <c r="K7" s="68">
        <v>1</v>
      </c>
      <c r="L7" s="67">
        <v>928</v>
      </c>
      <c r="M7" s="27">
        <f t="shared" si="3"/>
        <v>-2.1551724137931494E-3</v>
      </c>
      <c r="N7" s="26">
        <v>174</v>
      </c>
      <c r="O7" s="26">
        <v>7</v>
      </c>
      <c r="P7" s="68">
        <v>1</v>
      </c>
      <c r="Q7" s="67">
        <v>5625</v>
      </c>
      <c r="R7" s="265">
        <f t="shared" si="4"/>
        <v>1.2444444444443814E-3</v>
      </c>
      <c r="S7" s="26">
        <v>644</v>
      </c>
      <c r="T7" s="26">
        <v>17</v>
      </c>
      <c r="U7" s="68">
        <v>1</v>
      </c>
      <c r="V7" s="75">
        <f t="shared" si="0"/>
        <v>1488</v>
      </c>
      <c r="W7" s="28">
        <f t="shared" si="5"/>
        <v>2309</v>
      </c>
      <c r="X7" s="28">
        <f t="shared" si="6"/>
        <v>928</v>
      </c>
      <c r="Y7" s="76">
        <f t="shared" si="7"/>
        <v>5625</v>
      </c>
      <c r="Z7" s="436"/>
      <c r="AA7" s="436"/>
      <c r="AB7" s="266">
        <f t="shared" ref="AB7:AB57" si="25">C7</f>
        <v>-6.7159167226326397E-4</v>
      </c>
      <c r="AC7" s="267">
        <f t="shared" si="8"/>
        <v>-4.3308791684715242E-4</v>
      </c>
      <c r="AD7" s="267">
        <f t="shared" si="9"/>
        <v>-2.1551724137931494E-3</v>
      </c>
      <c r="AE7" s="268">
        <f t="shared" si="10"/>
        <v>1.2444444444443814E-3</v>
      </c>
      <c r="AF7" s="84">
        <f t="shared" si="11"/>
        <v>293</v>
      </c>
      <c r="AG7" s="54">
        <f t="shared" si="12"/>
        <v>94</v>
      </c>
      <c r="AH7" s="54">
        <f t="shared" si="13"/>
        <v>174</v>
      </c>
      <c r="AI7" s="85">
        <f t="shared" si="14"/>
        <v>644</v>
      </c>
      <c r="AJ7" s="84">
        <f t="shared" si="15"/>
        <v>4</v>
      </c>
      <c r="AK7" s="54">
        <f t="shared" si="16"/>
        <v>0</v>
      </c>
      <c r="AL7" s="54">
        <f t="shared" si="17"/>
        <v>7</v>
      </c>
      <c r="AM7" s="85">
        <f t="shared" si="18"/>
        <v>17</v>
      </c>
      <c r="AN7" s="439">
        <f t="shared" si="19"/>
        <v>28</v>
      </c>
      <c r="AO7" s="84">
        <f t="shared" si="20"/>
        <v>1</v>
      </c>
      <c r="AP7" s="54">
        <f t="shared" si="21"/>
        <v>1</v>
      </c>
      <c r="AQ7" s="54">
        <f t="shared" si="22"/>
        <v>1</v>
      </c>
      <c r="AR7" s="85">
        <f t="shared" si="23"/>
        <v>1</v>
      </c>
      <c r="AS7" s="441">
        <f t="shared" si="24"/>
        <v>4</v>
      </c>
    </row>
    <row r="8" spans="1:45" ht="15.75" customHeight="1">
      <c r="A8" s="442">
        <v>45852</v>
      </c>
      <c r="B8" s="67">
        <v>1490</v>
      </c>
      <c r="C8" s="265">
        <f t="shared" si="1"/>
        <v>1.3440860215053765E-3</v>
      </c>
      <c r="D8" s="26">
        <v>715</v>
      </c>
      <c r="E8" s="26">
        <v>12</v>
      </c>
      <c r="F8" s="68">
        <v>1</v>
      </c>
      <c r="G8" s="67">
        <v>2308</v>
      </c>
      <c r="H8" s="27">
        <f t="shared" si="2"/>
        <v>0</v>
      </c>
      <c r="I8" s="26">
        <v>87</v>
      </c>
      <c r="J8" s="26">
        <v>2</v>
      </c>
      <c r="K8" s="68">
        <v>1</v>
      </c>
      <c r="L8" s="67">
        <v>926</v>
      </c>
      <c r="M8" s="27">
        <f t="shared" si="3"/>
        <v>-1.0799136069113979E-3</v>
      </c>
      <c r="N8" s="26">
        <v>330</v>
      </c>
      <c r="O8" s="26">
        <v>6</v>
      </c>
      <c r="P8" s="68">
        <v>1</v>
      </c>
      <c r="Q8" s="67">
        <v>5632</v>
      </c>
      <c r="R8" s="265">
        <f t="shared" si="4"/>
        <v>1.0653409090908283E-3</v>
      </c>
      <c r="S8" s="26">
        <v>440</v>
      </c>
      <c r="T8" s="26">
        <v>7</v>
      </c>
      <c r="U8" s="68">
        <v>1</v>
      </c>
      <c r="V8" s="75">
        <f t="shared" si="0"/>
        <v>1490</v>
      </c>
      <c r="W8" s="28">
        <f t="shared" si="5"/>
        <v>2308</v>
      </c>
      <c r="X8" s="28">
        <f t="shared" si="6"/>
        <v>926</v>
      </c>
      <c r="Y8" s="76">
        <f t="shared" si="7"/>
        <v>5632</v>
      </c>
      <c r="Z8" s="436"/>
      <c r="AA8" s="436"/>
      <c r="AB8" s="266">
        <f t="shared" si="25"/>
        <v>1.3440860215053765E-3</v>
      </c>
      <c r="AC8" s="267">
        <f t="shared" si="8"/>
        <v>0</v>
      </c>
      <c r="AD8" s="267">
        <f t="shared" si="9"/>
        <v>-1.0799136069113979E-3</v>
      </c>
      <c r="AE8" s="268">
        <f t="shared" si="10"/>
        <v>1.0653409090908283E-3</v>
      </c>
      <c r="AF8" s="84">
        <f t="shared" si="11"/>
        <v>715</v>
      </c>
      <c r="AG8" s="54">
        <f t="shared" si="12"/>
        <v>87</v>
      </c>
      <c r="AH8" s="54">
        <f t="shared" si="13"/>
        <v>330</v>
      </c>
      <c r="AI8" s="85">
        <f t="shared" si="14"/>
        <v>440</v>
      </c>
      <c r="AJ8" s="84">
        <f t="shared" si="15"/>
        <v>12</v>
      </c>
      <c r="AK8" s="54">
        <f t="shared" si="16"/>
        <v>2</v>
      </c>
      <c r="AL8" s="54">
        <f t="shared" si="17"/>
        <v>6</v>
      </c>
      <c r="AM8" s="85">
        <f t="shared" si="18"/>
        <v>7</v>
      </c>
      <c r="AN8" s="439">
        <f t="shared" si="19"/>
        <v>27</v>
      </c>
      <c r="AO8" s="84">
        <f t="shared" si="20"/>
        <v>1</v>
      </c>
      <c r="AP8" s="54">
        <f t="shared" si="21"/>
        <v>1</v>
      </c>
      <c r="AQ8" s="54">
        <f t="shared" si="22"/>
        <v>1</v>
      </c>
      <c r="AR8" s="85">
        <f t="shared" si="23"/>
        <v>1</v>
      </c>
      <c r="AS8" s="441">
        <f t="shared" si="24"/>
        <v>4</v>
      </c>
    </row>
    <row r="9" spans="1:45" ht="15.75" customHeight="1">
      <c r="A9" s="442">
        <v>45859</v>
      </c>
      <c r="B9" s="67">
        <v>1491</v>
      </c>
      <c r="C9" s="265">
        <f t="shared" si="1"/>
        <v>6.711409395973154E-4</v>
      </c>
      <c r="D9" s="26">
        <v>526</v>
      </c>
      <c r="E9" s="26">
        <v>9</v>
      </c>
      <c r="F9" s="68">
        <v>2</v>
      </c>
      <c r="G9" s="67">
        <v>2308</v>
      </c>
      <c r="H9" s="27">
        <f t="shared" si="2"/>
        <v>0</v>
      </c>
      <c r="I9" s="26">
        <v>92</v>
      </c>
      <c r="J9" s="26">
        <v>1</v>
      </c>
      <c r="K9" s="68">
        <v>2</v>
      </c>
      <c r="L9" s="67">
        <v>925</v>
      </c>
      <c r="M9" s="27">
        <f t="shared" si="3"/>
        <v>0</v>
      </c>
      <c r="N9" s="26">
        <v>215</v>
      </c>
      <c r="O9" s="26">
        <v>6</v>
      </c>
      <c r="P9" s="68">
        <v>2</v>
      </c>
      <c r="Q9" s="67">
        <v>5638</v>
      </c>
      <c r="R9" s="265">
        <f t="shared" si="4"/>
        <v>3.5473572188715607E-4</v>
      </c>
      <c r="S9" s="26">
        <v>428</v>
      </c>
      <c r="T9" s="26">
        <v>13</v>
      </c>
      <c r="U9" s="68">
        <v>2</v>
      </c>
      <c r="V9" s="75">
        <f t="shared" si="0"/>
        <v>1491</v>
      </c>
      <c r="W9" s="28">
        <f t="shared" si="5"/>
        <v>2308</v>
      </c>
      <c r="X9" s="28">
        <f t="shared" si="6"/>
        <v>925</v>
      </c>
      <c r="Y9" s="76">
        <f t="shared" si="7"/>
        <v>5638</v>
      </c>
      <c r="Z9" s="436"/>
      <c r="AA9" s="436"/>
      <c r="AB9" s="266">
        <f t="shared" si="25"/>
        <v>6.711409395973154E-4</v>
      </c>
      <c r="AC9" s="267">
        <f t="shared" si="8"/>
        <v>0</v>
      </c>
      <c r="AD9" s="267">
        <f t="shared" si="9"/>
        <v>0</v>
      </c>
      <c r="AE9" s="268">
        <f t="shared" si="10"/>
        <v>3.5473572188715607E-4</v>
      </c>
      <c r="AF9" s="84">
        <f t="shared" si="11"/>
        <v>526</v>
      </c>
      <c r="AG9" s="54">
        <f t="shared" si="12"/>
        <v>92</v>
      </c>
      <c r="AH9" s="54">
        <f t="shared" si="13"/>
        <v>215</v>
      </c>
      <c r="AI9" s="85">
        <f t="shared" si="14"/>
        <v>428</v>
      </c>
      <c r="AJ9" s="84">
        <f t="shared" si="15"/>
        <v>9</v>
      </c>
      <c r="AK9" s="54">
        <f t="shared" si="16"/>
        <v>1</v>
      </c>
      <c r="AL9" s="54">
        <f t="shared" si="17"/>
        <v>6</v>
      </c>
      <c r="AM9" s="85">
        <f t="shared" si="18"/>
        <v>13</v>
      </c>
      <c r="AN9" s="439">
        <f t="shared" si="19"/>
        <v>29</v>
      </c>
      <c r="AO9" s="84">
        <f t="shared" si="20"/>
        <v>2</v>
      </c>
      <c r="AP9" s="54">
        <f t="shared" si="21"/>
        <v>2</v>
      </c>
      <c r="AQ9" s="54">
        <f t="shared" si="22"/>
        <v>2</v>
      </c>
      <c r="AR9" s="85">
        <f t="shared" si="23"/>
        <v>2</v>
      </c>
      <c r="AS9" s="441">
        <f t="shared" si="24"/>
        <v>8</v>
      </c>
    </row>
    <row r="10" spans="1:45" ht="15.75" customHeight="1">
      <c r="A10" s="442">
        <v>45866</v>
      </c>
      <c r="B10" s="67">
        <v>1492</v>
      </c>
      <c r="C10" s="265">
        <f t="shared" si="1"/>
        <v>6.7069081153588194E-4</v>
      </c>
      <c r="D10" s="26">
        <v>519</v>
      </c>
      <c r="E10" s="26">
        <v>12</v>
      </c>
      <c r="F10" s="68">
        <v>1</v>
      </c>
      <c r="G10" s="67">
        <v>2308</v>
      </c>
      <c r="H10" s="265">
        <f>(G10-G9)/G9</f>
        <v>0</v>
      </c>
      <c r="I10" s="26">
        <v>81</v>
      </c>
      <c r="J10" s="26">
        <v>2</v>
      </c>
      <c r="K10" s="68">
        <v>1</v>
      </c>
      <c r="L10" s="67">
        <v>925</v>
      </c>
      <c r="M10" s="265">
        <f>(L10-L9)/L9</f>
        <v>0</v>
      </c>
      <c r="N10" s="26">
        <v>730</v>
      </c>
      <c r="O10" s="26">
        <v>14</v>
      </c>
      <c r="P10" s="68">
        <v>2</v>
      </c>
      <c r="Q10" s="67">
        <v>5640</v>
      </c>
      <c r="R10" s="265">
        <f t="shared" si="4"/>
        <v>7.0921985815597388E-4</v>
      </c>
      <c r="S10" s="26">
        <v>435</v>
      </c>
      <c r="T10" s="26">
        <v>15</v>
      </c>
      <c r="U10" s="68">
        <v>1</v>
      </c>
      <c r="V10" s="75">
        <f t="shared" si="0"/>
        <v>1492</v>
      </c>
      <c r="W10" s="28">
        <f t="shared" si="5"/>
        <v>2308</v>
      </c>
      <c r="X10" s="28">
        <f t="shared" si="6"/>
        <v>925</v>
      </c>
      <c r="Y10" s="76">
        <f t="shared" si="7"/>
        <v>5640</v>
      </c>
      <c r="Z10" s="436"/>
      <c r="AA10" s="436"/>
      <c r="AB10" s="266">
        <f t="shared" si="25"/>
        <v>6.7069081153588194E-4</v>
      </c>
      <c r="AC10" s="267">
        <f t="shared" si="8"/>
        <v>0</v>
      </c>
      <c r="AD10" s="267">
        <f t="shared" si="9"/>
        <v>0</v>
      </c>
      <c r="AE10" s="268">
        <f t="shared" si="10"/>
        <v>7.0921985815597388E-4</v>
      </c>
      <c r="AF10" s="84">
        <f t="shared" si="11"/>
        <v>519</v>
      </c>
      <c r="AG10" s="54">
        <f t="shared" si="12"/>
        <v>81</v>
      </c>
      <c r="AH10" s="54">
        <f t="shared" si="13"/>
        <v>730</v>
      </c>
      <c r="AI10" s="85">
        <f t="shared" si="14"/>
        <v>435</v>
      </c>
      <c r="AJ10" s="84">
        <f t="shared" si="15"/>
        <v>12</v>
      </c>
      <c r="AK10" s="54">
        <f t="shared" si="16"/>
        <v>2</v>
      </c>
      <c r="AL10" s="54">
        <f t="shared" si="17"/>
        <v>14</v>
      </c>
      <c r="AM10" s="85">
        <f t="shared" si="18"/>
        <v>15</v>
      </c>
      <c r="AN10" s="439">
        <f t="shared" si="19"/>
        <v>43</v>
      </c>
      <c r="AO10" s="84">
        <f t="shared" si="20"/>
        <v>1</v>
      </c>
      <c r="AP10" s="54">
        <f t="shared" si="21"/>
        <v>1</v>
      </c>
      <c r="AQ10" s="54">
        <f t="shared" si="22"/>
        <v>2</v>
      </c>
      <c r="AR10" s="85">
        <f t="shared" si="23"/>
        <v>1</v>
      </c>
      <c r="AS10" s="441">
        <f t="shared" si="24"/>
        <v>5</v>
      </c>
    </row>
    <row r="11" spans="1:45" ht="15.75" customHeight="1">
      <c r="A11" s="442">
        <v>45873</v>
      </c>
      <c r="B11" s="67">
        <v>1498</v>
      </c>
      <c r="C11" s="265">
        <f t="shared" si="1"/>
        <v>4.0214477211796247E-3</v>
      </c>
      <c r="D11" s="26">
        <v>812</v>
      </c>
      <c r="E11" s="26">
        <v>71</v>
      </c>
      <c r="F11" s="68">
        <v>3</v>
      </c>
      <c r="G11" s="67">
        <v>2307</v>
      </c>
      <c r="H11" s="265">
        <f t="shared" ref="H11:H57" si="26">(G11-G10)/G10</f>
        <v>-4.3327556325823221E-4</v>
      </c>
      <c r="I11" s="26">
        <v>277</v>
      </c>
      <c r="J11" s="26">
        <v>2</v>
      </c>
      <c r="K11" s="68">
        <v>3</v>
      </c>
      <c r="L11" s="67">
        <v>935</v>
      </c>
      <c r="M11" s="265">
        <f>(L11-L10)/L10</f>
        <v>1.0810810810810811E-2</v>
      </c>
      <c r="N11" s="26">
        <v>1405</v>
      </c>
      <c r="O11" s="26">
        <v>10</v>
      </c>
      <c r="P11" s="68">
        <v>1</v>
      </c>
      <c r="Q11" s="67">
        <v>5644</v>
      </c>
      <c r="R11" s="265">
        <f>(Q11-Q10)/Q10</f>
        <v>7.0921985815602842E-4</v>
      </c>
      <c r="S11" s="26">
        <v>1058</v>
      </c>
      <c r="T11" s="26">
        <v>109</v>
      </c>
      <c r="U11" s="68">
        <v>2</v>
      </c>
      <c r="V11" s="75">
        <f t="shared" si="0"/>
        <v>1498</v>
      </c>
      <c r="W11" s="28">
        <f t="shared" si="5"/>
        <v>2307</v>
      </c>
      <c r="X11" s="28">
        <f t="shared" si="6"/>
        <v>935</v>
      </c>
      <c r="Y11" s="76">
        <f t="shared" si="7"/>
        <v>5644</v>
      </c>
      <c r="Z11" s="436"/>
      <c r="AA11" s="436"/>
      <c r="AB11" s="266">
        <f t="shared" si="25"/>
        <v>4.0214477211796247E-3</v>
      </c>
      <c r="AC11" s="267">
        <f t="shared" si="8"/>
        <v>-4.3327556325823221E-4</v>
      </c>
      <c r="AD11" s="267">
        <f t="shared" si="9"/>
        <v>1.0810810810810811E-2</v>
      </c>
      <c r="AE11" s="268">
        <f t="shared" si="10"/>
        <v>7.0921985815602842E-4</v>
      </c>
      <c r="AF11" s="84">
        <f t="shared" si="11"/>
        <v>812</v>
      </c>
      <c r="AG11" s="54">
        <f t="shared" si="12"/>
        <v>277</v>
      </c>
      <c r="AH11" s="54">
        <f t="shared" si="13"/>
        <v>1405</v>
      </c>
      <c r="AI11" s="85">
        <f t="shared" si="14"/>
        <v>1058</v>
      </c>
      <c r="AJ11" s="84">
        <f t="shared" si="15"/>
        <v>71</v>
      </c>
      <c r="AK11" s="54">
        <f t="shared" si="16"/>
        <v>2</v>
      </c>
      <c r="AL11" s="54">
        <f t="shared" si="17"/>
        <v>10</v>
      </c>
      <c r="AM11" s="85">
        <f t="shared" si="18"/>
        <v>109</v>
      </c>
      <c r="AN11" s="439">
        <f t="shared" si="19"/>
        <v>192</v>
      </c>
      <c r="AO11" s="84">
        <f t="shared" si="20"/>
        <v>3</v>
      </c>
      <c r="AP11" s="54">
        <f t="shared" si="21"/>
        <v>3</v>
      </c>
      <c r="AQ11" s="54">
        <f t="shared" si="22"/>
        <v>1</v>
      </c>
      <c r="AR11" s="85">
        <f t="shared" si="23"/>
        <v>2</v>
      </c>
      <c r="AS11" s="441">
        <f t="shared" si="24"/>
        <v>9</v>
      </c>
    </row>
    <row r="12" spans="1:45" ht="15.75" customHeight="1">
      <c r="A12" s="442">
        <v>45880</v>
      </c>
      <c r="B12" s="67">
        <v>1502</v>
      </c>
      <c r="C12" s="265">
        <f t="shared" si="1"/>
        <v>2.6702269692923898E-3</v>
      </c>
      <c r="D12" s="26">
        <v>347</v>
      </c>
      <c r="E12" s="26">
        <v>12</v>
      </c>
      <c r="F12" s="68">
        <v>1</v>
      </c>
      <c r="G12" s="67">
        <v>2309</v>
      </c>
      <c r="H12" s="265">
        <f t="shared" si="26"/>
        <v>8.6692674469007367E-4</v>
      </c>
      <c r="I12" s="26">
        <v>178</v>
      </c>
      <c r="J12" s="26">
        <v>8</v>
      </c>
      <c r="K12" s="68">
        <v>1</v>
      </c>
      <c r="L12" s="67">
        <v>943</v>
      </c>
      <c r="M12" s="265">
        <f t="shared" ref="M12:M57" si="27">(L12-L11)/L11</f>
        <v>8.5561497326203211E-3</v>
      </c>
      <c r="N12" s="26">
        <v>987</v>
      </c>
      <c r="O12" s="26">
        <v>23</v>
      </c>
      <c r="P12" s="68">
        <v>4</v>
      </c>
      <c r="Q12" s="67">
        <v>5647</v>
      </c>
      <c r="R12" s="265">
        <f>(Q12-Q11)/Q11</f>
        <v>5.3153791637136779E-4</v>
      </c>
      <c r="S12" s="26">
        <v>820</v>
      </c>
      <c r="T12" s="26">
        <v>18</v>
      </c>
      <c r="U12" s="68">
        <v>1</v>
      </c>
      <c r="V12" s="75">
        <f t="shared" si="0"/>
        <v>1502</v>
      </c>
      <c r="W12" s="28">
        <f t="shared" si="5"/>
        <v>2309</v>
      </c>
      <c r="X12" s="28">
        <f t="shared" si="6"/>
        <v>943</v>
      </c>
      <c r="Y12" s="76">
        <f>Q12</f>
        <v>5647</v>
      </c>
      <c r="Z12" s="436"/>
      <c r="AA12" s="436"/>
      <c r="AB12" s="266">
        <f t="shared" si="25"/>
        <v>2.6702269692923898E-3</v>
      </c>
      <c r="AC12" s="267">
        <f t="shared" si="8"/>
        <v>8.6692674469007367E-4</v>
      </c>
      <c r="AD12" s="267">
        <f t="shared" si="9"/>
        <v>8.5561497326203211E-3</v>
      </c>
      <c r="AE12" s="268">
        <f t="shared" si="10"/>
        <v>5.3153791637136779E-4</v>
      </c>
      <c r="AF12" s="84">
        <f t="shared" si="11"/>
        <v>347</v>
      </c>
      <c r="AG12" s="54">
        <f t="shared" si="12"/>
        <v>178</v>
      </c>
      <c r="AH12" s="54">
        <f t="shared" si="13"/>
        <v>987</v>
      </c>
      <c r="AI12" s="85">
        <f t="shared" si="14"/>
        <v>820</v>
      </c>
      <c r="AJ12" s="84">
        <f t="shared" si="15"/>
        <v>12</v>
      </c>
      <c r="AK12" s="54">
        <f t="shared" si="16"/>
        <v>8</v>
      </c>
      <c r="AL12" s="54">
        <f t="shared" si="17"/>
        <v>23</v>
      </c>
      <c r="AM12" s="85">
        <f t="shared" si="18"/>
        <v>18</v>
      </c>
      <c r="AN12" s="439">
        <f t="shared" si="19"/>
        <v>61</v>
      </c>
      <c r="AO12" s="84">
        <f t="shared" si="20"/>
        <v>1</v>
      </c>
      <c r="AP12" s="54">
        <f t="shared" si="21"/>
        <v>1</v>
      </c>
      <c r="AQ12" s="54">
        <f t="shared" si="22"/>
        <v>4</v>
      </c>
      <c r="AR12" s="85">
        <f t="shared" si="23"/>
        <v>1</v>
      </c>
      <c r="AS12" s="441">
        <f t="shared" si="24"/>
        <v>7</v>
      </c>
    </row>
    <row r="13" spans="1:45" ht="15.75" customHeight="1">
      <c r="A13" s="442">
        <v>45887</v>
      </c>
      <c r="B13" s="67">
        <v>1501</v>
      </c>
      <c r="C13" s="265">
        <f t="shared" si="1"/>
        <v>-6.6577896138482028E-4</v>
      </c>
      <c r="D13" s="26">
        <v>368</v>
      </c>
      <c r="E13" s="26">
        <v>22</v>
      </c>
      <c r="F13" s="68">
        <v>2</v>
      </c>
      <c r="G13" s="67">
        <v>2309</v>
      </c>
      <c r="H13" s="265">
        <f t="shared" si="26"/>
        <v>0</v>
      </c>
      <c r="I13" s="26">
        <v>201</v>
      </c>
      <c r="J13" s="26">
        <v>3</v>
      </c>
      <c r="K13" s="68">
        <v>2</v>
      </c>
      <c r="L13" s="67">
        <v>941</v>
      </c>
      <c r="M13" s="265">
        <f t="shared" si="27"/>
        <v>-2.1208907741251328E-3</v>
      </c>
      <c r="N13" s="26">
        <v>576</v>
      </c>
      <c r="O13" s="26">
        <v>7</v>
      </c>
      <c r="P13" s="68">
        <v>2</v>
      </c>
      <c r="Q13" s="67">
        <v>5655</v>
      </c>
      <c r="R13" s="265">
        <f>(Q13-Q12)/Q12</f>
        <v>1.4166814237648309E-3</v>
      </c>
      <c r="S13" s="26">
        <v>806</v>
      </c>
      <c r="T13" s="26">
        <v>37</v>
      </c>
      <c r="U13" s="68">
        <v>2</v>
      </c>
      <c r="V13" s="75">
        <f t="shared" si="0"/>
        <v>1501</v>
      </c>
      <c r="W13" s="28">
        <f t="shared" si="5"/>
        <v>2309</v>
      </c>
      <c r="X13" s="28">
        <f t="shared" si="6"/>
        <v>941</v>
      </c>
      <c r="Y13" s="76">
        <f>Q13</f>
        <v>5655</v>
      </c>
      <c r="Z13" s="436"/>
      <c r="AA13" s="436"/>
      <c r="AB13" s="266">
        <f t="shared" si="25"/>
        <v>-6.6577896138482028E-4</v>
      </c>
      <c r="AC13" s="267">
        <f t="shared" si="8"/>
        <v>0</v>
      </c>
      <c r="AD13" s="267">
        <f t="shared" si="9"/>
        <v>-2.1208907741251328E-3</v>
      </c>
      <c r="AE13" s="268">
        <f t="shared" si="10"/>
        <v>1.4166814237648309E-3</v>
      </c>
      <c r="AF13" s="84">
        <f t="shared" si="11"/>
        <v>368</v>
      </c>
      <c r="AG13" s="54">
        <f t="shared" si="12"/>
        <v>201</v>
      </c>
      <c r="AH13" s="54">
        <f t="shared" si="13"/>
        <v>576</v>
      </c>
      <c r="AI13" s="85">
        <f t="shared" si="14"/>
        <v>806</v>
      </c>
      <c r="AJ13" s="84">
        <f t="shared" si="15"/>
        <v>22</v>
      </c>
      <c r="AK13" s="54">
        <f t="shared" si="16"/>
        <v>3</v>
      </c>
      <c r="AL13" s="54">
        <f t="shared" si="17"/>
        <v>7</v>
      </c>
      <c r="AM13" s="85">
        <f t="shared" si="18"/>
        <v>37</v>
      </c>
      <c r="AN13" s="439">
        <f t="shared" si="19"/>
        <v>69</v>
      </c>
      <c r="AO13" s="84">
        <f t="shared" si="20"/>
        <v>2</v>
      </c>
      <c r="AP13" s="54">
        <f t="shared" si="21"/>
        <v>2</v>
      </c>
      <c r="AQ13" s="54">
        <f t="shared" si="22"/>
        <v>2</v>
      </c>
      <c r="AR13" s="85">
        <f t="shared" si="23"/>
        <v>2</v>
      </c>
      <c r="AS13" s="441">
        <f t="shared" si="24"/>
        <v>8</v>
      </c>
    </row>
    <row r="14" spans="1:45" ht="15.75" customHeight="1">
      <c r="A14" s="442">
        <v>45894</v>
      </c>
      <c r="B14" s="67">
        <v>1506</v>
      </c>
      <c r="C14" s="265">
        <f t="shared" si="1"/>
        <v>3.3311125916055963E-3</v>
      </c>
      <c r="D14" s="26">
        <v>209</v>
      </c>
      <c r="E14" s="26">
        <v>7</v>
      </c>
      <c r="F14" s="68">
        <v>1</v>
      </c>
      <c r="G14" s="67">
        <v>2307</v>
      </c>
      <c r="H14" s="265">
        <f t="shared" si="26"/>
        <v>-8.661758336942399E-4</v>
      </c>
      <c r="I14" s="26">
        <v>79</v>
      </c>
      <c r="J14" s="26">
        <v>4</v>
      </c>
      <c r="K14" s="68">
        <v>1</v>
      </c>
      <c r="L14" s="67">
        <v>941</v>
      </c>
      <c r="M14" s="265">
        <f t="shared" si="27"/>
        <v>0</v>
      </c>
      <c r="N14" s="26">
        <v>170</v>
      </c>
      <c r="O14" s="26">
        <v>2</v>
      </c>
      <c r="P14" s="68">
        <v>1</v>
      </c>
      <c r="Q14" s="67">
        <v>5665</v>
      </c>
      <c r="R14" s="265">
        <f>(Q14-Q13)/Q13</f>
        <v>1.7683465959328027E-3</v>
      </c>
      <c r="S14" s="26">
        <v>261</v>
      </c>
      <c r="T14" s="26">
        <v>2</v>
      </c>
      <c r="U14" s="68">
        <v>1</v>
      </c>
      <c r="V14" s="75">
        <f t="shared" si="0"/>
        <v>1506</v>
      </c>
      <c r="W14" s="28">
        <f t="shared" si="5"/>
        <v>2307</v>
      </c>
      <c r="X14" s="28">
        <f t="shared" si="6"/>
        <v>941</v>
      </c>
      <c r="Y14" s="76">
        <f t="shared" si="7"/>
        <v>5665</v>
      </c>
      <c r="Z14" s="436"/>
      <c r="AA14" s="436"/>
      <c r="AB14" s="266">
        <f t="shared" si="25"/>
        <v>3.3311125916055963E-3</v>
      </c>
      <c r="AC14" s="267">
        <f t="shared" si="8"/>
        <v>-8.661758336942399E-4</v>
      </c>
      <c r="AD14" s="267">
        <f t="shared" si="9"/>
        <v>0</v>
      </c>
      <c r="AE14" s="268">
        <f t="shared" si="10"/>
        <v>1.7683465959328027E-3</v>
      </c>
      <c r="AF14" s="84">
        <f t="shared" si="11"/>
        <v>209</v>
      </c>
      <c r="AG14" s="54">
        <f t="shared" si="12"/>
        <v>79</v>
      </c>
      <c r="AH14" s="54">
        <f t="shared" si="13"/>
        <v>170</v>
      </c>
      <c r="AI14" s="85">
        <f t="shared" si="14"/>
        <v>261</v>
      </c>
      <c r="AJ14" s="84">
        <f t="shared" si="15"/>
        <v>7</v>
      </c>
      <c r="AK14" s="54">
        <f t="shared" si="16"/>
        <v>4</v>
      </c>
      <c r="AL14" s="54">
        <f t="shared" si="17"/>
        <v>2</v>
      </c>
      <c r="AM14" s="85">
        <f t="shared" si="18"/>
        <v>2</v>
      </c>
      <c r="AN14" s="439">
        <f t="shared" si="19"/>
        <v>15</v>
      </c>
      <c r="AO14" s="84">
        <f t="shared" si="20"/>
        <v>1</v>
      </c>
      <c r="AP14" s="54">
        <f t="shared" si="21"/>
        <v>1</v>
      </c>
      <c r="AQ14" s="54">
        <f t="shared" si="22"/>
        <v>1</v>
      </c>
      <c r="AR14" s="85">
        <f t="shared" si="23"/>
        <v>1</v>
      </c>
      <c r="AS14" s="441">
        <f t="shared" si="24"/>
        <v>4</v>
      </c>
    </row>
    <row r="15" spans="1:45" ht="15.75" customHeight="1">
      <c r="A15" s="442">
        <v>45901</v>
      </c>
      <c r="B15" s="67">
        <v>1508</v>
      </c>
      <c r="C15" s="265">
        <f t="shared" si="1"/>
        <v>1.3280212483399733E-3</v>
      </c>
      <c r="D15" s="26">
        <v>134</v>
      </c>
      <c r="E15" s="26">
        <v>3</v>
      </c>
      <c r="F15" s="68">
        <v>0</v>
      </c>
      <c r="G15" s="67">
        <v>2309</v>
      </c>
      <c r="H15" s="265">
        <f t="shared" si="26"/>
        <v>8.6692674469007367E-4</v>
      </c>
      <c r="I15" s="26">
        <v>31</v>
      </c>
      <c r="J15" s="26">
        <v>0</v>
      </c>
      <c r="K15" s="68">
        <v>0</v>
      </c>
      <c r="L15" s="67">
        <v>940</v>
      </c>
      <c r="M15" s="265">
        <f t="shared" si="27"/>
        <v>-1.0626992561105207E-3</v>
      </c>
      <c r="N15" s="26">
        <v>142</v>
      </c>
      <c r="O15" s="26">
        <v>0</v>
      </c>
      <c r="P15" s="68">
        <v>0</v>
      </c>
      <c r="Q15" s="67">
        <v>5666</v>
      </c>
      <c r="R15" s="265">
        <f t="shared" ref="R15:R16" si="28">(Q15-Q14)/Q14</f>
        <v>1.7652250661959399E-4</v>
      </c>
      <c r="S15" s="26">
        <v>297</v>
      </c>
      <c r="T15" s="26">
        <v>7</v>
      </c>
      <c r="U15" s="68">
        <v>0</v>
      </c>
      <c r="V15" s="75">
        <f t="shared" si="0"/>
        <v>1508</v>
      </c>
      <c r="W15" s="28">
        <f t="shared" si="5"/>
        <v>2309</v>
      </c>
      <c r="X15" s="28">
        <f t="shared" si="6"/>
        <v>940</v>
      </c>
      <c r="Y15" s="76">
        <f t="shared" si="7"/>
        <v>5666</v>
      </c>
      <c r="Z15" s="436"/>
      <c r="AA15" s="436"/>
      <c r="AB15" s="266">
        <f t="shared" si="25"/>
        <v>1.3280212483399733E-3</v>
      </c>
      <c r="AC15" s="267">
        <f t="shared" si="8"/>
        <v>8.6692674469007367E-4</v>
      </c>
      <c r="AD15" s="267">
        <f t="shared" si="9"/>
        <v>-1.0626992561105207E-3</v>
      </c>
      <c r="AE15" s="268">
        <f t="shared" si="10"/>
        <v>1.7652250661959399E-4</v>
      </c>
      <c r="AF15" s="84">
        <f t="shared" si="11"/>
        <v>134</v>
      </c>
      <c r="AG15" s="54">
        <f t="shared" si="12"/>
        <v>31</v>
      </c>
      <c r="AH15" s="54">
        <f t="shared" si="13"/>
        <v>142</v>
      </c>
      <c r="AI15" s="85">
        <f t="shared" si="14"/>
        <v>297</v>
      </c>
      <c r="AJ15" s="84">
        <f t="shared" si="15"/>
        <v>3</v>
      </c>
      <c r="AK15" s="54">
        <f t="shared" si="16"/>
        <v>0</v>
      </c>
      <c r="AL15" s="54">
        <f t="shared" si="17"/>
        <v>0</v>
      </c>
      <c r="AM15" s="85">
        <f t="shared" si="18"/>
        <v>7</v>
      </c>
      <c r="AN15" s="439">
        <f t="shared" si="19"/>
        <v>10</v>
      </c>
      <c r="AO15" s="84">
        <f t="shared" si="20"/>
        <v>0</v>
      </c>
      <c r="AP15" s="54">
        <f t="shared" si="21"/>
        <v>0</v>
      </c>
      <c r="AQ15" s="54">
        <f t="shared" si="22"/>
        <v>0</v>
      </c>
      <c r="AR15" s="85">
        <f t="shared" si="23"/>
        <v>0</v>
      </c>
      <c r="AS15" s="441">
        <f t="shared" si="24"/>
        <v>0</v>
      </c>
    </row>
    <row r="16" spans="1:45" ht="15.75" customHeight="1">
      <c r="A16" s="442">
        <v>45908</v>
      </c>
      <c r="B16" s="67">
        <v>1509</v>
      </c>
      <c r="C16" s="265">
        <f>(B16-B15)/B15</f>
        <v>6.6312997347480103E-4</v>
      </c>
      <c r="D16" s="26">
        <v>129</v>
      </c>
      <c r="E16" s="26">
        <v>3</v>
      </c>
      <c r="F16" s="68">
        <v>1</v>
      </c>
      <c r="G16" s="67">
        <v>2311</v>
      </c>
      <c r="H16" s="265">
        <f t="shared" si="26"/>
        <v>8.661758336942399E-4</v>
      </c>
      <c r="I16" s="26">
        <v>92</v>
      </c>
      <c r="J16" s="26">
        <v>3</v>
      </c>
      <c r="K16" s="68">
        <v>1</v>
      </c>
      <c r="L16" s="67">
        <v>940</v>
      </c>
      <c r="M16" s="265">
        <f t="shared" si="27"/>
        <v>0</v>
      </c>
      <c r="N16" s="26">
        <v>411</v>
      </c>
      <c r="O16" s="26">
        <v>2</v>
      </c>
      <c r="P16" s="68">
        <v>1</v>
      </c>
      <c r="Q16" s="67">
        <v>5674</v>
      </c>
      <c r="R16" s="265">
        <f t="shared" si="28"/>
        <v>1.4119308153900459E-3</v>
      </c>
      <c r="S16" s="26">
        <v>1271</v>
      </c>
      <c r="T16" s="26">
        <v>28</v>
      </c>
      <c r="U16" s="68">
        <v>1</v>
      </c>
      <c r="V16" s="75">
        <f t="shared" si="0"/>
        <v>1509</v>
      </c>
      <c r="W16" s="28">
        <f t="shared" si="5"/>
        <v>2311</v>
      </c>
      <c r="X16" s="28">
        <f t="shared" si="6"/>
        <v>940</v>
      </c>
      <c r="Y16" s="76">
        <f t="shared" si="7"/>
        <v>5674</v>
      </c>
      <c r="Z16" s="436">
        <f>SUM(V16:Y16)</f>
        <v>10434</v>
      </c>
      <c r="AA16" s="265" t="e">
        <f>(Z16-Z15)/Z15</f>
        <v>#DIV/0!</v>
      </c>
      <c r="AB16" s="266">
        <f t="shared" si="25"/>
        <v>6.6312997347480103E-4</v>
      </c>
      <c r="AC16" s="267">
        <f t="shared" si="8"/>
        <v>8.661758336942399E-4</v>
      </c>
      <c r="AD16" s="267">
        <f t="shared" si="9"/>
        <v>0</v>
      </c>
      <c r="AE16" s="268">
        <f t="shared" si="10"/>
        <v>1.4119308153900459E-3</v>
      </c>
      <c r="AF16" s="84">
        <f t="shared" si="11"/>
        <v>129</v>
      </c>
      <c r="AG16" s="54">
        <f t="shared" si="12"/>
        <v>92</v>
      </c>
      <c r="AH16" s="54">
        <f t="shared" si="13"/>
        <v>411</v>
      </c>
      <c r="AI16" s="85">
        <f t="shared" si="14"/>
        <v>1271</v>
      </c>
      <c r="AJ16" s="84">
        <f t="shared" si="15"/>
        <v>3</v>
      </c>
      <c r="AK16" s="54">
        <f t="shared" si="16"/>
        <v>3</v>
      </c>
      <c r="AL16" s="54">
        <f t="shared" si="17"/>
        <v>2</v>
      </c>
      <c r="AM16" s="85">
        <f t="shared" si="18"/>
        <v>28</v>
      </c>
      <c r="AN16" s="439">
        <f t="shared" si="19"/>
        <v>36</v>
      </c>
      <c r="AO16" s="84">
        <f t="shared" si="20"/>
        <v>1</v>
      </c>
      <c r="AP16" s="54">
        <f t="shared" si="21"/>
        <v>1</v>
      </c>
      <c r="AQ16" s="54">
        <f t="shared" si="22"/>
        <v>1</v>
      </c>
      <c r="AR16" s="85">
        <f t="shared" si="23"/>
        <v>1</v>
      </c>
      <c r="AS16" s="441">
        <f t="shared" si="24"/>
        <v>4</v>
      </c>
    </row>
    <row r="17" spans="1:45" ht="15.75" customHeight="1">
      <c r="A17" s="442">
        <v>45915</v>
      </c>
      <c r="B17" s="67">
        <v>1510</v>
      </c>
      <c r="C17" s="265">
        <f t="shared" ref="C17:C57" si="29">(B17-B16)/B16</f>
        <v>6.6269052352551359E-4</v>
      </c>
      <c r="D17" s="26">
        <v>277</v>
      </c>
      <c r="E17" s="26">
        <v>8</v>
      </c>
      <c r="F17" s="68">
        <v>1</v>
      </c>
      <c r="G17" s="67">
        <v>2310</v>
      </c>
      <c r="H17" s="265">
        <f t="shared" si="26"/>
        <v>-4.3271311120726956E-4</v>
      </c>
      <c r="I17" s="26">
        <v>65</v>
      </c>
      <c r="J17" s="26">
        <v>2</v>
      </c>
      <c r="K17" s="68">
        <v>1</v>
      </c>
      <c r="L17" s="67">
        <v>940</v>
      </c>
      <c r="M17" s="265">
        <f t="shared" si="27"/>
        <v>0</v>
      </c>
      <c r="N17" s="26">
        <v>513</v>
      </c>
      <c r="O17" s="26">
        <v>5</v>
      </c>
      <c r="P17" s="68">
        <v>1</v>
      </c>
      <c r="Q17" s="67">
        <v>5677</v>
      </c>
      <c r="R17" s="265">
        <f>(Q17-Q16)/Q16</f>
        <v>5.2872752908001406E-4</v>
      </c>
      <c r="S17" s="26">
        <v>326</v>
      </c>
      <c r="T17" s="26">
        <v>6</v>
      </c>
      <c r="U17" s="68">
        <v>1</v>
      </c>
      <c r="V17" s="75">
        <f t="shared" si="0"/>
        <v>1510</v>
      </c>
      <c r="W17" s="28">
        <f t="shared" si="5"/>
        <v>2310</v>
      </c>
      <c r="X17" s="28">
        <f t="shared" si="6"/>
        <v>940</v>
      </c>
      <c r="Y17" s="76">
        <f t="shared" si="7"/>
        <v>5677</v>
      </c>
      <c r="Z17" s="436">
        <f t="shared" ref="Z17:Z80" si="30">SUM(V17:Y17)</f>
        <v>10437</v>
      </c>
      <c r="AA17" s="265">
        <f>(Z17-Z16)/Z16</f>
        <v>2.875215641173088E-4</v>
      </c>
      <c r="AB17" s="266">
        <f t="shared" si="25"/>
        <v>6.6269052352551359E-4</v>
      </c>
      <c r="AC17" s="267">
        <f t="shared" si="8"/>
        <v>-4.3271311120726956E-4</v>
      </c>
      <c r="AD17" s="267">
        <f t="shared" si="9"/>
        <v>0</v>
      </c>
      <c r="AE17" s="268">
        <f t="shared" si="10"/>
        <v>5.2872752908001406E-4</v>
      </c>
      <c r="AF17" s="84">
        <f t="shared" si="11"/>
        <v>277</v>
      </c>
      <c r="AG17" s="54">
        <f t="shared" si="12"/>
        <v>65</v>
      </c>
      <c r="AH17" s="54">
        <f t="shared" si="13"/>
        <v>513</v>
      </c>
      <c r="AI17" s="85">
        <f t="shared" si="14"/>
        <v>326</v>
      </c>
      <c r="AJ17" s="84">
        <f t="shared" si="15"/>
        <v>8</v>
      </c>
      <c r="AK17" s="54">
        <f t="shared" si="16"/>
        <v>2</v>
      </c>
      <c r="AL17" s="54">
        <f t="shared" si="17"/>
        <v>5</v>
      </c>
      <c r="AM17" s="85">
        <f t="shared" si="18"/>
        <v>6</v>
      </c>
      <c r="AN17" s="439">
        <f t="shared" si="19"/>
        <v>21</v>
      </c>
      <c r="AO17" s="84">
        <f t="shared" si="20"/>
        <v>1</v>
      </c>
      <c r="AP17" s="54">
        <f t="shared" si="21"/>
        <v>1</v>
      </c>
      <c r="AQ17" s="54">
        <f t="shared" si="22"/>
        <v>1</v>
      </c>
      <c r="AR17" s="85">
        <f t="shared" si="23"/>
        <v>1</v>
      </c>
      <c r="AS17" s="441">
        <f t="shared" si="24"/>
        <v>4</v>
      </c>
    </row>
    <row r="18" spans="1:45" ht="15.75" customHeight="1">
      <c r="A18" s="442">
        <v>45922</v>
      </c>
      <c r="B18" s="67">
        <v>1512</v>
      </c>
      <c r="C18" s="265">
        <f t="shared" si="29"/>
        <v>1.3245033112582781E-3</v>
      </c>
      <c r="D18" s="26">
        <v>228</v>
      </c>
      <c r="E18" s="26">
        <v>5</v>
      </c>
      <c r="F18" s="68">
        <v>1</v>
      </c>
      <c r="G18" s="67">
        <v>2313</v>
      </c>
      <c r="H18" s="265">
        <f t="shared" si="26"/>
        <v>1.2987012987012987E-3</v>
      </c>
      <c r="I18" s="26">
        <v>44</v>
      </c>
      <c r="J18" s="26">
        <v>2</v>
      </c>
      <c r="K18" s="68">
        <v>1</v>
      </c>
      <c r="L18" s="67">
        <v>941</v>
      </c>
      <c r="M18" s="265">
        <f t="shared" si="27"/>
        <v>1.0638297872340426E-3</v>
      </c>
      <c r="N18" s="26">
        <v>242</v>
      </c>
      <c r="O18" s="26">
        <v>4</v>
      </c>
      <c r="P18" s="68">
        <v>1</v>
      </c>
      <c r="Q18" s="67">
        <v>5672</v>
      </c>
      <c r="R18" s="265">
        <f t="shared" ref="R18:R57" si="31">(Q18-Q17)/Q17</f>
        <v>-8.8074687334859956E-4</v>
      </c>
      <c r="S18" s="26">
        <v>563</v>
      </c>
      <c r="T18" s="26">
        <v>17</v>
      </c>
      <c r="U18" s="68">
        <v>1</v>
      </c>
      <c r="V18" s="75">
        <f t="shared" si="0"/>
        <v>1512</v>
      </c>
      <c r="W18" s="28">
        <f t="shared" si="5"/>
        <v>2313</v>
      </c>
      <c r="X18" s="28">
        <f t="shared" si="6"/>
        <v>941</v>
      </c>
      <c r="Y18" s="76">
        <f t="shared" si="7"/>
        <v>5672</v>
      </c>
      <c r="Z18" s="436" t="s">
        <v>358</v>
      </c>
      <c r="AA18" s="265" t="e">
        <f t="shared" ref="AA18:AA41" si="32">(Z18-Z17)/Z17</f>
        <v>#VALUE!</v>
      </c>
      <c r="AB18" s="266">
        <f t="shared" si="25"/>
        <v>1.3245033112582781E-3</v>
      </c>
      <c r="AC18" s="267">
        <f t="shared" si="8"/>
        <v>1.2987012987012987E-3</v>
      </c>
      <c r="AD18" s="267">
        <f t="shared" si="9"/>
        <v>1.0638297872340426E-3</v>
      </c>
      <c r="AE18" s="268">
        <f t="shared" si="10"/>
        <v>-8.8074687334859956E-4</v>
      </c>
      <c r="AF18" s="84">
        <f t="shared" si="11"/>
        <v>228</v>
      </c>
      <c r="AG18" s="54">
        <f t="shared" si="12"/>
        <v>44</v>
      </c>
      <c r="AH18" s="54">
        <f t="shared" si="13"/>
        <v>242</v>
      </c>
      <c r="AI18" s="85">
        <f t="shared" si="14"/>
        <v>563</v>
      </c>
      <c r="AJ18" s="84">
        <f t="shared" si="15"/>
        <v>5</v>
      </c>
      <c r="AK18" s="54">
        <f t="shared" si="16"/>
        <v>2</v>
      </c>
      <c r="AL18" s="54">
        <f t="shared" si="17"/>
        <v>4</v>
      </c>
      <c r="AM18" s="85">
        <f t="shared" si="18"/>
        <v>17</v>
      </c>
      <c r="AN18" s="439">
        <f t="shared" si="19"/>
        <v>28</v>
      </c>
      <c r="AO18" s="84">
        <f t="shared" si="20"/>
        <v>1</v>
      </c>
      <c r="AP18" s="54">
        <f t="shared" si="21"/>
        <v>1</v>
      </c>
      <c r="AQ18" s="54">
        <f t="shared" si="22"/>
        <v>1</v>
      </c>
      <c r="AR18" s="85">
        <f t="shared" si="23"/>
        <v>1</v>
      </c>
      <c r="AS18" s="441">
        <f t="shared" si="24"/>
        <v>4</v>
      </c>
    </row>
    <row r="19" spans="1:45" ht="15.75" customHeight="1">
      <c r="A19" s="442">
        <v>45929</v>
      </c>
      <c r="B19" s="67">
        <v>1517</v>
      </c>
      <c r="C19" s="265">
        <f t="shared" si="29"/>
        <v>3.3068783068783067E-3</v>
      </c>
      <c r="D19" s="26">
        <v>103</v>
      </c>
      <c r="E19" s="26">
        <v>0</v>
      </c>
      <c r="F19" s="68">
        <v>0</v>
      </c>
      <c r="G19" s="67">
        <v>2313</v>
      </c>
      <c r="H19" s="265">
        <f t="shared" si="26"/>
        <v>0</v>
      </c>
      <c r="I19" s="26">
        <v>2</v>
      </c>
      <c r="J19" s="26">
        <v>1</v>
      </c>
      <c r="K19" s="68">
        <v>0</v>
      </c>
      <c r="L19" s="67">
        <v>942</v>
      </c>
      <c r="M19" s="265">
        <f t="shared" si="27"/>
        <v>1.0626992561105207E-3</v>
      </c>
      <c r="N19" s="26">
        <v>853</v>
      </c>
      <c r="O19" s="26">
        <v>0</v>
      </c>
      <c r="P19" s="68">
        <v>0</v>
      </c>
      <c r="Q19" s="67">
        <v>5682</v>
      </c>
      <c r="R19" s="265">
        <f t="shared" si="31"/>
        <v>1.763046544428773E-3</v>
      </c>
      <c r="S19" s="26">
        <v>126</v>
      </c>
      <c r="T19" s="26">
        <v>5</v>
      </c>
      <c r="U19" s="68">
        <v>0</v>
      </c>
      <c r="V19" s="75">
        <f t="shared" si="0"/>
        <v>1517</v>
      </c>
      <c r="W19" s="28">
        <f t="shared" si="5"/>
        <v>2313</v>
      </c>
      <c r="X19" s="28">
        <f t="shared" si="6"/>
        <v>942</v>
      </c>
      <c r="Y19" s="76">
        <f t="shared" si="7"/>
        <v>5682</v>
      </c>
      <c r="Z19" s="436">
        <f t="shared" si="30"/>
        <v>10454</v>
      </c>
      <c r="AA19" s="265" t="e">
        <f t="shared" si="32"/>
        <v>#VALUE!</v>
      </c>
      <c r="AB19" s="266">
        <f t="shared" si="25"/>
        <v>3.3068783068783067E-3</v>
      </c>
      <c r="AC19" s="267">
        <f t="shared" si="8"/>
        <v>0</v>
      </c>
      <c r="AD19" s="267">
        <f t="shared" si="9"/>
        <v>1.0626992561105207E-3</v>
      </c>
      <c r="AE19" s="268">
        <f t="shared" si="10"/>
        <v>1.763046544428773E-3</v>
      </c>
      <c r="AF19" s="84">
        <f t="shared" si="11"/>
        <v>103</v>
      </c>
      <c r="AG19" s="54">
        <f t="shared" si="12"/>
        <v>2</v>
      </c>
      <c r="AH19" s="54">
        <f t="shared" si="13"/>
        <v>853</v>
      </c>
      <c r="AI19" s="85">
        <f t="shared" si="14"/>
        <v>126</v>
      </c>
      <c r="AJ19" s="84">
        <f t="shared" si="15"/>
        <v>0</v>
      </c>
      <c r="AK19" s="54">
        <f t="shared" si="16"/>
        <v>1</v>
      </c>
      <c r="AL19" s="54">
        <f t="shared" si="17"/>
        <v>0</v>
      </c>
      <c r="AM19" s="85">
        <f t="shared" si="18"/>
        <v>5</v>
      </c>
      <c r="AN19" s="439">
        <f t="shared" si="19"/>
        <v>6</v>
      </c>
      <c r="AO19" s="84">
        <f t="shared" si="20"/>
        <v>0</v>
      </c>
      <c r="AP19" s="54">
        <f t="shared" si="21"/>
        <v>0</v>
      </c>
      <c r="AQ19" s="54">
        <f t="shared" si="22"/>
        <v>0</v>
      </c>
      <c r="AR19" s="85">
        <f t="shared" si="23"/>
        <v>0</v>
      </c>
      <c r="AS19" s="441">
        <f t="shared" si="24"/>
        <v>0</v>
      </c>
    </row>
    <row r="20" spans="1:45" ht="15.75" customHeight="1">
      <c r="A20" s="442">
        <v>45936</v>
      </c>
      <c r="B20" s="67">
        <v>1518</v>
      </c>
      <c r="C20" s="265">
        <f t="shared" si="29"/>
        <v>6.5919578114700061E-4</v>
      </c>
      <c r="D20" s="26">
        <v>223</v>
      </c>
      <c r="E20" s="26">
        <v>8</v>
      </c>
      <c r="F20" s="68">
        <v>1</v>
      </c>
      <c r="G20" s="67">
        <v>2313</v>
      </c>
      <c r="H20" s="265">
        <f t="shared" si="26"/>
        <v>0</v>
      </c>
      <c r="I20" s="26">
        <v>38</v>
      </c>
      <c r="J20" s="26">
        <v>2</v>
      </c>
      <c r="K20" s="68">
        <v>1</v>
      </c>
      <c r="L20" s="67">
        <v>943</v>
      </c>
      <c r="M20" s="265">
        <f t="shared" si="27"/>
        <v>1.0615711252653928E-3</v>
      </c>
      <c r="N20" s="26">
        <v>542</v>
      </c>
      <c r="O20" s="26">
        <v>7</v>
      </c>
      <c r="P20" s="68">
        <v>1</v>
      </c>
      <c r="Q20" s="67">
        <v>5680</v>
      </c>
      <c r="R20" s="265">
        <f t="shared" si="31"/>
        <v>-3.5198873636043646E-4</v>
      </c>
      <c r="S20" s="26">
        <v>354</v>
      </c>
      <c r="T20" s="26">
        <v>18</v>
      </c>
      <c r="U20" s="68">
        <v>1</v>
      </c>
      <c r="V20" s="75">
        <f t="shared" si="0"/>
        <v>1518</v>
      </c>
      <c r="W20" s="28">
        <f t="shared" si="5"/>
        <v>2313</v>
      </c>
      <c r="X20" s="28">
        <f t="shared" si="6"/>
        <v>943</v>
      </c>
      <c r="Y20" s="76">
        <f t="shared" si="7"/>
        <v>5680</v>
      </c>
      <c r="Z20" s="436">
        <f t="shared" si="30"/>
        <v>10454</v>
      </c>
      <c r="AA20" s="265">
        <f t="shared" si="32"/>
        <v>0</v>
      </c>
      <c r="AB20" s="266">
        <f t="shared" si="25"/>
        <v>6.5919578114700061E-4</v>
      </c>
      <c r="AC20" s="267">
        <f t="shared" si="8"/>
        <v>0</v>
      </c>
      <c r="AD20" s="267">
        <f t="shared" si="9"/>
        <v>1.0615711252653928E-3</v>
      </c>
      <c r="AE20" s="268">
        <f t="shared" si="10"/>
        <v>-3.5198873636043646E-4</v>
      </c>
      <c r="AF20" s="84">
        <f t="shared" si="11"/>
        <v>223</v>
      </c>
      <c r="AG20" s="54">
        <f t="shared" si="12"/>
        <v>38</v>
      </c>
      <c r="AH20" s="54">
        <f t="shared" si="13"/>
        <v>542</v>
      </c>
      <c r="AI20" s="85">
        <f t="shared" si="14"/>
        <v>354</v>
      </c>
      <c r="AJ20" s="84">
        <f t="shared" si="15"/>
        <v>8</v>
      </c>
      <c r="AK20" s="54">
        <f t="shared" si="16"/>
        <v>2</v>
      </c>
      <c r="AL20" s="54">
        <f t="shared" si="17"/>
        <v>7</v>
      </c>
      <c r="AM20" s="85">
        <f t="shared" si="18"/>
        <v>18</v>
      </c>
      <c r="AN20" s="439">
        <f t="shared" si="19"/>
        <v>35</v>
      </c>
      <c r="AO20" s="84">
        <f t="shared" si="20"/>
        <v>1</v>
      </c>
      <c r="AP20" s="54">
        <f t="shared" si="21"/>
        <v>1</v>
      </c>
      <c r="AQ20" s="54">
        <f t="shared" si="22"/>
        <v>1</v>
      </c>
      <c r="AR20" s="85">
        <f t="shared" si="23"/>
        <v>1</v>
      </c>
      <c r="AS20" s="441">
        <f t="shared" si="24"/>
        <v>4</v>
      </c>
    </row>
    <row r="21" spans="1:45" ht="15.75" customHeight="1">
      <c r="A21" s="442">
        <v>45943</v>
      </c>
      <c r="B21" s="67">
        <v>1519</v>
      </c>
      <c r="C21" s="265">
        <f t="shared" si="29"/>
        <v>6.5876152832674575E-4</v>
      </c>
      <c r="D21" s="26">
        <v>402</v>
      </c>
      <c r="E21" s="26">
        <v>7</v>
      </c>
      <c r="F21" s="68">
        <v>1</v>
      </c>
      <c r="G21" s="67">
        <v>2311</v>
      </c>
      <c r="H21" s="265">
        <f t="shared" si="26"/>
        <v>-8.6467790747946386E-4</v>
      </c>
      <c r="I21" s="26">
        <v>82</v>
      </c>
      <c r="J21" s="26">
        <v>3</v>
      </c>
      <c r="K21" s="68">
        <v>1</v>
      </c>
      <c r="L21" s="67">
        <v>951</v>
      </c>
      <c r="M21" s="265">
        <f t="shared" si="27"/>
        <v>8.483563096500531E-3</v>
      </c>
      <c r="N21" s="26">
        <v>1273</v>
      </c>
      <c r="O21" s="26">
        <v>15</v>
      </c>
      <c r="P21" s="68">
        <v>1</v>
      </c>
      <c r="Q21" s="67">
        <v>5678</v>
      </c>
      <c r="R21" s="265">
        <f t="shared" si="31"/>
        <v>-3.5211267605633805E-4</v>
      </c>
      <c r="S21" s="26">
        <v>787</v>
      </c>
      <c r="T21" s="26">
        <v>21</v>
      </c>
      <c r="U21" s="68">
        <v>1</v>
      </c>
      <c r="V21" s="75">
        <f t="shared" si="0"/>
        <v>1519</v>
      </c>
      <c r="W21" s="28">
        <f t="shared" si="5"/>
        <v>2311</v>
      </c>
      <c r="X21" s="28">
        <f t="shared" si="6"/>
        <v>951</v>
      </c>
      <c r="Y21" s="76">
        <f t="shared" si="7"/>
        <v>5678</v>
      </c>
      <c r="Z21" s="436">
        <f t="shared" si="30"/>
        <v>10459</v>
      </c>
      <c r="AA21" s="265">
        <f t="shared" si="32"/>
        <v>4.7828582360818827E-4</v>
      </c>
      <c r="AB21" s="266">
        <f t="shared" si="25"/>
        <v>6.5876152832674575E-4</v>
      </c>
      <c r="AC21" s="267">
        <f t="shared" si="8"/>
        <v>-8.6467790747946386E-4</v>
      </c>
      <c r="AD21" s="267">
        <f t="shared" si="9"/>
        <v>8.483563096500531E-3</v>
      </c>
      <c r="AE21" s="268">
        <f t="shared" si="10"/>
        <v>-3.5211267605633805E-4</v>
      </c>
      <c r="AF21" s="84">
        <f t="shared" si="11"/>
        <v>402</v>
      </c>
      <c r="AG21" s="54">
        <f t="shared" si="12"/>
        <v>82</v>
      </c>
      <c r="AH21" s="54">
        <f t="shared" si="13"/>
        <v>1273</v>
      </c>
      <c r="AI21" s="85">
        <f t="shared" si="14"/>
        <v>787</v>
      </c>
      <c r="AJ21" s="84">
        <f t="shared" si="15"/>
        <v>7</v>
      </c>
      <c r="AK21" s="54">
        <f t="shared" si="16"/>
        <v>3</v>
      </c>
      <c r="AL21" s="54">
        <f t="shared" si="17"/>
        <v>15</v>
      </c>
      <c r="AM21" s="85">
        <f t="shared" si="18"/>
        <v>21</v>
      </c>
      <c r="AN21" s="439">
        <f t="shared" si="19"/>
        <v>46</v>
      </c>
      <c r="AO21" s="84">
        <f t="shared" si="20"/>
        <v>1</v>
      </c>
      <c r="AP21" s="54">
        <f t="shared" si="21"/>
        <v>1</v>
      </c>
      <c r="AQ21" s="54">
        <f t="shared" si="22"/>
        <v>1</v>
      </c>
      <c r="AR21" s="85">
        <f t="shared" si="23"/>
        <v>1</v>
      </c>
      <c r="AS21" s="441">
        <f t="shared" si="24"/>
        <v>4</v>
      </c>
    </row>
    <row r="22" spans="1:45" ht="15.75" customHeight="1">
      <c r="A22" s="442">
        <v>45950</v>
      </c>
      <c r="B22" s="67">
        <v>1520</v>
      </c>
      <c r="C22" s="265">
        <f t="shared" si="29"/>
        <v>6.583278472679394E-4</v>
      </c>
      <c r="D22" s="26">
        <v>209</v>
      </c>
      <c r="E22" s="26">
        <v>10</v>
      </c>
      <c r="F22" s="68">
        <v>0</v>
      </c>
      <c r="G22" s="67">
        <v>2310</v>
      </c>
      <c r="H22" s="265">
        <f t="shared" si="26"/>
        <v>-4.3271311120726956E-4</v>
      </c>
      <c r="I22" s="26">
        <v>19</v>
      </c>
      <c r="J22" s="26">
        <v>1</v>
      </c>
      <c r="K22" s="68">
        <v>0</v>
      </c>
      <c r="L22" s="67">
        <v>956</v>
      </c>
      <c r="M22" s="265">
        <f t="shared" si="27"/>
        <v>5.2576235541535229E-3</v>
      </c>
      <c r="N22" s="26">
        <v>662</v>
      </c>
      <c r="O22" s="26">
        <v>1</v>
      </c>
      <c r="P22" s="68">
        <v>0</v>
      </c>
      <c r="Q22" s="67">
        <v>5679</v>
      </c>
      <c r="R22" s="265">
        <f t="shared" si="31"/>
        <v>1.7611835153222966E-4</v>
      </c>
      <c r="S22" s="26">
        <v>97</v>
      </c>
      <c r="T22" s="26">
        <v>4</v>
      </c>
      <c r="U22" s="68">
        <v>0</v>
      </c>
      <c r="V22" s="75">
        <f t="shared" si="0"/>
        <v>1520</v>
      </c>
      <c r="W22" s="28">
        <f t="shared" si="5"/>
        <v>2310</v>
      </c>
      <c r="X22" s="28">
        <f t="shared" si="6"/>
        <v>956</v>
      </c>
      <c r="Y22" s="76">
        <f t="shared" si="7"/>
        <v>5679</v>
      </c>
      <c r="Z22" s="436">
        <f t="shared" si="30"/>
        <v>10465</v>
      </c>
      <c r="AA22" s="265">
        <f t="shared" si="32"/>
        <v>5.7366861076584756E-4</v>
      </c>
      <c r="AB22" s="266">
        <f t="shared" si="25"/>
        <v>6.583278472679394E-4</v>
      </c>
      <c r="AC22" s="267">
        <f t="shared" si="8"/>
        <v>-4.3271311120726956E-4</v>
      </c>
      <c r="AD22" s="267">
        <f t="shared" si="9"/>
        <v>5.2576235541535229E-3</v>
      </c>
      <c r="AE22" s="268">
        <f t="shared" si="10"/>
        <v>1.7611835153222966E-4</v>
      </c>
      <c r="AF22" s="84">
        <f t="shared" si="11"/>
        <v>209</v>
      </c>
      <c r="AG22" s="54">
        <f t="shared" si="12"/>
        <v>19</v>
      </c>
      <c r="AH22" s="54">
        <f t="shared" si="13"/>
        <v>662</v>
      </c>
      <c r="AI22" s="85">
        <f t="shared" si="14"/>
        <v>97</v>
      </c>
      <c r="AJ22" s="84">
        <f t="shared" si="15"/>
        <v>10</v>
      </c>
      <c r="AK22" s="54">
        <f t="shared" si="16"/>
        <v>1</v>
      </c>
      <c r="AL22" s="54">
        <f t="shared" si="17"/>
        <v>1</v>
      </c>
      <c r="AM22" s="85">
        <f t="shared" si="18"/>
        <v>4</v>
      </c>
      <c r="AN22" s="439">
        <f t="shared" si="19"/>
        <v>16</v>
      </c>
      <c r="AO22" s="84">
        <f t="shared" si="20"/>
        <v>0</v>
      </c>
      <c r="AP22" s="54">
        <f t="shared" si="21"/>
        <v>0</v>
      </c>
      <c r="AQ22" s="54">
        <f t="shared" si="22"/>
        <v>0</v>
      </c>
      <c r="AR22" s="85">
        <f t="shared" si="23"/>
        <v>0</v>
      </c>
      <c r="AS22" s="441">
        <f t="shared" si="24"/>
        <v>0</v>
      </c>
    </row>
    <row r="23" spans="1:45" ht="15.75" customHeight="1">
      <c r="A23" s="442">
        <v>45957</v>
      </c>
      <c r="B23" s="67">
        <v>1522</v>
      </c>
      <c r="C23" s="265">
        <f t="shared" si="29"/>
        <v>1.3157894736842105E-3</v>
      </c>
      <c r="D23" s="26">
        <v>343</v>
      </c>
      <c r="E23" s="26">
        <v>12</v>
      </c>
      <c r="F23" s="68">
        <v>2</v>
      </c>
      <c r="G23" s="67">
        <v>2312</v>
      </c>
      <c r="H23" s="265">
        <f t="shared" si="26"/>
        <v>8.658008658008658E-4</v>
      </c>
      <c r="I23" s="26">
        <v>80</v>
      </c>
      <c r="J23" s="26">
        <v>7</v>
      </c>
      <c r="K23" s="68">
        <v>2</v>
      </c>
      <c r="L23" s="67">
        <v>958</v>
      </c>
      <c r="M23" s="265">
        <f t="shared" si="27"/>
        <v>2.0920502092050207E-3</v>
      </c>
      <c r="N23" s="26">
        <v>896</v>
      </c>
      <c r="O23" s="26">
        <v>6</v>
      </c>
      <c r="P23" s="68">
        <v>2</v>
      </c>
      <c r="Q23" s="67">
        <v>5678</v>
      </c>
      <c r="R23" s="265">
        <f t="shared" si="31"/>
        <v>-1.7608733932030288E-4</v>
      </c>
      <c r="S23" s="26">
        <v>447</v>
      </c>
      <c r="T23" s="26">
        <v>9</v>
      </c>
      <c r="U23" s="68">
        <v>2</v>
      </c>
      <c r="V23" s="75">
        <f t="shared" si="0"/>
        <v>1522</v>
      </c>
      <c r="W23" s="28">
        <f t="shared" si="5"/>
        <v>2312</v>
      </c>
      <c r="X23" s="28">
        <f t="shared" si="6"/>
        <v>958</v>
      </c>
      <c r="Y23" s="76">
        <f t="shared" si="7"/>
        <v>5678</v>
      </c>
      <c r="Z23" s="436">
        <f t="shared" si="30"/>
        <v>10470</v>
      </c>
      <c r="AA23" s="265">
        <f t="shared" si="32"/>
        <v>4.7778308647873863E-4</v>
      </c>
      <c r="AB23" s="266">
        <f t="shared" si="25"/>
        <v>1.3157894736842105E-3</v>
      </c>
      <c r="AC23" s="267">
        <f t="shared" si="8"/>
        <v>8.658008658008658E-4</v>
      </c>
      <c r="AD23" s="267">
        <f t="shared" si="9"/>
        <v>2.0920502092050207E-3</v>
      </c>
      <c r="AE23" s="268">
        <f t="shared" si="10"/>
        <v>-1.7608733932030288E-4</v>
      </c>
      <c r="AF23" s="84">
        <f t="shared" si="11"/>
        <v>343</v>
      </c>
      <c r="AG23" s="54">
        <f t="shared" si="12"/>
        <v>80</v>
      </c>
      <c r="AH23" s="54">
        <f t="shared" si="13"/>
        <v>896</v>
      </c>
      <c r="AI23" s="85">
        <f t="shared" si="14"/>
        <v>447</v>
      </c>
      <c r="AJ23" s="84">
        <f t="shared" si="15"/>
        <v>12</v>
      </c>
      <c r="AK23" s="54">
        <f t="shared" si="16"/>
        <v>7</v>
      </c>
      <c r="AL23" s="54">
        <f t="shared" si="17"/>
        <v>6</v>
      </c>
      <c r="AM23" s="85">
        <f t="shared" si="18"/>
        <v>9</v>
      </c>
      <c r="AN23" s="439">
        <f t="shared" si="19"/>
        <v>34</v>
      </c>
      <c r="AO23" s="84">
        <f t="shared" si="20"/>
        <v>2</v>
      </c>
      <c r="AP23" s="54">
        <f t="shared" si="21"/>
        <v>2</v>
      </c>
      <c r="AQ23" s="54">
        <f t="shared" si="22"/>
        <v>2</v>
      </c>
      <c r="AR23" s="85">
        <f t="shared" si="23"/>
        <v>2</v>
      </c>
      <c r="AS23" s="441">
        <f t="shared" si="24"/>
        <v>8</v>
      </c>
    </row>
    <row r="24" spans="1:45" ht="15.75" customHeight="1">
      <c r="A24" s="442">
        <v>45964</v>
      </c>
      <c r="B24" s="67">
        <v>1526</v>
      </c>
      <c r="C24" s="265">
        <f t="shared" si="29"/>
        <v>2.6281208935611039E-3</v>
      </c>
      <c r="D24" s="26">
        <v>379</v>
      </c>
      <c r="E24" s="26">
        <v>6</v>
      </c>
      <c r="F24" s="68">
        <v>1</v>
      </c>
      <c r="G24" s="67">
        <v>2313</v>
      </c>
      <c r="H24" s="265">
        <f t="shared" si="26"/>
        <v>4.3252595155709344E-4</v>
      </c>
      <c r="I24" s="26">
        <v>35</v>
      </c>
      <c r="J24" s="26">
        <v>3</v>
      </c>
      <c r="K24" s="68">
        <v>1</v>
      </c>
      <c r="L24" s="67">
        <v>962</v>
      </c>
      <c r="M24" s="265">
        <f t="shared" si="27"/>
        <v>4.1753653444676405E-3</v>
      </c>
      <c r="N24" s="26">
        <v>775</v>
      </c>
      <c r="O24" s="26">
        <v>0</v>
      </c>
      <c r="P24" s="68">
        <v>1</v>
      </c>
      <c r="Q24" s="67">
        <v>5681</v>
      </c>
      <c r="R24" s="265">
        <f t="shared" si="31"/>
        <v>5.2835505459668892E-4</v>
      </c>
      <c r="S24" s="26">
        <v>534</v>
      </c>
      <c r="T24" s="26">
        <v>9</v>
      </c>
      <c r="U24" s="68">
        <v>1</v>
      </c>
      <c r="V24" s="75">
        <f t="shared" si="0"/>
        <v>1526</v>
      </c>
      <c r="W24" s="28">
        <f t="shared" si="5"/>
        <v>2313</v>
      </c>
      <c r="X24" s="28">
        <f t="shared" si="6"/>
        <v>962</v>
      </c>
      <c r="Y24" s="76">
        <f t="shared" si="7"/>
        <v>5681</v>
      </c>
      <c r="Z24" s="436">
        <f t="shared" si="30"/>
        <v>10482</v>
      </c>
      <c r="AA24" s="265">
        <f t="shared" si="32"/>
        <v>1.146131805157593E-3</v>
      </c>
      <c r="AB24" s="266">
        <f t="shared" si="25"/>
        <v>2.6281208935611039E-3</v>
      </c>
      <c r="AC24" s="267">
        <f t="shared" si="8"/>
        <v>4.3252595155709344E-4</v>
      </c>
      <c r="AD24" s="267">
        <f t="shared" si="9"/>
        <v>4.1753653444676405E-3</v>
      </c>
      <c r="AE24" s="268">
        <f t="shared" si="10"/>
        <v>5.2835505459668892E-4</v>
      </c>
      <c r="AF24" s="84">
        <f t="shared" si="11"/>
        <v>379</v>
      </c>
      <c r="AG24" s="54">
        <f t="shared" si="12"/>
        <v>35</v>
      </c>
      <c r="AH24" s="54">
        <f t="shared" si="13"/>
        <v>775</v>
      </c>
      <c r="AI24" s="85">
        <f t="shared" si="14"/>
        <v>534</v>
      </c>
      <c r="AJ24" s="84">
        <f t="shared" si="15"/>
        <v>6</v>
      </c>
      <c r="AK24" s="54">
        <f t="shared" si="16"/>
        <v>3</v>
      </c>
      <c r="AL24" s="54">
        <f t="shared" si="17"/>
        <v>0</v>
      </c>
      <c r="AM24" s="85">
        <f t="shared" si="18"/>
        <v>9</v>
      </c>
      <c r="AN24" s="439">
        <f t="shared" si="19"/>
        <v>18</v>
      </c>
      <c r="AO24" s="84">
        <f t="shared" si="20"/>
        <v>1</v>
      </c>
      <c r="AP24" s="54">
        <f t="shared" si="21"/>
        <v>1</v>
      </c>
      <c r="AQ24" s="54">
        <f t="shared" si="22"/>
        <v>1</v>
      </c>
      <c r="AR24" s="85">
        <f t="shared" si="23"/>
        <v>1</v>
      </c>
      <c r="AS24" s="441">
        <f t="shared" si="24"/>
        <v>4</v>
      </c>
    </row>
    <row r="25" spans="1:45" ht="15.75" customHeight="1">
      <c r="A25" s="442">
        <v>45971</v>
      </c>
      <c r="B25" s="67">
        <v>1529</v>
      </c>
      <c r="C25" s="265">
        <f t="shared" si="29"/>
        <v>1.9659239842726079E-3</v>
      </c>
      <c r="D25" s="26">
        <v>544</v>
      </c>
      <c r="E25" s="26">
        <v>7</v>
      </c>
      <c r="F25" s="68">
        <v>2</v>
      </c>
      <c r="G25" s="67">
        <v>2311</v>
      </c>
      <c r="H25" s="265">
        <f t="shared" si="26"/>
        <v>-8.6467790747946386E-4</v>
      </c>
      <c r="I25" s="26">
        <v>102</v>
      </c>
      <c r="J25" s="26">
        <v>1</v>
      </c>
      <c r="K25" s="68">
        <v>2</v>
      </c>
      <c r="L25" s="67">
        <v>973</v>
      </c>
      <c r="M25" s="265">
        <f t="shared" si="27"/>
        <v>1.1434511434511435E-2</v>
      </c>
      <c r="N25" s="26">
        <v>2079</v>
      </c>
      <c r="O25" s="26">
        <v>15</v>
      </c>
      <c r="P25" s="68">
        <v>2</v>
      </c>
      <c r="Q25" s="67">
        <v>5682</v>
      </c>
      <c r="R25" s="265">
        <f t="shared" si="31"/>
        <v>1.7602534765006161E-4</v>
      </c>
      <c r="S25" s="26">
        <v>747</v>
      </c>
      <c r="T25" s="26">
        <v>25</v>
      </c>
      <c r="U25" s="68">
        <v>2</v>
      </c>
      <c r="V25" s="75">
        <f t="shared" si="0"/>
        <v>1529</v>
      </c>
      <c r="W25" s="28">
        <f t="shared" si="5"/>
        <v>2311</v>
      </c>
      <c r="X25" s="28">
        <f t="shared" si="6"/>
        <v>973</v>
      </c>
      <c r="Y25" s="76">
        <f t="shared" si="7"/>
        <v>5682</v>
      </c>
      <c r="Z25" s="436">
        <f t="shared" si="30"/>
        <v>10495</v>
      </c>
      <c r="AA25" s="265">
        <f t="shared" si="32"/>
        <v>1.2402213318069072E-3</v>
      </c>
      <c r="AB25" s="266">
        <f t="shared" si="25"/>
        <v>1.9659239842726079E-3</v>
      </c>
      <c r="AC25" s="267">
        <f t="shared" si="8"/>
        <v>-8.6467790747946386E-4</v>
      </c>
      <c r="AD25" s="267">
        <f t="shared" si="9"/>
        <v>1.1434511434511435E-2</v>
      </c>
      <c r="AE25" s="268">
        <f t="shared" si="10"/>
        <v>1.7602534765006161E-4</v>
      </c>
      <c r="AF25" s="84">
        <f t="shared" si="11"/>
        <v>544</v>
      </c>
      <c r="AG25" s="54">
        <f t="shared" si="12"/>
        <v>102</v>
      </c>
      <c r="AH25" s="54">
        <f t="shared" si="13"/>
        <v>2079</v>
      </c>
      <c r="AI25" s="85">
        <f t="shared" si="14"/>
        <v>747</v>
      </c>
      <c r="AJ25" s="84">
        <f t="shared" si="15"/>
        <v>7</v>
      </c>
      <c r="AK25" s="54">
        <f t="shared" si="16"/>
        <v>1</v>
      </c>
      <c r="AL25" s="54">
        <f t="shared" si="17"/>
        <v>15</v>
      </c>
      <c r="AM25" s="85">
        <f t="shared" si="18"/>
        <v>25</v>
      </c>
      <c r="AN25" s="439">
        <f t="shared" si="19"/>
        <v>48</v>
      </c>
      <c r="AO25" s="84">
        <f t="shared" si="20"/>
        <v>2</v>
      </c>
      <c r="AP25" s="54">
        <f t="shared" si="21"/>
        <v>2</v>
      </c>
      <c r="AQ25" s="54">
        <f t="shared" si="22"/>
        <v>2</v>
      </c>
      <c r="AR25" s="85">
        <f t="shared" si="23"/>
        <v>2</v>
      </c>
      <c r="AS25" s="441">
        <f t="shared" si="24"/>
        <v>8</v>
      </c>
    </row>
    <row r="26" spans="1:45" ht="15.75" customHeight="1">
      <c r="A26" s="442">
        <v>45978</v>
      </c>
      <c r="B26" s="67">
        <v>1533</v>
      </c>
      <c r="C26" s="265">
        <f t="shared" si="29"/>
        <v>2.616088947024199E-3</v>
      </c>
      <c r="D26" s="26">
        <v>856</v>
      </c>
      <c r="E26" s="26">
        <v>18</v>
      </c>
      <c r="F26" s="68">
        <v>1</v>
      </c>
      <c r="G26" s="67">
        <v>2309</v>
      </c>
      <c r="H26" s="265">
        <f t="shared" si="26"/>
        <v>-8.6542622241453913E-4</v>
      </c>
      <c r="I26" s="26">
        <v>82</v>
      </c>
      <c r="J26" s="26">
        <v>0</v>
      </c>
      <c r="K26" s="68">
        <v>1</v>
      </c>
      <c r="L26" s="67">
        <v>973</v>
      </c>
      <c r="M26" s="265">
        <f t="shared" si="27"/>
        <v>0</v>
      </c>
      <c r="N26" s="26">
        <v>420</v>
      </c>
      <c r="O26" s="26">
        <v>2</v>
      </c>
      <c r="P26" s="68">
        <v>1</v>
      </c>
      <c r="Q26" s="67">
        <v>5678</v>
      </c>
      <c r="R26" s="265">
        <f t="shared" si="31"/>
        <v>-7.0397747272087292E-4</v>
      </c>
      <c r="S26" s="26">
        <v>333</v>
      </c>
      <c r="T26" s="26">
        <v>8</v>
      </c>
      <c r="U26" s="68">
        <v>1</v>
      </c>
      <c r="V26" s="75">
        <f t="shared" si="0"/>
        <v>1533</v>
      </c>
      <c r="W26" s="28">
        <f t="shared" si="5"/>
        <v>2309</v>
      </c>
      <c r="X26" s="28">
        <f t="shared" si="6"/>
        <v>973</v>
      </c>
      <c r="Y26" s="76">
        <f t="shared" si="7"/>
        <v>5678</v>
      </c>
      <c r="Z26" s="436">
        <f t="shared" si="30"/>
        <v>10493</v>
      </c>
      <c r="AA26" s="265">
        <f t="shared" si="32"/>
        <v>-1.9056693663649358E-4</v>
      </c>
      <c r="AB26" s="266">
        <f t="shared" si="25"/>
        <v>2.616088947024199E-3</v>
      </c>
      <c r="AC26" s="267">
        <f t="shared" si="8"/>
        <v>-8.6542622241453913E-4</v>
      </c>
      <c r="AD26" s="267">
        <f t="shared" si="9"/>
        <v>0</v>
      </c>
      <c r="AE26" s="268">
        <f t="shared" si="10"/>
        <v>-7.0397747272087292E-4</v>
      </c>
      <c r="AF26" s="84">
        <f t="shared" si="11"/>
        <v>856</v>
      </c>
      <c r="AG26" s="54">
        <f t="shared" si="12"/>
        <v>82</v>
      </c>
      <c r="AH26" s="54">
        <f t="shared" si="13"/>
        <v>420</v>
      </c>
      <c r="AI26" s="85">
        <f t="shared" si="14"/>
        <v>333</v>
      </c>
      <c r="AJ26" s="84">
        <f t="shared" si="15"/>
        <v>18</v>
      </c>
      <c r="AK26" s="54">
        <f t="shared" si="16"/>
        <v>0</v>
      </c>
      <c r="AL26" s="54">
        <f t="shared" si="17"/>
        <v>2</v>
      </c>
      <c r="AM26" s="85">
        <f t="shared" si="18"/>
        <v>8</v>
      </c>
      <c r="AN26" s="439">
        <f t="shared" si="19"/>
        <v>28</v>
      </c>
      <c r="AO26" s="84">
        <f t="shared" si="20"/>
        <v>1</v>
      </c>
      <c r="AP26" s="54">
        <f t="shared" si="21"/>
        <v>1</v>
      </c>
      <c r="AQ26" s="54">
        <f t="shared" si="22"/>
        <v>1</v>
      </c>
      <c r="AR26" s="85">
        <f t="shared" si="23"/>
        <v>1</v>
      </c>
      <c r="AS26" s="441">
        <f t="shared" si="24"/>
        <v>4</v>
      </c>
    </row>
    <row r="27" spans="1:45" ht="15.75" customHeight="1">
      <c r="A27" s="442">
        <v>45985</v>
      </c>
      <c r="B27" s="67">
        <v>1538</v>
      </c>
      <c r="C27" s="265">
        <f t="shared" si="29"/>
        <v>3.2615786040443573E-3</v>
      </c>
      <c r="D27" s="26">
        <v>477</v>
      </c>
      <c r="E27" s="26">
        <v>13</v>
      </c>
      <c r="F27" s="68">
        <v>1</v>
      </c>
      <c r="G27" s="67">
        <v>2309</v>
      </c>
      <c r="H27" s="265">
        <f t="shared" si="26"/>
        <v>0</v>
      </c>
      <c r="I27" s="26">
        <v>68</v>
      </c>
      <c r="J27" s="26">
        <v>0</v>
      </c>
      <c r="K27" s="68">
        <v>1</v>
      </c>
      <c r="L27" s="67">
        <v>972</v>
      </c>
      <c r="M27" s="265">
        <f t="shared" si="27"/>
        <v>-1.0277492291880781E-3</v>
      </c>
      <c r="N27" s="26">
        <v>770</v>
      </c>
      <c r="O27" s="26">
        <v>7</v>
      </c>
      <c r="P27" s="68">
        <v>1</v>
      </c>
      <c r="Q27" s="67">
        <v>5675</v>
      </c>
      <c r="R27" s="265">
        <f t="shared" si="31"/>
        <v>-5.2835505459668892E-4</v>
      </c>
      <c r="S27" s="26">
        <v>162</v>
      </c>
      <c r="T27" s="26">
        <v>4</v>
      </c>
      <c r="U27" s="68">
        <v>1</v>
      </c>
      <c r="V27" s="75">
        <f t="shared" si="0"/>
        <v>1538</v>
      </c>
      <c r="W27" s="28">
        <f t="shared" si="5"/>
        <v>2309</v>
      </c>
      <c r="X27" s="28">
        <f t="shared" si="6"/>
        <v>972</v>
      </c>
      <c r="Y27" s="76">
        <f t="shared" si="7"/>
        <v>5675</v>
      </c>
      <c r="Z27" s="436">
        <f t="shared" si="30"/>
        <v>10494</v>
      </c>
      <c r="AA27" s="265">
        <f t="shared" si="32"/>
        <v>9.5301629657867148E-5</v>
      </c>
      <c r="AB27" s="266">
        <f t="shared" si="25"/>
        <v>3.2615786040443573E-3</v>
      </c>
      <c r="AC27" s="267">
        <f t="shared" si="8"/>
        <v>0</v>
      </c>
      <c r="AD27" s="267">
        <f t="shared" si="9"/>
        <v>-1.0277492291880781E-3</v>
      </c>
      <c r="AE27" s="268">
        <f t="shared" si="10"/>
        <v>-5.2835505459668892E-4</v>
      </c>
      <c r="AF27" s="84">
        <f t="shared" si="11"/>
        <v>477</v>
      </c>
      <c r="AG27" s="54">
        <f t="shared" si="12"/>
        <v>68</v>
      </c>
      <c r="AH27" s="54">
        <f t="shared" si="13"/>
        <v>770</v>
      </c>
      <c r="AI27" s="85">
        <f t="shared" si="14"/>
        <v>162</v>
      </c>
      <c r="AJ27" s="84">
        <f t="shared" si="15"/>
        <v>13</v>
      </c>
      <c r="AK27" s="54">
        <f t="shared" si="16"/>
        <v>0</v>
      </c>
      <c r="AL27" s="54">
        <f t="shared" si="17"/>
        <v>7</v>
      </c>
      <c r="AM27" s="85">
        <f t="shared" si="18"/>
        <v>4</v>
      </c>
      <c r="AN27" s="439">
        <f t="shared" si="19"/>
        <v>24</v>
      </c>
      <c r="AO27" s="84">
        <f t="shared" si="20"/>
        <v>1</v>
      </c>
      <c r="AP27" s="54">
        <f t="shared" si="21"/>
        <v>1</v>
      </c>
      <c r="AQ27" s="54">
        <f t="shared" si="22"/>
        <v>1</v>
      </c>
      <c r="AR27" s="85">
        <f t="shared" si="23"/>
        <v>1</v>
      </c>
      <c r="AS27" s="441">
        <f t="shared" si="24"/>
        <v>4</v>
      </c>
    </row>
    <row r="28" spans="1:45" ht="15.75" customHeight="1">
      <c r="A28" s="442">
        <v>45992</v>
      </c>
      <c r="B28" s="67">
        <v>1545</v>
      </c>
      <c r="C28" s="265">
        <f t="shared" si="29"/>
        <v>4.5513654096228867E-3</v>
      </c>
      <c r="D28" s="26">
        <v>340</v>
      </c>
      <c r="E28" s="26">
        <v>16</v>
      </c>
      <c r="F28" s="68">
        <v>1</v>
      </c>
      <c r="G28" s="67">
        <v>2309</v>
      </c>
      <c r="H28" s="265">
        <f t="shared" si="26"/>
        <v>0</v>
      </c>
      <c r="I28" s="26">
        <v>206</v>
      </c>
      <c r="J28" s="26">
        <v>5</v>
      </c>
      <c r="K28" s="68">
        <v>1</v>
      </c>
      <c r="L28" s="67">
        <v>973</v>
      </c>
      <c r="M28" s="265">
        <f t="shared" si="27"/>
        <v>1.02880658436214E-3</v>
      </c>
      <c r="N28" s="26">
        <v>768</v>
      </c>
      <c r="O28" s="26">
        <v>12</v>
      </c>
      <c r="P28" s="68">
        <v>1</v>
      </c>
      <c r="Q28" s="67">
        <v>5675</v>
      </c>
      <c r="R28" s="265">
        <f t="shared" si="31"/>
        <v>0</v>
      </c>
      <c r="S28" s="26">
        <v>344</v>
      </c>
      <c r="T28" s="26">
        <v>15</v>
      </c>
      <c r="U28" s="68">
        <v>1</v>
      </c>
      <c r="V28" s="75">
        <f t="shared" si="0"/>
        <v>1545</v>
      </c>
      <c r="W28" s="28">
        <f t="shared" si="5"/>
        <v>2309</v>
      </c>
      <c r="X28" s="28">
        <f t="shared" si="6"/>
        <v>973</v>
      </c>
      <c r="Y28" s="76">
        <f t="shared" si="7"/>
        <v>5675</v>
      </c>
      <c r="Z28" s="436">
        <f t="shared" si="30"/>
        <v>10502</v>
      </c>
      <c r="AA28" s="265">
        <f t="shared" si="32"/>
        <v>7.6234038498189437E-4</v>
      </c>
      <c r="AB28" s="266">
        <f t="shared" si="25"/>
        <v>4.5513654096228867E-3</v>
      </c>
      <c r="AC28" s="267">
        <f t="shared" si="8"/>
        <v>0</v>
      </c>
      <c r="AD28" s="267">
        <f t="shared" si="9"/>
        <v>1.02880658436214E-3</v>
      </c>
      <c r="AE28" s="268">
        <f t="shared" si="10"/>
        <v>0</v>
      </c>
      <c r="AF28" s="84">
        <f t="shared" si="11"/>
        <v>340</v>
      </c>
      <c r="AG28" s="54">
        <f t="shared" si="12"/>
        <v>206</v>
      </c>
      <c r="AH28" s="54">
        <f t="shared" si="13"/>
        <v>768</v>
      </c>
      <c r="AI28" s="85">
        <f t="shared" si="14"/>
        <v>344</v>
      </c>
      <c r="AJ28" s="84">
        <f t="shared" si="15"/>
        <v>16</v>
      </c>
      <c r="AK28" s="54">
        <f t="shared" si="16"/>
        <v>5</v>
      </c>
      <c r="AL28" s="54">
        <f t="shared" si="17"/>
        <v>12</v>
      </c>
      <c r="AM28" s="85">
        <f t="shared" si="18"/>
        <v>15</v>
      </c>
      <c r="AN28" s="439">
        <f t="shared" si="19"/>
        <v>48</v>
      </c>
      <c r="AO28" s="84">
        <f t="shared" si="20"/>
        <v>1</v>
      </c>
      <c r="AP28" s="54">
        <f t="shared" si="21"/>
        <v>1</v>
      </c>
      <c r="AQ28" s="54">
        <f t="shared" si="22"/>
        <v>1</v>
      </c>
      <c r="AR28" s="85">
        <f t="shared" si="23"/>
        <v>1</v>
      </c>
      <c r="AS28" s="441">
        <f t="shared" si="24"/>
        <v>4</v>
      </c>
    </row>
    <row r="29" spans="1:45" ht="15.75" customHeight="1">
      <c r="A29" s="442">
        <v>45999</v>
      </c>
      <c r="B29" s="67">
        <v>1551</v>
      </c>
      <c r="C29" s="265">
        <f t="shared" si="29"/>
        <v>3.8834951456310678E-3</v>
      </c>
      <c r="D29" s="26">
        <v>480</v>
      </c>
      <c r="E29" s="26">
        <v>22</v>
      </c>
      <c r="F29" s="68">
        <v>1</v>
      </c>
      <c r="G29" s="67">
        <v>2308</v>
      </c>
      <c r="H29" s="265">
        <f t="shared" si="26"/>
        <v>-4.3308791684711995E-4</v>
      </c>
      <c r="I29" s="26">
        <v>63</v>
      </c>
      <c r="J29" s="26">
        <v>3</v>
      </c>
      <c r="K29" s="68">
        <v>1</v>
      </c>
      <c r="L29" s="67">
        <v>975</v>
      </c>
      <c r="M29" s="265">
        <f t="shared" si="27"/>
        <v>2.0554984583761563E-3</v>
      </c>
      <c r="N29" s="26">
        <v>366</v>
      </c>
      <c r="O29" s="26">
        <v>11</v>
      </c>
      <c r="P29" s="68">
        <v>1</v>
      </c>
      <c r="Q29" s="67">
        <v>5677</v>
      </c>
      <c r="R29" s="265">
        <f t="shared" si="31"/>
        <v>3.5242290748898681E-4</v>
      </c>
      <c r="S29" s="26">
        <v>242</v>
      </c>
      <c r="T29" s="26">
        <v>12</v>
      </c>
      <c r="U29" s="68">
        <v>1</v>
      </c>
      <c r="V29" s="75">
        <f t="shared" si="0"/>
        <v>1551</v>
      </c>
      <c r="W29" s="28">
        <f t="shared" si="5"/>
        <v>2308</v>
      </c>
      <c r="X29" s="28">
        <f t="shared" si="6"/>
        <v>975</v>
      </c>
      <c r="Y29" s="76">
        <f t="shared" si="7"/>
        <v>5677</v>
      </c>
      <c r="Z29" s="436">
        <f t="shared" si="30"/>
        <v>10511</v>
      </c>
      <c r="AA29" s="265">
        <f t="shared" si="32"/>
        <v>8.5697962292896591E-4</v>
      </c>
      <c r="AB29" s="266">
        <f t="shared" si="25"/>
        <v>3.8834951456310678E-3</v>
      </c>
      <c r="AC29" s="267">
        <f t="shared" si="8"/>
        <v>-4.3308791684711995E-4</v>
      </c>
      <c r="AD29" s="267">
        <f t="shared" si="9"/>
        <v>2.0554984583761563E-3</v>
      </c>
      <c r="AE29" s="268">
        <f t="shared" si="10"/>
        <v>3.5242290748898681E-4</v>
      </c>
      <c r="AF29" s="84">
        <f t="shared" si="11"/>
        <v>480</v>
      </c>
      <c r="AG29" s="54">
        <f t="shared" si="12"/>
        <v>63</v>
      </c>
      <c r="AH29" s="54">
        <f t="shared" si="13"/>
        <v>366</v>
      </c>
      <c r="AI29" s="85">
        <f t="shared" si="14"/>
        <v>242</v>
      </c>
      <c r="AJ29" s="84">
        <f t="shared" si="15"/>
        <v>22</v>
      </c>
      <c r="AK29" s="54">
        <f t="shared" si="16"/>
        <v>3</v>
      </c>
      <c r="AL29" s="54">
        <f t="shared" si="17"/>
        <v>11</v>
      </c>
      <c r="AM29" s="85">
        <f t="shared" si="18"/>
        <v>12</v>
      </c>
      <c r="AN29" s="439">
        <f t="shared" si="19"/>
        <v>48</v>
      </c>
      <c r="AO29" s="84">
        <f t="shared" si="20"/>
        <v>1</v>
      </c>
      <c r="AP29" s="54">
        <f t="shared" si="21"/>
        <v>1</v>
      </c>
      <c r="AQ29" s="54">
        <f t="shared" si="22"/>
        <v>1</v>
      </c>
      <c r="AR29" s="85">
        <f t="shared" si="23"/>
        <v>1</v>
      </c>
      <c r="AS29" s="441">
        <f t="shared" si="24"/>
        <v>4</v>
      </c>
    </row>
    <row r="30" spans="1:45" ht="15.75" customHeight="1">
      <c r="A30" s="442">
        <v>46006</v>
      </c>
      <c r="B30" s="67">
        <v>1558</v>
      </c>
      <c r="C30" s="265">
        <f t="shared" si="29"/>
        <v>4.5132172791747258E-3</v>
      </c>
      <c r="D30" s="26">
        <v>420</v>
      </c>
      <c r="E30" s="26">
        <v>17</v>
      </c>
      <c r="F30" s="68">
        <v>1</v>
      </c>
      <c r="G30" s="67">
        <v>2307</v>
      </c>
      <c r="H30" s="265">
        <f t="shared" si="26"/>
        <v>-4.3327556325823221E-4</v>
      </c>
      <c r="I30" s="26">
        <v>68</v>
      </c>
      <c r="J30" s="26">
        <v>2</v>
      </c>
      <c r="K30" s="68">
        <v>1</v>
      </c>
      <c r="L30" s="67">
        <v>976</v>
      </c>
      <c r="M30" s="265">
        <f t="shared" si="27"/>
        <v>1.0256410256410256E-3</v>
      </c>
      <c r="N30" s="26">
        <v>337</v>
      </c>
      <c r="O30" s="26">
        <v>3</v>
      </c>
      <c r="P30" s="68">
        <v>1</v>
      </c>
      <c r="Q30" s="67">
        <v>5681</v>
      </c>
      <c r="R30" s="265">
        <f t="shared" si="31"/>
        <v>7.0459749867887971E-4</v>
      </c>
      <c r="S30" s="26">
        <v>298</v>
      </c>
      <c r="T30" s="26">
        <v>9</v>
      </c>
      <c r="U30" s="68">
        <v>1</v>
      </c>
      <c r="V30" s="75">
        <f t="shared" si="0"/>
        <v>1558</v>
      </c>
      <c r="W30" s="28">
        <f t="shared" si="5"/>
        <v>2307</v>
      </c>
      <c r="X30" s="28">
        <f t="shared" si="6"/>
        <v>976</v>
      </c>
      <c r="Y30" s="76">
        <f t="shared" si="7"/>
        <v>5681</v>
      </c>
      <c r="Z30" s="436">
        <f t="shared" si="30"/>
        <v>10522</v>
      </c>
      <c r="AA30" s="265">
        <f t="shared" si="32"/>
        <v>1.0465226905146988E-3</v>
      </c>
      <c r="AB30" s="266">
        <f t="shared" si="25"/>
        <v>4.5132172791747258E-3</v>
      </c>
      <c r="AC30" s="267">
        <f t="shared" si="8"/>
        <v>-4.3327556325823221E-4</v>
      </c>
      <c r="AD30" s="267">
        <f t="shared" si="9"/>
        <v>1.0256410256410256E-3</v>
      </c>
      <c r="AE30" s="268">
        <f t="shared" si="10"/>
        <v>7.0459749867887971E-4</v>
      </c>
      <c r="AF30" s="84">
        <f t="shared" si="11"/>
        <v>420</v>
      </c>
      <c r="AG30" s="54">
        <f t="shared" si="12"/>
        <v>68</v>
      </c>
      <c r="AH30" s="54">
        <f t="shared" si="13"/>
        <v>337</v>
      </c>
      <c r="AI30" s="85">
        <f t="shared" si="14"/>
        <v>298</v>
      </c>
      <c r="AJ30" s="84">
        <f t="shared" si="15"/>
        <v>17</v>
      </c>
      <c r="AK30" s="54">
        <f t="shared" si="16"/>
        <v>2</v>
      </c>
      <c r="AL30" s="54">
        <f t="shared" si="17"/>
        <v>3</v>
      </c>
      <c r="AM30" s="85">
        <f t="shared" si="18"/>
        <v>9</v>
      </c>
      <c r="AN30" s="439">
        <f t="shared" si="19"/>
        <v>31</v>
      </c>
      <c r="AO30" s="84">
        <f t="shared" si="20"/>
        <v>1</v>
      </c>
      <c r="AP30" s="54">
        <f t="shared" si="21"/>
        <v>1</v>
      </c>
      <c r="AQ30" s="54">
        <f t="shared" si="22"/>
        <v>1</v>
      </c>
      <c r="AR30" s="85">
        <f t="shared" si="23"/>
        <v>1</v>
      </c>
      <c r="AS30" s="441">
        <f t="shared" si="24"/>
        <v>4</v>
      </c>
    </row>
    <row r="31" spans="1:45" ht="15.75" customHeight="1">
      <c r="A31" s="442">
        <v>46013</v>
      </c>
      <c r="B31" s="67">
        <v>1563</v>
      </c>
      <c r="C31" s="265">
        <f t="shared" si="29"/>
        <v>3.2092426187419771E-3</v>
      </c>
      <c r="D31" s="26">
        <v>472</v>
      </c>
      <c r="E31" s="26">
        <v>10</v>
      </c>
      <c r="F31" s="68">
        <v>0</v>
      </c>
      <c r="G31" s="67">
        <v>2305</v>
      </c>
      <c r="H31" s="265">
        <f t="shared" si="26"/>
        <v>-8.6692674469007367E-4</v>
      </c>
      <c r="I31" s="26">
        <v>20</v>
      </c>
      <c r="J31" s="26">
        <v>0</v>
      </c>
      <c r="K31" s="68">
        <v>0</v>
      </c>
      <c r="L31" s="67">
        <v>981</v>
      </c>
      <c r="M31" s="265">
        <f t="shared" si="27"/>
        <v>5.1229508196721308E-3</v>
      </c>
      <c r="N31" s="26">
        <v>496</v>
      </c>
      <c r="O31" s="382">
        <v>6</v>
      </c>
      <c r="P31" s="68">
        <v>0</v>
      </c>
      <c r="Q31" s="67">
        <v>5679</v>
      </c>
      <c r="R31" s="265">
        <f t="shared" si="31"/>
        <v>-3.5205069530012321E-4</v>
      </c>
      <c r="S31" s="26">
        <v>115</v>
      </c>
      <c r="T31" s="26">
        <v>0</v>
      </c>
      <c r="U31" s="68">
        <v>0</v>
      </c>
      <c r="V31" s="75">
        <f t="shared" si="0"/>
        <v>1563</v>
      </c>
      <c r="W31" s="28">
        <f t="shared" si="5"/>
        <v>2305</v>
      </c>
      <c r="X31" s="28">
        <f t="shared" si="6"/>
        <v>981</v>
      </c>
      <c r="Y31" s="76">
        <f t="shared" si="7"/>
        <v>5679</v>
      </c>
      <c r="Z31" s="436">
        <f t="shared" si="30"/>
        <v>10528</v>
      </c>
      <c r="AA31" s="265">
        <f t="shared" si="32"/>
        <v>5.7023379585630107E-4</v>
      </c>
      <c r="AB31" s="266">
        <f t="shared" si="25"/>
        <v>3.2092426187419771E-3</v>
      </c>
      <c r="AC31" s="267">
        <f t="shared" si="8"/>
        <v>-8.6692674469007367E-4</v>
      </c>
      <c r="AD31" s="267">
        <f t="shared" si="9"/>
        <v>5.1229508196721308E-3</v>
      </c>
      <c r="AE31" s="268">
        <f t="shared" si="10"/>
        <v>-3.5205069530012321E-4</v>
      </c>
      <c r="AF31" s="84">
        <f t="shared" si="11"/>
        <v>472</v>
      </c>
      <c r="AG31" s="54">
        <f t="shared" si="12"/>
        <v>20</v>
      </c>
      <c r="AH31" s="54">
        <f>N31</f>
        <v>496</v>
      </c>
      <c r="AI31" s="85">
        <f t="shared" si="14"/>
        <v>115</v>
      </c>
      <c r="AJ31" s="84">
        <f t="shared" si="15"/>
        <v>10</v>
      </c>
      <c r="AK31" s="54">
        <f t="shared" si="16"/>
        <v>0</v>
      </c>
      <c r="AL31" s="54">
        <f>N31</f>
        <v>496</v>
      </c>
      <c r="AM31" s="85">
        <f t="shared" si="18"/>
        <v>0</v>
      </c>
      <c r="AN31" s="439">
        <f t="shared" si="19"/>
        <v>506</v>
      </c>
      <c r="AO31" s="84">
        <f t="shared" si="20"/>
        <v>0</v>
      </c>
      <c r="AP31" s="54">
        <f t="shared" si="21"/>
        <v>0</v>
      </c>
      <c r="AQ31" s="54">
        <f t="shared" si="22"/>
        <v>0</v>
      </c>
      <c r="AR31" s="85">
        <f t="shared" si="23"/>
        <v>0</v>
      </c>
      <c r="AS31" s="441">
        <f t="shared" si="24"/>
        <v>0</v>
      </c>
    </row>
    <row r="32" spans="1:45" ht="15.75" customHeight="1">
      <c r="A32" s="442">
        <v>46020</v>
      </c>
      <c r="B32" s="67">
        <v>1567</v>
      </c>
      <c r="C32" s="265">
        <f t="shared" si="29"/>
        <v>2.5591810620601407E-3</v>
      </c>
      <c r="D32" s="26">
        <v>294</v>
      </c>
      <c r="E32" s="26">
        <v>6</v>
      </c>
      <c r="F32" s="68">
        <v>0</v>
      </c>
      <c r="G32" s="67">
        <v>2307</v>
      </c>
      <c r="H32" s="265">
        <f t="shared" si="26"/>
        <v>8.6767895878524942E-4</v>
      </c>
      <c r="I32" s="26">
        <v>11</v>
      </c>
      <c r="J32" s="26">
        <v>0</v>
      </c>
      <c r="K32" s="68">
        <v>0</v>
      </c>
      <c r="L32" s="67">
        <v>981</v>
      </c>
      <c r="M32" s="265">
        <f t="shared" si="27"/>
        <v>0</v>
      </c>
      <c r="N32" s="26">
        <v>78</v>
      </c>
      <c r="O32" s="26">
        <v>0</v>
      </c>
      <c r="P32" s="386">
        <v>0</v>
      </c>
      <c r="Q32" s="67">
        <v>5680</v>
      </c>
      <c r="R32" s="265">
        <f t="shared" si="31"/>
        <v>1.7608733932030288E-4</v>
      </c>
      <c r="S32" s="26">
        <v>34</v>
      </c>
      <c r="T32" s="26">
        <v>3</v>
      </c>
      <c r="U32" s="68">
        <v>0</v>
      </c>
      <c r="V32" s="75">
        <f t="shared" si="0"/>
        <v>1567</v>
      </c>
      <c r="W32" s="28">
        <f t="shared" si="5"/>
        <v>2307</v>
      </c>
      <c r="X32" s="28">
        <f t="shared" si="6"/>
        <v>981</v>
      </c>
      <c r="Y32" s="76">
        <f t="shared" si="7"/>
        <v>5680</v>
      </c>
      <c r="Z32" s="436">
        <f t="shared" si="30"/>
        <v>10535</v>
      </c>
      <c r="AA32" s="265">
        <f t="shared" si="32"/>
        <v>6.6489361702127658E-4</v>
      </c>
      <c r="AB32" s="266">
        <f t="shared" si="25"/>
        <v>2.5591810620601407E-3</v>
      </c>
      <c r="AC32" s="267">
        <f t="shared" si="8"/>
        <v>8.6767895878524942E-4</v>
      </c>
      <c r="AD32" s="267">
        <f t="shared" si="9"/>
        <v>0</v>
      </c>
      <c r="AE32" s="268">
        <f t="shared" si="10"/>
        <v>1.7608733932030288E-4</v>
      </c>
      <c r="AF32" s="84">
        <f t="shared" si="11"/>
        <v>294</v>
      </c>
      <c r="AG32" s="54">
        <f t="shared" si="12"/>
        <v>11</v>
      </c>
      <c r="AH32" s="54">
        <f>N32</f>
        <v>78</v>
      </c>
      <c r="AI32" s="85">
        <f t="shared" si="14"/>
        <v>34</v>
      </c>
      <c r="AJ32" s="84">
        <f t="shared" si="15"/>
        <v>6</v>
      </c>
      <c r="AK32" s="54">
        <f t="shared" si="16"/>
        <v>0</v>
      </c>
      <c r="AL32" s="54">
        <f t="shared" si="17"/>
        <v>0</v>
      </c>
      <c r="AM32" s="85">
        <f t="shared" si="18"/>
        <v>3</v>
      </c>
      <c r="AN32" s="439">
        <f t="shared" si="19"/>
        <v>9</v>
      </c>
      <c r="AO32" s="84">
        <f t="shared" si="20"/>
        <v>0</v>
      </c>
      <c r="AP32" s="54">
        <f t="shared" si="21"/>
        <v>0</v>
      </c>
      <c r="AQ32" s="54">
        <f>P33</f>
        <v>0</v>
      </c>
      <c r="AR32" s="85">
        <f t="shared" si="23"/>
        <v>0</v>
      </c>
      <c r="AS32" s="441">
        <f t="shared" si="24"/>
        <v>0</v>
      </c>
    </row>
    <row r="33" spans="1:45" ht="15.75" customHeight="1">
      <c r="A33" s="25">
        <v>46027</v>
      </c>
      <c r="B33" s="67">
        <v>1568</v>
      </c>
      <c r="C33" s="265">
        <f t="shared" si="29"/>
        <v>6.3816209317166565E-4</v>
      </c>
      <c r="D33" s="26">
        <v>356</v>
      </c>
      <c r="E33" s="26">
        <v>6</v>
      </c>
      <c r="F33" s="68">
        <v>0</v>
      </c>
      <c r="G33" s="67">
        <v>2308</v>
      </c>
      <c r="H33" s="265">
        <f t="shared" si="26"/>
        <v>4.3346337234503684E-4</v>
      </c>
      <c r="I33" s="26">
        <v>39</v>
      </c>
      <c r="J33" s="26">
        <v>0</v>
      </c>
      <c r="K33" s="68">
        <v>0</v>
      </c>
      <c r="L33" s="67">
        <v>982</v>
      </c>
      <c r="M33" s="265">
        <f t="shared" si="27"/>
        <v>1.0193679918450561E-3</v>
      </c>
      <c r="N33" s="26">
        <v>63</v>
      </c>
      <c r="O33" s="26">
        <v>1</v>
      </c>
      <c r="P33" s="68">
        <v>0</v>
      </c>
      <c r="Q33" s="67">
        <v>5678</v>
      </c>
      <c r="R33" s="265">
        <f t="shared" si="31"/>
        <v>-3.5211267605633805E-4</v>
      </c>
      <c r="S33" s="26">
        <v>69</v>
      </c>
      <c r="T33" s="26">
        <v>4</v>
      </c>
      <c r="U33" s="68">
        <v>0</v>
      </c>
      <c r="V33" s="75">
        <f t="shared" si="0"/>
        <v>1568</v>
      </c>
      <c r="W33" s="28">
        <f t="shared" si="5"/>
        <v>2308</v>
      </c>
      <c r="X33" s="28">
        <f t="shared" si="6"/>
        <v>982</v>
      </c>
      <c r="Y33" s="76">
        <f t="shared" si="7"/>
        <v>5678</v>
      </c>
      <c r="Z33" s="436">
        <f t="shared" si="30"/>
        <v>10536</v>
      </c>
      <c r="AA33" s="265">
        <f t="shared" si="32"/>
        <v>9.4921689606074984E-5</v>
      </c>
      <c r="AB33" s="266">
        <f t="shared" si="25"/>
        <v>6.3816209317166565E-4</v>
      </c>
      <c r="AC33" s="267">
        <f t="shared" si="8"/>
        <v>4.3346337234503684E-4</v>
      </c>
      <c r="AD33" s="267">
        <f t="shared" si="9"/>
        <v>1.0193679918450561E-3</v>
      </c>
      <c r="AE33" s="268">
        <f t="shared" si="10"/>
        <v>-3.5211267605633805E-4</v>
      </c>
      <c r="AF33" s="84">
        <f t="shared" si="11"/>
        <v>356</v>
      </c>
      <c r="AG33" s="54">
        <f t="shared" si="12"/>
        <v>39</v>
      </c>
      <c r="AH33" s="54">
        <f>N33</f>
        <v>63</v>
      </c>
      <c r="AI33" s="85">
        <f t="shared" si="14"/>
        <v>69</v>
      </c>
      <c r="AJ33" s="84">
        <f t="shared" si="15"/>
        <v>6</v>
      </c>
      <c r="AK33" s="54">
        <f t="shared" si="16"/>
        <v>0</v>
      </c>
      <c r="AL33" s="54">
        <f t="shared" si="17"/>
        <v>1</v>
      </c>
      <c r="AM33" s="85">
        <f t="shared" si="18"/>
        <v>4</v>
      </c>
      <c r="AN33" s="439">
        <f t="shared" si="19"/>
        <v>11</v>
      </c>
      <c r="AO33" s="84">
        <f t="shared" si="20"/>
        <v>0</v>
      </c>
      <c r="AP33" s="54">
        <f t="shared" si="21"/>
        <v>0</v>
      </c>
      <c r="AQ33" s="54" t="e">
        <f>#REF!</f>
        <v>#REF!</v>
      </c>
      <c r="AR33" s="85">
        <f t="shared" si="23"/>
        <v>0</v>
      </c>
      <c r="AS33" s="441" t="e">
        <f t="shared" si="24"/>
        <v>#REF!</v>
      </c>
    </row>
    <row r="34" spans="1:45" ht="16" customHeight="1">
      <c r="A34" s="25">
        <v>46034</v>
      </c>
      <c r="B34" s="67">
        <v>1568</v>
      </c>
      <c r="C34" s="265">
        <f t="shared" si="29"/>
        <v>0</v>
      </c>
      <c r="D34" s="26">
        <v>348</v>
      </c>
      <c r="E34" s="26">
        <v>8</v>
      </c>
      <c r="F34" s="68">
        <v>1</v>
      </c>
      <c r="G34" s="67">
        <v>2309</v>
      </c>
      <c r="H34" s="265">
        <f t="shared" si="26"/>
        <v>4.3327556325823221E-4</v>
      </c>
      <c r="I34" s="26">
        <v>100</v>
      </c>
      <c r="J34" s="26">
        <v>2</v>
      </c>
      <c r="K34" s="68">
        <v>1</v>
      </c>
      <c r="L34" s="67">
        <v>983</v>
      </c>
      <c r="M34" s="265">
        <f t="shared" si="27"/>
        <v>1.0183299389002036E-3</v>
      </c>
      <c r="N34" s="26">
        <v>313</v>
      </c>
      <c r="O34" s="26">
        <v>3</v>
      </c>
      <c r="P34" s="68">
        <v>1</v>
      </c>
      <c r="Q34" s="67">
        <v>5678</v>
      </c>
      <c r="R34" s="265">
        <f t="shared" si="31"/>
        <v>0</v>
      </c>
      <c r="S34" s="26">
        <v>301</v>
      </c>
      <c r="T34" s="26">
        <v>7</v>
      </c>
      <c r="U34" s="68">
        <v>1</v>
      </c>
      <c r="V34" s="75">
        <f t="shared" si="0"/>
        <v>1568</v>
      </c>
      <c r="W34" s="28">
        <f t="shared" si="5"/>
        <v>2309</v>
      </c>
      <c r="X34" s="28">
        <f t="shared" si="6"/>
        <v>983</v>
      </c>
      <c r="Y34" s="76">
        <f t="shared" si="7"/>
        <v>5678</v>
      </c>
      <c r="Z34" s="436">
        <f t="shared" si="30"/>
        <v>10538</v>
      </c>
      <c r="AA34" s="265">
        <f t="shared" si="32"/>
        <v>1.8982536066818528E-4</v>
      </c>
      <c r="AB34" s="266">
        <f t="shared" si="25"/>
        <v>0</v>
      </c>
      <c r="AC34" s="267">
        <f t="shared" si="8"/>
        <v>4.3327556325823221E-4</v>
      </c>
      <c r="AD34" s="267">
        <f t="shared" si="9"/>
        <v>1.0183299389002036E-3</v>
      </c>
      <c r="AE34" s="268">
        <f t="shared" si="10"/>
        <v>0</v>
      </c>
      <c r="AF34" s="84">
        <f t="shared" si="11"/>
        <v>348</v>
      </c>
      <c r="AG34" s="54">
        <f t="shared" si="12"/>
        <v>100</v>
      </c>
      <c r="AH34" s="54">
        <f t="shared" si="13"/>
        <v>313</v>
      </c>
      <c r="AI34" s="85">
        <f t="shared" si="14"/>
        <v>301</v>
      </c>
      <c r="AJ34" s="84">
        <f t="shared" si="15"/>
        <v>8</v>
      </c>
      <c r="AK34" s="54">
        <f t="shared" si="16"/>
        <v>2</v>
      </c>
      <c r="AL34" s="54">
        <f t="shared" si="17"/>
        <v>3</v>
      </c>
      <c r="AM34" s="85">
        <f t="shared" si="18"/>
        <v>7</v>
      </c>
      <c r="AN34" s="439">
        <f t="shared" si="19"/>
        <v>20</v>
      </c>
      <c r="AO34" s="84">
        <f t="shared" si="20"/>
        <v>1</v>
      </c>
      <c r="AP34" s="54">
        <f t="shared" si="21"/>
        <v>1</v>
      </c>
      <c r="AQ34" s="54">
        <f t="shared" si="22"/>
        <v>1</v>
      </c>
      <c r="AR34" s="85">
        <f t="shared" si="23"/>
        <v>1</v>
      </c>
      <c r="AS34" s="441">
        <f t="shared" si="24"/>
        <v>4</v>
      </c>
    </row>
    <row r="35" spans="1:45" ht="15.75" customHeight="1">
      <c r="A35" s="25">
        <v>46041</v>
      </c>
      <c r="B35" s="67">
        <v>1568</v>
      </c>
      <c r="C35" s="265">
        <f t="shared" si="29"/>
        <v>0</v>
      </c>
      <c r="D35" s="26">
        <v>100</v>
      </c>
      <c r="E35" s="26">
        <v>1</v>
      </c>
      <c r="F35" s="68">
        <v>0</v>
      </c>
      <c r="G35" s="67">
        <v>2309</v>
      </c>
      <c r="H35" s="265">
        <f t="shared" si="26"/>
        <v>0</v>
      </c>
      <c r="I35" s="26">
        <v>21</v>
      </c>
      <c r="J35" s="26">
        <v>0</v>
      </c>
      <c r="K35" s="68">
        <v>0</v>
      </c>
      <c r="L35" s="67">
        <v>983</v>
      </c>
      <c r="M35" s="265">
        <f t="shared" si="27"/>
        <v>0</v>
      </c>
      <c r="N35" s="26">
        <v>92</v>
      </c>
      <c r="O35" s="26">
        <v>2</v>
      </c>
      <c r="P35" s="68">
        <v>0</v>
      </c>
      <c r="Q35" s="67">
        <v>5681</v>
      </c>
      <c r="R35" s="265">
        <f t="shared" si="31"/>
        <v>5.2835505459668892E-4</v>
      </c>
      <c r="S35" s="26">
        <v>82</v>
      </c>
      <c r="T35" s="26">
        <v>0</v>
      </c>
      <c r="U35" s="68">
        <v>0</v>
      </c>
      <c r="V35" s="75">
        <f t="shared" si="0"/>
        <v>1568</v>
      </c>
      <c r="W35" s="28">
        <f t="shared" si="5"/>
        <v>2309</v>
      </c>
      <c r="X35" s="28">
        <f t="shared" si="6"/>
        <v>983</v>
      </c>
      <c r="Y35" s="76">
        <f t="shared" si="7"/>
        <v>5681</v>
      </c>
      <c r="Z35" s="436">
        <f t="shared" si="30"/>
        <v>10541</v>
      </c>
      <c r="AA35" s="265">
        <f t="shared" si="32"/>
        <v>2.8468400075915733E-4</v>
      </c>
      <c r="AB35" s="266">
        <f t="shared" si="25"/>
        <v>0</v>
      </c>
      <c r="AC35" s="267">
        <f t="shared" si="8"/>
        <v>0</v>
      </c>
      <c r="AD35" s="267">
        <f t="shared" si="9"/>
        <v>0</v>
      </c>
      <c r="AE35" s="268">
        <f t="shared" si="10"/>
        <v>5.2835505459668892E-4</v>
      </c>
      <c r="AF35" s="84">
        <f t="shared" si="11"/>
        <v>100</v>
      </c>
      <c r="AG35" s="54">
        <f t="shared" si="12"/>
        <v>21</v>
      </c>
      <c r="AH35" s="54">
        <f t="shared" si="13"/>
        <v>92</v>
      </c>
      <c r="AI35" s="85">
        <f t="shared" si="14"/>
        <v>82</v>
      </c>
      <c r="AJ35" s="84">
        <f t="shared" si="15"/>
        <v>1</v>
      </c>
      <c r="AK35" s="54">
        <f t="shared" si="16"/>
        <v>0</v>
      </c>
      <c r="AL35" s="54">
        <f t="shared" si="17"/>
        <v>2</v>
      </c>
      <c r="AM35" s="85">
        <f t="shared" si="18"/>
        <v>0</v>
      </c>
      <c r="AN35" s="439">
        <f t="shared" si="19"/>
        <v>3</v>
      </c>
      <c r="AO35" s="84">
        <f t="shared" si="20"/>
        <v>0</v>
      </c>
      <c r="AP35" s="54">
        <f t="shared" si="21"/>
        <v>0</v>
      </c>
      <c r="AQ35" s="54">
        <f t="shared" si="22"/>
        <v>0</v>
      </c>
      <c r="AR35" s="85">
        <f t="shared" si="23"/>
        <v>0</v>
      </c>
      <c r="AS35" s="441">
        <f t="shared" si="24"/>
        <v>0</v>
      </c>
    </row>
    <row r="36" spans="1:45" ht="15.75" customHeight="1">
      <c r="A36" s="25">
        <v>46048</v>
      </c>
      <c r="B36" s="67">
        <v>1575</v>
      </c>
      <c r="C36" s="265">
        <f t="shared" si="29"/>
        <v>4.464285714285714E-3</v>
      </c>
      <c r="D36" s="26">
        <v>292</v>
      </c>
      <c r="E36" s="26">
        <v>17</v>
      </c>
      <c r="F36" s="68">
        <v>1</v>
      </c>
      <c r="G36" s="67">
        <v>2315</v>
      </c>
      <c r="H36" s="265">
        <f t="shared" si="26"/>
        <v>2.5985275010827198E-3</v>
      </c>
      <c r="I36" s="26">
        <v>261</v>
      </c>
      <c r="J36" s="26">
        <v>2</v>
      </c>
      <c r="K36" s="68">
        <v>1</v>
      </c>
      <c r="L36" s="67">
        <v>987</v>
      </c>
      <c r="M36" s="265">
        <f t="shared" si="27"/>
        <v>4.0691759918616479E-3</v>
      </c>
      <c r="N36" s="26">
        <v>325</v>
      </c>
      <c r="O36" s="26">
        <v>3</v>
      </c>
      <c r="P36" s="68">
        <v>1</v>
      </c>
      <c r="Q36" s="596">
        <v>5684</v>
      </c>
      <c r="R36" s="265">
        <f t="shared" si="31"/>
        <v>5.2807604295018479E-4</v>
      </c>
      <c r="S36" s="26">
        <v>544</v>
      </c>
      <c r="T36" s="26">
        <v>32</v>
      </c>
      <c r="U36" s="68">
        <v>1</v>
      </c>
      <c r="V36" s="75">
        <f t="shared" si="0"/>
        <v>1575</v>
      </c>
      <c r="W36" s="28">
        <f t="shared" si="5"/>
        <v>2315</v>
      </c>
      <c r="X36" s="28">
        <f t="shared" si="6"/>
        <v>987</v>
      </c>
      <c r="Y36" s="76">
        <f t="shared" si="7"/>
        <v>5684</v>
      </c>
      <c r="Z36" s="436">
        <f t="shared" si="30"/>
        <v>10561</v>
      </c>
      <c r="AA36" s="265">
        <f t="shared" si="32"/>
        <v>1.8973531922967461E-3</v>
      </c>
      <c r="AB36" s="266">
        <f t="shared" si="25"/>
        <v>4.464285714285714E-3</v>
      </c>
      <c r="AC36" s="267">
        <f t="shared" si="8"/>
        <v>2.5985275010827198E-3</v>
      </c>
      <c r="AD36" s="267">
        <f t="shared" si="9"/>
        <v>4.0691759918616479E-3</v>
      </c>
      <c r="AE36" s="268">
        <f t="shared" si="10"/>
        <v>5.2807604295018479E-4</v>
      </c>
      <c r="AF36" s="84">
        <f t="shared" si="11"/>
        <v>292</v>
      </c>
      <c r="AG36" s="54">
        <f t="shared" si="12"/>
        <v>261</v>
      </c>
      <c r="AH36" s="54">
        <f t="shared" si="13"/>
        <v>325</v>
      </c>
      <c r="AI36" s="85">
        <f t="shared" si="14"/>
        <v>544</v>
      </c>
      <c r="AJ36" s="84">
        <f t="shared" si="15"/>
        <v>17</v>
      </c>
      <c r="AK36" s="54">
        <f t="shared" si="16"/>
        <v>2</v>
      </c>
      <c r="AL36" s="54">
        <f t="shared" si="17"/>
        <v>3</v>
      </c>
      <c r="AM36" s="85">
        <f t="shared" si="18"/>
        <v>32</v>
      </c>
      <c r="AN36" s="439">
        <f t="shared" si="19"/>
        <v>54</v>
      </c>
      <c r="AO36" s="84">
        <f t="shared" si="20"/>
        <v>1</v>
      </c>
      <c r="AP36" s="54">
        <f t="shared" si="21"/>
        <v>1</v>
      </c>
      <c r="AQ36" s="54">
        <f t="shared" si="22"/>
        <v>1</v>
      </c>
      <c r="AR36" s="85">
        <f t="shared" si="23"/>
        <v>1</v>
      </c>
      <c r="AS36" s="441">
        <f t="shared" si="24"/>
        <v>4</v>
      </c>
    </row>
    <row r="37" spans="1:45" ht="15.75" customHeight="1">
      <c r="A37" s="25">
        <v>46055</v>
      </c>
      <c r="B37" s="67">
        <v>1582</v>
      </c>
      <c r="C37" s="265">
        <f t="shared" si="29"/>
        <v>4.4444444444444444E-3</v>
      </c>
      <c r="D37" s="26">
        <v>901</v>
      </c>
      <c r="E37" s="26">
        <v>44</v>
      </c>
      <c r="F37" s="68">
        <v>2</v>
      </c>
      <c r="G37" s="67">
        <v>2319</v>
      </c>
      <c r="H37" s="265">
        <f t="shared" si="26"/>
        <v>1.7278617710583153E-3</v>
      </c>
      <c r="I37" s="26">
        <v>275</v>
      </c>
      <c r="J37" s="26">
        <v>3</v>
      </c>
      <c r="K37" s="68">
        <v>2</v>
      </c>
      <c r="L37" s="67">
        <v>992</v>
      </c>
      <c r="M37" s="265">
        <f t="shared" si="27"/>
        <v>5.065856129685917E-3</v>
      </c>
      <c r="N37" s="26">
        <v>1095</v>
      </c>
      <c r="O37" s="26">
        <v>10</v>
      </c>
      <c r="P37" s="68">
        <v>2</v>
      </c>
      <c r="Q37" s="67">
        <v>5686</v>
      </c>
      <c r="R37" s="265">
        <f t="shared" si="31"/>
        <v>3.5186488388458831E-4</v>
      </c>
      <c r="S37" s="26">
        <v>634</v>
      </c>
      <c r="T37" s="26">
        <v>21</v>
      </c>
      <c r="U37" s="68">
        <v>2</v>
      </c>
      <c r="V37" s="75">
        <f t="shared" ref="V37:V57" si="33">B37</f>
        <v>1582</v>
      </c>
      <c r="W37" s="28">
        <f t="shared" si="5"/>
        <v>2319</v>
      </c>
      <c r="X37" s="28">
        <f t="shared" si="6"/>
        <v>992</v>
      </c>
      <c r="Y37" s="76">
        <f t="shared" si="7"/>
        <v>5686</v>
      </c>
      <c r="Z37" s="436">
        <f t="shared" si="30"/>
        <v>10579</v>
      </c>
      <c r="AA37" s="265">
        <f t="shared" si="32"/>
        <v>1.7043840545402898E-3</v>
      </c>
      <c r="AB37" s="266">
        <f t="shared" si="25"/>
        <v>4.4444444444444444E-3</v>
      </c>
      <c r="AC37" s="267">
        <f t="shared" si="8"/>
        <v>1.7278617710583153E-3</v>
      </c>
      <c r="AD37" s="267">
        <f t="shared" si="9"/>
        <v>5.065856129685917E-3</v>
      </c>
      <c r="AE37" s="268">
        <f t="shared" si="10"/>
        <v>3.5186488388458831E-4</v>
      </c>
      <c r="AF37" s="84">
        <f t="shared" si="11"/>
        <v>901</v>
      </c>
      <c r="AG37" s="54">
        <f t="shared" si="12"/>
        <v>275</v>
      </c>
      <c r="AH37" s="54">
        <f t="shared" si="13"/>
        <v>1095</v>
      </c>
      <c r="AI37" s="85">
        <f t="shared" si="14"/>
        <v>634</v>
      </c>
      <c r="AJ37" s="84">
        <f t="shared" si="15"/>
        <v>44</v>
      </c>
      <c r="AK37" s="54">
        <f t="shared" si="16"/>
        <v>3</v>
      </c>
      <c r="AL37" s="54">
        <f t="shared" si="17"/>
        <v>10</v>
      </c>
      <c r="AM37" s="85">
        <f t="shared" si="18"/>
        <v>21</v>
      </c>
      <c r="AN37" s="439">
        <f t="shared" si="19"/>
        <v>78</v>
      </c>
      <c r="AO37" s="84">
        <f t="shared" si="20"/>
        <v>2</v>
      </c>
      <c r="AP37" s="54">
        <f t="shared" si="21"/>
        <v>2</v>
      </c>
      <c r="AQ37" s="54">
        <f t="shared" si="22"/>
        <v>2</v>
      </c>
      <c r="AR37" s="85">
        <f t="shared" si="23"/>
        <v>2</v>
      </c>
      <c r="AS37" s="441">
        <f t="shared" si="24"/>
        <v>8</v>
      </c>
    </row>
    <row r="38" spans="1:45" ht="15.75" customHeight="1">
      <c r="A38" s="25">
        <v>46062</v>
      </c>
      <c r="B38" s="67">
        <v>1589</v>
      </c>
      <c r="C38" s="265">
        <f t="shared" si="29"/>
        <v>4.4247787610619468E-3</v>
      </c>
      <c r="D38" s="26">
        <v>453</v>
      </c>
      <c r="E38" s="26">
        <v>8</v>
      </c>
      <c r="F38" s="68">
        <v>1</v>
      </c>
      <c r="G38" s="67">
        <v>2326</v>
      </c>
      <c r="H38" s="265">
        <f t="shared" si="26"/>
        <v>3.0185424752048298E-3</v>
      </c>
      <c r="I38" s="26">
        <v>419</v>
      </c>
      <c r="J38" s="26">
        <v>6</v>
      </c>
      <c r="K38" s="68">
        <v>1</v>
      </c>
      <c r="L38" s="67">
        <v>1008</v>
      </c>
      <c r="M38" s="265">
        <f t="shared" si="27"/>
        <v>1.6129032258064516E-2</v>
      </c>
      <c r="N38" s="26">
        <v>855</v>
      </c>
      <c r="O38" s="26">
        <v>14</v>
      </c>
      <c r="P38" s="68">
        <v>1</v>
      </c>
      <c r="Q38" s="67">
        <v>5692</v>
      </c>
      <c r="R38" s="265">
        <f t="shared" si="31"/>
        <v>1.0552233556102709E-3</v>
      </c>
      <c r="S38" s="26">
        <v>564</v>
      </c>
      <c r="T38" s="26">
        <v>31</v>
      </c>
      <c r="U38" s="68">
        <v>1</v>
      </c>
      <c r="V38" s="75">
        <f t="shared" si="33"/>
        <v>1589</v>
      </c>
      <c r="W38" s="28">
        <f t="shared" si="5"/>
        <v>2326</v>
      </c>
      <c r="X38" s="28">
        <f t="shared" si="6"/>
        <v>1008</v>
      </c>
      <c r="Y38" s="76">
        <f t="shared" si="7"/>
        <v>5692</v>
      </c>
      <c r="Z38" s="436">
        <f t="shared" si="30"/>
        <v>10615</v>
      </c>
      <c r="AA38" s="265">
        <f t="shared" si="32"/>
        <v>3.4029681444370922E-3</v>
      </c>
      <c r="AB38" s="266">
        <f>C38</f>
        <v>4.4247787610619468E-3</v>
      </c>
      <c r="AC38" s="267">
        <f t="shared" si="8"/>
        <v>3.0185424752048298E-3</v>
      </c>
      <c r="AD38" s="267">
        <f t="shared" si="9"/>
        <v>1.6129032258064516E-2</v>
      </c>
      <c r="AE38" s="268">
        <f t="shared" si="10"/>
        <v>1.0552233556102709E-3</v>
      </c>
      <c r="AF38" s="84">
        <f t="shared" si="11"/>
        <v>453</v>
      </c>
      <c r="AG38" s="54">
        <f t="shared" si="12"/>
        <v>419</v>
      </c>
      <c r="AH38" s="54">
        <f t="shared" si="13"/>
        <v>855</v>
      </c>
      <c r="AI38" s="85">
        <f t="shared" si="14"/>
        <v>564</v>
      </c>
      <c r="AJ38" s="84">
        <f t="shared" si="15"/>
        <v>8</v>
      </c>
      <c r="AK38" s="54">
        <f t="shared" si="16"/>
        <v>6</v>
      </c>
      <c r="AL38" s="54">
        <f t="shared" si="17"/>
        <v>14</v>
      </c>
      <c r="AM38" s="85">
        <f t="shared" si="18"/>
        <v>31</v>
      </c>
      <c r="AN38" s="439">
        <f t="shared" si="19"/>
        <v>59</v>
      </c>
      <c r="AO38" s="84">
        <f t="shared" si="20"/>
        <v>1</v>
      </c>
      <c r="AP38" s="54">
        <f t="shared" si="21"/>
        <v>1</v>
      </c>
      <c r="AQ38" s="54">
        <f t="shared" si="22"/>
        <v>1</v>
      </c>
      <c r="AR38" s="85">
        <f t="shared" si="23"/>
        <v>1</v>
      </c>
      <c r="AS38" s="441">
        <f t="shared" si="24"/>
        <v>4</v>
      </c>
    </row>
    <row r="39" spans="1:45" ht="15.75" customHeight="1">
      <c r="A39" s="25">
        <v>46069</v>
      </c>
      <c r="B39" s="67">
        <v>1589</v>
      </c>
      <c r="C39" s="265">
        <f t="shared" si="29"/>
        <v>0</v>
      </c>
      <c r="D39" s="26">
        <v>393</v>
      </c>
      <c r="E39" s="26">
        <v>14</v>
      </c>
      <c r="F39" s="68">
        <v>0</v>
      </c>
      <c r="G39" s="67">
        <v>2331</v>
      </c>
      <c r="H39" s="265">
        <f t="shared" si="26"/>
        <v>2.1496130696474634E-3</v>
      </c>
      <c r="I39" s="26">
        <v>304</v>
      </c>
      <c r="J39" s="26">
        <v>3</v>
      </c>
      <c r="K39" s="68">
        <v>0</v>
      </c>
      <c r="L39" s="67">
        <v>1008</v>
      </c>
      <c r="M39" s="265">
        <f t="shared" si="27"/>
        <v>0</v>
      </c>
      <c r="N39" s="26">
        <v>358</v>
      </c>
      <c r="O39" s="26">
        <v>5</v>
      </c>
      <c r="P39" s="68">
        <v>0</v>
      </c>
      <c r="Q39" s="67">
        <v>5699</v>
      </c>
      <c r="R39" s="265">
        <f t="shared" si="31"/>
        <v>1.229796205200281E-3</v>
      </c>
      <c r="S39" s="26">
        <v>258</v>
      </c>
      <c r="T39" s="26">
        <v>14</v>
      </c>
      <c r="U39" s="68">
        <v>0</v>
      </c>
      <c r="V39" s="75">
        <f t="shared" si="33"/>
        <v>1589</v>
      </c>
      <c r="W39" s="28">
        <f t="shared" si="5"/>
        <v>2331</v>
      </c>
      <c r="X39" s="28">
        <f t="shared" si="6"/>
        <v>1008</v>
      </c>
      <c r="Y39" s="76">
        <f t="shared" si="7"/>
        <v>5699</v>
      </c>
      <c r="Z39" s="436">
        <f t="shared" si="30"/>
        <v>10627</v>
      </c>
      <c r="AA39" s="265">
        <f t="shared" si="32"/>
        <v>1.1304757418747057E-3</v>
      </c>
      <c r="AB39" s="266">
        <f t="shared" si="25"/>
        <v>0</v>
      </c>
      <c r="AC39" s="267">
        <f t="shared" si="8"/>
        <v>2.1496130696474634E-3</v>
      </c>
      <c r="AD39" s="267">
        <f t="shared" si="9"/>
        <v>0</v>
      </c>
      <c r="AE39" s="268">
        <f t="shared" si="10"/>
        <v>1.229796205200281E-3</v>
      </c>
      <c r="AF39" s="84">
        <f t="shared" si="11"/>
        <v>393</v>
      </c>
      <c r="AG39" s="54">
        <f t="shared" si="12"/>
        <v>304</v>
      </c>
      <c r="AH39" s="54">
        <f t="shared" si="13"/>
        <v>358</v>
      </c>
      <c r="AI39" s="85">
        <f t="shared" si="14"/>
        <v>258</v>
      </c>
      <c r="AJ39" s="84">
        <f t="shared" si="15"/>
        <v>14</v>
      </c>
      <c r="AK39" s="54">
        <f t="shared" si="16"/>
        <v>3</v>
      </c>
      <c r="AL39" s="54">
        <f t="shared" si="17"/>
        <v>5</v>
      </c>
      <c r="AM39" s="85">
        <f t="shared" si="18"/>
        <v>14</v>
      </c>
      <c r="AN39" s="439">
        <f t="shared" si="19"/>
        <v>36</v>
      </c>
      <c r="AO39" s="84">
        <f t="shared" si="20"/>
        <v>0</v>
      </c>
      <c r="AP39" s="54">
        <f t="shared" si="21"/>
        <v>0</v>
      </c>
      <c r="AQ39" s="54">
        <f t="shared" si="22"/>
        <v>0</v>
      </c>
      <c r="AR39" s="85">
        <f t="shared" si="23"/>
        <v>0</v>
      </c>
      <c r="AS39" s="441">
        <f t="shared" si="24"/>
        <v>0</v>
      </c>
    </row>
    <row r="40" spans="1:45" ht="15.75" customHeight="1">
      <c r="A40" s="25">
        <v>46076</v>
      </c>
      <c r="B40" s="67">
        <v>1596</v>
      </c>
      <c r="C40" s="265">
        <f t="shared" si="29"/>
        <v>4.4052863436123352E-3</v>
      </c>
      <c r="D40" s="26">
        <v>285</v>
      </c>
      <c r="E40" s="26">
        <v>79</v>
      </c>
      <c r="F40" s="68">
        <v>1</v>
      </c>
      <c r="G40" s="67">
        <v>2343</v>
      </c>
      <c r="H40" s="265">
        <f t="shared" si="26"/>
        <v>5.1480051480051478E-3</v>
      </c>
      <c r="I40" s="26">
        <v>263</v>
      </c>
      <c r="J40" s="26">
        <v>4</v>
      </c>
      <c r="K40" s="68">
        <v>1</v>
      </c>
      <c r="L40" s="67">
        <v>1017</v>
      </c>
      <c r="M40" s="265">
        <f t="shared" si="27"/>
        <v>8.9285714285714281E-3</v>
      </c>
      <c r="N40" s="26">
        <v>504</v>
      </c>
      <c r="O40" s="26">
        <v>6</v>
      </c>
      <c r="P40" s="68">
        <v>1</v>
      </c>
      <c r="Q40" s="67">
        <v>5703</v>
      </c>
      <c r="R40" s="265">
        <f t="shared" si="31"/>
        <v>7.0187752237234606E-4</v>
      </c>
      <c r="S40" s="26">
        <v>259</v>
      </c>
      <c r="T40" s="26">
        <v>20</v>
      </c>
      <c r="U40" s="68">
        <v>1</v>
      </c>
      <c r="V40" s="75">
        <f t="shared" si="33"/>
        <v>1596</v>
      </c>
      <c r="W40" s="28">
        <f t="shared" si="5"/>
        <v>2343</v>
      </c>
      <c r="X40" s="28">
        <f t="shared" si="6"/>
        <v>1017</v>
      </c>
      <c r="Y40" s="76">
        <f t="shared" si="7"/>
        <v>5703</v>
      </c>
      <c r="Z40" s="436">
        <f t="shared" si="30"/>
        <v>10659</v>
      </c>
      <c r="AA40" s="265">
        <f t="shared" si="32"/>
        <v>3.0111978921614755E-3</v>
      </c>
      <c r="AB40" s="266">
        <f t="shared" si="25"/>
        <v>4.4052863436123352E-3</v>
      </c>
      <c r="AC40" s="267">
        <f t="shared" si="8"/>
        <v>5.1480051480051478E-3</v>
      </c>
      <c r="AD40" s="267">
        <f t="shared" si="9"/>
        <v>8.9285714285714281E-3</v>
      </c>
      <c r="AE40" s="268">
        <f t="shared" si="10"/>
        <v>7.0187752237234606E-4</v>
      </c>
      <c r="AF40" s="84">
        <f t="shared" si="11"/>
        <v>285</v>
      </c>
      <c r="AG40" s="54">
        <f t="shared" si="12"/>
        <v>263</v>
      </c>
      <c r="AH40" s="54">
        <f t="shared" si="13"/>
        <v>504</v>
      </c>
      <c r="AI40" s="85">
        <f t="shared" si="14"/>
        <v>259</v>
      </c>
      <c r="AJ40" s="84">
        <f t="shared" si="15"/>
        <v>79</v>
      </c>
      <c r="AK40" s="54">
        <f t="shared" si="16"/>
        <v>4</v>
      </c>
      <c r="AL40" s="54">
        <f t="shared" si="17"/>
        <v>6</v>
      </c>
      <c r="AM40" s="85">
        <f t="shared" si="18"/>
        <v>20</v>
      </c>
      <c r="AN40" s="439">
        <f t="shared" si="19"/>
        <v>109</v>
      </c>
      <c r="AO40" s="84">
        <f t="shared" si="20"/>
        <v>1</v>
      </c>
      <c r="AP40" s="54">
        <f t="shared" si="21"/>
        <v>1</v>
      </c>
      <c r="AQ40" s="54">
        <f t="shared" si="22"/>
        <v>1</v>
      </c>
      <c r="AR40" s="85">
        <f t="shared" si="23"/>
        <v>1</v>
      </c>
      <c r="AS40" s="441">
        <f t="shared" si="24"/>
        <v>4</v>
      </c>
    </row>
    <row r="41" spans="1:45" ht="15.75" customHeight="1">
      <c r="A41" s="25">
        <v>46083</v>
      </c>
      <c r="B41" s="67">
        <v>1605</v>
      </c>
      <c r="C41" s="265">
        <f t="shared" si="29"/>
        <v>5.6390977443609019E-3</v>
      </c>
      <c r="D41" s="26">
        <v>429</v>
      </c>
      <c r="E41" s="26">
        <v>62</v>
      </c>
      <c r="F41" s="68">
        <v>2</v>
      </c>
      <c r="G41" s="67">
        <v>2352</v>
      </c>
      <c r="H41" s="265">
        <f t="shared" si="26"/>
        <v>3.8412291933418692E-3</v>
      </c>
      <c r="I41" s="26">
        <v>1004</v>
      </c>
      <c r="J41" s="26">
        <v>8</v>
      </c>
      <c r="K41" s="68">
        <v>2</v>
      </c>
      <c r="L41" s="67">
        <v>1031</v>
      </c>
      <c r="M41" s="265">
        <f t="shared" si="27"/>
        <v>1.376597836774828E-2</v>
      </c>
      <c r="N41" s="26">
        <v>1087</v>
      </c>
      <c r="O41" s="26">
        <v>11</v>
      </c>
      <c r="P41" s="68">
        <v>2</v>
      </c>
      <c r="Q41" s="67">
        <v>5701</v>
      </c>
      <c r="R41" s="265">
        <f t="shared" si="31"/>
        <v>-3.506926179203928E-4</v>
      </c>
      <c r="S41" s="26">
        <v>599</v>
      </c>
      <c r="T41" s="26">
        <v>26</v>
      </c>
      <c r="U41" s="68">
        <v>2</v>
      </c>
      <c r="V41" s="75">
        <f t="shared" si="33"/>
        <v>1605</v>
      </c>
      <c r="W41" s="28">
        <f t="shared" si="5"/>
        <v>2352</v>
      </c>
      <c r="X41" s="28">
        <f t="shared" si="6"/>
        <v>1031</v>
      </c>
      <c r="Y41" s="76">
        <f t="shared" si="7"/>
        <v>5701</v>
      </c>
      <c r="Z41" s="436">
        <f t="shared" si="30"/>
        <v>10689</v>
      </c>
      <c r="AA41" s="265">
        <f t="shared" si="32"/>
        <v>2.8145229383619475E-3</v>
      </c>
      <c r="AB41" s="266">
        <f t="shared" si="25"/>
        <v>5.6390977443609019E-3</v>
      </c>
      <c r="AC41" s="267">
        <f t="shared" si="8"/>
        <v>3.8412291933418692E-3</v>
      </c>
      <c r="AD41" s="267">
        <f t="shared" si="9"/>
        <v>1.376597836774828E-2</v>
      </c>
      <c r="AE41" s="268">
        <f t="shared" si="10"/>
        <v>-3.506926179203928E-4</v>
      </c>
      <c r="AF41" s="84">
        <f t="shared" si="11"/>
        <v>429</v>
      </c>
      <c r="AG41" s="54">
        <f t="shared" si="12"/>
        <v>1004</v>
      </c>
      <c r="AH41" s="54">
        <f t="shared" si="13"/>
        <v>1087</v>
      </c>
      <c r="AI41" s="85">
        <f t="shared" si="14"/>
        <v>599</v>
      </c>
      <c r="AJ41" s="84">
        <f t="shared" si="15"/>
        <v>62</v>
      </c>
      <c r="AK41" s="54">
        <f t="shared" si="16"/>
        <v>8</v>
      </c>
      <c r="AL41" s="54">
        <f t="shared" si="17"/>
        <v>11</v>
      </c>
      <c r="AM41" s="85">
        <f t="shared" si="18"/>
        <v>26</v>
      </c>
      <c r="AN41" s="439">
        <f t="shared" si="19"/>
        <v>107</v>
      </c>
      <c r="AO41" s="84">
        <f t="shared" si="20"/>
        <v>2</v>
      </c>
      <c r="AP41" s="54">
        <f t="shared" si="21"/>
        <v>2</v>
      </c>
      <c r="AQ41" s="54">
        <f t="shared" si="22"/>
        <v>2</v>
      </c>
      <c r="AR41" s="85">
        <f t="shared" si="23"/>
        <v>2</v>
      </c>
      <c r="AS41" s="441">
        <f t="shared" si="24"/>
        <v>8</v>
      </c>
    </row>
    <row r="42" spans="1:45" ht="15.75" customHeight="1">
      <c r="A42" s="25">
        <v>46090</v>
      </c>
      <c r="B42" s="67">
        <v>1609</v>
      </c>
      <c r="C42" s="265">
        <f t="shared" si="29"/>
        <v>2.4922118380062306E-3</v>
      </c>
      <c r="D42" s="26">
        <v>396</v>
      </c>
      <c r="E42" s="26">
        <v>34</v>
      </c>
      <c r="F42" s="68">
        <v>2</v>
      </c>
      <c r="G42" s="67">
        <v>2359</v>
      </c>
      <c r="H42" s="265">
        <f t="shared" si="26"/>
        <v>2.976190476190476E-3</v>
      </c>
      <c r="I42" s="26">
        <v>213</v>
      </c>
      <c r="J42" s="26">
        <v>2</v>
      </c>
      <c r="K42" s="68">
        <v>2</v>
      </c>
      <c r="L42" s="67">
        <v>1045</v>
      </c>
      <c r="M42" s="265">
        <f t="shared" si="27"/>
        <v>1.3579049466537343E-2</v>
      </c>
      <c r="N42" s="26">
        <v>457</v>
      </c>
      <c r="O42" s="26">
        <v>19</v>
      </c>
      <c r="P42" s="68">
        <v>2</v>
      </c>
      <c r="Q42" s="67">
        <v>5700</v>
      </c>
      <c r="R42" s="265">
        <f t="shared" si="31"/>
        <v>-1.7540782318891423E-4</v>
      </c>
      <c r="S42" s="26">
        <v>443</v>
      </c>
      <c r="T42" s="26">
        <v>11</v>
      </c>
      <c r="U42" s="68">
        <v>2</v>
      </c>
      <c r="V42" s="75">
        <f t="shared" si="33"/>
        <v>1609</v>
      </c>
      <c r="W42" s="28">
        <f t="shared" si="5"/>
        <v>2359</v>
      </c>
      <c r="X42" s="28">
        <f t="shared" si="6"/>
        <v>1045</v>
      </c>
      <c r="Y42" s="76">
        <f t="shared" si="7"/>
        <v>5700</v>
      </c>
      <c r="Z42" s="436">
        <f t="shared" si="30"/>
        <v>10713</v>
      </c>
      <c r="AA42" s="436"/>
      <c r="AB42" s="266">
        <f t="shared" si="25"/>
        <v>2.4922118380062306E-3</v>
      </c>
      <c r="AC42" s="267">
        <f t="shared" si="8"/>
        <v>2.976190476190476E-3</v>
      </c>
      <c r="AD42" s="267">
        <f t="shared" si="9"/>
        <v>1.3579049466537343E-2</v>
      </c>
      <c r="AE42" s="268">
        <f t="shared" si="10"/>
        <v>-1.7540782318891423E-4</v>
      </c>
      <c r="AF42" s="84">
        <f t="shared" si="11"/>
        <v>396</v>
      </c>
      <c r="AG42" s="54">
        <f t="shared" si="12"/>
        <v>213</v>
      </c>
      <c r="AH42" s="54">
        <f t="shared" si="13"/>
        <v>457</v>
      </c>
      <c r="AI42" s="85">
        <f t="shared" si="14"/>
        <v>443</v>
      </c>
      <c r="AJ42" s="84">
        <f t="shared" si="15"/>
        <v>34</v>
      </c>
      <c r="AK42" s="54">
        <f t="shared" si="16"/>
        <v>2</v>
      </c>
      <c r="AL42" s="54">
        <f t="shared" si="17"/>
        <v>19</v>
      </c>
      <c r="AM42" s="85">
        <f t="shared" si="18"/>
        <v>11</v>
      </c>
      <c r="AN42" s="439">
        <f t="shared" si="19"/>
        <v>66</v>
      </c>
      <c r="AO42" s="84">
        <f t="shared" si="20"/>
        <v>2</v>
      </c>
      <c r="AP42" s="54">
        <f t="shared" si="21"/>
        <v>2</v>
      </c>
      <c r="AQ42" s="54">
        <f t="shared" si="22"/>
        <v>2</v>
      </c>
      <c r="AR42" s="85">
        <f t="shared" si="23"/>
        <v>2</v>
      </c>
      <c r="AS42" s="441">
        <f t="shared" si="24"/>
        <v>8</v>
      </c>
    </row>
    <row r="43" spans="1:45" ht="15.75" customHeight="1">
      <c r="A43" s="25">
        <v>46097</v>
      </c>
      <c r="B43" s="67">
        <v>1617</v>
      </c>
      <c r="C43" s="265">
        <f t="shared" si="29"/>
        <v>4.972032318210068E-3</v>
      </c>
      <c r="D43" s="26">
        <v>373</v>
      </c>
      <c r="E43" s="26">
        <v>9</v>
      </c>
      <c r="F43" s="68">
        <v>0</v>
      </c>
      <c r="G43" s="67">
        <v>2361</v>
      </c>
      <c r="H43" s="265">
        <f t="shared" si="26"/>
        <v>8.4781687155574396E-4</v>
      </c>
      <c r="I43" s="26">
        <v>139</v>
      </c>
      <c r="J43" s="26">
        <v>0</v>
      </c>
      <c r="K43" s="68">
        <v>0</v>
      </c>
      <c r="L43" s="67">
        <v>1051</v>
      </c>
      <c r="M43" s="265">
        <f t="shared" si="27"/>
        <v>5.7416267942583732E-3</v>
      </c>
      <c r="N43" s="26">
        <v>101</v>
      </c>
      <c r="O43" s="26">
        <v>5</v>
      </c>
      <c r="P43" s="68">
        <v>0</v>
      </c>
      <c r="Q43" s="67">
        <v>5705</v>
      </c>
      <c r="R43" s="265">
        <f t="shared" si="31"/>
        <v>8.7719298245614037E-4</v>
      </c>
      <c r="S43" s="26">
        <v>443</v>
      </c>
      <c r="T43" s="26">
        <v>6</v>
      </c>
      <c r="U43" s="68">
        <v>0</v>
      </c>
      <c r="V43" s="75">
        <f t="shared" si="33"/>
        <v>1617</v>
      </c>
      <c r="W43" s="28">
        <f t="shared" si="5"/>
        <v>2361</v>
      </c>
      <c r="X43" s="28">
        <f t="shared" si="6"/>
        <v>1051</v>
      </c>
      <c r="Y43" s="76">
        <f t="shared" si="7"/>
        <v>5705</v>
      </c>
      <c r="Z43" s="436">
        <f t="shared" si="30"/>
        <v>10734</v>
      </c>
      <c r="AA43" s="436"/>
      <c r="AB43" s="266">
        <f t="shared" si="25"/>
        <v>4.972032318210068E-3</v>
      </c>
      <c r="AC43" s="267">
        <f t="shared" si="8"/>
        <v>8.4781687155574396E-4</v>
      </c>
      <c r="AD43" s="267">
        <f t="shared" si="9"/>
        <v>5.7416267942583732E-3</v>
      </c>
      <c r="AE43" s="268">
        <f t="shared" si="10"/>
        <v>8.7719298245614037E-4</v>
      </c>
      <c r="AF43" s="84">
        <f t="shared" si="11"/>
        <v>373</v>
      </c>
      <c r="AG43" s="54">
        <f t="shared" si="12"/>
        <v>139</v>
      </c>
      <c r="AH43" s="54">
        <f t="shared" si="13"/>
        <v>101</v>
      </c>
      <c r="AI43" s="85">
        <f t="shared" si="14"/>
        <v>443</v>
      </c>
      <c r="AJ43" s="84">
        <f t="shared" si="15"/>
        <v>9</v>
      </c>
      <c r="AK43" s="54">
        <f t="shared" si="16"/>
        <v>0</v>
      </c>
      <c r="AL43" s="54">
        <f t="shared" si="17"/>
        <v>5</v>
      </c>
      <c r="AM43" s="85">
        <f t="shared" si="18"/>
        <v>6</v>
      </c>
      <c r="AN43" s="439">
        <f t="shared" si="19"/>
        <v>20</v>
      </c>
      <c r="AO43" s="84">
        <f t="shared" si="20"/>
        <v>0</v>
      </c>
      <c r="AP43" s="54">
        <f t="shared" si="21"/>
        <v>0</v>
      </c>
      <c r="AQ43" s="54">
        <f t="shared" si="22"/>
        <v>0</v>
      </c>
      <c r="AR43" s="85">
        <f t="shared" si="23"/>
        <v>0</v>
      </c>
      <c r="AS43" s="441">
        <f t="shared" si="24"/>
        <v>0</v>
      </c>
    </row>
    <row r="44" spans="1:45" ht="15.75" customHeight="1">
      <c r="A44" s="25">
        <v>46104</v>
      </c>
      <c r="B44" s="67">
        <v>1623</v>
      </c>
      <c r="C44" s="265">
        <f t="shared" si="29"/>
        <v>3.7105751391465678E-3</v>
      </c>
      <c r="D44" s="26">
        <v>249</v>
      </c>
      <c r="E44" s="26">
        <v>18</v>
      </c>
      <c r="F44" s="68">
        <v>1</v>
      </c>
      <c r="G44" s="67">
        <v>2365</v>
      </c>
      <c r="H44" s="265">
        <f t="shared" si="26"/>
        <v>1.6941973739940702E-3</v>
      </c>
      <c r="I44" s="26">
        <v>299</v>
      </c>
      <c r="J44" s="26">
        <v>3</v>
      </c>
      <c r="K44" s="68">
        <v>1</v>
      </c>
      <c r="L44" s="67">
        <v>1062</v>
      </c>
      <c r="M44" s="265">
        <f t="shared" si="27"/>
        <v>1.0466222645099905E-2</v>
      </c>
      <c r="N44" s="26">
        <v>169</v>
      </c>
      <c r="O44" s="26">
        <v>2</v>
      </c>
      <c r="P44" s="68">
        <v>1</v>
      </c>
      <c r="Q44" s="67">
        <v>5704</v>
      </c>
      <c r="R44" s="265">
        <f t="shared" si="31"/>
        <v>-1.7528483786152498E-4</v>
      </c>
      <c r="S44" s="26">
        <v>170</v>
      </c>
      <c r="T44" s="26">
        <v>14</v>
      </c>
      <c r="U44" s="68">
        <v>1</v>
      </c>
      <c r="V44" s="75">
        <f t="shared" si="33"/>
        <v>1623</v>
      </c>
      <c r="W44" s="28">
        <f t="shared" si="5"/>
        <v>2365</v>
      </c>
      <c r="X44" s="28">
        <f t="shared" si="6"/>
        <v>1062</v>
      </c>
      <c r="Y44" s="76">
        <f t="shared" si="7"/>
        <v>5704</v>
      </c>
      <c r="Z44" s="436">
        <f t="shared" si="30"/>
        <v>10754</v>
      </c>
      <c r="AA44" s="436"/>
      <c r="AB44" s="266">
        <f t="shared" si="25"/>
        <v>3.7105751391465678E-3</v>
      </c>
      <c r="AC44" s="267">
        <f t="shared" si="8"/>
        <v>1.6941973739940702E-3</v>
      </c>
      <c r="AD44" s="267">
        <f t="shared" si="9"/>
        <v>1.0466222645099905E-2</v>
      </c>
      <c r="AE44" s="268">
        <f t="shared" si="10"/>
        <v>-1.7528483786152498E-4</v>
      </c>
      <c r="AF44" s="84">
        <f t="shared" si="11"/>
        <v>249</v>
      </c>
      <c r="AG44" s="54">
        <f t="shared" si="12"/>
        <v>299</v>
      </c>
      <c r="AH44" s="54">
        <f t="shared" si="13"/>
        <v>169</v>
      </c>
      <c r="AI44" s="85">
        <f t="shared" si="14"/>
        <v>170</v>
      </c>
      <c r="AJ44" s="84">
        <f t="shared" si="15"/>
        <v>18</v>
      </c>
      <c r="AK44" s="54">
        <f t="shared" si="16"/>
        <v>3</v>
      </c>
      <c r="AL44" s="54">
        <f t="shared" si="17"/>
        <v>2</v>
      </c>
      <c r="AM44" s="85">
        <f t="shared" si="18"/>
        <v>14</v>
      </c>
      <c r="AN44" s="439">
        <f t="shared" si="19"/>
        <v>37</v>
      </c>
      <c r="AO44" s="84">
        <f t="shared" si="20"/>
        <v>1</v>
      </c>
      <c r="AP44" s="54">
        <f t="shared" si="21"/>
        <v>1</v>
      </c>
      <c r="AQ44" s="54">
        <f t="shared" si="22"/>
        <v>1</v>
      </c>
      <c r="AR44" s="85">
        <f t="shared" si="23"/>
        <v>1</v>
      </c>
      <c r="AS44" s="441">
        <f t="shared" si="24"/>
        <v>4</v>
      </c>
    </row>
    <row r="45" spans="1:45" ht="15.75" customHeight="1">
      <c r="A45" s="25">
        <v>46111</v>
      </c>
      <c r="B45" s="67">
        <v>1626</v>
      </c>
      <c r="C45" s="265">
        <f t="shared" si="29"/>
        <v>1.8484288354898336E-3</v>
      </c>
      <c r="D45" s="26">
        <v>278</v>
      </c>
      <c r="E45" s="26">
        <v>7</v>
      </c>
      <c r="F45" s="68">
        <v>1</v>
      </c>
      <c r="G45" s="67">
        <v>2368</v>
      </c>
      <c r="H45" s="265">
        <f t="shared" si="26"/>
        <v>1.2684989429175475E-3</v>
      </c>
      <c r="I45" s="26">
        <v>58</v>
      </c>
      <c r="J45" s="26">
        <v>5</v>
      </c>
      <c r="K45" s="68">
        <v>1</v>
      </c>
      <c r="L45" s="67">
        <v>1076</v>
      </c>
      <c r="M45" s="265">
        <f t="shared" si="27"/>
        <v>1.3182674199623353E-2</v>
      </c>
      <c r="N45" s="26">
        <v>355</v>
      </c>
      <c r="O45" s="26">
        <v>3</v>
      </c>
      <c r="P45" s="68">
        <v>1</v>
      </c>
      <c r="Q45" s="67">
        <v>5703</v>
      </c>
      <c r="R45" s="265">
        <f>(Q45-Q44)/Q44</f>
        <v>-1.7531556802244039E-4</v>
      </c>
      <c r="S45" s="26">
        <v>161</v>
      </c>
      <c r="T45" s="26">
        <v>4</v>
      </c>
      <c r="U45" s="68">
        <v>1</v>
      </c>
      <c r="V45" s="75">
        <f t="shared" si="33"/>
        <v>1626</v>
      </c>
      <c r="W45" s="28">
        <f t="shared" si="5"/>
        <v>2368</v>
      </c>
      <c r="X45" s="28">
        <f t="shared" si="6"/>
        <v>1076</v>
      </c>
      <c r="Y45" s="76">
        <f t="shared" si="7"/>
        <v>5703</v>
      </c>
      <c r="Z45" s="436">
        <f t="shared" si="30"/>
        <v>10773</v>
      </c>
      <c r="AA45" s="436"/>
      <c r="AB45" s="266">
        <f t="shared" si="25"/>
        <v>1.8484288354898336E-3</v>
      </c>
      <c r="AC45" s="267">
        <f t="shared" si="8"/>
        <v>1.2684989429175475E-3</v>
      </c>
      <c r="AD45" s="267">
        <f t="shared" si="9"/>
        <v>1.3182674199623353E-2</v>
      </c>
      <c r="AE45" s="268">
        <f t="shared" si="10"/>
        <v>-1.7531556802244039E-4</v>
      </c>
      <c r="AF45" s="84">
        <f t="shared" si="11"/>
        <v>278</v>
      </c>
      <c r="AG45" s="54">
        <f t="shared" si="12"/>
        <v>58</v>
      </c>
      <c r="AH45" s="54">
        <f t="shared" si="13"/>
        <v>355</v>
      </c>
      <c r="AI45" s="85">
        <f t="shared" si="14"/>
        <v>161</v>
      </c>
      <c r="AJ45" s="84">
        <f t="shared" si="15"/>
        <v>7</v>
      </c>
      <c r="AK45" s="54">
        <f t="shared" si="16"/>
        <v>5</v>
      </c>
      <c r="AL45" s="54">
        <f t="shared" si="17"/>
        <v>3</v>
      </c>
      <c r="AM45" s="85">
        <f t="shared" si="18"/>
        <v>4</v>
      </c>
      <c r="AN45" s="439">
        <f t="shared" si="19"/>
        <v>19</v>
      </c>
      <c r="AO45" s="84">
        <f t="shared" si="20"/>
        <v>1</v>
      </c>
      <c r="AP45" s="54">
        <f t="shared" si="21"/>
        <v>1</v>
      </c>
      <c r="AQ45" s="54">
        <f t="shared" si="22"/>
        <v>1</v>
      </c>
      <c r="AR45" s="85">
        <f t="shared" si="23"/>
        <v>1</v>
      </c>
      <c r="AS45" s="441">
        <f t="shared" si="24"/>
        <v>4</v>
      </c>
    </row>
    <row r="46" spans="1:45" ht="15.75" customHeight="1">
      <c r="A46" s="25">
        <v>46118</v>
      </c>
      <c r="B46" s="67">
        <v>1631</v>
      </c>
      <c r="C46" s="265">
        <f t="shared" si="29"/>
        <v>3.0750307503075031E-3</v>
      </c>
      <c r="D46" s="26">
        <v>494</v>
      </c>
      <c r="E46" s="26">
        <v>93</v>
      </c>
      <c r="F46" s="68">
        <v>1</v>
      </c>
      <c r="G46" s="67">
        <v>2374</v>
      </c>
      <c r="H46" s="265">
        <f t="shared" si="26"/>
        <v>2.5337837837837839E-3</v>
      </c>
      <c r="I46" s="26">
        <v>366</v>
      </c>
      <c r="J46" s="26">
        <v>3</v>
      </c>
      <c r="K46" s="68">
        <v>1</v>
      </c>
      <c r="L46" s="67">
        <v>1087</v>
      </c>
      <c r="M46" s="265">
        <f t="shared" si="27"/>
        <v>1.0223048327137546E-2</v>
      </c>
      <c r="N46" s="26">
        <v>297</v>
      </c>
      <c r="O46" s="26">
        <v>3</v>
      </c>
      <c r="P46" s="68">
        <v>1</v>
      </c>
      <c r="Q46" s="67">
        <v>5704</v>
      </c>
      <c r="R46" s="265">
        <f t="shared" si="31"/>
        <v>1.753463089601964E-4</v>
      </c>
      <c r="S46" s="26">
        <v>865</v>
      </c>
      <c r="T46" s="26">
        <v>50</v>
      </c>
      <c r="U46" s="68">
        <v>1</v>
      </c>
      <c r="V46" s="75">
        <f t="shared" si="33"/>
        <v>1631</v>
      </c>
      <c r="W46" s="28">
        <f t="shared" si="5"/>
        <v>2374</v>
      </c>
      <c r="X46" s="28">
        <f t="shared" si="6"/>
        <v>1087</v>
      </c>
      <c r="Y46" s="76">
        <f t="shared" si="7"/>
        <v>5704</v>
      </c>
      <c r="Z46" s="436">
        <f t="shared" si="30"/>
        <v>10796</v>
      </c>
      <c r="AA46" s="436"/>
      <c r="AB46" s="266">
        <f t="shared" si="25"/>
        <v>3.0750307503075031E-3</v>
      </c>
      <c r="AC46" s="267">
        <f t="shared" si="8"/>
        <v>2.5337837837837839E-3</v>
      </c>
      <c r="AD46" s="267">
        <f t="shared" si="9"/>
        <v>1.0223048327137546E-2</v>
      </c>
      <c r="AE46" s="268">
        <f t="shared" si="10"/>
        <v>1.753463089601964E-4</v>
      </c>
      <c r="AF46" s="84">
        <f t="shared" si="11"/>
        <v>494</v>
      </c>
      <c r="AG46" s="54">
        <f t="shared" si="12"/>
        <v>366</v>
      </c>
      <c r="AH46" s="54">
        <f t="shared" si="13"/>
        <v>297</v>
      </c>
      <c r="AI46" s="85">
        <f t="shared" si="14"/>
        <v>865</v>
      </c>
      <c r="AJ46" s="84">
        <f t="shared" si="15"/>
        <v>93</v>
      </c>
      <c r="AK46" s="54">
        <f t="shared" si="16"/>
        <v>3</v>
      </c>
      <c r="AL46" s="54">
        <f t="shared" si="17"/>
        <v>3</v>
      </c>
      <c r="AM46" s="85">
        <f t="shared" si="18"/>
        <v>50</v>
      </c>
      <c r="AN46" s="439">
        <f t="shared" si="19"/>
        <v>149</v>
      </c>
      <c r="AO46" s="84">
        <f t="shared" si="20"/>
        <v>1</v>
      </c>
      <c r="AP46" s="54">
        <f t="shared" si="21"/>
        <v>1</v>
      </c>
      <c r="AQ46" s="54">
        <f t="shared" si="22"/>
        <v>1</v>
      </c>
      <c r="AR46" s="85">
        <f t="shared" si="23"/>
        <v>1</v>
      </c>
      <c r="AS46" s="441">
        <f t="shared" si="24"/>
        <v>4</v>
      </c>
    </row>
    <row r="47" spans="1:45" ht="15.75" customHeight="1">
      <c r="A47" s="25">
        <v>46125</v>
      </c>
      <c r="B47" s="67">
        <v>1654</v>
      </c>
      <c r="C47" s="265">
        <f t="shared" si="29"/>
        <v>1.4101778050275904E-2</v>
      </c>
      <c r="D47" s="26">
        <v>2221</v>
      </c>
      <c r="E47" s="26">
        <v>181</v>
      </c>
      <c r="F47" s="68">
        <v>2</v>
      </c>
      <c r="G47" s="67">
        <v>2381</v>
      </c>
      <c r="H47" s="265">
        <f t="shared" si="26"/>
        <v>2.9486099410278013E-3</v>
      </c>
      <c r="I47" s="26">
        <v>458</v>
      </c>
      <c r="J47" s="26">
        <v>11</v>
      </c>
      <c r="K47" s="68">
        <v>2</v>
      </c>
      <c r="L47" s="67">
        <v>1095</v>
      </c>
      <c r="M47" s="265">
        <f t="shared" si="27"/>
        <v>7.3597056117755289E-3</v>
      </c>
      <c r="N47" s="26">
        <v>480</v>
      </c>
      <c r="O47" s="26">
        <v>11</v>
      </c>
      <c r="P47" s="68">
        <v>2</v>
      </c>
      <c r="Q47" s="67">
        <v>5709</v>
      </c>
      <c r="R47" s="265">
        <f t="shared" si="31"/>
        <v>8.7657784011220194E-4</v>
      </c>
      <c r="S47" s="26">
        <v>1507</v>
      </c>
      <c r="T47" s="26">
        <v>63</v>
      </c>
      <c r="U47" s="68">
        <v>2</v>
      </c>
      <c r="V47" s="75">
        <f t="shared" si="33"/>
        <v>1654</v>
      </c>
      <c r="W47" s="28">
        <f t="shared" si="5"/>
        <v>2381</v>
      </c>
      <c r="X47" s="28">
        <f t="shared" si="6"/>
        <v>1095</v>
      </c>
      <c r="Y47" s="76">
        <f t="shared" si="7"/>
        <v>5709</v>
      </c>
      <c r="Z47" s="436">
        <f t="shared" si="30"/>
        <v>10839</v>
      </c>
      <c r="AA47" s="436"/>
      <c r="AB47" s="266">
        <f t="shared" si="25"/>
        <v>1.4101778050275904E-2</v>
      </c>
      <c r="AC47" s="267">
        <f t="shared" si="8"/>
        <v>2.9486099410278013E-3</v>
      </c>
      <c r="AD47" s="267">
        <f t="shared" si="9"/>
        <v>7.3597056117755289E-3</v>
      </c>
      <c r="AE47" s="268">
        <f t="shared" si="10"/>
        <v>8.7657784011220194E-4</v>
      </c>
      <c r="AF47" s="84">
        <f t="shared" si="11"/>
        <v>2221</v>
      </c>
      <c r="AG47" s="54">
        <f t="shared" si="12"/>
        <v>458</v>
      </c>
      <c r="AH47" s="54">
        <f t="shared" si="13"/>
        <v>480</v>
      </c>
      <c r="AI47" s="85">
        <f t="shared" si="14"/>
        <v>1507</v>
      </c>
      <c r="AJ47" s="84">
        <f t="shared" si="15"/>
        <v>181</v>
      </c>
      <c r="AK47" s="54">
        <f t="shared" si="16"/>
        <v>11</v>
      </c>
      <c r="AL47" s="54">
        <f t="shared" si="17"/>
        <v>11</v>
      </c>
      <c r="AM47" s="85">
        <f t="shared" si="18"/>
        <v>63</v>
      </c>
      <c r="AN47" s="439">
        <f t="shared" si="19"/>
        <v>266</v>
      </c>
      <c r="AO47" s="84">
        <f t="shared" si="20"/>
        <v>2</v>
      </c>
      <c r="AP47" s="54">
        <f t="shared" si="21"/>
        <v>2</v>
      </c>
      <c r="AQ47" s="54">
        <f t="shared" si="22"/>
        <v>2</v>
      </c>
      <c r="AR47" s="85">
        <f t="shared" si="23"/>
        <v>2</v>
      </c>
      <c r="AS47" s="441">
        <f t="shared" si="24"/>
        <v>8</v>
      </c>
    </row>
    <row r="48" spans="1:45" ht="15.75" customHeight="1">
      <c r="A48" s="25">
        <v>46132</v>
      </c>
      <c r="B48" s="67">
        <v>1670</v>
      </c>
      <c r="C48" s="265">
        <f t="shared" si="29"/>
        <v>9.673518742442563E-3</v>
      </c>
      <c r="D48" s="26">
        <v>1425</v>
      </c>
      <c r="E48" s="26">
        <v>81</v>
      </c>
      <c r="F48" s="68">
        <v>2</v>
      </c>
      <c r="G48" s="67">
        <v>2383</v>
      </c>
      <c r="H48" s="265">
        <f t="shared" si="26"/>
        <v>8.3998320033599333E-4</v>
      </c>
      <c r="I48" s="26">
        <v>144</v>
      </c>
      <c r="J48" s="26">
        <v>2</v>
      </c>
      <c r="K48" s="68">
        <v>2</v>
      </c>
      <c r="L48" s="67">
        <v>1102</v>
      </c>
      <c r="M48" s="265">
        <f t="shared" si="27"/>
        <v>6.392694063926941E-3</v>
      </c>
      <c r="N48" s="26">
        <v>526</v>
      </c>
      <c r="O48" s="26">
        <v>8</v>
      </c>
      <c r="P48" s="68">
        <v>2</v>
      </c>
      <c r="Q48" s="67">
        <v>5709</v>
      </c>
      <c r="R48" s="265">
        <f t="shared" si="31"/>
        <v>0</v>
      </c>
      <c r="S48" s="26">
        <v>777</v>
      </c>
      <c r="T48" s="26">
        <v>47</v>
      </c>
      <c r="U48" s="68">
        <v>2</v>
      </c>
      <c r="V48" s="75">
        <f t="shared" si="33"/>
        <v>1670</v>
      </c>
      <c r="W48" s="28">
        <f t="shared" si="5"/>
        <v>2383</v>
      </c>
      <c r="X48" s="28">
        <f t="shared" si="6"/>
        <v>1102</v>
      </c>
      <c r="Y48" s="76">
        <f t="shared" si="7"/>
        <v>5709</v>
      </c>
      <c r="Z48" s="436">
        <f t="shared" si="30"/>
        <v>10864</v>
      </c>
      <c r="AA48" s="436"/>
      <c r="AB48" s="266">
        <f t="shared" si="25"/>
        <v>9.673518742442563E-3</v>
      </c>
      <c r="AC48" s="267">
        <f t="shared" si="8"/>
        <v>8.3998320033599333E-4</v>
      </c>
      <c r="AD48" s="267">
        <f t="shared" si="9"/>
        <v>6.392694063926941E-3</v>
      </c>
      <c r="AE48" s="268">
        <f t="shared" si="10"/>
        <v>0</v>
      </c>
      <c r="AF48" s="84">
        <f t="shared" si="11"/>
        <v>1425</v>
      </c>
      <c r="AG48" s="54">
        <f t="shared" si="12"/>
        <v>144</v>
      </c>
      <c r="AH48" s="54">
        <f t="shared" si="13"/>
        <v>526</v>
      </c>
      <c r="AI48" s="85">
        <f t="shared" si="14"/>
        <v>777</v>
      </c>
      <c r="AJ48" s="84">
        <f t="shared" si="15"/>
        <v>81</v>
      </c>
      <c r="AK48" s="54">
        <f t="shared" si="16"/>
        <v>2</v>
      </c>
      <c r="AL48" s="54">
        <f t="shared" si="17"/>
        <v>8</v>
      </c>
      <c r="AM48" s="85">
        <f t="shared" si="18"/>
        <v>47</v>
      </c>
      <c r="AN48" s="439">
        <f t="shared" si="19"/>
        <v>138</v>
      </c>
      <c r="AO48" s="84">
        <f t="shared" si="20"/>
        <v>2</v>
      </c>
      <c r="AP48" s="54">
        <f t="shared" si="21"/>
        <v>2</v>
      </c>
      <c r="AQ48" s="54">
        <f t="shared" si="22"/>
        <v>2</v>
      </c>
      <c r="AR48" s="85">
        <f t="shared" si="23"/>
        <v>2</v>
      </c>
      <c r="AS48" s="441">
        <f t="shared" si="24"/>
        <v>8</v>
      </c>
    </row>
    <row r="49" spans="1:45" ht="15.75" customHeight="1">
      <c r="A49" s="25">
        <v>46139</v>
      </c>
      <c r="B49" s="67">
        <v>1684</v>
      </c>
      <c r="C49" s="265">
        <f t="shared" si="29"/>
        <v>8.3832335329341312E-3</v>
      </c>
      <c r="D49" s="26">
        <v>1125</v>
      </c>
      <c r="E49" s="26">
        <v>40</v>
      </c>
      <c r="F49" s="68">
        <v>1</v>
      </c>
      <c r="G49" s="67">
        <v>2392</v>
      </c>
      <c r="H49" s="265">
        <f t="shared" si="26"/>
        <v>3.7767519932857744E-3</v>
      </c>
      <c r="I49" s="26">
        <v>167</v>
      </c>
      <c r="J49" s="26">
        <v>5</v>
      </c>
      <c r="K49" s="68">
        <v>1</v>
      </c>
      <c r="L49" s="67">
        <v>1102</v>
      </c>
      <c r="M49" s="265">
        <f t="shared" si="27"/>
        <v>0</v>
      </c>
      <c r="N49" s="26">
        <v>273</v>
      </c>
      <c r="O49" s="26">
        <v>7</v>
      </c>
      <c r="P49" s="68">
        <v>1</v>
      </c>
      <c r="Q49" s="67">
        <v>5711</v>
      </c>
      <c r="R49" s="265">
        <f t="shared" si="31"/>
        <v>3.5032404974601509E-4</v>
      </c>
      <c r="S49" s="26">
        <v>185</v>
      </c>
      <c r="T49" s="26">
        <v>6</v>
      </c>
      <c r="U49" s="68">
        <v>1</v>
      </c>
      <c r="V49" s="75">
        <f t="shared" si="33"/>
        <v>1684</v>
      </c>
      <c r="W49" s="28">
        <f t="shared" si="5"/>
        <v>2392</v>
      </c>
      <c r="X49" s="28">
        <f t="shared" si="6"/>
        <v>1102</v>
      </c>
      <c r="Y49" s="76">
        <f t="shared" si="7"/>
        <v>5711</v>
      </c>
      <c r="Z49" s="436">
        <f t="shared" si="30"/>
        <v>10889</v>
      </c>
      <c r="AA49" s="436"/>
      <c r="AB49" s="266">
        <f t="shared" si="25"/>
        <v>8.3832335329341312E-3</v>
      </c>
      <c r="AC49" s="267">
        <f t="shared" si="8"/>
        <v>3.7767519932857744E-3</v>
      </c>
      <c r="AD49" s="267">
        <f t="shared" si="9"/>
        <v>0</v>
      </c>
      <c r="AE49" s="268">
        <f t="shared" si="10"/>
        <v>3.5032404974601509E-4</v>
      </c>
      <c r="AF49" s="84">
        <f t="shared" si="11"/>
        <v>1125</v>
      </c>
      <c r="AG49" s="54">
        <f t="shared" si="12"/>
        <v>167</v>
      </c>
      <c r="AH49" s="54">
        <f t="shared" si="13"/>
        <v>273</v>
      </c>
      <c r="AI49" s="85">
        <f t="shared" si="14"/>
        <v>185</v>
      </c>
      <c r="AJ49" s="84">
        <f t="shared" si="15"/>
        <v>40</v>
      </c>
      <c r="AK49" s="54">
        <f t="shared" si="16"/>
        <v>5</v>
      </c>
      <c r="AL49" s="54">
        <f t="shared" si="17"/>
        <v>7</v>
      </c>
      <c r="AM49" s="85">
        <f t="shared" si="18"/>
        <v>6</v>
      </c>
      <c r="AN49" s="439">
        <f t="shared" si="19"/>
        <v>58</v>
      </c>
      <c r="AO49" s="84">
        <f t="shared" si="20"/>
        <v>1</v>
      </c>
      <c r="AP49" s="54">
        <f t="shared" si="21"/>
        <v>1</v>
      </c>
      <c r="AQ49" s="54">
        <f t="shared" si="22"/>
        <v>1</v>
      </c>
      <c r="AR49" s="85">
        <f t="shared" si="23"/>
        <v>1</v>
      </c>
      <c r="AS49" s="441">
        <f t="shared" si="24"/>
        <v>4</v>
      </c>
    </row>
    <row r="50" spans="1:45" ht="15.75" customHeight="1">
      <c r="A50" s="25">
        <v>46146</v>
      </c>
      <c r="B50" s="67">
        <v>1692</v>
      </c>
      <c r="C50" s="265">
        <f t="shared" si="29"/>
        <v>4.7505938242280287E-3</v>
      </c>
      <c r="D50" s="26">
        <v>1390</v>
      </c>
      <c r="E50" s="26">
        <v>67</v>
      </c>
      <c r="F50" s="68">
        <v>2</v>
      </c>
      <c r="G50" s="67">
        <v>2396</v>
      </c>
      <c r="H50" s="265">
        <f t="shared" si="26"/>
        <v>1.6722408026755853E-3</v>
      </c>
      <c r="I50" s="26">
        <v>561</v>
      </c>
      <c r="J50" s="26">
        <v>5</v>
      </c>
      <c r="K50" s="68">
        <v>2</v>
      </c>
      <c r="L50" s="67">
        <v>1107</v>
      </c>
      <c r="M50" s="265">
        <f t="shared" si="27"/>
        <v>4.5372050816696917E-3</v>
      </c>
      <c r="N50" s="26">
        <v>457</v>
      </c>
      <c r="O50" s="26">
        <v>13</v>
      </c>
      <c r="P50" s="68">
        <v>2</v>
      </c>
      <c r="Q50" s="67">
        <v>5713</v>
      </c>
      <c r="R50" s="265">
        <f t="shared" si="31"/>
        <v>3.5020136578532658E-4</v>
      </c>
      <c r="S50" s="26">
        <v>21</v>
      </c>
      <c r="T50" s="26">
        <v>0</v>
      </c>
      <c r="U50" s="68">
        <v>2</v>
      </c>
      <c r="V50" s="75">
        <f t="shared" si="33"/>
        <v>1692</v>
      </c>
      <c r="W50" s="28">
        <f t="shared" si="5"/>
        <v>2396</v>
      </c>
      <c r="X50" s="28">
        <f t="shared" si="6"/>
        <v>1107</v>
      </c>
      <c r="Y50" s="76">
        <f t="shared" si="7"/>
        <v>5713</v>
      </c>
      <c r="Z50" s="436">
        <f t="shared" si="30"/>
        <v>10908</v>
      </c>
      <c r="AA50" s="436"/>
      <c r="AB50" s="266">
        <f t="shared" si="25"/>
        <v>4.7505938242280287E-3</v>
      </c>
      <c r="AC50" s="267">
        <f t="shared" si="8"/>
        <v>1.6722408026755853E-3</v>
      </c>
      <c r="AD50" s="267">
        <f t="shared" si="9"/>
        <v>4.5372050816696917E-3</v>
      </c>
      <c r="AE50" s="268">
        <f t="shared" si="10"/>
        <v>3.5020136578532658E-4</v>
      </c>
      <c r="AF50" s="84">
        <f t="shared" si="11"/>
        <v>1390</v>
      </c>
      <c r="AG50" s="54">
        <f t="shared" si="12"/>
        <v>561</v>
      </c>
      <c r="AH50" s="54">
        <f t="shared" si="13"/>
        <v>457</v>
      </c>
      <c r="AI50" s="85">
        <f t="shared" si="14"/>
        <v>21</v>
      </c>
      <c r="AJ50" s="84">
        <f t="shared" si="15"/>
        <v>67</v>
      </c>
      <c r="AK50" s="54">
        <f t="shared" si="16"/>
        <v>5</v>
      </c>
      <c r="AL50" s="54">
        <f t="shared" si="17"/>
        <v>13</v>
      </c>
      <c r="AM50" s="85">
        <f t="shared" si="18"/>
        <v>0</v>
      </c>
      <c r="AN50" s="439">
        <f t="shared" si="19"/>
        <v>85</v>
      </c>
      <c r="AO50" s="84">
        <f t="shared" si="20"/>
        <v>2</v>
      </c>
      <c r="AP50" s="54">
        <f t="shared" si="21"/>
        <v>2</v>
      </c>
      <c r="AQ50" s="54">
        <f t="shared" si="22"/>
        <v>2</v>
      </c>
      <c r="AR50" s="85">
        <f t="shared" si="23"/>
        <v>2</v>
      </c>
      <c r="AS50" s="441">
        <f t="shared" si="24"/>
        <v>8</v>
      </c>
    </row>
    <row r="51" spans="1:45" ht="15.75" customHeight="1">
      <c r="A51" s="25">
        <v>46153</v>
      </c>
      <c r="B51" s="67">
        <v>1703</v>
      </c>
      <c r="C51" s="265">
        <f t="shared" si="29"/>
        <v>6.5011820330969266E-3</v>
      </c>
      <c r="D51" s="26">
        <v>1176</v>
      </c>
      <c r="E51" s="26">
        <v>42</v>
      </c>
      <c r="F51" s="68">
        <v>2</v>
      </c>
      <c r="G51" s="67">
        <v>2404</v>
      </c>
      <c r="H51" s="265">
        <f t="shared" si="26"/>
        <v>3.3388981636060101E-3</v>
      </c>
      <c r="I51" s="26">
        <v>631</v>
      </c>
      <c r="J51" s="26">
        <v>17</v>
      </c>
      <c r="K51" s="68">
        <v>2</v>
      </c>
      <c r="L51" s="67">
        <v>1112</v>
      </c>
      <c r="M51" s="265">
        <f t="shared" si="27"/>
        <v>4.5167118337850042E-3</v>
      </c>
      <c r="N51" s="26">
        <v>867</v>
      </c>
      <c r="O51" s="26">
        <v>15</v>
      </c>
      <c r="P51" s="68">
        <v>2</v>
      </c>
      <c r="Q51" s="67">
        <v>5715</v>
      </c>
      <c r="R51" s="265">
        <f t="shared" si="31"/>
        <v>3.5007876772273763E-4</v>
      </c>
      <c r="S51" s="26">
        <v>1377</v>
      </c>
      <c r="T51" s="26">
        <v>28</v>
      </c>
      <c r="U51" s="68">
        <v>2</v>
      </c>
      <c r="V51" s="75">
        <f t="shared" si="33"/>
        <v>1703</v>
      </c>
      <c r="W51" s="28">
        <f t="shared" si="5"/>
        <v>2404</v>
      </c>
      <c r="X51" s="28">
        <f t="shared" si="6"/>
        <v>1112</v>
      </c>
      <c r="Y51" s="76">
        <f t="shared" si="7"/>
        <v>5715</v>
      </c>
      <c r="Z51" s="436">
        <f t="shared" si="30"/>
        <v>10934</v>
      </c>
      <c r="AA51" s="436"/>
      <c r="AB51" s="266">
        <f t="shared" si="25"/>
        <v>6.5011820330969266E-3</v>
      </c>
      <c r="AC51" s="267">
        <f t="shared" si="8"/>
        <v>3.3388981636060101E-3</v>
      </c>
      <c r="AD51" s="267">
        <f t="shared" si="9"/>
        <v>4.5167118337850042E-3</v>
      </c>
      <c r="AE51" s="268">
        <f t="shared" si="10"/>
        <v>3.5007876772273763E-4</v>
      </c>
      <c r="AF51" s="84">
        <f t="shared" si="11"/>
        <v>1176</v>
      </c>
      <c r="AG51" s="54">
        <f t="shared" si="12"/>
        <v>631</v>
      </c>
      <c r="AH51" s="54">
        <f t="shared" si="13"/>
        <v>867</v>
      </c>
      <c r="AI51" s="85">
        <f t="shared" si="14"/>
        <v>1377</v>
      </c>
      <c r="AJ51" s="84">
        <f t="shared" si="15"/>
        <v>42</v>
      </c>
      <c r="AK51" s="54">
        <f t="shared" si="16"/>
        <v>17</v>
      </c>
      <c r="AL51" s="54">
        <f t="shared" si="17"/>
        <v>15</v>
      </c>
      <c r="AM51" s="85">
        <f t="shared" si="18"/>
        <v>28</v>
      </c>
      <c r="AN51" s="439">
        <f t="shared" si="19"/>
        <v>102</v>
      </c>
      <c r="AO51" s="84">
        <f t="shared" si="20"/>
        <v>2</v>
      </c>
      <c r="AP51" s="54">
        <f t="shared" si="21"/>
        <v>2</v>
      </c>
      <c r="AQ51" s="54">
        <f t="shared" si="22"/>
        <v>2</v>
      </c>
      <c r="AR51" s="85">
        <f t="shared" si="23"/>
        <v>2</v>
      </c>
      <c r="AS51" s="441">
        <f t="shared" si="24"/>
        <v>8</v>
      </c>
    </row>
    <row r="52" spans="1:45" ht="15.75" customHeight="1">
      <c r="A52" s="25">
        <v>46160</v>
      </c>
      <c r="B52" s="67">
        <v>1718</v>
      </c>
      <c r="C52" s="265">
        <f t="shared" si="29"/>
        <v>8.8079859072225479E-3</v>
      </c>
      <c r="D52" s="26">
        <v>1514</v>
      </c>
      <c r="E52" s="26">
        <v>53</v>
      </c>
      <c r="F52" s="68">
        <v>1</v>
      </c>
      <c r="G52" s="67">
        <v>2415</v>
      </c>
      <c r="H52" s="265">
        <f t="shared" si="26"/>
        <v>4.5757071547420968E-3</v>
      </c>
      <c r="I52" s="26">
        <v>353</v>
      </c>
      <c r="J52" s="26">
        <v>4</v>
      </c>
      <c r="K52" s="68">
        <v>1</v>
      </c>
      <c r="L52" s="67">
        <v>1121</v>
      </c>
      <c r="M52" s="265">
        <f t="shared" si="27"/>
        <v>8.0935251798561151E-3</v>
      </c>
      <c r="N52" s="26">
        <v>773</v>
      </c>
      <c r="O52" s="26">
        <v>6</v>
      </c>
      <c r="P52" s="68">
        <v>1</v>
      </c>
      <c r="Q52" s="67">
        <v>5717</v>
      </c>
      <c r="R52" s="265">
        <f t="shared" si="31"/>
        <v>3.4995625546806647E-4</v>
      </c>
      <c r="S52" s="26">
        <v>604</v>
      </c>
      <c r="T52" s="26">
        <v>10</v>
      </c>
      <c r="U52" s="68">
        <v>1</v>
      </c>
      <c r="V52" s="75">
        <f t="shared" si="33"/>
        <v>1718</v>
      </c>
      <c r="W52" s="28">
        <f t="shared" si="5"/>
        <v>2415</v>
      </c>
      <c r="X52" s="28">
        <f t="shared" si="6"/>
        <v>1121</v>
      </c>
      <c r="Y52" s="76">
        <f t="shared" si="7"/>
        <v>5717</v>
      </c>
      <c r="Z52" s="436">
        <f t="shared" si="30"/>
        <v>10971</v>
      </c>
      <c r="AA52" s="436"/>
      <c r="AB52" s="266">
        <f t="shared" si="25"/>
        <v>8.8079859072225479E-3</v>
      </c>
      <c r="AC52" s="267">
        <f t="shared" si="8"/>
        <v>4.5757071547420968E-3</v>
      </c>
      <c r="AD52" s="267">
        <f t="shared" si="9"/>
        <v>8.0935251798561151E-3</v>
      </c>
      <c r="AE52" s="268">
        <f t="shared" si="10"/>
        <v>3.4995625546806647E-4</v>
      </c>
      <c r="AF52" s="84">
        <f t="shared" si="11"/>
        <v>1514</v>
      </c>
      <c r="AG52" s="54">
        <f t="shared" si="12"/>
        <v>353</v>
      </c>
      <c r="AH52" s="54">
        <f t="shared" si="13"/>
        <v>773</v>
      </c>
      <c r="AI52" s="85">
        <f t="shared" si="14"/>
        <v>604</v>
      </c>
      <c r="AJ52" s="84">
        <f t="shared" si="15"/>
        <v>53</v>
      </c>
      <c r="AK52" s="54">
        <f t="shared" si="16"/>
        <v>4</v>
      </c>
      <c r="AL52" s="54">
        <f t="shared" si="17"/>
        <v>6</v>
      </c>
      <c r="AM52" s="85">
        <f t="shared" si="18"/>
        <v>10</v>
      </c>
      <c r="AN52" s="439">
        <f t="shared" si="19"/>
        <v>73</v>
      </c>
      <c r="AO52" s="84">
        <f t="shared" si="20"/>
        <v>1</v>
      </c>
      <c r="AP52" s="54">
        <f t="shared" si="21"/>
        <v>1</v>
      </c>
      <c r="AQ52" s="54">
        <f t="shared" si="22"/>
        <v>1</v>
      </c>
      <c r="AR52" s="85">
        <f t="shared" si="23"/>
        <v>1</v>
      </c>
      <c r="AS52" s="441">
        <f t="shared" si="24"/>
        <v>4</v>
      </c>
    </row>
    <row r="53" spans="1:45" ht="15.75" customHeight="1">
      <c r="A53" s="25">
        <v>46167</v>
      </c>
      <c r="B53" s="67">
        <v>1726</v>
      </c>
      <c r="C53" s="265">
        <f t="shared" si="29"/>
        <v>4.6565774155995342E-3</v>
      </c>
      <c r="D53" s="26">
        <v>526</v>
      </c>
      <c r="E53" s="26">
        <v>11</v>
      </c>
      <c r="F53" s="68">
        <v>0</v>
      </c>
      <c r="G53" s="67">
        <v>2422</v>
      </c>
      <c r="H53" s="265">
        <f t="shared" si="26"/>
        <v>2.8985507246376812E-3</v>
      </c>
      <c r="I53" s="26">
        <v>133</v>
      </c>
      <c r="J53" s="26">
        <v>2</v>
      </c>
      <c r="K53" s="68">
        <v>0</v>
      </c>
      <c r="L53" s="67">
        <v>1126</v>
      </c>
      <c r="M53" s="265">
        <f t="shared" si="27"/>
        <v>4.4603033006244425E-3</v>
      </c>
      <c r="N53" s="26">
        <v>63</v>
      </c>
      <c r="O53" s="26">
        <v>1</v>
      </c>
      <c r="P53" s="68">
        <v>0</v>
      </c>
      <c r="Q53" s="67">
        <v>5717</v>
      </c>
      <c r="R53" s="265">
        <f t="shared" si="31"/>
        <v>0</v>
      </c>
      <c r="S53" s="26">
        <v>111</v>
      </c>
      <c r="T53" s="26">
        <v>5</v>
      </c>
      <c r="U53" s="68">
        <v>0</v>
      </c>
      <c r="V53" s="75">
        <f t="shared" si="33"/>
        <v>1726</v>
      </c>
      <c r="W53" s="28">
        <f t="shared" si="5"/>
        <v>2422</v>
      </c>
      <c r="X53" s="28">
        <f t="shared" si="6"/>
        <v>1126</v>
      </c>
      <c r="Y53" s="76">
        <f t="shared" si="7"/>
        <v>5717</v>
      </c>
      <c r="Z53" s="436">
        <f t="shared" si="30"/>
        <v>10991</v>
      </c>
      <c r="AA53" s="436"/>
      <c r="AB53" s="266">
        <f t="shared" si="25"/>
        <v>4.6565774155995342E-3</v>
      </c>
      <c r="AC53" s="267">
        <f t="shared" si="8"/>
        <v>2.8985507246376812E-3</v>
      </c>
      <c r="AD53" s="267">
        <f t="shared" si="9"/>
        <v>4.4603033006244425E-3</v>
      </c>
      <c r="AE53" s="268">
        <f t="shared" si="10"/>
        <v>0</v>
      </c>
      <c r="AF53" s="84">
        <f t="shared" si="11"/>
        <v>526</v>
      </c>
      <c r="AG53" s="54">
        <f t="shared" si="12"/>
        <v>133</v>
      </c>
      <c r="AH53" s="54">
        <f t="shared" si="13"/>
        <v>63</v>
      </c>
      <c r="AI53" s="85">
        <f t="shared" si="14"/>
        <v>111</v>
      </c>
      <c r="AJ53" s="84">
        <f t="shared" si="15"/>
        <v>11</v>
      </c>
      <c r="AK53" s="54">
        <f t="shared" si="16"/>
        <v>2</v>
      </c>
      <c r="AL53" s="54">
        <f t="shared" si="17"/>
        <v>1</v>
      </c>
      <c r="AM53" s="85">
        <f t="shared" si="18"/>
        <v>5</v>
      </c>
      <c r="AN53" s="439">
        <f t="shared" si="19"/>
        <v>19</v>
      </c>
      <c r="AO53" s="84">
        <f t="shared" si="20"/>
        <v>0</v>
      </c>
      <c r="AP53" s="54">
        <f t="shared" si="21"/>
        <v>0</v>
      </c>
      <c r="AQ53" s="54">
        <f t="shared" si="22"/>
        <v>0</v>
      </c>
      <c r="AR53" s="85">
        <f t="shared" si="23"/>
        <v>0</v>
      </c>
      <c r="AS53" s="441">
        <f t="shared" si="24"/>
        <v>0</v>
      </c>
    </row>
    <row r="54" spans="1:45" ht="15.75" customHeight="1">
      <c r="A54" s="25">
        <v>46174</v>
      </c>
      <c r="B54" s="67">
        <v>1751</v>
      </c>
      <c r="C54" s="265">
        <f t="shared" si="29"/>
        <v>1.4484356894553883E-2</v>
      </c>
      <c r="D54" s="26">
        <v>1213</v>
      </c>
      <c r="E54" s="26">
        <v>59</v>
      </c>
      <c r="F54" s="68">
        <v>3</v>
      </c>
      <c r="G54" s="67">
        <v>2426</v>
      </c>
      <c r="H54" s="265">
        <f t="shared" si="26"/>
        <v>1.6515276630883566E-3</v>
      </c>
      <c r="I54" s="26">
        <v>296</v>
      </c>
      <c r="J54" s="26">
        <v>12</v>
      </c>
      <c r="K54" s="68">
        <v>3</v>
      </c>
      <c r="L54" s="67">
        <v>1139</v>
      </c>
      <c r="M54" s="265">
        <f t="shared" si="27"/>
        <v>1.1545293072824156E-2</v>
      </c>
      <c r="N54" s="26">
        <v>855</v>
      </c>
      <c r="O54" s="26">
        <v>9</v>
      </c>
      <c r="P54" s="68">
        <v>3</v>
      </c>
      <c r="Q54" s="67">
        <v>1247</v>
      </c>
      <c r="R54" s="265">
        <f t="shared" si="31"/>
        <v>-0.78187860766136086</v>
      </c>
      <c r="S54" s="26">
        <v>1247</v>
      </c>
      <c r="T54" s="26">
        <v>78</v>
      </c>
      <c r="U54" s="68">
        <v>3</v>
      </c>
      <c r="V54" s="75">
        <f t="shared" si="33"/>
        <v>1751</v>
      </c>
      <c r="W54" s="28">
        <f t="shared" si="5"/>
        <v>2426</v>
      </c>
      <c r="X54" s="28">
        <f t="shared" si="6"/>
        <v>1139</v>
      </c>
      <c r="Y54" s="76">
        <f t="shared" si="7"/>
        <v>1247</v>
      </c>
      <c r="Z54" s="436">
        <f t="shared" si="30"/>
        <v>6563</v>
      </c>
      <c r="AA54" s="436"/>
      <c r="AB54" s="266">
        <f t="shared" si="25"/>
        <v>1.4484356894553883E-2</v>
      </c>
      <c r="AC54" s="267">
        <f t="shared" si="8"/>
        <v>1.6515276630883566E-3</v>
      </c>
      <c r="AD54" s="267">
        <f t="shared" si="9"/>
        <v>1.1545293072824156E-2</v>
      </c>
      <c r="AE54" s="268">
        <f t="shared" si="10"/>
        <v>-0.78187860766136086</v>
      </c>
      <c r="AF54" s="84">
        <f t="shared" si="11"/>
        <v>1213</v>
      </c>
      <c r="AG54" s="54">
        <f t="shared" si="12"/>
        <v>296</v>
      </c>
      <c r="AH54" s="54">
        <f t="shared" si="13"/>
        <v>855</v>
      </c>
      <c r="AI54" s="85">
        <f t="shared" si="14"/>
        <v>1247</v>
      </c>
      <c r="AJ54" s="84">
        <f t="shared" si="15"/>
        <v>59</v>
      </c>
      <c r="AK54" s="54">
        <f t="shared" si="16"/>
        <v>12</v>
      </c>
      <c r="AL54" s="54">
        <f t="shared" si="17"/>
        <v>9</v>
      </c>
      <c r="AM54" s="85">
        <f t="shared" si="18"/>
        <v>78</v>
      </c>
      <c r="AN54" s="439">
        <f t="shared" si="19"/>
        <v>158</v>
      </c>
      <c r="AO54" s="84">
        <f t="shared" si="20"/>
        <v>3</v>
      </c>
      <c r="AP54" s="54">
        <f t="shared" si="21"/>
        <v>3</v>
      </c>
      <c r="AQ54" s="54">
        <f t="shared" si="22"/>
        <v>3</v>
      </c>
      <c r="AR54" s="85">
        <f t="shared" si="23"/>
        <v>3</v>
      </c>
      <c r="AS54" s="441">
        <f t="shared" si="24"/>
        <v>12</v>
      </c>
    </row>
    <row r="55" spans="1:45" ht="15.75" customHeight="1">
      <c r="A55" s="25">
        <v>46181</v>
      </c>
      <c r="B55" s="67"/>
      <c r="C55" s="265">
        <f t="shared" si="29"/>
        <v>-1</v>
      </c>
      <c r="D55" s="26"/>
      <c r="E55" s="26"/>
      <c r="F55" s="68"/>
      <c r="G55" s="67"/>
      <c r="H55" s="265">
        <f t="shared" si="26"/>
        <v>-1</v>
      </c>
      <c r="I55" s="26"/>
      <c r="J55" s="26"/>
      <c r="K55" s="68"/>
      <c r="L55" s="67"/>
      <c r="M55" s="265">
        <f t="shared" si="27"/>
        <v>-1</v>
      </c>
      <c r="N55" s="26"/>
      <c r="O55" s="26"/>
      <c r="P55" s="68"/>
      <c r="Q55" s="67"/>
      <c r="R55" s="265">
        <f t="shared" si="31"/>
        <v>-1</v>
      </c>
      <c r="S55" s="26"/>
      <c r="T55" s="26"/>
      <c r="U55" s="68"/>
      <c r="V55" s="75">
        <f t="shared" si="33"/>
        <v>0</v>
      </c>
      <c r="W55" s="28">
        <f t="shared" si="5"/>
        <v>0</v>
      </c>
      <c r="X55" s="28">
        <f t="shared" si="6"/>
        <v>0</v>
      </c>
      <c r="Y55" s="76">
        <f t="shared" si="7"/>
        <v>0</v>
      </c>
      <c r="Z55" s="436">
        <f t="shared" si="30"/>
        <v>0</v>
      </c>
      <c r="AA55" s="436"/>
      <c r="AB55" s="266">
        <f t="shared" si="25"/>
        <v>-1</v>
      </c>
      <c r="AC55" s="267">
        <f t="shared" si="8"/>
        <v>-1</v>
      </c>
      <c r="AD55" s="267">
        <f t="shared" si="9"/>
        <v>-1</v>
      </c>
      <c r="AE55" s="268">
        <f t="shared" si="10"/>
        <v>-1</v>
      </c>
      <c r="AF55" s="84">
        <f t="shared" si="11"/>
        <v>0</v>
      </c>
      <c r="AG55" s="54">
        <f t="shared" si="12"/>
        <v>0</v>
      </c>
      <c r="AH55" s="54">
        <f t="shared" si="13"/>
        <v>0</v>
      </c>
      <c r="AI55" s="85">
        <f t="shared" si="14"/>
        <v>0</v>
      </c>
      <c r="AJ55" s="84">
        <f t="shared" si="15"/>
        <v>0</v>
      </c>
      <c r="AK55" s="54">
        <f t="shared" si="16"/>
        <v>0</v>
      </c>
      <c r="AL55" s="54">
        <f t="shared" si="17"/>
        <v>0</v>
      </c>
      <c r="AM55" s="85">
        <f t="shared" si="18"/>
        <v>0</v>
      </c>
      <c r="AN55" s="439">
        <f t="shared" si="19"/>
        <v>0</v>
      </c>
      <c r="AO55" s="84">
        <f t="shared" si="20"/>
        <v>0</v>
      </c>
      <c r="AP55" s="54">
        <f t="shared" si="21"/>
        <v>0</v>
      </c>
      <c r="AQ55" s="54">
        <f t="shared" si="22"/>
        <v>0</v>
      </c>
      <c r="AR55" s="85">
        <f t="shared" si="23"/>
        <v>0</v>
      </c>
      <c r="AS55" s="441">
        <f t="shared" si="24"/>
        <v>0</v>
      </c>
    </row>
    <row r="56" spans="1:45" ht="15.75" customHeight="1">
      <c r="A56" s="25">
        <v>46188</v>
      </c>
      <c r="B56" s="67"/>
      <c r="C56" s="265" t="e">
        <f t="shared" si="29"/>
        <v>#DIV/0!</v>
      </c>
      <c r="D56" s="26"/>
      <c r="E56" s="26"/>
      <c r="F56" s="68"/>
      <c r="G56" s="67"/>
      <c r="H56" s="265" t="e">
        <f t="shared" si="26"/>
        <v>#DIV/0!</v>
      </c>
      <c r="I56" s="26"/>
      <c r="J56" s="26"/>
      <c r="K56" s="68"/>
      <c r="L56" s="67"/>
      <c r="M56" s="265" t="e">
        <f t="shared" si="27"/>
        <v>#DIV/0!</v>
      </c>
      <c r="N56" s="26"/>
      <c r="O56" s="26"/>
      <c r="P56" s="68"/>
      <c r="Q56" s="67"/>
      <c r="R56" s="265" t="e">
        <f t="shared" si="31"/>
        <v>#DIV/0!</v>
      </c>
      <c r="S56" s="26"/>
      <c r="T56" s="26"/>
      <c r="U56" s="68"/>
      <c r="V56" s="75">
        <f t="shared" si="33"/>
        <v>0</v>
      </c>
      <c r="W56" s="28">
        <f t="shared" si="5"/>
        <v>0</v>
      </c>
      <c r="X56" s="28">
        <f t="shared" si="6"/>
        <v>0</v>
      </c>
      <c r="Y56" s="76">
        <f t="shared" si="7"/>
        <v>0</v>
      </c>
      <c r="Z56" s="436">
        <f t="shared" si="30"/>
        <v>0</v>
      </c>
      <c r="AA56" s="436"/>
      <c r="AB56" s="266" t="e">
        <f t="shared" si="25"/>
        <v>#DIV/0!</v>
      </c>
      <c r="AC56" s="267" t="e">
        <f t="shared" si="8"/>
        <v>#DIV/0!</v>
      </c>
      <c r="AD56" s="267" t="e">
        <f t="shared" si="9"/>
        <v>#DIV/0!</v>
      </c>
      <c r="AE56" s="268" t="e">
        <f t="shared" si="10"/>
        <v>#DIV/0!</v>
      </c>
      <c r="AF56" s="84">
        <f t="shared" si="11"/>
        <v>0</v>
      </c>
      <c r="AG56" s="54">
        <f t="shared" si="12"/>
        <v>0</v>
      </c>
      <c r="AH56" s="54">
        <f t="shared" si="13"/>
        <v>0</v>
      </c>
      <c r="AI56" s="85">
        <f t="shared" ref="AI56:AI87" si="34">S56</f>
        <v>0</v>
      </c>
      <c r="AJ56" s="84">
        <f t="shared" ref="AJ56:AJ87" si="35">E56</f>
        <v>0</v>
      </c>
      <c r="AK56" s="54">
        <f t="shared" ref="AK56:AK87" si="36">J56</f>
        <v>0</v>
      </c>
      <c r="AL56" s="54">
        <f t="shared" ref="AL56:AL87" si="37">O56</f>
        <v>0</v>
      </c>
      <c r="AM56" s="85">
        <f t="shared" ref="AM56:AM87" si="38">T56</f>
        <v>0</v>
      </c>
      <c r="AN56" s="439">
        <f t="shared" si="19"/>
        <v>0</v>
      </c>
      <c r="AO56" s="84">
        <f t="shared" ref="AO56:AO87" si="39">F56</f>
        <v>0</v>
      </c>
      <c r="AP56" s="54">
        <f t="shared" ref="AP56:AP87" si="40">K56</f>
        <v>0</v>
      </c>
      <c r="AQ56" s="54">
        <f t="shared" ref="AQ56" si="41">P57</f>
        <v>0</v>
      </c>
      <c r="AR56" s="85">
        <f t="shared" ref="AR56:AR87" si="42">U56</f>
        <v>0</v>
      </c>
      <c r="AS56" s="441">
        <f t="shared" si="24"/>
        <v>0</v>
      </c>
    </row>
    <row r="57" spans="1:45" ht="15.75" customHeight="1">
      <c r="A57" s="25">
        <v>46195</v>
      </c>
      <c r="B57" s="69"/>
      <c r="C57" s="265" t="e">
        <f t="shared" si="29"/>
        <v>#DIV/0!</v>
      </c>
      <c r="D57" s="70"/>
      <c r="E57" s="70"/>
      <c r="F57" s="71"/>
      <c r="G57" s="69"/>
      <c r="H57" s="265" t="e">
        <f t="shared" si="26"/>
        <v>#DIV/0!</v>
      </c>
      <c r="I57" s="70"/>
      <c r="J57" s="70"/>
      <c r="K57" s="71"/>
      <c r="L57" s="69"/>
      <c r="M57" s="265" t="e">
        <f t="shared" si="27"/>
        <v>#DIV/0!</v>
      </c>
      <c r="N57" s="70"/>
      <c r="O57" s="70"/>
      <c r="P57" s="71"/>
      <c r="Q57" s="69"/>
      <c r="R57" s="265" t="e">
        <f t="shared" si="31"/>
        <v>#DIV/0!</v>
      </c>
      <c r="S57" s="70"/>
      <c r="T57" s="70"/>
      <c r="U57" s="71"/>
      <c r="V57" s="77">
        <f t="shared" si="33"/>
        <v>0</v>
      </c>
      <c r="W57" s="78">
        <f t="shared" si="5"/>
        <v>0</v>
      </c>
      <c r="X57" s="78">
        <f t="shared" si="6"/>
        <v>0</v>
      </c>
      <c r="Y57" s="79">
        <f t="shared" si="7"/>
        <v>0</v>
      </c>
      <c r="Z57" s="436">
        <f t="shared" si="30"/>
        <v>0</v>
      </c>
      <c r="AA57" s="436"/>
      <c r="AB57" s="387" t="e">
        <f t="shared" si="25"/>
        <v>#DIV/0!</v>
      </c>
      <c r="AC57" s="388" t="e">
        <f t="shared" si="8"/>
        <v>#DIV/0!</v>
      </c>
      <c r="AD57" s="388" t="e">
        <f t="shared" si="9"/>
        <v>#DIV/0!</v>
      </c>
      <c r="AE57" s="389" t="e">
        <f t="shared" si="10"/>
        <v>#DIV/0!</v>
      </c>
      <c r="AF57" s="86">
        <f t="shared" si="11"/>
        <v>0</v>
      </c>
      <c r="AG57" s="87">
        <f t="shared" si="12"/>
        <v>0</v>
      </c>
      <c r="AH57" s="54">
        <f t="shared" si="13"/>
        <v>0</v>
      </c>
      <c r="AI57" s="85">
        <f t="shared" si="34"/>
        <v>0</v>
      </c>
      <c r="AJ57" s="84">
        <f t="shared" si="35"/>
        <v>0</v>
      </c>
      <c r="AK57" s="54">
        <f t="shared" si="36"/>
        <v>0</v>
      </c>
      <c r="AL57" s="54">
        <f t="shared" si="37"/>
        <v>0</v>
      </c>
      <c r="AM57" s="85">
        <f t="shared" si="38"/>
        <v>0</v>
      </c>
      <c r="AN57" s="439">
        <f t="shared" si="19"/>
        <v>0</v>
      </c>
      <c r="AO57" s="84">
        <f t="shared" si="39"/>
        <v>0</v>
      </c>
      <c r="AP57" s="54">
        <f t="shared" si="40"/>
        <v>0</v>
      </c>
      <c r="AQ57" s="54" t="e">
        <f>#REF!</f>
        <v>#REF!</v>
      </c>
      <c r="AR57" s="85">
        <f t="shared" si="42"/>
        <v>0</v>
      </c>
      <c r="AS57" s="441" t="e">
        <f t="shared" si="24"/>
        <v>#REF!</v>
      </c>
    </row>
    <row r="58" spans="1:45" ht="15.75" customHeight="1">
      <c r="A58" s="25">
        <v>46202</v>
      </c>
      <c r="B58" s="69"/>
      <c r="C58" s="265" t="e">
        <f t="shared" ref="C58:C59" si="43">(B58-B57)/B57</f>
        <v>#DIV/0!</v>
      </c>
      <c r="D58" s="70"/>
      <c r="E58" s="70"/>
      <c r="F58" s="71"/>
      <c r="G58" s="69"/>
      <c r="H58" s="265" t="e">
        <f t="shared" ref="H58:H59" si="44">(G58-G57)/G57</f>
        <v>#DIV/0!</v>
      </c>
      <c r="I58" s="70"/>
      <c r="J58" s="70"/>
      <c r="K58" s="71"/>
      <c r="L58" s="69"/>
      <c r="M58" s="265" t="e">
        <f t="shared" ref="M58:M59" si="45">(L58-L57)/L57</f>
        <v>#DIV/0!</v>
      </c>
      <c r="N58" s="70"/>
      <c r="O58" s="70"/>
      <c r="P58" s="71"/>
      <c r="Q58" s="69"/>
      <c r="R58" s="265" t="e">
        <f t="shared" ref="R58:R59" si="46">(Q58-Q57)/Q57</f>
        <v>#DIV/0!</v>
      </c>
      <c r="S58" s="70"/>
      <c r="T58" s="70"/>
      <c r="U58" s="71"/>
      <c r="V58" s="77">
        <f t="shared" ref="V58:V59" si="47">B58</f>
        <v>0</v>
      </c>
      <c r="W58" s="78">
        <f t="shared" ref="W58:W59" si="48">G58</f>
        <v>0</v>
      </c>
      <c r="X58" s="78">
        <f t="shared" ref="X58:X59" si="49">L58</f>
        <v>0</v>
      </c>
      <c r="Y58" s="79">
        <f t="shared" ref="Y58:Y59" si="50">Q58</f>
        <v>0</v>
      </c>
      <c r="Z58" s="436">
        <f t="shared" ref="Z58:Z59" si="51">SUM(V58:Y58)</f>
        <v>0</v>
      </c>
      <c r="AA58" s="436"/>
      <c r="AB58" s="387" t="e">
        <f t="shared" ref="AB58:AB59" si="52">C58</f>
        <v>#DIV/0!</v>
      </c>
      <c r="AC58" s="388" t="e">
        <f t="shared" ref="AC58:AC59" si="53">H58</f>
        <v>#DIV/0!</v>
      </c>
      <c r="AD58" s="388" t="e">
        <f t="shared" ref="AD58:AD59" si="54">M58</f>
        <v>#DIV/0!</v>
      </c>
      <c r="AE58" s="389" t="e">
        <f t="shared" ref="AE58:AE59" si="55">R58</f>
        <v>#DIV/0!</v>
      </c>
      <c r="AF58" s="86">
        <f t="shared" ref="AF58:AF59" si="56">D58</f>
        <v>0</v>
      </c>
      <c r="AG58" s="87">
        <f t="shared" ref="AG58:AG59" si="57">I58</f>
        <v>0</v>
      </c>
      <c r="AH58" s="54">
        <f t="shared" ref="AH58:AH59" si="58">N58</f>
        <v>0</v>
      </c>
      <c r="AI58" s="85">
        <f t="shared" ref="AI58:AI59" si="59">S58</f>
        <v>0</v>
      </c>
      <c r="AJ58" s="84">
        <f t="shared" ref="AJ58:AJ59" si="60">E58</f>
        <v>0</v>
      </c>
      <c r="AK58" s="54">
        <f t="shared" ref="AK58:AK59" si="61">J58</f>
        <v>0</v>
      </c>
      <c r="AL58" s="54">
        <f t="shared" ref="AL58:AL59" si="62">O58</f>
        <v>0</v>
      </c>
      <c r="AM58" s="85">
        <f t="shared" ref="AM58:AM59" si="63">T58</f>
        <v>0</v>
      </c>
      <c r="AN58" s="439">
        <f t="shared" ref="AN58:AN59" si="64">SUM(AJ58:AM58)</f>
        <v>0</v>
      </c>
      <c r="AO58" s="84">
        <f t="shared" ref="AO58:AO59" si="65">F58</f>
        <v>0</v>
      </c>
      <c r="AP58" s="54">
        <f t="shared" ref="AP58:AP59" si="66">K58</f>
        <v>0</v>
      </c>
      <c r="AQ58" s="54" t="e">
        <f>#REF!</f>
        <v>#REF!</v>
      </c>
      <c r="AR58" s="85">
        <f t="shared" ref="AR58:AR59" si="67">U58</f>
        <v>0</v>
      </c>
      <c r="AS58" s="441" t="e">
        <f t="shared" ref="AS58:AS59" si="68">SUM(AO58:AR58)</f>
        <v>#REF!</v>
      </c>
    </row>
    <row r="59" spans="1:45" ht="15.75" customHeight="1">
      <c r="A59" s="25">
        <v>46209</v>
      </c>
      <c r="B59" s="69"/>
      <c r="C59" s="265" t="e">
        <f t="shared" si="43"/>
        <v>#DIV/0!</v>
      </c>
      <c r="D59" s="70"/>
      <c r="E59" s="70"/>
      <c r="F59" s="71"/>
      <c r="G59" s="69"/>
      <c r="H59" s="265" t="e">
        <f t="shared" si="44"/>
        <v>#DIV/0!</v>
      </c>
      <c r="I59" s="70"/>
      <c r="J59" s="70"/>
      <c r="K59" s="71"/>
      <c r="L59" s="69"/>
      <c r="M59" s="265" t="e">
        <f t="shared" si="45"/>
        <v>#DIV/0!</v>
      </c>
      <c r="N59" s="70"/>
      <c r="O59" s="70"/>
      <c r="P59" s="71"/>
      <c r="Q59" s="69"/>
      <c r="R59" s="265" t="e">
        <f t="shared" si="46"/>
        <v>#DIV/0!</v>
      </c>
      <c r="S59" s="70"/>
      <c r="T59" s="70"/>
      <c r="U59" s="71"/>
      <c r="V59" s="77">
        <f t="shared" si="47"/>
        <v>0</v>
      </c>
      <c r="W59" s="78">
        <f t="shared" si="48"/>
        <v>0</v>
      </c>
      <c r="X59" s="78">
        <f t="shared" si="49"/>
        <v>0</v>
      </c>
      <c r="Y59" s="79">
        <f t="shared" si="50"/>
        <v>0</v>
      </c>
      <c r="Z59" s="436">
        <f t="shared" si="51"/>
        <v>0</v>
      </c>
      <c r="AA59" s="436"/>
      <c r="AB59" s="387" t="e">
        <f t="shared" si="52"/>
        <v>#DIV/0!</v>
      </c>
      <c r="AC59" s="388" t="e">
        <f t="shared" si="53"/>
        <v>#DIV/0!</v>
      </c>
      <c r="AD59" s="388" t="e">
        <f t="shared" si="54"/>
        <v>#DIV/0!</v>
      </c>
      <c r="AE59" s="389" t="e">
        <f t="shared" si="55"/>
        <v>#DIV/0!</v>
      </c>
      <c r="AF59" s="86">
        <f t="shared" si="56"/>
        <v>0</v>
      </c>
      <c r="AG59" s="87">
        <f t="shared" si="57"/>
        <v>0</v>
      </c>
      <c r="AH59" s="54">
        <f t="shared" si="58"/>
        <v>0</v>
      </c>
      <c r="AI59" s="85">
        <f t="shared" si="59"/>
        <v>0</v>
      </c>
      <c r="AJ59" s="84">
        <f t="shared" si="60"/>
        <v>0</v>
      </c>
      <c r="AK59" s="54">
        <f t="shared" si="61"/>
        <v>0</v>
      </c>
      <c r="AL59" s="54">
        <f t="shared" si="62"/>
        <v>0</v>
      </c>
      <c r="AM59" s="85">
        <f t="shared" si="63"/>
        <v>0</v>
      </c>
      <c r="AN59" s="439">
        <f t="shared" si="64"/>
        <v>0</v>
      </c>
      <c r="AO59" s="84">
        <f t="shared" si="65"/>
        <v>0</v>
      </c>
      <c r="AP59" s="54">
        <f t="shared" si="66"/>
        <v>0</v>
      </c>
      <c r="AQ59" s="54" t="e">
        <f>#REF!</f>
        <v>#REF!</v>
      </c>
      <c r="AR59" s="85">
        <f t="shared" si="67"/>
        <v>0</v>
      </c>
      <c r="AS59" s="441" t="e">
        <f t="shared" si="68"/>
        <v>#REF!</v>
      </c>
    </row>
    <row r="60" spans="1:45" ht="15.75" customHeight="1">
      <c r="Z60" s="436">
        <f t="shared" si="30"/>
        <v>0</v>
      </c>
      <c r="AA60" s="436"/>
      <c r="AB60" s="390"/>
      <c r="AC60" s="390"/>
      <c r="AD60" s="390"/>
      <c r="AE60" s="390"/>
      <c r="AH60" s="54">
        <f t="shared" ref="AH60:AH87" si="69">N60</f>
        <v>0</v>
      </c>
      <c r="AI60" s="85">
        <f t="shared" si="34"/>
        <v>0</v>
      </c>
      <c r="AJ60" s="84">
        <f t="shared" si="35"/>
        <v>0</v>
      </c>
      <c r="AK60" s="54">
        <f t="shared" si="36"/>
        <v>0</v>
      </c>
      <c r="AL60" s="54">
        <f t="shared" si="37"/>
        <v>0</v>
      </c>
      <c r="AM60" s="85">
        <f t="shared" si="38"/>
        <v>0</v>
      </c>
      <c r="AN60" s="439">
        <f t="shared" si="19"/>
        <v>0</v>
      </c>
      <c r="AO60" s="84">
        <f t="shared" si="39"/>
        <v>0</v>
      </c>
      <c r="AP60" s="54">
        <f t="shared" si="40"/>
        <v>0</v>
      </c>
      <c r="AQ60" s="54">
        <f t="shared" ref="AQ60:AQ79" si="70">P60</f>
        <v>0</v>
      </c>
      <c r="AR60" s="85">
        <f t="shared" si="42"/>
        <v>0</v>
      </c>
      <c r="AS60" s="441">
        <f t="shared" si="24"/>
        <v>0</v>
      </c>
    </row>
    <row r="61" spans="1:45" ht="15.75" customHeight="1">
      <c r="Z61" s="436">
        <f t="shared" si="30"/>
        <v>0</v>
      </c>
      <c r="AA61" s="436"/>
      <c r="AB61" s="390"/>
      <c r="AC61" s="390"/>
      <c r="AD61" s="390"/>
      <c r="AE61" s="390"/>
      <c r="AH61" s="54">
        <f t="shared" si="69"/>
        <v>0</v>
      </c>
      <c r="AI61" s="85">
        <f t="shared" si="34"/>
        <v>0</v>
      </c>
      <c r="AJ61" s="84">
        <f t="shared" si="35"/>
        <v>0</v>
      </c>
      <c r="AK61" s="54">
        <f t="shared" si="36"/>
        <v>0</v>
      </c>
      <c r="AL61" s="54">
        <f t="shared" si="37"/>
        <v>0</v>
      </c>
      <c r="AM61" s="85">
        <f t="shared" si="38"/>
        <v>0</v>
      </c>
      <c r="AN61" s="439">
        <f t="shared" si="19"/>
        <v>0</v>
      </c>
      <c r="AO61" s="84">
        <f t="shared" si="39"/>
        <v>0</v>
      </c>
      <c r="AP61" s="54">
        <f t="shared" si="40"/>
        <v>0</v>
      </c>
      <c r="AQ61" s="54">
        <f t="shared" si="70"/>
        <v>0</v>
      </c>
      <c r="AR61" s="85">
        <f t="shared" si="42"/>
        <v>0</v>
      </c>
      <c r="AS61" s="441">
        <f t="shared" si="24"/>
        <v>0</v>
      </c>
    </row>
    <row r="62" spans="1:45" ht="15.75" customHeight="1">
      <c r="Z62" s="436">
        <f t="shared" si="30"/>
        <v>0</v>
      </c>
      <c r="AA62" s="436"/>
      <c r="AB62" s="390"/>
      <c r="AC62" s="390"/>
      <c r="AD62" s="390"/>
      <c r="AE62" s="390"/>
      <c r="AH62" s="54">
        <f t="shared" si="69"/>
        <v>0</v>
      </c>
      <c r="AI62" s="85">
        <f t="shared" si="34"/>
        <v>0</v>
      </c>
      <c r="AJ62" s="84">
        <f t="shared" si="35"/>
        <v>0</v>
      </c>
      <c r="AK62" s="54">
        <f t="shared" si="36"/>
        <v>0</v>
      </c>
      <c r="AL62" s="54">
        <f t="shared" si="37"/>
        <v>0</v>
      </c>
      <c r="AM62" s="85">
        <f t="shared" si="38"/>
        <v>0</v>
      </c>
      <c r="AN62" s="439">
        <f t="shared" si="19"/>
        <v>0</v>
      </c>
      <c r="AO62" s="84">
        <f t="shared" si="39"/>
        <v>0</v>
      </c>
      <c r="AP62" s="54">
        <f t="shared" si="40"/>
        <v>0</v>
      </c>
      <c r="AQ62" s="54">
        <f t="shared" si="70"/>
        <v>0</v>
      </c>
      <c r="AR62" s="85">
        <f t="shared" si="42"/>
        <v>0</v>
      </c>
      <c r="AS62" s="441">
        <f t="shared" si="24"/>
        <v>0</v>
      </c>
    </row>
    <row r="63" spans="1:45" ht="15.75" customHeight="1">
      <c r="Z63" s="436">
        <f t="shared" si="30"/>
        <v>0</v>
      </c>
      <c r="AA63" s="436"/>
      <c r="AB63" s="390"/>
      <c r="AC63" s="390"/>
      <c r="AD63" s="390"/>
      <c r="AE63" s="390"/>
      <c r="AH63" s="54">
        <f t="shared" si="69"/>
        <v>0</v>
      </c>
      <c r="AI63" s="85">
        <f t="shared" si="34"/>
        <v>0</v>
      </c>
      <c r="AJ63" s="84">
        <f t="shared" si="35"/>
        <v>0</v>
      </c>
      <c r="AK63" s="54">
        <f t="shared" si="36"/>
        <v>0</v>
      </c>
      <c r="AL63" s="54">
        <f t="shared" si="37"/>
        <v>0</v>
      </c>
      <c r="AM63" s="85">
        <f t="shared" si="38"/>
        <v>0</v>
      </c>
      <c r="AN63" s="439">
        <f t="shared" si="19"/>
        <v>0</v>
      </c>
      <c r="AO63" s="84">
        <f t="shared" si="39"/>
        <v>0</v>
      </c>
      <c r="AP63" s="54">
        <f t="shared" si="40"/>
        <v>0</v>
      </c>
      <c r="AQ63" s="54">
        <f t="shared" si="70"/>
        <v>0</v>
      </c>
      <c r="AR63" s="85">
        <f t="shared" si="42"/>
        <v>0</v>
      </c>
      <c r="AS63" s="441">
        <f t="shared" si="24"/>
        <v>0</v>
      </c>
    </row>
    <row r="64" spans="1:45" ht="15.75" customHeight="1">
      <c r="Z64" s="436">
        <f t="shared" si="30"/>
        <v>0</v>
      </c>
      <c r="AA64" s="436"/>
      <c r="AB64" s="390"/>
      <c r="AC64" s="390"/>
      <c r="AD64" s="390"/>
      <c r="AE64" s="390"/>
      <c r="AH64" s="54">
        <f t="shared" si="69"/>
        <v>0</v>
      </c>
      <c r="AI64" s="85">
        <f t="shared" si="34"/>
        <v>0</v>
      </c>
      <c r="AJ64" s="84">
        <f t="shared" si="35"/>
        <v>0</v>
      </c>
      <c r="AK64" s="54">
        <f t="shared" si="36"/>
        <v>0</v>
      </c>
      <c r="AL64" s="54">
        <f t="shared" si="37"/>
        <v>0</v>
      </c>
      <c r="AM64" s="85">
        <f t="shared" si="38"/>
        <v>0</v>
      </c>
      <c r="AN64" s="439">
        <f t="shared" si="19"/>
        <v>0</v>
      </c>
      <c r="AO64" s="84">
        <f t="shared" si="39"/>
        <v>0</v>
      </c>
      <c r="AP64" s="54">
        <f t="shared" si="40"/>
        <v>0</v>
      </c>
      <c r="AQ64" s="54">
        <f t="shared" si="70"/>
        <v>0</v>
      </c>
      <c r="AR64" s="85">
        <f t="shared" si="42"/>
        <v>0</v>
      </c>
      <c r="AS64" s="441">
        <f t="shared" si="24"/>
        <v>0</v>
      </c>
    </row>
    <row r="65" spans="26:45" ht="15.75" customHeight="1">
      <c r="Z65" s="436">
        <f t="shared" si="30"/>
        <v>0</v>
      </c>
      <c r="AA65" s="436"/>
      <c r="AH65" s="54">
        <f t="shared" si="69"/>
        <v>0</v>
      </c>
      <c r="AI65" s="85">
        <f t="shared" si="34"/>
        <v>0</v>
      </c>
      <c r="AJ65" s="84">
        <f t="shared" si="35"/>
        <v>0</v>
      </c>
      <c r="AK65" s="54">
        <f t="shared" si="36"/>
        <v>0</v>
      </c>
      <c r="AL65" s="54">
        <f t="shared" si="37"/>
        <v>0</v>
      </c>
      <c r="AM65" s="85">
        <f t="shared" si="38"/>
        <v>0</v>
      </c>
      <c r="AN65" s="439">
        <f t="shared" si="19"/>
        <v>0</v>
      </c>
      <c r="AO65" s="84">
        <f t="shared" si="39"/>
        <v>0</v>
      </c>
      <c r="AP65" s="54">
        <f t="shared" si="40"/>
        <v>0</v>
      </c>
      <c r="AQ65" s="54">
        <f t="shared" si="70"/>
        <v>0</v>
      </c>
      <c r="AR65" s="85">
        <f t="shared" si="42"/>
        <v>0</v>
      </c>
      <c r="AS65" s="441">
        <f t="shared" si="24"/>
        <v>0</v>
      </c>
    </row>
    <row r="66" spans="26:45" ht="15.75" customHeight="1">
      <c r="Z66" s="436">
        <f t="shared" si="30"/>
        <v>0</v>
      </c>
      <c r="AA66" s="436"/>
      <c r="AH66" s="54">
        <f t="shared" si="69"/>
        <v>0</v>
      </c>
      <c r="AI66" s="85">
        <f t="shared" si="34"/>
        <v>0</v>
      </c>
      <c r="AJ66" s="84">
        <f t="shared" si="35"/>
        <v>0</v>
      </c>
      <c r="AK66" s="54">
        <f t="shared" si="36"/>
        <v>0</v>
      </c>
      <c r="AL66" s="54">
        <f t="shared" si="37"/>
        <v>0</v>
      </c>
      <c r="AM66" s="85">
        <f t="shared" si="38"/>
        <v>0</v>
      </c>
      <c r="AN66" s="439">
        <f t="shared" si="19"/>
        <v>0</v>
      </c>
      <c r="AO66" s="84">
        <f t="shared" si="39"/>
        <v>0</v>
      </c>
      <c r="AP66" s="54">
        <f t="shared" si="40"/>
        <v>0</v>
      </c>
      <c r="AQ66" s="54">
        <f t="shared" si="70"/>
        <v>0</v>
      </c>
      <c r="AR66" s="85">
        <f t="shared" si="42"/>
        <v>0</v>
      </c>
      <c r="AS66" s="441">
        <f t="shared" si="24"/>
        <v>0</v>
      </c>
    </row>
    <row r="67" spans="26:45" ht="15.75" customHeight="1">
      <c r="Z67" s="436">
        <f t="shared" si="30"/>
        <v>0</v>
      </c>
      <c r="AA67" s="436"/>
      <c r="AH67" s="54">
        <f t="shared" si="69"/>
        <v>0</v>
      </c>
      <c r="AI67" s="85">
        <f t="shared" si="34"/>
        <v>0</v>
      </c>
      <c r="AJ67" s="84">
        <f t="shared" si="35"/>
        <v>0</v>
      </c>
      <c r="AK67" s="54">
        <f t="shared" si="36"/>
        <v>0</v>
      </c>
      <c r="AL67" s="54">
        <f t="shared" si="37"/>
        <v>0</v>
      </c>
      <c r="AM67" s="85">
        <f t="shared" si="38"/>
        <v>0</v>
      </c>
      <c r="AN67" s="439">
        <f t="shared" si="19"/>
        <v>0</v>
      </c>
      <c r="AO67" s="84">
        <f t="shared" si="39"/>
        <v>0</v>
      </c>
      <c r="AP67" s="54">
        <f t="shared" si="40"/>
        <v>0</v>
      </c>
      <c r="AQ67" s="54">
        <f t="shared" si="70"/>
        <v>0</v>
      </c>
      <c r="AR67" s="85">
        <f t="shared" si="42"/>
        <v>0</v>
      </c>
      <c r="AS67" s="441">
        <f t="shared" si="24"/>
        <v>0</v>
      </c>
    </row>
    <row r="68" spans="26:45" ht="15.75" customHeight="1">
      <c r="Z68" s="436">
        <f t="shared" si="30"/>
        <v>0</v>
      </c>
      <c r="AA68" s="436"/>
      <c r="AH68" s="54">
        <f t="shared" si="69"/>
        <v>0</v>
      </c>
      <c r="AI68" s="85">
        <f t="shared" si="34"/>
        <v>0</v>
      </c>
      <c r="AJ68" s="84">
        <f t="shared" si="35"/>
        <v>0</v>
      </c>
      <c r="AK68" s="54">
        <f t="shared" si="36"/>
        <v>0</v>
      </c>
      <c r="AL68" s="54">
        <f t="shared" si="37"/>
        <v>0</v>
      </c>
      <c r="AM68" s="85">
        <f t="shared" si="38"/>
        <v>0</v>
      </c>
      <c r="AN68" s="439">
        <f t="shared" si="19"/>
        <v>0</v>
      </c>
      <c r="AO68" s="84">
        <f t="shared" si="39"/>
        <v>0</v>
      </c>
      <c r="AP68" s="54">
        <f t="shared" si="40"/>
        <v>0</v>
      </c>
      <c r="AQ68" s="54">
        <f t="shared" si="70"/>
        <v>0</v>
      </c>
      <c r="AR68" s="85">
        <f t="shared" si="42"/>
        <v>0</v>
      </c>
      <c r="AS68" s="441">
        <f t="shared" si="24"/>
        <v>0</v>
      </c>
    </row>
    <row r="69" spans="26:45" ht="15.75" customHeight="1">
      <c r="Z69" s="436">
        <f t="shared" si="30"/>
        <v>0</v>
      </c>
      <c r="AA69" s="436"/>
      <c r="AH69" s="54">
        <f t="shared" si="69"/>
        <v>0</v>
      </c>
      <c r="AI69" s="85">
        <f t="shared" si="34"/>
        <v>0</v>
      </c>
      <c r="AJ69" s="84">
        <f t="shared" si="35"/>
        <v>0</v>
      </c>
      <c r="AK69" s="54">
        <f t="shared" si="36"/>
        <v>0</v>
      </c>
      <c r="AL69" s="54">
        <f t="shared" si="37"/>
        <v>0</v>
      </c>
      <c r="AM69" s="85">
        <f t="shared" si="38"/>
        <v>0</v>
      </c>
      <c r="AN69" s="439">
        <f t="shared" si="19"/>
        <v>0</v>
      </c>
      <c r="AO69" s="84">
        <f t="shared" si="39"/>
        <v>0</v>
      </c>
      <c r="AP69" s="54">
        <f t="shared" si="40"/>
        <v>0</v>
      </c>
      <c r="AQ69" s="54">
        <f t="shared" si="70"/>
        <v>0</v>
      </c>
      <c r="AR69" s="85">
        <f t="shared" si="42"/>
        <v>0</v>
      </c>
      <c r="AS69" s="441">
        <f t="shared" si="24"/>
        <v>0</v>
      </c>
    </row>
    <row r="70" spans="26:45" ht="15.75" customHeight="1">
      <c r="Z70" s="436">
        <f t="shared" si="30"/>
        <v>0</v>
      </c>
      <c r="AA70" s="436"/>
      <c r="AH70" s="54">
        <f t="shared" si="69"/>
        <v>0</v>
      </c>
      <c r="AI70" s="85">
        <f t="shared" si="34"/>
        <v>0</v>
      </c>
      <c r="AJ70" s="84">
        <f t="shared" si="35"/>
        <v>0</v>
      </c>
      <c r="AK70" s="54">
        <f t="shared" si="36"/>
        <v>0</v>
      </c>
      <c r="AL70" s="54">
        <f t="shared" si="37"/>
        <v>0</v>
      </c>
      <c r="AM70" s="85">
        <f t="shared" si="38"/>
        <v>0</v>
      </c>
      <c r="AN70" s="439">
        <f t="shared" ref="AN70:AN87" si="71">SUM(AJ70:AM70)</f>
        <v>0</v>
      </c>
      <c r="AO70" s="84">
        <f t="shared" si="39"/>
        <v>0</v>
      </c>
      <c r="AP70" s="54">
        <f t="shared" si="40"/>
        <v>0</v>
      </c>
      <c r="AQ70" s="54">
        <f t="shared" si="70"/>
        <v>0</v>
      </c>
      <c r="AR70" s="85">
        <f t="shared" si="42"/>
        <v>0</v>
      </c>
      <c r="AS70" s="441">
        <f t="shared" ref="AS70:AS87" si="72">SUM(AO70:AR70)</f>
        <v>0</v>
      </c>
    </row>
    <row r="71" spans="26:45" ht="15.75" customHeight="1">
      <c r="Z71" s="436">
        <f t="shared" si="30"/>
        <v>0</v>
      </c>
      <c r="AA71" s="436"/>
      <c r="AH71" s="54">
        <f t="shared" si="69"/>
        <v>0</v>
      </c>
      <c r="AI71" s="85">
        <f t="shared" si="34"/>
        <v>0</v>
      </c>
      <c r="AJ71" s="84">
        <f t="shared" si="35"/>
        <v>0</v>
      </c>
      <c r="AK71" s="54">
        <f t="shared" si="36"/>
        <v>0</v>
      </c>
      <c r="AL71" s="54">
        <f t="shared" si="37"/>
        <v>0</v>
      </c>
      <c r="AM71" s="85">
        <f t="shared" si="38"/>
        <v>0</v>
      </c>
      <c r="AN71" s="439">
        <f t="shared" si="71"/>
        <v>0</v>
      </c>
      <c r="AO71" s="84">
        <f t="shared" si="39"/>
        <v>0</v>
      </c>
      <c r="AP71" s="54">
        <f t="shared" si="40"/>
        <v>0</v>
      </c>
      <c r="AQ71" s="54">
        <f t="shared" si="70"/>
        <v>0</v>
      </c>
      <c r="AR71" s="85">
        <f t="shared" si="42"/>
        <v>0</v>
      </c>
      <c r="AS71" s="441">
        <f t="shared" si="72"/>
        <v>0</v>
      </c>
    </row>
    <row r="72" spans="26:45" ht="15.75" customHeight="1">
      <c r="Z72" s="436">
        <f t="shared" si="30"/>
        <v>0</v>
      </c>
      <c r="AA72" s="436"/>
      <c r="AH72" s="54">
        <f t="shared" si="69"/>
        <v>0</v>
      </c>
      <c r="AI72" s="85">
        <f t="shared" si="34"/>
        <v>0</v>
      </c>
      <c r="AJ72" s="84">
        <f t="shared" si="35"/>
        <v>0</v>
      </c>
      <c r="AK72" s="54">
        <f t="shared" si="36"/>
        <v>0</v>
      </c>
      <c r="AL72" s="54">
        <f t="shared" si="37"/>
        <v>0</v>
      </c>
      <c r="AM72" s="85">
        <f t="shared" si="38"/>
        <v>0</v>
      </c>
      <c r="AN72" s="439">
        <f t="shared" si="71"/>
        <v>0</v>
      </c>
      <c r="AO72" s="84">
        <f t="shared" si="39"/>
        <v>0</v>
      </c>
      <c r="AP72" s="54">
        <f t="shared" si="40"/>
        <v>0</v>
      </c>
      <c r="AQ72" s="54">
        <f t="shared" si="70"/>
        <v>0</v>
      </c>
      <c r="AR72" s="85">
        <f t="shared" si="42"/>
        <v>0</v>
      </c>
      <c r="AS72" s="441">
        <f t="shared" si="72"/>
        <v>0</v>
      </c>
    </row>
    <row r="73" spans="26:45" ht="15.75" customHeight="1">
      <c r="Z73" s="436">
        <f t="shared" si="30"/>
        <v>0</v>
      </c>
      <c r="AA73" s="436"/>
      <c r="AH73" s="54">
        <f t="shared" si="69"/>
        <v>0</v>
      </c>
      <c r="AI73" s="85">
        <f t="shared" si="34"/>
        <v>0</v>
      </c>
      <c r="AJ73" s="84">
        <f t="shared" si="35"/>
        <v>0</v>
      </c>
      <c r="AK73" s="54">
        <f t="shared" si="36"/>
        <v>0</v>
      </c>
      <c r="AL73" s="54">
        <f t="shared" si="37"/>
        <v>0</v>
      </c>
      <c r="AM73" s="85">
        <f t="shared" si="38"/>
        <v>0</v>
      </c>
      <c r="AN73" s="439">
        <f t="shared" si="71"/>
        <v>0</v>
      </c>
      <c r="AO73" s="84">
        <f t="shared" si="39"/>
        <v>0</v>
      </c>
      <c r="AP73" s="54">
        <f t="shared" si="40"/>
        <v>0</v>
      </c>
      <c r="AQ73" s="54">
        <f t="shared" si="70"/>
        <v>0</v>
      </c>
      <c r="AR73" s="85">
        <f t="shared" si="42"/>
        <v>0</v>
      </c>
      <c r="AS73" s="441">
        <f t="shared" si="72"/>
        <v>0</v>
      </c>
    </row>
    <row r="74" spans="26:45" ht="15.75" customHeight="1">
      <c r="Z74" s="436">
        <f t="shared" si="30"/>
        <v>0</v>
      </c>
      <c r="AA74" s="436"/>
      <c r="AH74" s="54">
        <f t="shared" si="69"/>
        <v>0</v>
      </c>
      <c r="AI74" s="85">
        <f t="shared" si="34"/>
        <v>0</v>
      </c>
      <c r="AJ74" s="84">
        <f t="shared" si="35"/>
        <v>0</v>
      </c>
      <c r="AK74" s="54">
        <f t="shared" si="36"/>
        <v>0</v>
      </c>
      <c r="AL74" s="54">
        <f t="shared" si="37"/>
        <v>0</v>
      </c>
      <c r="AM74" s="85">
        <f t="shared" si="38"/>
        <v>0</v>
      </c>
      <c r="AN74" s="439">
        <f t="shared" si="71"/>
        <v>0</v>
      </c>
      <c r="AO74" s="84">
        <f t="shared" si="39"/>
        <v>0</v>
      </c>
      <c r="AP74" s="54">
        <f t="shared" si="40"/>
        <v>0</v>
      </c>
      <c r="AQ74" s="54">
        <f t="shared" si="70"/>
        <v>0</v>
      </c>
      <c r="AR74" s="85">
        <f t="shared" si="42"/>
        <v>0</v>
      </c>
      <c r="AS74" s="441">
        <f t="shared" si="72"/>
        <v>0</v>
      </c>
    </row>
    <row r="75" spans="26:45" ht="15.75" customHeight="1">
      <c r="Z75" s="436">
        <f t="shared" si="30"/>
        <v>0</v>
      </c>
      <c r="AA75" s="436"/>
      <c r="AH75" s="54">
        <f t="shared" si="69"/>
        <v>0</v>
      </c>
      <c r="AI75" s="85">
        <f t="shared" si="34"/>
        <v>0</v>
      </c>
      <c r="AJ75" s="84">
        <f t="shared" si="35"/>
        <v>0</v>
      </c>
      <c r="AK75" s="54">
        <f t="shared" si="36"/>
        <v>0</v>
      </c>
      <c r="AL75" s="54">
        <f t="shared" si="37"/>
        <v>0</v>
      </c>
      <c r="AM75" s="85">
        <f t="shared" si="38"/>
        <v>0</v>
      </c>
      <c r="AN75" s="439">
        <f t="shared" si="71"/>
        <v>0</v>
      </c>
      <c r="AO75" s="84">
        <f t="shared" si="39"/>
        <v>0</v>
      </c>
      <c r="AP75" s="54">
        <f t="shared" si="40"/>
        <v>0</v>
      </c>
      <c r="AQ75" s="54">
        <f t="shared" si="70"/>
        <v>0</v>
      </c>
      <c r="AR75" s="85">
        <f t="shared" si="42"/>
        <v>0</v>
      </c>
      <c r="AS75" s="441">
        <f t="shared" si="72"/>
        <v>0</v>
      </c>
    </row>
    <row r="76" spans="26:45" ht="15.75" customHeight="1">
      <c r="Z76" s="436">
        <f t="shared" si="30"/>
        <v>0</v>
      </c>
      <c r="AA76" s="436"/>
      <c r="AH76" s="54">
        <f t="shared" si="69"/>
        <v>0</v>
      </c>
      <c r="AI76" s="85">
        <f t="shared" si="34"/>
        <v>0</v>
      </c>
      <c r="AJ76" s="84">
        <f t="shared" si="35"/>
        <v>0</v>
      </c>
      <c r="AK76" s="54">
        <f t="shared" si="36"/>
        <v>0</v>
      </c>
      <c r="AL76" s="54">
        <f t="shared" si="37"/>
        <v>0</v>
      </c>
      <c r="AM76" s="85">
        <f t="shared" si="38"/>
        <v>0</v>
      </c>
      <c r="AN76" s="439">
        <f t="shared" si="71"/>
        <v>0</v>
      </c>
      <c r="AO76" s="84">
        <f t="shared" si="39"/>
        <v>0</v>
      </c>
      <c r="AP76" s="54">
        <f t="shared" si="40"/>
        <v>0</v>
      </c>
      <c r="AQ76" s="54">
        <f t="shared" si="70"/>
        <v>0</v>
      </c>
      <c r="AR76" s="85">
        <f t="shared" si="42"/>
        <v>0</v>
      </c>
      <c r="AS76" s="441">
        <f t="shared" si="72"/>
        <v>0</v>
      </c>
    </row>
    <row r="77" spans="26:45" ht="15.75" customHeight="1">
      <c r="Z77" s="436">
        <f t="shared" si="30"/>
        <v>0</v>
      </c>
      <c r="AA77" s="436"/>
      <c r="AH77" s="54">
        <f t="shared" si="69"/>
        <v>0</v>
      </c>
      <c r="AI77" s="85">
        <f t="shared" si="34"/>
        <v>0</v>
      </c>
      <c r="AJ77" s="84">
        <f t="shared" si="35"/>
        <v>0</v>
      </c>
      <c r="AK77" s="54">
        <f t="shared" si="36"/>
        <v>0</v>
      </c>
      <c r="AL77" s="54">
        <f t="shared" si="37"/>
        <v>0</v>
      </c>
      <c r="AM77" s="85">
        <f t="shared" si="38"/>
        <v>0</v>
      </c>
      <c r="AN77" s="439">
        <f t="shared" si="71"/>
        <v>0</v>
      </c>
      <c r="AO77" s="84">
        <f t="shared" si="39"/>
        <v>0</v>
      </c>
      <c r="AP77" s="54">
        <f t="shared" si="40"/>
        <v>0</v>
      </c>
      <c r="AQ77" s="54">
        <f t="shared" si="70"/>
        <v>0</v>
      </c>
      <c r="AR77" s="85">
        <f t="shared" si="42"/>
        <v>0</v>
      </c>
      <c r="AS77" s="441">
        <f t="shared" si="72"/>
        <v>0</v>
      </c>
    </row>
    <row r="78" spans="26:45" ht="15.75" customHeight="1">
      <c r="Z78" s="436">
        <f t="shared" si="30"/>
        <v>0</v>
      </c>
      <c r="AA78" s="436"/>
      <c r="AH78" s="54">
        <f t="shared" si="69"/>
        <v>0</v>
      </c>
      <c r="AI78" s="85">
        <f t="shared" si="34"/>
        <v>0</v>
      </c>
      <c r="AJ78" s="84">
        <f t="shared" si="35"/>
        <v>0</v>
      </c>
      <c r="AK78" s="54">
        <f t="shared" si="36"/>
        <v>0</v>
      </c>
      <c r="AL78" s="54">
        <f t="shared" si="37"/>
        <v>0</v>
      </c>
      <c r="AM78" s="85">
        <f t="shared" si="38"/>
        <v>0</v>
      </c>
      <c r="AN78" s="439">
        <f t="shared" si="71"/>
        <v>0</v>
      </c>
      <c r="AO78" s="84">
        <f t="shared" si="39"/>
        <v>0</v>
      </c>
      <c r="AP78" s="54">
        <f t="shared" si="40"/>
        <v>0</v>
      </c>
      <c r="AQ78" s="54">
        <f t="shared" si="70"/>
        <v>0</v>
      </c>
      <c r="AR78" s="85">
        <f t="shared" si="42"/>
        <v>0</v>
      </c>
      <c r="AS78" s="441">
        <f t="shared" si="72"/>
        <v>0</v>
      </c>
    </row>
    <row r="79" spans="26:45" ht="15.75" customHeight="1">
      <c r="Z79" s="436">
        <f t="shared" si="30"/>
        <v>0</v>
      </c>
      <c r="AA79" s="436"/>
      <c r="AH79" s="54">
        <f t="shared" si="69"/>
        <v>0</v>
      </c>
      <c r="AI79" s="85">
        <f t="shared" si="34"/>
        <v>0</v>
      </c>
      <c r="AJ79" s="84">
        <f t="shared" si="35"/>
        <v>0</v>
      </c>
      <c r="AK79" s="54">
        <f t="shared" si="36"/>
        <v>0</v>
      </c>
      <c r="AL79" s="54">
        <f t="shared" si="37"/>
        <v>0</v>
      </c>
      <c r="AM79" s="85">
        <f t="shared" si="38"/>
        <v>0</v>
      </c>
      <c r="AN79" s="439">
        <f t="shared" si="71"/>
        <v>0</v>
      </c>
      <c r="AO79" s="84">
        <f t="shared" si="39"/>
        <v>0</v>
      </c>
      <c r="AP79" s="54">
        <f t="shared" si="40"/>
        <v>0</v>
      </c>
      <c r="AQ79" s="54">
        <f t="shared" si="70"/>
        <v>0</v>
      </c>
      <c r="AR79" s="85">
        <f t="shared" si="42"/>
        <v>0</v>
      </c>
      <c r="AS79" s="441">
        <f t="shared" si="72"/>
        <v>0</v>
      </c>
    </row>
    <row r="80" spans="26:45" ht="15.75" customHeight="1">
      <c r="Z80" s="436">
        <f t="shared" si="30"/>
        <v>0</v>
      </c>
      <c r="AA80" s="436"/>
      <c r="AH80" s="54">
        <f t="shared" si="69"/>
        <v>0</v>
      </c>
      <c r="AI80" s="85">
        <f t="shared" si="34"/>
        <v>0</v>
      </c>
      <c r="AJ80" s="84">
        <f t="shared" si="35"/>
        <v>0</v>
      </c>
      <c r="AK80" s="54">
        <f t="shared" si="36"/>
        <v>0</v>
      </c>
      <c r="AL80" s="54">
        <f t="shared" si="37"/>
        <v>0</v>
      </c>
      <c r="AM80" s="85">
        <f t="shared" si="38"/>
        <v>0</v>
      </c>
      <c r="AN80" s="439">
        <f t="shared" si="71"/>
        <v>0</v>
      </c>
      <c r="AO80" s="84">
        <f t="shared" si="39"/>
        <v>0</v>
      </c>
      <c r="AP80" s="54">
        <f t="shared" si="40"/>
        <v>0</v>
      </c>
      <c r="AQ80" s="54">
        <f t="shared" ref="AQ80" si="73">P81</f>
        <v>0</v>
      </c>
      <c r="AR80" s="85">
        <f t="shared" si="42"/>
        <v>0</v>
      </c>
      <c r="AS80" s="441">
        <f t="shared" si="72"/>
        <v>0</v>
      </c>
    </row>
    <row r="81" spans="26:45" ht="15.75" customHeight="1">
      <c r="Z81" s="436">
        <f t="shared" ref="Z81:Z87" si="74">SUM(V81:Y81)</f>
        <v>0</v>
      </c>
      <c r="AA81" s="436"/>
      <c r="AH81" s="54">
        <f t="shared" si="69"/>
        <v>0</v>
      </c>
      <c r="AI81" s="85">
        <f t="shared" si="34"/>
        <v>0</v>
      </c>
      <c r="AJ81" s="84">
        <f t="shared" si="35"/>
        <v>0</v>
      </c>
      <c r="AK81" s="54">
        <f t="shared" si="36"/>
        <v>0</v>
      </c>
      <c r="AL81" s="54">
        <f t="shared" si="37"/>
        <v>0</v>
      </c>
      <c r="AM81" s="85">
        <f t="shared" si="38"/>
        <v>0</v>
      </c>
      <c r="AN81" s="439">
        <f t="shared" si="71"/>
        <v>0</v>
      </c>
      <c r="AO81" s="84">
        <f t="shared" si="39"/>
        <v>0</v>
      </c>
      <c r="AP81" s="54">
        <f t="shared" si="40"/>
        <v>0</v>
      </c>
      <c r="AQ81" s="54" t="e">
        <f>#REF!</f>
        <v>#REF!</v>
      </c>
      <c r="AR81" s="85">
        <f t="shared" si="42"/>
        <v>0</v>
      </c>
      <c r="AS81" s="441" t="e">
        <f t="shared" si="72"/>
        <v>#REF!</v>
      </c>
    </row>
    <row r="82" spans="26:45" ht="15.75" customHeight="1">
      <c r="Z82" s="436">
        <f t="shared" si="74"/>
        <v>0</v>
      </c>
      <c r="AA82" s="436"/>
      <c r="AH82" s="54">
        <f t="shared" si="69"/>
        <v>0</v>
      </c>
      <c r="AI82" s="85">
        <f t="shared" si="34"/>
        <v>0</v>
      </c>
      <c r="AJ82" s="84">
        <f t="shared" si="35"/>
        <v>0</v>
      </c>
      <c r="AK82" s="54">
        <f t="shared" si="36"/>
        <v>0</v>
      </c>
      <c r="AL82" s="54">
        <f t="shared" si="37"/>
        <v>0</v>
      </c>
      <c r="AM82" s="85">
        <f t="shared" si="38"/>
        <v>0</v>
      </c>
      <c r="AN82" s="439">
        <f t="shared" si="71"/>
        <v>0</v>
      </c>
      <c r="AO82" s="84">
        <f t="shared" si="39"/>
        <v>0</v>
      </c>
      <c r="AP82" s="54">
        <f t="shared" si="40"/>
        <v>0</v>
      </c>
      <c r="AQ82" s="54">
        <f t="shared" ref="AQ82:AQ87" si="75">P82</f>
        <v>0</v>
      </c>
      <c r="AR82" s="85">
        <f t="shared" si="42"/>
        <v>0</v>
      </c>
      <c r="AS82" s="441">
        <f t="shared" si="72"/>
        <v>0</v>
      </c>
    </row>
    <row r="83" spans="26:45" ht="15.75" customHeight="1">
      <c r="Z83" s="436">
        <f t="shared" si="74"/>
        <v>0</v>
      </c>
      <c r="AA83" s="436"/>
      <c r="AH83" s="54">
        <f t="shared" si="69"/>
        <v>0</v>
      </c>
      <c r="AI83" s="85">
        <f t="shared" si="34"/>
        <v>0</v>
      </c>
      <c r="AJ83" s="84">
        <f t="shared" si="35"/>
        <v>0</v>
      </c>
      <c r="AK83" s="54">
        <f t="shared" si="36"/>
        <v>0</v>
      </c>
      <c r="AL83" s="54">
        <f t="shared" si="37"/>
        <v>0</v>
      </c>
      <c r="AM83" s="85">
        <f t="shared" si="38"/>
        <v>0</v>
      </c>
      <c r="AN83" s="439">
        <f t="shared" si="71"/>
        <v>0</v>
      </c>
      <c r="AO83" s="84">
        <f t="shared" si="39"/>
        <v>0</v>
      </c>
      <c r="AP83" s="54">
        <f t="shared" si="40"/>
        <v>0</v>
      </c>
      <c r="AQ83" s="54">
        <f t="shared" si="75"/>
        <v>0</v>
      </c>
      <c r="AR83" s="85">
        <f t="shared" si="42"/>
        <v>0</v>
      </c>
      <c r="AS83" s="441">
        <f t="shared" si="72"/>
        <v>0</v>
      </c>
    </row>
    <row r="84" spans="26:45" ht="15.75" customHeight="1">
      <c r="Z84" s="436">
        <f t="shared" si="74"/>
        <v>0</v>
      </c>
      <c r="AA84" s="436"/>
      <c r="AH84" s="54">
        <f t="shared" si="69"/>
        <v>0</v>
      </c>
      <c r="AI84" s="85">
        <f t="shared" si="34"/>
        <v>0</v>
      </c>
      <c r="AJ84" s="84">
        <f t="shared" si="35"/>
        <v>0</v>
      </c>
      <c r="AK84" s="54">
        <f t="shared" si="36"/>
        <v>0</v>
      </c>
      <c r="AL84" s="54">
        <f t="shared" si="37"/>
        <v>0</v>
      </c>
      <c r="AM84" s="85">
        <f t="shared" si="38"/>
        <v>0</v>
      </c>
      <c r="AN84" s="439">
        <f t="shared" si="71"/>
        <v>0</v>
      </c>
      <c r="AO84" s="84">
        <f t="shared" si="39"/>
        <v>0</v>
      </c>
      <c r="AP84" s="54">
        <f t="shared" si="40"/>
        <v>0</v>
      </c>
      <c r="AQ84" s="54">
        <f t="shared" si="75"/>
        <v>0</v>
      </c>
      <c r="AR84" s="85">
        <f t="shared" si="42"/>
        <v>0</v>
      </c>
      <c r="AS84" s="441">
        <f t="shared" si="72"/>
        <v>0</v>
      </c>
    </row>
    <row r="85" spans="26:45" ht="15.75" customHeight="1">
      <c r="Z85" s="436">
        <f t="shared" si="74"/>
        <v>0</v>
      </c>
      <c r="AA85" s="436"/>
      <c r="AH85" s="54">
        <f t="shared" si="69"/>
        <v>0</v>
      </c>
      <c r="AI85" s="85">
        <f t="shared" si="34"/>
        <v>0</v>
      </c>
      <c r="AJ85" s="84">
        <f t="shared" si="35"/>
        <v>0</v>
      </c>
      <c r="AK85" s="54">
        <f t="shared" si="36"/>
        <v>0</v>
      </c>
      <c r="AL85" s="54">
        <f t="shared" si="37"/>
        <v>0</v>
      </c>
      <c r="AM85" s="85">
        <f t="shared" si="38"/>
        <v>0</v>
      </c>
      <c r="AN85" s="439">
        <f t="shared" si="71"/>
        <v>0</v>
      </c>
      <c r="AO85" s="84">
        <f t="shared" si="39"/>
        <v>0</v>
      </c>
      <c r="AP85" s="54">
        <f t="shared" si="40"/>
        <v>0</v>
      </c>
      <c r="AQ85" s="54">
        <f t="shared" si="75"/>
        <v>0</v>
      </c>
      <c r="AR85" s="85">
        <f t="shared" si="42"/>
        <v>0</v>
      </c>
      <c r="AS85" s="441">
        <f t="shared" si="72"/>
        <v>0</v>
      </c>
    </row>
    <row r="86" spans="26:45" ht="15.75" customHeight="1">
      <c r="Z86" s="436">
        <f t="shared" si="74"/>
        <v>0</v>
      </c>
      <c r="AA86" s="436"/>
      <c r="AH86" s="54">
        <f t="shared" si="69"/>
        <v>0</v>
      </c>
      <c r="AI86" s="85">
        <f t="shared" si="34"/>
        <v>0</v>
      </c>
      <c r="AJ86" s="84">
        <f t="shared" si="35"/>
        <v>0</v>
      </c>
      <c r="AK86" s="54">
        <f t="shared" si="36"/>
        <v>0</v>
      </c>
      <c r="AL86" s="54">
        <f t="shared" si="37"/>
        <v>0</v>
      </c>
      <c r="AM86" s="85">
        <f t="shared" si="38"/>
        <v>0</v>
      </c>
      <c r="AN86" s="439">
        <f t="shared" si="71"/>
        <v>0</v>
      </c>
      <c r="AO86" s="84">
        <f t="shared" si="39"/>
        <v>0</v>
      </c>
      <c r="AP86" s="54">
        <f t="shared" si="40"/>
        <v>0</v>
      </c>
      <c r="AQ86" s="54">
        <f t="shared" si="75"/>
        <v>0</v>
      </c>
      <c r="AR86" s="85">
        <f t="shared" si="42"/>
        <v>0</v>
      </c>
      <c r="AS86" s="441">
        <f t="shared" si="72"/>
        <v>0</v>
      </c>
    </row>
    <row r="87" spans="26:45" ht="15.75" customHeight="1">
      <c r="Z87" s="436">
        <f t="shared" si="74"/>
        <v>0</v>
      </c>
      <c r="AA87" s="436"/>
      <c r="AH87" s="54">
        <f t="shared" si="69"/>
        <v>0</v>
      </c>
      <c r="AI87" s="85">
        <f t="shared" si="34"/>
        <v>0</v>
      </c>
      <c r="AJ87" s="84">
        <f t="shared" si="35"/>
        <v>0</v>
      </c>
      <c r="AK87" s="54">
        <f t="shared" si="36"/>
        <v>0</v>
      </c>
      <c r="AL87" s="54">
        <f t="shared" si="37"/>
        <v>0</v>
      </c>
      <c r="AM87" s="85">
        <f t="shared" si="38"/>
        <v>0</v>
      </c>
      <c r="AN87" s="439">
        <f t="shared" si="71"/>
        <v>0</v>
      </c>
      <c r="AO87" s="84">
        <f t="shared" si="39"/>
        <v>0</v>
      </c>
      <c r="AP87" s="54">
        <f t="shared" si="40"/>
        <v>0</v>
      </c>
      <c r="AQ87" s="54">
        <f t="shared" si="75"/>
        <v>0</v>
      </c>
      <c r="AR87" s="85">
        <f t="shared" si="42"/>
        <v>0</v>
      </c>
      <c r="AS87" s="441">
        <f t="shared" si="72"/>
        <v>0</v>
      </c>
    </row>
    <row r="88" spans="26:45" ht="15.75" customHeight="1"/>
    <row r="89" spans="26:45" ht="15.75" customHeight="1"/>
    <row r="90" spans="26:45" ht="15.75" customHeight="1"/>
    <row r="91" spans="26:45" ht="15.75" customHeight="1"/>
    <row r="92" spans="26:45" ht="15.75" customHeight="1"/>
    <row r="93" spans="26:45" ht="15.75" customHeight="1"/>
    <row r="94" spans="26:45" ht="15.75" customHeight="1"/>
    <row r="95" spans="26:45" ht="15.75" customHeight="1"/>
    <row r="96" spans="26:4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</sheetData>
  <autoFilter ref="B4:T4" xr:uid="{D28B6405-3E64-E143-9CEE-0BE69C91CAE1}"/>
  <mergeCells count="5">
    <mergeCell ref="V3:Y3"/>
    <mergeCell ref="AB3:AE3"/>
    <mergeCell ref="AO3:AR3"/>
    <mergeCell ref="AF3:AI3"/>
    <mergeCell ref="AJ3:AM3"/>
  </mergeCells>
  <phoneticPr fontId="1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92E0C-E8AB-4C21-93D1-52B590062E4C}">
  <dimension ref="A1:P66"/>
  <sheetViews>
    <sheetView topLeftCell="H1" zoomScale="139" zoomScaleNormal="70" workbookViewId="0">
      <selection activeCell="F20" sqref="F20:F21"/>
    </sheetView>
  </sheetViews>
  <sheetFormatPr defaultColWidth="8.83203125" defaultRowHeight="14"/>
  <cols>
    <col min="2" max="2" width="24.33203125" customWidth="1"/>
    <col min="3" max="3" width="26" customWidth="1"/>
    <col min="4" max="4" width="27" customWidth="1"/>
    <col min="5" max="5" width="24" customWidth="1"/>
    <col min="6" max="6" width="28" customWidth="1"/>
    <col min="7" max="7" width="32" customWidth="1"/>
    <col min="8" max="8" width="32.83203125" customWidth="1"/>
    <col min="9" max="9" width="27" customWidth="1"/>
    <col min="10" max="10" width="26.33203125" customWidth="1"/>
    <col min="11" max="11" width="39.5" customWidth="1"/>
    <col min="12" max="12" width="23.5" customWidth="1"/>
    <col min="13" max="13" width="21.5" customWidth="1"/>
    <col min="14" max="14" width="22" customWidth="1"/>
    <col min="15" max="15" width="20.83203125" customWidth="1"/>
    <col min="16" max="16" width="32.5" customWidth="1"/>
  </cols>
  <sheetData>
    <row r="1" spans="1:16" ht="20">
      <c r="A1" s="35" t="s">
        <v>28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16" ht="20">
      <c r="A2" s="175"/>
      <c r="B2" s="165" t="s">
        <v>31</v>
      </c>
      <c r="C2" s="165" t="s">
        <v>359</v>
      </c>
      <c r="D2" s="165" t="s">
        <v>360</v>
      </c>
      <c r="E2" s="163" t="s">
        <v>361</v>
      </c>
      <c r="F2" s="195" t="s">
        <v>362</v>
      </c>
      <c r="G2" s="165" t="s">
        <v>31</v>
      </c>
      <c r="H2" s="165" t="s">
        <v>359</v>
      </c>
      <c r="I2" s="165" t="s">
        <v>360</v>
      </c>
      <c r="J2" s="163" t="s">
        <v>361</v>
      </c>
      <c r="K2" s="195" t="s">
        <v>362</v>
      </c>
      <c r="L2" s="165" t="s">
        <v>363</v>
      </c>
      <c r="M2" s="165" t="s">
        <v>359</v>
      </c>
      <c r="N2" s="165" t="s">
        <v>360</v>
      </c>
      <c r="O2" s="163" t="s">
        <v>361</v>
      </c>
      <c r="P2" s="195" t="s">
        <v>362</v>
      </c>
    </row>
    <row r="3" spans="1:16">
      <c r="A3" s="39" t="s">
        <v>319</v>
      </c>
      <c r="B3" s="145"/>
      <c r="C3" s="145"/>
      <c r="D3" s="145"/>
      <c r="E3" s="145"/>
      <c r="F3" s="536"/>
      <c r="G3" s="145"/>
      <c r="H3" s="145"/>
      <c r="I3" s="145"/>
      <c r="J3" s="145"/>
      <c r="K3" s="145"/>
      <c r="L3" s="145"/>
      <c r="M3" s="145"/>
      <c r="N3" s="145"/>
      <c r="O3" s="145"/>
      <c r="P3" s="145"/>
    </row>
    <row r="4" spans="1:16" ht="15.5">
      <c r="A4" s="24" t="s">
        <v>364</v>
      </c>
      <c r="B4" s="142" t="s">
        <v>35</v>
      </c>
      <c r="C4" s="142" t="s">
        <v>35</v>
      </c>
      <c r="D4" s="142" t="s">
        <v>35</v>
      </c>
      <c r="E4" s="142" t="s">
        <v>35</v>
      </c>
      <c r="F4" s="142" t="s">
        <v>35</v>
      </c>
      <c r="G4" s="142" t="s">
        <v>326</v>
      </c>
      <c r="H4" s="142" t="s">
        <v>326</v>
      </c>
      <c r="I4" s="142" t="s">
        <v>326</v>
      </c>
      <c r="J4" s="142" t="s">
        <v>326</v>
      </c>
      <c r="K4" s="142" t="s">
        <v>326</v>
      </c>
      <c r="L4" s="142" t="s">
        <v>328</v>
      </c>
      <c r="M4" s="142" t="s">
        <v>328</v>
      </c>
      <c r="N4" s="142" t="s">
        <v>328</v>
      </c>
      <c r="O4" s="142" t="s">
        <v>328</v>
      </c>
      <c r="P4" s="142" t="s">
        <v>328</v>
      </c>
    </row>
    <row r="5" spans="1:16">
      <c r="A5" s="533">
        <v>45658</v>
      </c>
      <c r="B5" s="335"/>
      <c r="C5" s="335"/>
      <c r="D5" s="335"/>
      <c r="E5" s="335"/>
      <c r="F5" s="540">
        <f t="shared" ref="F5:F17" si="0">SUM(B5:E5)</f>
        <v>0</v>
      </c>
      <c r="G5" s="335"/>
      <c r="H5" s="335"/>
      <c r="I5" s="335"/>
      <c r="J5" s="335"/>
      <c r="K5" s="540">
        <f>SUM(G5+H5+I5+J5)</f>
        <v>0</v>
      </c>
      <c r="L5" s="335"/>
      <c r="M5" s="335"/>
      <c r="N5" s="335"/>
      <c r="O5" s="335"/>
      <c r="P5" s="540">
        <f>SUM(L5:O5)</f>
        <v>0</v>
      </c>
    </row>
    <row r="6" spans="1:16">
      <c r="A6" s="533">
        <v>45689</v>
      </c>
      <c r="B6" s="335"/>
      <c r="C6" s="335"/>
      <c r="D6" s="335"/>
      <c r="E6" s="335"/>
      <c r="F6" s="540">
        <f t="shared" si="0"/>
        <v>0</v>
      </c>
      <c r="G6" s="335"/>
      <c r="H6" s="335"/>
      <c r="I6" s="335"/>
      <c r="J6" s="335"/>
      <c r="K6" s="540">
        <f t="shared" ref="K6:K26" si="1">SUM(G6+H6+I6+J6)</f>
        <v>0</v>
      </c>
      <c r="L6" s="335"/>
      <c r="M6" s="335"/>
      <c r="N6" s="335"/>
      <c r="O6" s="335"/>
      <c r="P6" s="540">
        <f t="shared" ref="P6:P30" si="2">SUM(L6:O6)</f>
        <v>0</v>
      </c>
    </row>
    <row r="7" spans="1:16">
      <c r="A7" s="533">
        <v>45717</v>
      </c>
      <c r="B7" s="335"/>
      <c r="C7" s="335"/>
      <c r="D7" s="335"/>
      <c r="E7" s="335"/>
      <c r="F7" s="540">
        <f t="shared" si="0"/>
        <v>0</v>
      </c>
      <c r="G7" s="335"/>
      <c r="H7" s="335"/>
      <c r="I7" s="335"/>
      <c r="J7" s="335"/>
      <c r="K7" s="540">
        <f t="shared" si="1"/>
        <v>0</v>
      </c>
      <c r="L7" s="335"/>
      <c r="M7" s="335"/>
      <c r="N7" s="335"/>
      <c r="O7" s="335"/>
      <c r="P7" s="540">
        <f t="shared" si="2"/>
        <v>0</v>
      </c>
    </row>
    <row r="8" spans="1:16">
      <c r="A8" s="533">
        <v>45748</v>
      </c>
      <c r="B8" s="335"/>
      <c r="C8" s="335"/>
      <c r="D8" s="335"/>
      <c r="E8" s="335"/>
      <c r="F8" s="540">
        <f t="shared" si="0"/>
        <v>0</v>
      </c>
      <c r="G8" s="335"/>
      <c r="H8" s="335"/>
      <c r="I8" s="335"/>
      <c r="J8" s="335"/>
      <c r="K8" s="540">
        <f t="shared" si="1"/>
        <v>0</v>
      </c>
      <c r="L8" s="335"/>
      <c r="M8" s="335"/>
      <c r="N8" s="335"/>
      <c r="O8" s="335"/>
      <c r="P8" s="540">
        <f t="shared" si="2"/>
        <v>0</v>
      </c>
    </row>
    <row r="9" spans="1:16">
      <c r="A9" s="533">
        <v>45778</v>
      </c>
      <c r="B9" s="335"/>
      <c r="C9" s="335"/>
      <c r="D9" s="335"/>
      <c r="E9" s="335"/>
      <c r="F9" s="540">
        <f t="shared" si="0"/>
        <v>0</v>
      </c>
      <c r="G9" s="335"/>
      <c r="H9" s="335"/>
      <c r="I9" s="335"/>
      <c r="J9" s="335"/>
      <c r="K9" s="540">
        <f t="shared" si="1"/>
        <v>0</v>
      </c>
      <c r="L9" s="335"/>
      <c r="M9" s="335"/>
      <c r="N9" s="335"/>
      <c r="O9" s="335"/>
      <c r="P9" s="540">
        <f t="shared" si="2"/>
        <v>0</v>
      </c>
    </row>
    <row r="10" spans="1:16">
      <c r="A10" s="533">
        <v>45809</v>
      </c>
      <c r="B10" s="335">
        <v>882</v>
      </c>
      <c r="C10" s="335">
        <v>428</v>
      </c>
      <c r="D10" s="335">
        <v>697</v>
      </c>
      <c r="E10" s="335">
        <v>1248</v>
      </c>
      <c r="F10" s="540">
        <f t="shared" si="0"/>
        <v>3255</v>
      </c>
      <c r="G10" s="335">
        <v>1490</v>
      </c>
      <c r="H10" s="335">
        <v>922</v>
      </c>
      <c r="I10" s="335">
        <v>2309</v>
      </c>
      <c r="J10" s="335">
        <v>5626</v>
      </c>
      <c r="K10" s="540">
        <f t="shared" si="1"/>
        <v>10347</v>
      </c>
      <c r="L10" s="335">
        <v>27</v>
      </c>
      <c r="M10" s="335">
        <v>15</v>
      </c>
      <c r="N10" s="335">
        <v>24</v>
      </c>
      <c r="O10" s="335">
        <v>28</v>
      </c>
      <c r="P10" s="540">
        <f t="shared" si="2"/>
        <v>94</v>
      </c>
    </row>
    <row r="11" spans="1:16">
      <c r="A11" s="533">
        <v>45839</v>
      </c>
      <c r="B11" s="335">
        <v>2174</v>
      </c>
      <c r="C11" s="335">
        <v>1316</v>
      </c>
      <c r="D11" s="335">
        <v>356</v>
      </c>
      <c r="E11" s="335">
        <v>1965</v>
      </c>
      <c r="F11" s="540">
        <f t="shared" si="0"/>
        <v>5811</v>
      </c>
      <c r="G11" s="335">
        <v>1491</v>
      </c>
      <c r="H11" s="335">
        <v>925</v>
      </c>
      <c r="I11" s="335">
        <v>2304</v>
      </c>
      <c r="J11" s="335">
        <v>5639</v>
      </c>
      <c r="K11" s="540">
        <f t="shared" si="1"/>
        <v>10359</v>
      </c>
      <c r="L11" s="335">
        <v>39</v>
      </c>
      <c r="M11" s="335">
        <v>35</v>
      </c>
      <c r="N11" s="335">
        <v>5</v>
      </c>
      <c r="O11" s="335">
        <v>52</v>
      </c>
      <c r="P11" s="540">
        <f t="shared" si="2"/>
        <v>131</v>
      </c>
    </row>
    <row r="12" spans="1:16">
      <c r="A12" s="533">
        <v>45870</v>
      </c>
      <c r="B12" s="535">
        <v>2041</v>
      </c>
      <c r="C12" s="335">
        <v>3626</v>
      </c>
      <c r="D12" s="335">
        <v>1100</v>
      </c>
      <c r="E12" s="335">
        <v>3108</v>
      </c>
      <c r="F12" s="544">
        <f t="shared" si="0"/>
        <v>9875</v>
      </c>
      <c r="G12" s="335">
        <v>1506</v>
      </c>
      <c r="H12" s="335">
        <v>941</v>
      </c>
      <c r="I12" s="335">
        <v>2300</v>
      </c>
      <c r="J12" s="335">
        <v>5665</v>
      </c>
      <c r="K12" s="540">
        <f t="shared" si="1"/>
        <v>10412</v>
      </c>
      <c r="L12" s="335">
        <v>119</v>
      </c>
      <c r="M12" s="335">
        <v>65</v>
      </c>
      <c r="N12" s="335">
        <v>63</v>
      </c>
      <c r="O12" s="335">
        <v>195</v>
      </c>
      <c r="P12" s="540">
        <f t="shared" si="2"/>
        <v>442</v>
      </c>
    </row>
    <row r="13" spans="1:16">
      <c r="A13" s="533">
        <v>45901</v>
      </c>
      <c r="B13" s="335">
        <v>863</v>
      </c>
      <c r="C13" s="335">
        <v>1835</v>
      </c>
      <c r="D13" s="335">
        <v>273</v>
      </c>
      <c r="E13" s="335">
        <v>2599</v>
      </c>
      <c r="F13" s="540">
        <f t="shared" si="0"/>
        <v>5570</v>
      </c>
      <c r="G13" s="335">
        <v>1516</v>
      </c>
      <c r="H13" s="335">
        <v>942</v>
      </c>
      <c r="I13" s="335">
        <v>2306</v>
      </c>
      <c r="J13" s="335">
        <v>5679</v>
      </c>
      <c r="K13" s="540">
        <f t="shared" si="1"/>
        <v>10443</v>
      </c>
      <c r="L13" s="335">
        <v>26</v>
      </c>
      <c r="M13" s="335">
        <v>11</v>
      </c>
      <c r="N13" s="335">
        <v>7</v>
      </c>
      <c r="O13" s="335">
        <v>61</v>
      </c>
      <c r="P13" s="540">
        <f t="shared" si="2"/>
        <v>105</v>
      </c>
    </row>
    <row r="14" spans="1:16">
      <c r="A14" s="533">
        <v>45931</v>
      </c>
      <c r="B14" s="335">
        <v>1174</v>
      </c>
      <c r="C14" s="535">
        <v>3915</v>
      </c>
      <c r="D14" s="335">
        <v>212</v>
      </c>
      <c r="E14" s="335">
        <v>1753</v>
      </c>
      <c r="F14" s="540">
        <f t="shared" si="0"/>
        <v>7054</v>
      </c>
      <c r="G14" s="335">
        <v>1520</v>
      </c>
      <c r="H14" s="335">
        <v>959</v>
      </c>
      <c r="I14" s="335">
        <v>2307</v>
      </c>
      <c r="J14" s="335">
        <v>5678</v>
      </c>
      <c r="K14" s="540">
        <f t="shared" si="1"/>
        <v>10464</v>
      </c>
      <c r="L14" s="335">
        <v>35</v>
      </c>
      <c r="M14" s="335">
        <v>27</v>
      </c>
      <c r="N14" s="335">
        <v>11</v>
      </c>
      <c r="O14" s="335">
        <v>54</v>
      </c>
      <c r="P14" s="540">
        <f t="shared" si="2"/>
        <v>127</v>
      </c>
    </row>
    <row r="15" spans="1:16">
      <c r="A15" s="533">
        <v>45962</v>
      </c>
      <c r="B15" s="335">
        <v>2395</v>
      </c>
      <c r="C15" s="335">
        <v>4323</v>
      </c>
      <c r="D15" s="335">
        <v>299</v>
      </c>
      <c r="E15" s="335">
        <v>1848</v>
      </c>
      <c r="F15" s="540">
        <f t="shared" si="0"/>
        <v>8865</v>
      </c>
      <c r="G15" s="335">
        <v>1538</v>
      </c>
      <c r="H15" s="335">
        <v>972</v>
      </c>
      <c r="I15" s="335">
        <v>2309</v>
      </c>
      <c r="J15" s="335">
        <v>5675</v>
      </c>
      <c r="K15" s="540">
        <f t="shared" si="1"/>
        <v>10494</v>
      </c>
      <c r="L15" s="335">
        <v>46</v>
      </c>
      <c r="M15" s="335">
        <v>26</v>
      </c>
      <c r="N15" s="335">
        <v>8</v>
      </c>
      <c r="O15" s="335">
        <v>46</v>
      </c>
      <c r="P15" s="540">
        <f t="shared" si="2"/>
        <v>126</v>
      </c>
    </row>
    <row r="16" spans="1:16">
      <c r="A16" s="533">
        <v>45992</v>
      </c>
      <c r="B16" s="335">
        <v>1924</v>
      </c>
      <c r="C16" s="335">
        <v>2034</v>
      </c>
      <c r="D16" s="335">
        <v>369</v>
      </c>
      <c r="E16" s="335">
        <v>1012</v>
      </c>
      <c r="F16" s="540">
        <f t="shared" si="0"/>
        <v>5339</v>
      </c>
      <c r="G16" s="335">
        <v>1565</v>
      </c>
      <c r="H16" s="335">
        <v>981</v>
      </c>
      <c r="I16" s="335">
        <v>2306</v>
      </c>
      <c r="J16" s="335">
        <v>5680</v>
      </c>
      <c r="K16" s="540">
        <f t="shared" si="1"/>
        <v>10532</v>
      </c>
      <c r="L16" s="335">
        <v>68</v>
      </c>
      <c r="M16" s="335">
        <v>32</v>
      </c>
      <c r="N16" s="335">
        <v>10</v>
      </c>
      <c r="O16" s="335">
        <v>39</v>
      </c>
      <c r="P16" s="540">
        <f t="shared" si="2"/>
        <v>149</v>
      </c>
    </row>
    <row r="17" spans="1:16">
      <c r="A17" s="533">
        <v>46023</v>
      </c>
      <c r="B17" s="335">
        <v>1214</v>
      </c>
      <c r="C17" s="335">
        <v>838</v>
      </c>
      <c r="D17" s="335">
        <v>424</v>
      </c>
      <c r="E17" s="335">
        <v>1061</v>
      </c>
      <c r="F17" s="540">
        <f t="shared" si="0"/>
        <v>3537</v>
      </c>
      <c r="G17" s="335">
        <v>1575</v>
      </c>
      <c r="H17" s="335">
        <v>987</v>
      </c>
      <c r="I17" s="335">
        <v>2315</v>
      </c>
      <c r="J17" s="335">
        <v>5682</v>
      </c>
      <c r="K17" s="540">
        <f t="shared" si="1"/>
        <v>10559</v>
      </c>
      <c r="L17" s="335">
        <v>37</v>
      </c>
      <c r="M17" s="335">
        <v>9</v>
      </c>
      <c r="N17" s="335">
        <v>4</v>
      </c>
      <c r="O17" s="335">
        <v>45</v>
      </c>
      <c r="P17" s="540">
        <f t="shared" si="2"/>
        <v>95</v>
      </c>
    </row>
    <row r="18" spans="1:16">
      <c r="A18" s="533">
        <v>46054</v>
      </c>
      <c r="B18" s="335">
        <v>2040</v>
      </c>
      <c r="C18" s="335">
        <v>2713</v>
      </c>
      <c r="D18" s="335">
        <v>1286</v>
      </c>
      <c r="E18" s="335">
        <v>1706</v>
      </c>
      <c r="F18" s="541">
        <f>SUM(B18:E18)</f>
        <v>7745</v>
      </c>
      <c r="G18" s="335">
        <v>1596</v>
      </c>
      <c r="H18" s="335">
        <v>1015</v>
      </c>
      <c r="I18" s="335">
        <v>2340</v>
      </c>
      <c r="J18" s="335">
        <v>5702</v>
      </c>
      <c r="K18" s="540">
        <f t="shared" si="1"/>
        <v>10653</v>
      </c>
      <c r="L18" s="335">
        <v>145</v>
      </c>
      <c r="M18" s="335">
        <v>84</v>
      </c>
      <c r="N18" s="335">
        <v>16</v>
      </c>
      <c r="O18" s="335">
        <v>86</v>
      </c>
      <c r="P18" s="540">
        <f t="shared" si="2"/>
        <v>331</v>
      </c>
    </row>
    <row r="19" spans="1:16">
      <c r="A19" s="533">
        <v>46082</v>
      </c>
      <c r="B19" s="335">
        <v>1573</v>
      </c>
      <c r="C19" s="335">
        <v>1976</v>
      </c>
      <c r="D19" s="335">
        <v>1681</v>
      </c>
      <c r="E19" s="335">
        <v>1709</v>
      </c>
      <c r="F19" s="541">
        <f>SUM(B19:E19)</f>
        <v>6939</v>
      </c>
      <c r="G19" s="335">
        <v>1624</v>
      </c>
      <c r="H19" s="335">
        <v>1068</v>
      </c>
      <c r="I19" s="335">
        <v>2365</v>
      </c>
      <c r="J19" s="335">
        <v>5704</v>
      </c>
      <c r="K19" s="540">
        <f t="shared" si="1"/>
        <v>10761</v>
      </c>
      <c r="L19" s="335">
        <v>122</v>
      </c>
      <c r="M19" s="335">
        <v>25</v>
      </c>
      <c r="N19" s="335">
        <v>15</v>
      </c>
      <c r="O19" s="335">
        <v>58</v>
      </c>
      <c r="P19" s="540">
        <f t="shared" si="2"/>
        <v>220</v>
      </c>
    </row>
    <row r="20" spans="1:16">
      <c r="A20" s="533">
        <v>46113</v>
      </c>
      <c r="B20" s="335">
        <v>4534</v>
      </c>
      <c r="C20" s="335">
        <v>1703</v>
      </c>
      <c r="D20" s="335">
        <v>1057</v>
      </c>
      <c r="E20" s="335">
        <v>3337</v>
      </c>
      <c r="F20" s="541">
        <f>SUM(B20:E20)</f>
        <v>10631</v>
      </c>
      <c r="G20" s="335">
        <v>1677</v>
      </c>
      <c r="H20" s="335">
        <v>1103</v>
      </c>
      <c r="I20" s="335">
        <v>2388</v>
      </c>
      <c r="J20" s="335">
        <v>5710</v>
      </c>
      <c r="K20" s="540">
        <f t="shared" si="1"/>
        <v>10878</v>
      </c>
      <c r="L20" s="335">
        <v>367</v>
      </c>
      <c r="M20" s="335">
        <v>28</v>
      </c>
      <c r="N20" s="335">
        <v>20</v>
      </c>
      <c r="O20" s="335">
        <v>168</v>
      </c>
      <c r="P20" s="540">
        <f t="shared" si="2"/>
        <v>583</v>
      </c>
    </row>
    <row r="21" spans="1:16">
      <c r="A21" s="533">
        <v>46143</v>
      </c>
      <c r="B21" s="335">
        <v>5163</v>
      </c>
      <c r="C21" s="335">
        <v>2249</v>
      </c>
      <c r="D21" s="335">
        <v>1766</v>
      </c>
      <c r="E21" s="335">
        <v>3007</v>
      </c>
      <c r="F21" s="541">
        <f>SUM(B21:E21)</f>
        <v>12185</v>
      </c>
      <c r="G21" s="335">
        <v>1726</v>
      </c>
      <c r="H21" s="335">
        <v>1126</v>
      </c>
      <c r="I21" s="335">
        <v>2422</v>
      </c>
      <c r="J21" s="335">
        <v>5717</v>
      </c>
      <c r="K21" s="540">
        <f t="shared" si="1"/>
        <v>10991</v>
      </c>
      <c r="L21" s="335">
        <v>193</v>
      </c>
      <c r="M21" s="335">
        <v>45</v>
      </c>
      <c r="N21" s="335">
        <v>34</v>
      </c>
      <c r="O21" s="335">
        <v>70</v>
      </c>
      <c r="P21" s="540">
        <f t="shared" si="2"/>
        <v>342</v>
      </c>
    </row>
    <row r="22" spans="1:16">
      <c r="A22" s="533">
        <v>46174</v>
      </c>
      <c r="B22" s="335"/>
      <c r="C22" s="335"/>
      <c r="D22" s="335"/>
      <c r="E22" s="335"/>
      <c r="F22" s="542"/>
      <c r="G22" s="335"/>
      <c r="H22" s="335"/>
      <c r="I22" s="335"/>
      <c r="J22" s="335"/>
      <c r="K22" s="540">
        <f t="shared" si="1"/>
        <v>0</v>
      </c>
      <c r="L22" s="335"/>
      <c r="M22" s="335"/>
      <c r="N22" s="335"/>
      <c r="O22" s="335"/>
      <c r="P22" s="540">
        <f t="shared" si="2"/>
        <v>0</v>
      </c>
    </row>
    <row r="23" spans="1:16">
      <c r="A23" s="533">
        <v>46204</v>
      </c>
      <c r="B23" s="335"/>
      <c r="C23" s="335"/>
      <c r="D23" s="335"/>
      <c r="E23" s="335"/>
      <c r="F23" s="542"/>
      <c r="G23" s="333"/>
      <c r="H23" s="335"/>
      <c r="I23" s="335"/>
      <c r="J23" s="335"/>
      <c r="K23" s="540">
        <f t="shared" si="1"/>
        <v>0</v>
      </c>
      <c r="L23" s="335"/>
      <c r="M23" s="335"/>
      <c r="N23" s="335"/>
      <c r="O23" s="335"/>
      <c r="P23" s="540">
        <f t="shared" si="2"/>
        <v>0</v>
      </c>
    </row>
    <row r="24" spans="1:16">
      <c r="A24" s="533">
        <v>46235</v>
      </c>
      <c r="B24" s="335"/>
      <c r="C24" s="333"/>
      <c r="D24" s="335"/>
      <c r="E24" s="335"/>
      <c r="F24" s="542"/>
      <c r="G24" s="333"/>
      <c r="H24" s="335"/>
      <c r="I24" s="335"/>
      <c r="J24" s="335"/>
      <c r="K24" s="540">
        <f t="shared" si="1"/>
        <v>0</v>
      </c>
      <c r="L24" s="335"/>
      <c r="M24" s="335"/>
      <c r="N24" s="335"/>
      <c r="O24" s="335"/>
      <c r="P24" s="540">
        <f t="shared" si="2"/>
        <v>0</v>
      </c>
    </row>
    <row r="25" spans="1:16">
      <c r="A25" s="534"/>
      <c r="B25" s="333"/>
      <c r="C25" s="333"/>
      <c r="D25" s="333"/>
      <c r="E25" s="333"/>
      <c r="F25" s="542"/>
      <c r="G25" s="333"/>
      <c r="H25" s="333"/>
      <c r="I25" s="333"/>
      <c r="J25" s="335"/>
      <c r="K25" s="540">
        <f t="shared" si="1"/>
        <v>0</v>
      </c>
      <c r="L25" s="335"/>
      <c r="M25" s="335"/>
      <c r="N25" s="333"/>
      <c r="O25" s="333"/>
      <c r="P25" s="540">
        <f t="shared" si="2"/>
        <v>0</v>
      </c>
    </row>
    <row r="26" spans="1:16">
      <c r="A26" s="534"/>
      <c r="B26" s="333"/>
      <c r="C26" s="333"/>
      <c r="D26" s="333"/>
      <c r="E26" s="333"/>
      <c r="F26" s="542"/>
      <c r="G26" s="333"/>
      <c r="H26" s="333"/>
      <c r="I26" s="333"/>
      <c r="J26" s="333"/>
      <c r="K26" s="540">
        <f t="shared" si="1"/>
        <v>0</v>
      </c>
      <c r="L26" s="333"/>
      <c r="M26" s="333"/>
      <c r="N26" s="333"/>
      <c r="O26" s="333"/>
      <c r="P26" s="540">
        <f t="shared" si="2"/>
        <v>0</v>
      </c>
    </row>
    <row r="27" spans="1:16">
      <c r="A27" s="534"/>
      <c r="B27" s="333"/>
      <c r="C27" s="333"/>
      <c r="D27" s="333"/>
      <c r="E27" s="333"/>
      <c r="F27" s="542"/>
      <c r="G27" s="333"/>
      <c r="H27" s="333"/>
      <c r="I27" s="333"/>
      <c r="J27" s="333"/>
      <c r="K27" s="542"/>
      <c r="L27" s="333"/>
      <c r="M27" s="333"/>
      <c r="N27" s="333"/>
      <c r="O27" s="333"/>
      <c r="P27" s="540">
        <f t="shared" si="2"/>
        <v>0</v>
      </c>
    </row>
    <row r="28" spans="1:16">
      <c r="A28" s="534"/>
      <c r="B28" s="333"/>
      <c r="C28" s="333"/>
      <c r="D28" s="333"/>
      <c r="E28" s="333"/>
      <c r="F28" s="542"/>
      <c r="G28" s="333"/>
      <c r="H28" s="333"/>
      <c r="I28" s="333"/>
      <c r="J28" s="333"/>
      <c r="K28" s="542"/>
      <c r="L28" s="333"/>
      <c r="M28" s="333"/>
      <c r="N28" s="333"/>
      <c r="O28" s="333"/>
      <c r="P28" s="540">
        <f t="shared" si="2"/>
        <v>0</v>
      </c>
    </row>
    <row r="29" spans="1:16">
      <c r="A29" s="534"/>
      <c r="B29" s="333"/>
      <c r="C29" s="333"/>
      <c r="D29" s="333"/>
      <c r="E29" s="333"/>
      <c r="F29" s="542"/>
      <c r="G29" s="333"/>
      <c r="H29" s="333"/>
      <c r="I29" s="333"/>
      <c r="J29" s="333"/>
      <c r="K29" s="542"/>
      <c r="L29" s="333"/>
      <c r="M29" s="333"/>
      <c r="N29" s="333"/>
      <c r="O29" s="333"/>
      <c r="P29" s="540">
        <f t="shared" si="2"/>
        <v>0</v>
      </c>
    </row>
    <row r="30" spans="1:16">
      <c r="A30" s="534"/>
      <c r="B30" s="333"/>
      <c r="C30" s="333"/>
      <c r="D30" s="333"/>
      <c r="E30" s="333"/>
      <c r="F30" s="542"/>
      <c r="G30" s="333"/>
      <c r="H30" s="333"/>
      <c r="I30" s="333"/>
      <c r="J30" s="333"/>
      <c r="K30" s="542"/>
      <c r="L30" s="333"/>
      <c r="M30" s="333"/>
      <c r="N30" s="333"/>
      <c r="O30" s="333"/>
      <c r="P30" s="540">
        <f t="shared" si="2"/>
        <v>0</v>
      </c>
    </row>
    <row r="31" spans="1:16">
      <c r="A31" s="534"/>
      <c r="B31" s="333"/>
      <c r="C31" s="333"/>
      <c r="D31" s="333"/>
      <c r="E31" s="333"/>
      <c r="F31" s="542"/>
      <c r="G31" s="333"/>
      <c r="H31" s="333"/>
      <c r="I31" s="333"/>
      <c r="J31" s="333"/>
      <c r="K31" s="542"/>
      <c r="L31" s="333"/>
      <c r="M31" s="333"/>
      <c r="N31" s="333"/>
      <c r="O31" s="333"/>
      <c r="P31" s="542"/>
    </row>
    <row r="32" spans="1:16">
      <c r="A32" s="534"/>
      <c r="B32" s="333"/>
      <c r="C32" s="333"/>
      <c r="D32" s="333"/>
      <c r="E32" s="333"/>
      <c r="F32" s="542"/>
      <c r="G32" s="333"/>
      <c r="H32" s="333"/>
      <c r="I32" s="333"/>
      <c r="J32" s="333"/>
      <c r="K32" s="542"/>
      <c r="L32" s="333"/>
      <c r="M32" s="333"/>
      <c r="N32" s="333"/>
      <c r="O32" s="333"/>
      <c r="P32" s="542"/>
    </row>
    <row r="33" spans="1:16">
      <c r="A33" s="534"/>
      <c r="B33" s="143"/>
      <c r="C33" s="143"/>
      <c r="D33" s="143"/>
      <c r="E33" s="143"/>
      <c r="F33" s="543"/>
      <c r="G33" s="143"/>
      <c r="H33" s="143"/>
      <c r="I33" s="143"/>
      <c r="J33" s="143"/>
      <c r="K33" s="543"/>
      <c r="L33" s="143"/>
      <c r="M33" s="143"/>
      <c r="N33" s="143"/>
      <c r="O33" s="143"/>
      <c r="P33" s="543"/>
    </row>
    <row r="34" spans="1:16">
      <c r="A34" s="534"/>
      <c r="B34" s="143"/>
      <c r="C34" s="143"/>
      <c r="D34" s="143"/>
      <c r="E34" s="143"/>
      <c r="F34" s="543"/>
      <c r="G34" s="143"/>
      <c r="H34" s="143"/>
      <c r="I34" s="143"/>
      <c r="J34" s="143"/>
      <c r="K34" s="543"/>
      <c r="L34" s="143"/>
      <c r="M34" s="143"/>
      <c r="N34" s="143"/>
      <c r="O34" s="143"/>
      <c r="P34" s="543"/>
    </row>
    <row r="35" spans="1:16">
      <c r="A35" s="534"/>
      <c r="B35" s="143"/>
      <c r="C35" s="143"/>
      <c r="D35" s="143"/>
      <c r="E35" s="143"/>
      <c r="F35" s="543"/>
      <c r="G35" s="143"/>
      <c r="H35" s="143"/>
      <c r="I35" s="143"/>
      <c r="J35" s="143"/>
      <c r="K35" s="543"/>
      <c r="L35" s="143"/>
      <c r="M35" s="143"/>
      <c r="N35" s="143"/>
      <c r="O35" s="143"/>
      <c r="P35" s="543"/>
    </row>
    <row r="36" spans="1:16">
      <c r="A36" s="534"/>
      <c r="B36" s="143"/>
      <c r="C36" s="143"/>
      <c r="D36" s="143"/>
      <c r="E36" s="143"/>
      <c r="F36" s="543"/>
      <c r="G36" s="143"/>
      <c r="H36" s="143"/>
      <c r="I36" s="143"/>
      <c r="J36" s="143"/>
      <c r="K36" s="543"/>
      <c r="L36" s="143"/>
      <c r="M36" s="143"/>
      <c r="N36" s="143"/>
      <c r="O36" s="143"/>
      <c r="P36" s="543"/>
    </row>
    <row r="37" spans="1:16">
      <c r="A37" s="534"/>
      <c r="B37" s="143"/>
      <c r="C37" s="143"/>
      <c r="D37" s="143"/>
      <c r="E37" s="143"/>
      <c r="F37" s="543"/>
      <c r="G37" s="143"/>
      <c r="H37" s="143"/>
      <c r="I37" s="143"/>
      <c r="J37" s="143"/>
      <c r="K37" s="543"/>
      <c r="L37" s="143"/>
      <c r="M37" s="143"/>
      <c r="N37" s="143"/>
      <c r="O37" s="143"/>
      <c r="P37" s="543"/>
    </row>
    <row r="38" spans="1:16">
      <c r="A38" s="534"/>
      <c r="B38" s="143"/>
      <c r="C38" s="143"/>
      <c r="D38" s="143"/>
      <c r="E38" s="143"/>
      <c r="F38" s="543"/>
      <c r="G38" s="143"/>
      <c r="H38" s="143"/>
      <c r="I38" s="143"/>
      <c r="J38" s="143"/>
      <c r="K38" s="543"/>
      <c r="L38" s="143"/>
      <c r="M38" s="143"/>
      <c r="N38" s="143"/>
      <c r="O38" s="143"/>
      <c r="P38" s="543"/>
    </row>
    <row r="39" spans="1:16">
      <c r="A39" s="534"/>
      <c r="B39" s="143"/>
      <c r="C39" s="143"/>
      <c r="D39" s="143"/>
      <c r="E39" s="143"/>
      <c r="F39" s="543"/>
      <c r="G39" s="143"/>
      <c r="H39" s="143"/>
      <c r="I39" s="143"/>
      <c r="J39" s="143"/>
      <c r="K39" s="543"/>
      <c r="L39" s="143"/>
      <c r="M39" s="143"/>
      <c r="N39" s="143"/>
      <c r="O39" s="143"/>
      <c r="P39" s="543"/>
    </row>
    <row r="40" spans="1:16">
      <c r="A40" s="534"/>
      <c r="B40" s="143"/>
      <c r="C40" s="143"/>
      <c r="D40" s="143"/>
      <c r="E40" s="143"/>
      <c r="F40" s="543"/>
      <c r="G40" s="143"/>
      <c r="H40" s="143"/>
      <c r="I40" s="143"/>
      <c r="J40" s="143"/>
      <c r="K40" s="543"/>
      <c r="L40" s="143"/>
      <c r="M40" s="143"/>
      <c r="N40" s="143"/>
      <c r="O40" s="143"/>
      <c r="P40" s="543"/>
    </row>
    <row r="41" spans="1:16">
      <c r="A41" s="534"/>
      <c r="B41" s="143"/>
      <c r="C41" s="143"/>
      <c r="D41" s="143"/>
      <c r="E41" s="143"/>
      <c r="F41" s="543"/>
      <c r="G41" s="143"/>
      <c r="H41" s="143"/>
      <c r="I41" s="143"/>
      <c r="J41" s="143"/>
      <c r="K41" s="543"/>
      <c r="L41" s="143"/>
      <c r="M41" s="143"/>
      <c r="N41" s="143"/>
      <c r="O41" s="143"/>
      <c r="P41" s="543"/>
    </row>
    <row r="42" spans="1:16">
      <c r="A42" s="534"/>
      <c r="B42" s="143"/>
      <c r="C42" s="143"/>
      <c r="D42" s="143"/>
      <c r="E42" s="143"/>
      <c r="F42" s="543"/>
      <c r="G42" s="143"/>
      <c r="H42" s="143"/>
      <c r="I42" s="143"/>
      <c r="J42" s="143"/>
      <c r="K42" s="543"/>
      <c r="L42" s="143"/>
      <c r="M42" s="143"/>
      <c r="N42" s="143"/>
      <c r="O42" s="143"/>
      <c r="P42" s="543"/>
    </row>
    <row r="43" spans="1:16">
      <c r="A43" s="534"/>
      <c r="B43" s="143"/>
      <c r="C43" s="143"/>
      <c r="D43" s="143"/>
      <c r="E43" s="143"/>
      <c r="F43" s="543"/>
      <c r="G43" s="143"/>
      <c r="H43" s="143"/>
      <c r="I43" s="143"/>
      <c r="J43" s="143"/>
      <c r="K43" s="543"/>
      <c r="L43" s="143"/>
      <c r="M43" s="143"/>
      <c r="N43" s="143"/>
      <c r="O43" s="143"/>
      <c r="P43" s="543"/>
    </row>
    <row r="44" spans="1:16">
      <c r="A44" s="534"/>
      <c r="B44" s="143"/>
      <c r="C44" s="143"/>
      <c r="D44" s="143"/>
      <c r="E44" s="143"/>
      <c r="F44" s="543"/>
      <c r="G44" s="143"/>
      <c r="H44" s="143"/>
      <c r="I44" s="143"/>
      <c r="J44" s="143"/>
      <c r="K44" s="543"/>
      <c r="L44" s="143"/>
      <c r="M44" s="143"/>
      <c r="N44" s="143"/>
      <c r="O44" s="143"/>
      <c r="P44" s="543"/>
    </row>
    <row r="45" spans="1:16">
      <c r="A45" s="534"/>
      <c r="B45" s="143"/>
      <c r="C45" s="143"/>
      <c r="D45" s="143"/>
      <c r="E45" s="143"/>
      <c r="F45" s="543"/>
      <c r="G45" s="143"/>
      <c r="H45" s="143"/>
      <c r="I45" s="143"/>
      <c r="J45" s="143"/>
      <c r="K45" s="543"/>
      <c r="L45" s="143"/>
      <c r="M45" s="143"/>
      <c r="N45" s="143"/>
      <c r="O45" s="143"/>
      <c r="P45" s="543"/>
    </row>
    <row r="46" spans="1:16">
      <c r="A46" s="534"/>
      <c r="B46" s="143"/>
      <c r="C46" s="143"/>
      <c r="D46" s="143"/>
      <c r="E46" s="143"/>
      <c r="F46" s="543"/>
      <c r="G46" s="143"/>
      <c r="H46" s="143"/>
      <c r="I46" s="143"/>
      <c r="J46" s="143"/>
      <c r="K46" s="543"/>
      <c r="L46" s="143"/>
      <c r="M46" s="143"/>
      <c r="N46" s="143"/>
      <c r="O46" s="143"/>
      <c r="P46" s="543"/>
    </row>
    <row r="47" spans="1:16">
      <c r="A47" s="2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spans="1:16">
      <c r="A48" s="2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spans="1:16">
      <c r="A49" s="153" t="s">
        <v>365</v>
      </c>
      <c r="B49" s="154" t="e">
        <f>#REF!/#REF!</f>
        <v>#REF!</v>
      </c>
      <c r="C49" s="154"/>
      <c r="D49" s="154"/>
      <c r="E49" s="154" t="e">
        <f>#REF!/#REF!</f>
        <v>#REF!</v>
      </c>
      <c r="F49" s="537">
        <f>SUM(F5:F46)</f>
        <v>86806</v>
      </c>
      <c r="G49" s="154" t="e">
        <f>#REF!/#REF!</f>
        <v>#REF!</v>
      </c>
      <c r="H49" s="154"/>
      <c r="I49" s="154"/>
      <c r="J49" s="154" t="e">
        <f>#REF!/#REF!</f>
        <v>#REF!</v>
      </c>
      <c r="K49" s="154">
        <f>SUM(K5:K46)</f>
        <v>126893</v>
      </c>
      <c r="L49" s="154" t="e">
        <f>#REF!/#REF!</f>
        <v>#REF!</v>
      </c>
      <c r="M49" s="154"/>
      <c r="N49" s="154"/>
      <c r="O49" s="154" t="e">
        <f>#REF!/#REF!</f>
        <v>#REF!</v>
      </c>
      <c r="P49" s="154">
        <f>SUM(P5:P46)</f>
        <v>2745</v>
      </c>
    </row>
    <row r="50" spans="1:16">
      <c r="A50" s="226" t="s">
        <v>366</v>
      </c>
      <c r="B50" s="228"/>
      <c r="C50" s="228"/>
      <c r="D50" s="228"/>
      <c r="E50" s="228"/>
      <c r="F50" s="538"/>
      <c r="G50" s="228"/>
      <c r="H50" s="228"/>
      <c r="I50" s="228"/>
      <c r="J50" s="228"/>
      <c r="K50" s="228">
        <v>160</v>
      </c>
      <c r="L50" s="228"/>
      <c r="M50" s="228"/>
      <c r="N50" s="228"/>
      <c r="O50" s="228"/>
      <c r="P50" s="228">
        <v>160</v>
      </c>
    </row>
    <row r="51" spans="1:16">
      <c r="A51" s="230" t="s">
        <v>367</v>
      </c>
      <c r="B51" s="232"/>
      <c r="C51" s="232"/>
      <c r="D51" s="232"/>
      <c r="E51" s="232"/>
      <c r="F51" s="539">
        <f>F50-F49</f>
        <v>-86806</v>
      </c>
      <c r="G51" s="232"/>
      <c r="H51" s="232"/>
      <c r="I51" s="232"/>
      <c r="J51" s="232"/>
      <c r="K51" s="232">
        <f>K50-K49</f>
        <v>-126733</v>
      </c>
      <c r="L51" s="232"/>
      <c r="M51" s="232"/>
      <c r="N51" s="232"/>
      <c r="O51" s="232"/>
      <c r="P51" s="232">
        <f>P50-P49</f>
        <v>-2585</v>
      </c>
    </row>
    <row r="52" spans="1:16">
      <c r="A52" s="2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spans="1:16">
      <c r="A53" s="2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</row>
    <row r="54" spans="1:16">
      <c r="A54" s="2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</row>
    <row r="55" spans="1:16">
      <c r="A55" s="2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</row>
    <row r="56" spans="1:16">
      <c r="A56" s="2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 spans="1:16">
      <c r="A57" s="2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</row>
    <row r="58" spans="1:16">
      <c r="A58" s="2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spans="1:16">
      <c r="A59" s="2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</row>
    <row r="60" spans="1:16">
      <c r="A60" s="2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 spans="1:16">
      <c r="A61" s="2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 spans="1:16">
      <c r="A62" s="2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spans="1:16">
      <c r="A63" s="2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spans="1:16">
      <c r="A64" s="2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</row>
    <row r="65" spans="1:16">
      <c r="A65" s="2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spans="1:16">
      <c r="A66" s="23"/>
      <c r="B66" s="13"/>
      <c r="C66" s="13"/>
      <c r="D66" s="13"/>
      <c r="E66" s="13"/>
      <c r="F66" s="1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FC9A-88B6-4710-BFB0-D4D9D4434017}">
  <dimension ref="A1:O745"/>
  <sheetViews>
    <sheetView workbookViewId="0">
      <pane ySplit="3" topLeftCell="A27" activePane="bottomLeft" state="frozen"/>
      <selection pane="bottomLeft" activeCell="A47" sqref="A47"/>
    </sheetView>
  </sheetViews>
  <sheetFormatPr defaultColWidth="11" defaultRowHeight="14"/>
  <cols>
    <col min="1" max="1" width="20.5" style="576" customWidth="1"/>
    <col min="4" max="4" width="8.5" customWidth="1"/>
    <col min="5" max="5" width="8.83203125" customWidth="1"/>
    <col min="7" max="7" width="16.5" customWidth="1"/>
    <col min="8" max="8" width="8.5" customWidth="1"/>
    <col min="9" max="9" width="15" customWidth="1"/>
    <col min="10" max="10" width="11.83203125" customWidth="1"/>
    <col min="11" max="11" width="15.33203125" customWidth="1"/>
    <col min="12" max="12" width="9.33203125" customWidth="1"/>
    <col min="13" max="13" width="12.5" style="576" customWidth="1"/>
    <col min="14" max="14" width="13" customWidth="1"/>
    <col min="15" max="15" width="12.5" customWidth="1"/>
  </cols>
  <sheetData>
    <row r="1" spans="1:15" ht="20.5" thickBot="1">
      <c r="A1" s="570" t="s">
        <v>368</v>
      </c>
      <c r="B1" s="57"/>
      <c r="C1" s="58"/>
      <c r="D1" s="57"/>
      <c r="E1" s="57"/>
      <c r="F1" s="57"/>
      <c r="G1" s="57"/>
      <c r="H1" s="57"/>
      <c r="I1" s="57"/>
      <c r="J1" s="57"/>
      <c r="K1" s="57"/>
      <c r="L1" s="57"/>
      <c r="M1" s="583"/>
      <c r="N1" s="583"/>
      <c r="O1" s="583"/>
    </row>
    <row r="2" spans="1:15" ht="20.5">
      <c r="A2" s="571"/>
      <c r="B2" s="60"/>
      <c r="C2" s="60"/>
      <c r="D2" s="61"/>
      <c r="E2" s="61"/>
      <c r="F2" s="61"/>
      <c r="G2" s="61"/>
      <c r="H2" s="577" t="s">
        <v>369</v>
      </c>
      <c r="I2" s="61"/>
      <c r="J2" s="61"/>
      <c r="K2" s="61"/>
      <c r="L2" s="61"/>
      <c r="M2" s="584"/>
      <c r="N2" s="584"/>
      <c r="O2" s="584"/>
    </row>
    <row r="3" spans="1:15" ht="37.5">
      <c r="A3" s="572" t="s">
        <v>319</v>
      </c>
      <c r="B3" s="141" t="s">
        <v>370</v>
      </c>
      <c r="C3" s="37" t="s">
        <v>371</v>
      </c>
      <c r="D3" s="38" t="s">
        <v>372</v>
      </c>
      <c r="E3" s="38" t="s">
        <v>373</v>
      </c>
      <c r="F3" s="38"/>
      <c r="G3" s="38" t="s">
        <v>374</v>
      </c>
      <c r="H3" s="31" t="s">
        <v>375</v>
      </c>
      <c r="I3" s="31" t="s">
        <v>376</v>
      </c>
      <c r="J3" s="31" t="s">
        <v>377</v>
      </c>
      <c r="K3" s="31" t="s">
        <v>28</v>
      </c>
      <c r="L3" s="578" t="s">
        <v>27</v>
      </c>
      <c r="M3" s="585" t="s">
        <v>378</v>
      </c>
      <c r="N3" s="585" t="s">
        <v>379</v>
      </c>
      <c r="O3" s="585" t="s">
        <v>380</v>
      </c>
    </row>
    <row r="4" spans="1:15" ht="15.5">
      <c r="A4" s="573" t="s">
        <v>330</v>
      </c>
      <c r="B4" s="142"/>
      <c r="C4" s="29"/>
      <c r="D4" s="31"/>
      <c r="E4" s="31"/>
      <c r="F4" s="31"/>
      <c r="G4" s="31"/>
      <c r="H4" s="31"/>
      <c r="I4" s="31"/>
      <c r="J4" s="31"/>
      <c r="K4" s="31"/>
      <c r="L4" s="578"/>
      <c r="M4" s="585"/>
      <c r="N4" s="585"/>
      <c r="O4" s="585"/>
    </row>
    <row r="5" spans="1:15">
      <c r="A5" s="574" t="s">
        <v>381</v>
      </c>
      <c r="B5" s="383"/>
      <c r="C5" s="265"/>
      <c r="D5" s="383"/>
      <c r="E5" s="383"/>
      <c r="F5" s="382"/>
      <c r="G5" s="383"/>
      <c r="H5" s="382"/>
      <c r="I5" s="382"/>
      <c r="J5" s="382"/>
      <c r="K5" s="382"/>
      <c r="L5" s="579"/>
      <c r="M5" s="586"/>
      <c r="N5" s="586"/>
      <c r="O5" s="586"/>
    </row>
    <row r="6" spans="1:15">
      <c r="A6" s="574">
        <v>45901</v>
      </c>
      <c r="B6" s="383"/>
      <c r="C6" s="265" t="e">
        <f>(B6-#REF!)/#REF!</f>
        <v>#REF!</v>
      </c>
      <c r="D6" s="382"/>
      <c r="E6" s="382"/>
      <c r="F6" s="265" t="e">
        <f>(E6-#REF!)/#REF!</f>
        <v>#REF!</v>
      </c>
      <c r="G6" s="382"/>
      <c r="H6" s="382"/>
      <c r="I6" s="382"/>
      <c r="J6" s="382"/>
      <c r="K6" s="382"/>
      <c r="L6" s="579"/>
      <c r="M6" s="586"/>
      <c r="N6" s="586"/>
      <c r="O6" s="586"/>
    </row>
    <row r="7" spans="1:15">
      <c r="A7" s="574">
        <v>45908</v>
      </c>
      <c r="B7" s="382"/>
      <c r="C7" s="265" t="e">
        <f t="shared" ref="C7:C38" si="0">(B7-B6)/B6</f>
        <v>#DIV/0!</v>
      </c>
      <c r="D7" s="382"/>
      <c r="E7" s="382"/>
      <c r="F7" s="265" t="e">
        <f t="shared" ref="F7:F38" si="1">(E7-E6)/E6</f>
        <v>#DIV/0!</v>
      </c>
      <c r="G7" s="382"/>
      <c r="H7" s="382"/>
      <c r="I7" s="382"/>
      <c r="J7" s="382"/>
      <c r="K7" s="382"/>
      <c r="L7" s="579"/>
      <c r="M7" s="586"/>
      <c r="N7" s="586"/>
      <c r="O7" s="586"/>
    </row>
    <row r="8" spans="1:15">
      <c r="A8" s="574">
        <v>45915</v>
      </c>
      <c r="B8" s="383"/>
      <c r="C8" s="265" t="e">
        <f t="shared" si="0"/>
        <v>#DIV/0!</v>
      </c>
      <c r="D8" s="382"/>
      <c r="E8" s="382"/>
      <c r="F8" s="265" t="e">
        <f t="shared" si="1"/>
        <v>#DIV/0!</v>
      </c>
      <c r="G8" s="382"/>
      <c r="H8" s="382"/>
      <c r="I8" s="382"/>
      <c r="J8" s="382"/>
      <c r="K8" s="382"/>
      <c r="L8" s="579"/>
      <c r="M8" s="586"/>
      <c r="N8" s="586"/>
      <c r="O8" s="586"/>
    </row>
    <row r="9" spans="1:15">
      <c r="A9" s="574">
        <v>45922</v>
      </c>
      <c r="B9" s="383"/>
      <c r="C9" s="265" t="e">
        <f t="shared" si="0"/>
        <v>#DIV/0!</v>
      </c>
      <c r="D9" s="382"/>
      <c r="E9" s="382"/>
      <c r="F9" s="265" t="e">
        <f t="shared" si="1"/>
        <v>#DIV/0!</v>
      </c>
      <c r="G9" s="382"/>
      <c r="H9" s="382"/>
      <c r="I9" s="382"/>
      <c r="J9" s="382"/>
      <c r="K9" s="382"/>
      <c r="L9" s="579"/>
      <c r="M9" s="586"/>
      <c r="N9" s="586"/>
      <c r="O9" s="586"/>
    </row>
    <row r="10" spans="1:15">
      <c r="A10" s="574">
        <v>45929</v>
      </c>
      <c r="B10" s="548">
        <v>2099</v>
      </c>
      <c r="C10" s="265" t="e">
        <f t="shared" si="0"/>
        <v>#DIV/0!</v>
      </c>
      <c r="D10" s="549">
        <v>2338</v>
      </c>
      <c r="E10" s="382">
        <v>235</v>
      </c>
      <c r="F10" s="265" t="e">
        <f t="shared" si="1"/>
        <v>#DIV/0!</v>
      </c>
      <c r="G10" s="549">
        <v>22</v>
      </c>
      <c r="H10" s="382">
        <v>78</v>
      </c>
      <c r="I10" s="382">
        <v>374</v>
      </c>
      <c r="J10" s="382">
        <v>1419</v>
      </c>
      <c r="K10" s="382">
        <v>2</v>
      </c>
      <c r="L10" s="579">
        <v>224</v>
      </c>
      <c r="M10" s="586">
        <v>2</v>
      </c>
      <c r="N10" s="586"/>
      <c r="O10" s="586"/>
    </row>
    <row r="11" spans="1:15">
      <c r="A11" s="574">
        <v>45936</v>
      </c>
      <c r="B11" s="550">
        <v>2453</v>
      </c>
      <c r="C11" s="551">
        <f t="shared" si="0"/>
        <v>0.1686517389232968</v>
      </c>
      <c r="D11" s="550">
        <v>2735</v>
      </c>
      <c r="E11" s="382">
        <v>281</v>
      </c>
      <c r="F11" s="551">
        <f t="shared" si="1"/>
        <v>0.19574468085106383</v>
      </c>
      <c r="G11" s="550">
        <v>22</v>
      </c>
      <c r="H11" s="382">
        <v>89</v>
      </c>
      <c r="I11" s="382">
        <v>361</v>
      </c>
      <c r="J11" s="382">
        <v>1627</v>
      </c>
      <c r="K11" s="382">
        <v>8</v>
      </c>
      <c r="L11" s="579">
        <v>356</v>
      </c>
      <c r="M11" s="586">
        <v>12</v>
      </c>
      <c r="N11" s="586"/>
      <c r="O11" s="586"/>
    </row>
    <row r="12" spans="1:15">
      <c r="A12" s="574">
        <v>45943</v>
      </c>
      <c r="B12" s="550">
        <v>4602</v>
      </c>
      <c r="C12" s="551">
        <f t="shared" si="0"/>
        <v>0.87607011822258463</v>
      </c>
      <c r="D12" s="550">
        <v>4869</v>
      </c>
      <c r="E12" s="382">
        <v>318</v>
      </c>
      <c r="F12" s="551">
        <f t="shared" si="1"/>
        <v>0.13167259786476868</v>
      </c>
      <c r="G12" s="550">
        <v>22</v>
      </c>
      <c r="H12" s="382">
        <v>103</v>
      </c>
      <c r="I12" s="382">
        <v>430</v>
      </c>
      <c r="J12" s="382">
        <v>1857</v>
      </c>
      <c r="K12" s="382">
        <v>8</v>
      </c>
      <c r="L12" s="579">
        <v>2195</v>
      </c>
      <c r="M12" s="586">
        <v>9</v>
      </c>
      <c r="N12" s="586"/>
      <c r="O12" s="586"/>
    </row>
    <row r="13" spans="1:15">
      <c r="A13" s="574">
        <v>45950</v>
      </c>
      <c r="B13" s="550">
        <v>1592</v>
      </c>
      <c r="C13" s="551">
        <f t="shared" si="0"/>
        <v>-0.65406345067362015</v>
      </c>
      <c r="D13" s="550">
        <v>1914</v>
      </c>
      <c r="E13" s="382">
        <v>391</v>
      </c>
      <c r="F13" s="551">
        <f t="shared" si="1"/>
        <v>0.22955974842767296</v>
      </c>
      <c r="G13" s="550">
        <v>62</v>
      </c>
      <c r="H13" s="382">
        <v>98</v>
      </c>
      <c r="I13" s="382">
        <v>528</v>
      </c>
      <c r="J13" s="382">
        <v>583</v>
      </c>
      <c r="K13" s="382">
        <v>16</v>
      </c>
      <c r="L13" s="579">
        <v>358</v>
      </c>
      <c r="M13" s="586">
        <v>6</v>
      </c>
      <c r="N13" s="586"/>
      <c r="O13" s="586"/>
    </row>
    <row r="14" spans="1:15">
      <c r="A14" s="574">
        <v>45957</v>
      </c>
      <c r="B14" s="550">
        <v>1307</v>
      </c>
      <c r="C14" s="551">
        <f t="shared" si="0"/>
        <v>-0.17902010050251257</v>
      </c>
      <c r="D14" s="550">
        <v>1703</v>
      </c>
      <c r="E14" s="382">
        <v>498</v>
      </c>
      <c r="F14" s="551">
        <f t="shared" si="1"/>
        <v>0.27365728900255754</v>
      </c>
      <c r="G14" s="550">
        <v>96</v>
      </c>
      <c r="H14" s="382">
        <v>87</v>
      </c>
      <c r="I14" s="382">
        <v>644</v>
      </c>
      <c r="J14" s="382">
        <v>453</v>
      </c>
      <c r="K14" s="382">
        <v>15</v>
      </c>
      <c r="L14" s="579">
        <v>78</v>
      </c>
      <c r="M14" s="586">
        <v>30</v>
      </c>
      <c r="N14" s="586"/>
      <c r="O14" s="586"/>
    </row>
    <row r="15" spans="1:15">
      <c r="A15" s="574">
        <v>45964</v>
      </c>
      <c r="B15" s="550">
        <v>2636</v>
      </c>
      <c r="C15" s="551">
        <f t="shared" si="0"/>
        <v>1.016832440703902</v>
      </c>
      <c r="D15" s="550">
        <v>2010</v>
      </c>
      <c r="E15" s="382">
        <v>911</v>
      </c>
      <c r="F15" s="551">
        <f t="shared" si="1"/>
        <v>0.82931726907630521</v>
      </c>
      <c r="G15" s="550">
        <v>209</v>
      </c>
      <c r="H15" s="382">
        <v>119</v>
      </c>
      <c r="I15" s="382">
        <v>877</v>
      </c>
      <c r="J15" s="382">
        <v>827</v>
      </c>
      <c r="K15" s="382">
        <v>2</v>
      </c>
      <c r="L15" s="579">
        <v>165</v>
      </c>
      <c r="M15" s="586">
        <v>18</v>
      </c>
      <c r="N15" s="586"/>
      <c r="O15" s="586"/>
    </row>
    <row r="16" spans="1:15">
      <c r="A16" s="574">
        <v>45971</v>
      </c>
      <c r="B16" s="550">
        <v>4420</v>
      </c>
      <c r="C16" s="551">
        <f t="shared" si="0"/>
        <v>0.67678300455235207</v>
      </c>
      <c r="D16" s="550">
        <v>5876</v>
      </c>
      <c r="E16" s="382">
        <v>2549</v>
      </c>
      <c r="F16" s="551">
        <f t="shared" si="1"/>
        <v>1.7980241492864983</v>
      </c>
      <c r="G16" s="550">
        <v>490</v>
      </c>
      <c r="H16" s="382">
        <v>180</v>
      </c>
      <c r="I16" s="382">
        <v>1633</v>
      </c>
      <c r="J16" s="382">
        <v>2184</v>
      </c>
      <c r="K16" s="382">
        <v>6</v>
      </c>
      <c r="L16" s="579">
        <v>398</v>
      </c>
      <c r="M16" s="586">
        <v>19</v>
      </c>
      <c r="N16" s="586"/>
      <c r="O16" s="586"/>
    </row>
    <row r="17" spans="1:15">
      <c r="A17" s="574">
        <v>45978</v>
      </c>
      <c r="B17" s="550">
        <v>2554</v>
      </c>
      <c r="C17" s="551">
        <f t="shared" si="0"/>
        <v>-0.42217194570135747</v>
      </c>
      <c r="D17" s="550">
        <v>4055</v>
      </c>
      <c r="E17" s="382">
        <v>1844</v>
      </c>
      <c r="F17" s="551">
        <f t="shared" si="1"/>
        <v>-0.27657905060808158</v>
      </c>
      <c r="G17" s="550">
        <v>491</v>
      </c>
      <c r="H17" s="382">
        <v>140</v>
      </c>
      <c r="I17" s="382">
        <v>955</v>
      </c>
      <c r="J17" s="382">
        <v>1079</v>
      </c>
      <c r="K17" s="382">
        <v>6</v>
      </c>
      <c r="L17" s="579">
        <v>361</v>
      </c>
      <c r="M17" s="586">
        <v>13</v>
      </c>
      <c r="N17" s="586"/>
      <c r="O17" s="586"/>
    </row>
    <row r="18" spans="1:15">
      <c r="A18" s="574">
        <v>45985</v>
      </c>
      <c r="B18" s="550">
        <v>860</v>
      </c>
      <c r="C18" s="551">
        <f t="shared" si="0"/>
        <v>-0.66327329678934999</v>
      </c>
      <c r="D18" s="550">
        <v>1326</v>
      </c>
      <c r="E18" s="382">
        <v>382</v>
      </c>
      <c r="F18" s="551">
        <f t="shared" si="1"/>
        <v>-0.79284164859002171</v>
      </c>
      <c r="G18" s="550">
        <v>49</v>
      </c>
      <c r="H18" s="382">
        <v>86</v>
      </c>
      <c r="I18" s="382">
        <v>305</v>
      </c>
      <c r="J18" s="382">
        <v>435</v>
      </c>
      <c r="K18" s="382">
        <v>9</v>
      </c>
      <c r="L18" s="579">
        <v>6</v>
      </c>
      <c r="M18" s="586">
        <v>17</v>
      </c>
      <c r="N18" s="586"/>
      <c r="O18" s="586"/>
    </row>
    <row r="19" spans="1:15">
      <c r="A19" s="574">
        <v>45992</v>
      </c>
      <c r="B19" s="550">
        <v>1103</v>
      </c>
      <c r="C19" s="551">
        <f t="shared" si="0"/>
        <v>0.28255813953488373</v>
      </c>
      <c r="D19" s="550">
        <v>1481</v>
      </c>
      <c r="E19" s="382">
        <v>392</v>
      </c>
      <c r="F19" s="551">
        <f t="shared" si="1"/>
        <v>2.6178010471204188E-2</v>
      </c>
      <c r="G19" s="550">
        <v>38</v>
      </c>
      <c r="H19" s="382">
        <v>88</v>
      </c>
      <c r="I19" s="382">
        <v>384</v>
      </c>
      <c r="J19" s="382">
        <v>337</v>
      </c>
      <c r="K19" s="382">
        <v>8</v>
      </c>
      <c r="L19" s="579">
        <v>278</v>
      </c>
      <c r="M19" s="586">
        <v>8</v>
      </c>
      <c r="N19" s="586"/>
      <c r="O19" s="586"/>
    </row>
    <row r="20" spans="1:15">
      <c r="A20" s="574">
        <v>45999</v>
      </c>
      <c r="B20" s="550">
        <v>818</v>
      </c>
      <c r="C20" s="551">
        <f t="shared" si="0"/>
        <v>-0.25838621940163192</v>
      </c>
      <c r="D20" s="550">
        <v>1171</v>
      </c>
      <c r="E20" s="382">
        <v>349</v>
      </c>
      <c r="F20" s="551">
        <f t="shared" si="1"/>
        <v>-0.10969387755102041</v>
      </c>
      <c r="G20" s="550">
        <v>41</v>
      </c>
      <c r="H20" s="382">
        <v>88</v>
      </c>
      <c r="I20" s="382">
        <v>369</v>
      </c>
      <c r="J20" s="382">
        <v>348</v>
      </c>
      <c r="K20" s="382">
        <v>5</v>
      </c>
      <c r="L20" s="579">
        <v>3</v>
      </c>
      <c r="M20" s="586">
        <v>5</v>
      </c>
      <c r="N20" s="586"/>
      <c r="O20" s="586"/>
    </row>
    <row r="21" spans="1:15">
      <c r="A21" s="574">
        <v>46006</v>
      </c>
      <c r="B21" s="550">
        <v>1319</v>
      </c>
      <c r="C21" s="551">
        <f t="shared" si="0"/>
        <v>0.6124694376528117</v>
      </c>
      <c r="D21" s="550">
        <v>1629</v>
      </c>
      <c r="E21" s="382">
        <v>330</v>
      </c>
      <c r="F21" s="551">
        <f t="shared" si="1"/>
        <v>-5.4441260744985676E-2</v>
      </c>
      <c r="G21" s="550">
        <v>31</v>
      </c>
      <c r="H21" s="382">
        <v>108</v>
      </c>
      <c r="I21" s="382">
        <v>310</v>
      </c>
      <c r="J21" s="382">
        <v>382</v>
      </c>
      <c r="K21" s="382">
        <v>12</v>
      </c>
      <c r="L21" s="579">
        <v>423</v>
      </c>
      <c r="M21" s="586">
        <v>6</v>
      </c>
      <c r="N21" s="586"/>
      <c r="O21" s="586"/>
    </row>
    <row r="22" spans="1:15">
      <c r="A22" s="442">
        <v>46013</v>
      </c>
      <c r="B22" s="550">
        <v>573</v>
      </c>
      <c r="C22" s="551">
        <f t="shared" si="0"/>
        <v>-0.56557998483699767</v>
      </c>
      <c r="D22" s="550">
        <v>708</v>
      </c>
      <c r="E22" s="382">
        <v>138</v>
      </c>
      <c r="F22" s="551">
        <f t="shared" si="1"/>
        <v>-0.58181818181818179</v>
      </c>
      <c r="G22" s="550">
        <v>37</v>
      </c>
      <c r="H22" s="382">
        <v>68</v>
      </c>
      <c r="I22" s="382">
        <v>193</v>
      </c>
      <c r="J22" s="382">
        <v>252</v>
      </c>
      <c r="K22" s="382">
        <v>6</v>
      </c>
      <c r="L22" s="579">
        <v>22</v>
      </c>
      <c r="M22" s="586">
        <v>1</v>
      </c>
      <c r="N22" s="586"/>
      <c r="O22" s="586"/>
    </row>
    <row r="23" spans="1:15">
      <c r="A23" s="442">
        <v>46020</v>
      </c>
      <c r="B23" s="582">
        <v>629</v>
      </c>
      <c r="C23" s="551">
        <f t="shared" si="0"/>
        <v>9.7731239092495634E-2</v>
      </c>
      <c r="D23" s="550">
        <v>792</v>
      </c>
      <c r="E23" s="382">
        <v>157</v>
      </c>
      <c r="F23" s="551">
        <f t="shared" si="1"/>
        <v>0.13768115942028986</v>
      </c>
      <c r="G23" s="550">
        <v>40</v>
      </c>
      <c r="H23" s="382">
        <v>76</v>
      </c>
      <c r="I23" s="382">
        <v>273</v>
      </c>
      <c r="J23" s="382">
        <v>270</v>
      </c>
      <c r="K23" s="382">
        <v>3</v>
      </c>
      <c r="L23" s="579">
        <v>6</v>
      </c>
      <c r="M23" s="586">
        <v>1</v>
      </c>
      <c r="N23" s="586"/>
      <c r="O23" s="586"/>
    </row>
    <row r="24" spans="1:15">
      <c r="A24" s="25">
        <v>46027</v>
      </c>
      <c r="B24" s="582">
        <v>2199</v>
      </c>
      <c r="C24" s="551">
        <f t="shared" si="0"/>
        <v>2.4960254372019079</v>
      </c>
      <c r="D24" s="550">
        <v>2564</v>
      </c>
      <c r="E24" s="382">
        <v>490</v>
      </c>
      <c r="F24" s="551">
        <f t="shared" si="1"/>
        <v>2.121019108280255</v>
      </c>
      <c r="G24" s="550">
        <v>48</v>
      </c>
      <c r="H24" s="382">
        <v>236</v>
      </c>
      <c r="I24" s="382">
        <v>658</v>
      </c>
      <c r="J24" s="382">
        <v>655</v>
      </c>
      <c r="K24" s="382">
        <v>0</v>
      </c>
      <c r="L24" s="579">
        <v>626</v>
      </c>
      <c r="M24" s="586">
        <v>12</v>
      </c>
      <c r="N24" s="586"/>
      <c r="O24" s="586"/>
    </row>
    <row r="25" spans="1:15">
      <c r="A25" s="25">
        <v>46034</v>
      </c>
      <c r="B25" s="582">
        <v>3002</v>
      </c>
      <c r="C25" s="551">
        <f t="shared" si="0"/>
        <v>0.36516598453842658</v>
      </c>
      <c r="D25" s="550">
        <v>3449</v>
      </c>
      <c r="E25" s="382">
        <v>591</v>
      </c>
      <c r="F25" s="551">
        <f t="shared" si="1"/>
        <v>0.20612244897959184</v>
      </c>
      <c r="G25" s="550">
        <v>45</v>
      </c>
      <c r="H25" s="382">
        <v>214</v>
      </c>
      <c r="I25" s="382">
        <v>729</v>
      </c>
      <c r="J25" s="382">
        <v>657</v>
      </c>
      <c r="K25" s="382">
        <v>4</v>
      </c>
      <c r="L25" s="579">
        <v>1379</v>
      </c>
      <c r="M25" s="586">
        <v>11</v>
      </c>
      <c r="N25" s="586"/>
      <c r="O25" s="586"/>
    </row>
    <row r="26" spans="1:15">
      <c r="A26" s="25">
        <v>46041</v>
      </c>
      <c r="B26" s="582">
        <v>1952</v>
      </c>
      <c r="C26" s="551">
        <f t="shared" si="0"/>
        <v>-0.34976682211858762</v>
      </c>
      <c r="D26" s="550">
        <v>2372</v>
      </c>
      <c r="E26" s="382">
        <v>491</v>
      </c>
      <c r="F26" s="551">
        <f t="shared" si="1"/>
        <v>-0.16920473773265651</v>
      </c>
      <c r="G26" s="550">
        <v>45</v>
      </c>
      <c r="H26" s="382">
        <v>167</v>
      </c>
      <c r="I26" s="382">
        <v>759</v>
      </c>
      <c r="J26" s="382">
        <v>101</v>
      </c>
      <c r="K26" s="382">
        <v>1</v>
      </c>
      <c r="L26" s="579">
        <v>572</v>
      </c>
      <c r="M26" s="586">
        <v>18</v>
      </c>
      <c r="N26" s="586"/>
      <c r="O26" s="586"/>
    </row>
    <row r="27" spans="1:15">
      <c r="A27" s="25">
        <v>46048</v>
      </c>
      <c r="B27" s="582">
        <v>3584</v>
      </c>
      <c r="C27" s="551">
        <f t="shared" si="0"/>
        <v>0.83606557377049184</v>
      </c>
      <c r="D27" s="550">
        <v>4123</v>
      </c>
      <c r="E27" s="382">
        <v>916</v>
      </c>
      <c r="F27" s="551">
        <f t="shared" si="1"/>
        <v>0.86558044806517309</v>
      </c>
      <c r="G27" s="550">
        <v>58</v>
      </c>
      <c r="H27" s="382">
        <v>166</v>
      </c>
      <c r="I27" s="382">
        <v>756</v>
      </c>
      <c r="J27" s="382">
        <v>659</v>
      </c>
      <c r="K27" s="382">
        <v>25</v>
      </c>
      <c r="L27" s="579">
        <v>991</v>
      </c>
      <c r="M27" s="586">
        <v>6</v>
      </c>
      <c r="N27" s="586"/>
      <c r="O27" s="586"/>
    </row>
    <row r="28" spans="1:15">
      <c r="A28" s="25">
        <v>46055</v>
      </c>
      <c r="B28" s="582">
        <v>4067</v>
      </c>
      <c r="C28" s="551">
        <f t="shared" si="0"/>
        <v>0.134765625</v>
      </c>
      <c r="D28" s="550">
        <v>4807</v>
      </c>
      <c r="E28" s="382">
        <v>938</v>
      </c>
      <c r="F28" s="551">
        <f t="shared" si="1"/>
        <v>2.4017467248908297E-2</v>
      </c>
      <c r="G28" s="550">
        <v>72</v>
      </c>
      <c r="H28" s="382">
        <v>157</v>
      </c>
      <c r="I28" s="382">
        <v>505</v>
      </c>
      <c r="J28" s="382">
        <v>752</v>
      </c>
      <c r="K28" s="382">
        <v>17</v>
      </c>
      <c r="L28" s="579">
        <v>1488</v>
      </c>
      <c r="M28" s="586">
        <v>38</v>
      </c>
      <c r="N28" s="586">
        <v>565</v>
      </c>
      <c r="O28" s="586">
        <v>514</v>
      </c>
    </row>
    <row r="29" spans="1:15">
      <c r="A29" s="25">
        <v>46062</v>
      </c>
      <c r="B29" s="582">
        <v>3554</v>
      </c>
      <c r="C29" s="551">
        <f t="shared" si="0"/>
        <v>-0.12613720186869928</v>
      </c>
      <c r="D29" s="550">
        <v>4365</v>
      </c>
      <c r="E29" s="382">
        <v>941</v>
      </c>
      <c r="F29" s="551">
        <f t="shared" si="1"/>
        <v>3.1982942430703624E-3</v>
      </c>
      <c r="G29" s="550">
        <v>80</v>
      </c>
      <c r="H29" s="382">
        <v>144</v>
      </c>
      <c r="I29" s="382">
        <v>552</v>
      </c>
      <c r="J29" s="382">
        <v>634</v>
      </c>
      <c r="K29" s="382">
        <v>12</v>
      </c>
      <c r="L29" s="579">
        <v>1411</v>
      </c>
      <c r="M29" s="586">
        <v>17</v>
      </c>
      <c r="N29" s="586">
        <v>398</v>
      </c>
      <c r="O29" s="586">
        <v>382</v>
      </c>
    </row>
    <row r="30" spans="1:15">
      <c r="A30" s="25">
        <v>46069</v>
      </c>
      <c r="B30" s="582">
        <v>3854</v>
      </c>
      <c r="C30" s="551">
        <f t="shared" si="0"/>
        <v>8.4411930219471021E-2</v>
      </c>
      <c r="D30" s="550">
        <v>5093</v>
      </c>
      <c r="E30" s="382">
        <v>1640</v>
      </c>
      <c r="F30" s="551">
        <f t="shared" si="1"/>
        <v>0.74282678002125402</v>
      </c>
      <c r="G30" s="550">
        <v>69</v>
      </c>
      <c r="H30" s="382">
        <v>265</v>
      </c>
      <c r="I30" s="382">
        <v>866</v>
      </c>
      <c r="J30" s="382">
        <v>1198</v>
      </c>
      <c r="K30" s="382">
        <v>22</v>
      </c>
      <c r="L30" s="579">
        <v>530</v>
      </c>
      <c r="M30" s="586">
        <v>9</v>
      </c>
      <c r="N30" s="586">
        <v>492</v>
      </c>
      <c r="O30" s="586">
        <v>461</v>
      </c>
    </row>
    <row r="31" spans="1:15">
      <c r="A31" s="25">
        <v>46076</v>
      </c>
      <c r="B31" s="582">
        <v>3242</v>
      </c>
      <c r="C31" s="551">
        <f t="shared" si="0"/>
        <v>-0.15879605604566685</v>
      </c>
      <c r="D31" s="550">
        <v>4389</v>
      </c>
      <c r="E31" s="382">
        <v>1413</v>
      </c>
      <c r="F31" s="551">
        <f t="shared" si="1"/>
        <v>-0.13841463414634148</v>
      </c>
      <c r="G31" s="550">
        <v>88</v>
      </c>
      <c r="H31" s="382">
        <v>276</v>
      </c>
      <c r="I31" s="382">
        <v>661</v>
      </c>
      <c r="J31" s="382">
        <v>1010</v>
      </c>
      <c r="K31" s="382">
        <v>19</v>
      </c>
      <c r="L31" s="579">
        <v>478</v>
      </c>
      <c r="M31" s="586">
        <v>9</v>
      </c>
      <c r="N31" s="586">
        <v>356</v>
      </c>
      <c r="O31" s="586">
        <v>425</v>
      </c>
    </row>
    <row r="32" spans="1:15">
      <c r="A32" s="25">
        <v>46083</v>
      </c>
      <c r="B32" s="582">
        <v>4418</v>
      </c>
      <c r="C32" s="551">
        <f t="shared" si="0"/>
        <v>0.36273904996915485</v>
      </c>
      <c r="D32" s="550">
        <v>5736</v>
      </c>
      <c r="E32" s="382">
        <v>1692</v>
      </c>
      <c r="F32" s="551">
        <f t="shared" si="1"/>
        <v>0.19745222929936307</v>
      </c>
      <c r="G32" s="550">
        <v>132</v>
      </c>
      <c r="H32" s="382">
        <v>285</v>
      </c>
      <c r="I32" s="382">
        <v>709</v>
      </c>
      <c r="J32" s="382">
        <v>1751</v>
      </c>
      <c r="K32" s="382">
        <v>33</v>
      </c>
      <c r="L32" s="579">
        <v>754</v>
      </c>
      <c r="M32" s="586">
        <v>11</v>
      </c>
      <c r="N32" s="586">
        <v>329</v>
      </c>
      <c r="O32" s="586">
        <v>537</v>
      </c>
    </row>
    <row r="33" spans="1:15">
      <c r="A33" s="25">
        <v>46090</v>
      </c>
      <c r="B33" s="582">
        <v>2291</v>
      </c>
      <c r="C33" s="551">
        <f t="shared" si="0"/>
        <v>-0.48143956541421457</v>
      </c>
      <c r="D33" s="550">
        <v>3277</v>
      </c>
      <c r="E33" s="382">
        <v>1035</v>
      </c>
      <c r="F33" s="551">
        <f t="shared" si="1"/>
        <v>-0.38829787234042551</v>
      </c>
      <c r="G33" s="550">
        <v>66</v>
      </c>
      <c r="H33" s="382">
        <v>145</v>
      </c>
      <c r="I33" s="382">
        <v>394</v>
      </c>
      <c r="J33" s="382">
        <v>838</v>
      </c>
      <c r="K33" s="382">
        <v>12</v>
      </c>
      <c r="L33" s="579">
        <v>70</v>
      </c>
      <c r="M33" s="586">
        <v>8</v>
      </c>
      <c r="N33" s="586">
        <v>246</v>
      </c>
      <c r="O33" s="586">
        <v>553</v>
      </c>
    </row>
    <row r="34" spans="1:15">
      <c r="A34" s="25">
        <v>46097</v>
      </c>
      <c r="B34" s="582">
        <v>2574</v>
      </c>
      <c r="C34" s="551">
        <f t="shared" si="0"/>
        <v>0.12352684417285029</v>
      </c>
      <c r="D34" s="550">
        <v>3474</v>
      </c>
      <c r="E34" s="382">
        <v>960</v>
      </c>
      <c r="F34" s="551">
        <f t="shared" si="1"/>
        <v>-7.2463768115942032E-2</v>
      </c>
      <c r="G34" s="550">
        <v>57</v>
      </c>
      <c r="H34" s="549">
        <v>197</v>
      </c>
      <c r="I34" s="549">
        <v>334</v>
      </c>
      <c r="J34" s="549">
        <v>798</v>
      </c>
      <c r="K34" s="549">
        <v>8</v>
      </c>
      <c r="L34" s="580">
        <v>365</v>
      </c>
      <c r="M34" s="587">
        <v>22</v>
      </c>
      <c r="N34" s="587">
        <v>299</v>
      </c>
      <c r="O34" s="587">
        <v>544</v>
      </c>
    </row>
    <row r="35" spans="1:15">
      <c r="A35" s="25">
        <v>46104</v>
      </c>
      <c r="B35" s="582">
        <v>2099</v>
      </c>
      <c r="C35" s="551">
        <f t="shared" si="0"/>
        <v>-0.18453768453768454</v>
      </c>
      <c r="D35" s="550">
        <v>2985</v>
      </c>
      <c r="E35" s="382">
        <v>982</v>
      </c>
      <c r="F35" s="551">
        <f t="shared" si="1"/>
        <v>2.2916666666666665E-2</v>
      </c>
      <c r="G35" s="550">
        <v>62</v>
      </c>
      <c r="H35" s="550">
        <v>229</v>
      </c>
      <c r="I35" s="550">
        <v>432</v>
      </c>
      <c r="J35" s="550">
        <v>616</v>
      </c>
      <c r="K35" s="550">
        <v>14</v>
      </c>
      <c r="L35" s="581">
        <v>89</v>
      </c>
      <c r="M35" s="550">
        <v>20</v>
      </c>
      <c r="N35" s="550">
        <v>276</v>
      </c>
      <c r="O35" s="550">
        <v>417</v>
      </c>
    </row>
    <row r="36" spans="1:15">
      <c r="A36" s="25">
        <v>46111</v>
      </c>
      <c r="B36" s="582">
        <v>3588</v>
      </c>
      <c r="C36" s="551">
        <f t="shared" si="0"/>
        <v>0.70938542162934726</v>
      </c>
      <c r="D36" s="550">
        <v>4440</v>
      </c>
      <c r="E36" s="382">
        <v>966</v>
      </c>
      <c r="F36" s="551">
        <f t="shared" si="1"/>
        <v>-1.6293279022403257E-2</v>
      </c>
      <c r="G36" s="550">
        <v>46</v>
      </c>
      <c r="H36" s="550">
        <v>195</v>
      </c>
      <c r="I36" s="550">
        <v>393</v>
      </c>
      <c r="J36" s="550">
        <v>554</v>
      </c>
      <c r="K36" s="550">
        <v>12</v>
      </c>
      <c r="L36" s="581">
        <v>1692</v>
      </c>
      <c r="M36" s="550">
        <v>20</v>
      </c>
      <c r="N36" s="550">
        <v>242</v>
      </c>
      <c r="O36" s="550">
        <v>472</v>
      </c>
    </row>
    <row r="37" spans="1:15">
      <c r="A37" s="25">
        <v>46118</v>
      </c>
      <c r="B37" s="582">
        <v>2097</v>
      </c>
      <c r="C37" s="551">
        <f t="shared" si="0"/>
        <v>-0.41555183946488294</v>
      </c>
      <c r="D37" s="550">
        <v>2919</v>
      </c>
      <c r="E37" s="382">
        <v>906</v>
      </c>
      <c r="F37" s="551">
        <f t="shared" si="1"/>
        <v>-6.2111801242236024E-2</v>
      </c>
      <c r="G37" s="550">
        <v>76</v>
      </c>
      <c r="H37" s="550">
        <v>144</v>
      </c>
      <c r="I37" s="550">
        <v>394</v>
      </c>
      <c r="J37" s="550">
        <v>548</v>
      </c>
      <c r="K37" s="550">
        <v>15</v>
      </c>
      <c r="L37" s="581">
        <v>124</v>
      </c>
      <c r="M37" s="550">
        <v>19</v>
      </c>
      <c r="N37" s="550">
        <v>293</v>
      </c>
      <c r="O37" s="550">
        <v>553</v>
      </c>
    </row>
    <row r="38" spans="1:15">
      <c r="A38" s="25">
        <v>46125</v>
      </c>
      <c r="B38" s="582">
        <v>3155</v>
      </c>
      <c r="C38" s="551">
        <f t="shared" si="0"/>
        <v>0.50453028135431566</v>
      </c>
      <c r="D38" s="550">
        <v>4067</v>
      </c>
      <c r="E38" s="382">
        <v>1103</v>
      </c>
      <c r="F38" s="551">
        <f t="shared" si="1"/>
        <v>0.217439293598234</v>
      </c>
      <c r="G38" s="550">
        <v>66</v>
      </c>
      <c r="H38" s="550">
        <v>159</v>
      </c>
      <c r="I38" s="550">
        <v>522</v>
      </c>
      <c r="J38" s="550">
        <v>838</v>
      </c>
      <c r="K38" s="550">
        <v>29</v>
      </c>
      <c r="L38" s="581">
        <v>748</v>
      </c>
      <c r="M38" s="550">
        <v>16</v>
      </c>
      <c r="N38" s="550">
        <v>215</v>
      </c>
      <c r="O38" s="550">
        <v>623</v>
      </c>
    </row>
    <row r="39" spans="1:15">
      <c r="A39" s="25">
        <v>46132</v>
      </c>
      <c r="B39" s="582">
        <v>4630</v>
      </c>
      <c r="C39" s="551">
        <f t="shared" ref="C39:C50" si="2">(B39-B38)/B38</f>
        <v>0.4675118858954041</v>
      </c>
      <c r="D39" s="550">
        <v>5591</v>
      </c>
      <c r="E39" s="382">
        <v>1148</v>
      </c>
      <c r="F39" s="551">
        <f t="shared" ref="F39:F50" si="3">(E39-E38)/E38</f>
        <v>4.0797824116047147E-2</v>
      </c>
      <c r="G39" s="550">
        <v>52</v>
      </c>
      <c r="H39" s="550">
        <v>209</v>
      </c>
      <c r="I39" s="550">
        <v>530</v>
      </c>
      <c r="J39" s="550">
        <v>891</v>
      </c>
      <c r="K39" s="550">
        <v>15</v>
      </c>
      <c r="L39" s="581">
        <v>2128</v>
      </c>
      <c r="M39" s="550">
        <v>5</v>
      </c>
      <c r="N39" s="550">
        <v>217</v>
      </c>
      <c r="O39" s="550">
        <v>615</v>
      </c>
    </row>
    <row r="40" spans="1:15">
      <c r="A40" s="25">
        <v>46139</v>
      </c>
      <c r="B40" s="582">
        <v>8109</v>
      </c>
      <c r="C40" s="551">
        <f t="shared" si="2"/>
        <v>0.75140388768898492</v>
      </c>
      <c r="D40" s="550">
        <v>9103</v>
      </c>
      <c r="E40" s="382">
        <v>1391</v>
      </c>
      <c r="F40" s="551">
        <f t="shared" si="3"/>
        <v>0.21167247386759583</v>
      </c>
      <c r="G40" s="550">
        <v>64</v>
      </c>
      <c r="H40" s="550">
        <v>191</v>
      </c>
      <c r="I40" s="550">
        <v>421</v>
      </c>
      <c r="J40" s="550">
        <v>1144</v>
      </c>
      <c r="K40" s="550">
        <v>12</v>
      </c>
      <c r="L40" s="581">
        <v>411</v>
      </c>
      <c r="M40" s="550">
        <v>7</v>
      </c>
      <c r="N40" s="550">
        <v>271</v>
      </c>
      <c r="O40" s="550">
        <v>5296</v>
      </c>
    </row>
    <row r="41" spans="1:15">
      <c r="A41" s="25">
        <v>46146</v>
      </c>
      <c r="B41" s="582">
        <v>6822</v>
      </c>
      <c r="C41" s="551">
        <f t="shared" si="2"/>
        <v>-0.15871254162042175</v>
      </c>
      <c r="D41" s="550">
        <v>7734</v>
      </c>
      <c r="E41" s="382">
        <v>1325</v>
      </c>
      <c r="F41" s="551">
        <f t="shared" si="3"/>
        <v>-4.744787922358016E-2</v>
      </c>
      <c r="G41" s="550">
        <v>55</v>
      </c>
      <c r="H41" s="550">
        <v>191</v>
      </c>
      <c r="I41" s="550">
        <v>443</v>
      </c>
      <c r="J41" s="550">
        <v>908</v>
      </c>
      <c r="K41" s="550">
        <v>20</v>
      </c>
      <c r="L41" s="581">
        <v>178</v>
      </c>
      <c r="M41" s="550">
        <v>9</v>
      </c>
      <c r="N41" s="550">
        <v>163</v>
      </c>
      <c r="O41" s="550">
        <v>4791</v>
      </c>
    </row>
    <row r="42" spans="1:15">
      <c r="A42" s="25">
        <v>46153</v>
      </c>
      <c r="B42" s="582">
        <v>5921</v>
      </c>
      <c r="C42" s="551">
        <f t="shared" si="2"/>
        <v>-0.13207270595133391</v>
      </c>
      <c r="D42" s="550">
        <v>6919</v>
      </c>
      <c r="E42" s="382">
        <v>1375</v>
      </c>
      <c r="F42" s="551">
        <f t="shared" si="3"/>
        <v>3.7735849056603772E-2</v>
      </c>
      <c r="G42" s="550">
        <v>53</v>
      </c>
      <c r="H42" s="550">
        <v>193</v>
      </c>
      <c r="I42" s="550">
        <v>489</v>
      </c>
      <c r="J42" s="550">
        <v>972</v>
      </c>
      <c r="K42" s="550">
        <v>25</v>
      </c>
      <c r="L42" s="581">
        <v>732</v>
      </c>
      <c r="M42" s="550">
        <v>13</v>
      </c>
      <c r="N42" s="550">
        <v>89</v>
      </c>
      <c r="O42" s="550">
        <v>3283</v>
      </c>
    </row>
    <row r="43" spans="1:15">
      <c r="A43" s="25">
        <v>46160</v>
      </c>
      <c r="B43" s="582">
        <v>4783</v>
      </c>
      <c r="C43" s="551">
        <f t="shared" si="2"/>
        <v>-0.19219726397567979</v>
      </c>
      <c r="D43" s="550">
        <v>5965</v>
      </c>
      <c r="E43" s="382">
        <v>1348</v>
      </c>
      <c r="F43" s="551">
        <f t="shared" si="3"/>
        <v>-1.9636363636363636E-2</v>
      </c>
      <c r="G43" s="550">
        <v>60</v>
      </c>
      <c r="H43" s="550">
        <v>188</v>
      </c>
      <c r="I43" s="550">
        <v>475</v>
      </c>
      <c r="J43" s="550">
        <v>877</v>
      </c>
      <c r="K43" s="550">
        <v>16</v>
      </c>
      <c r="L43" s="581">
        <v>322</v>
      </c>
      <c r="M43" s="550">
        <v>9</v>
      </c>
      <c r="N43" s="550">
        <v>96</v>
      </c>
      <c r="O43" s="550">
        <v>2689</v>
      </c>
    </row>
    <row r="44" spans="1:15">
      <c r="A44" s="25">
        <v>46167</v>
      </c>
      <c r="B44" s="582">
        <v>6089</v>
      </c>
      <c r="C44" s="551">
        <f t="shared" si="2"/>
        <v>0.27305038678653565</v>
      </c>
      <c r="D44" s="550">
        <v>7254</v>
      </c>
      <c r="E44" s="382">
        <v>1384</v>
      </c>
      <c r="F44" s="551">
        <f t="shared" si="3"/>
        <v>2.6706231454005934E-2</v>
      </c>
      <c r="G44" s="550">
        <v>52</v>
      </c>
      <c r="H44" s="550">
        <v>148</v>
      </c>
      <c r="I44" s="550">
        <v>537</v>
      </c>
      <c r="J44" s="550">
        <v>1027</v>
      </c>
      <c r="K44" s="550">
        <v>12</v>
      </c>
      <c r="L44" s="581">
        <v>1934</v>
      </c>
      <c r="M44" s="550">
        <v>9</v>
      </c>
      <c r="N44" s="550">
        <v>160</v>
      </c>
      <c r="O44" s="550">
        <v>2218</v>
      </c>
    </row>
    <row r="45" spans="1:15">
      <c r="A45" s="25">
        <v>46174</v>
      </c>
      <c r="B45" s="582">
        <v>6577</v>
      </c>
      <c r="C45" s="551">
        <f t="shared" ref="C45" si="4">(B45-B44)/B44</f>
        <v>8.0144522910165869E-2</v>
      </c>
      <c r="D45" s="550">
        <v>8254</v>
      </c>
      <c r="E45" s="382">
        <v>1914</v>
      </c>
      <c r="F45" s="551">
        <f t="shared" ref="F45" si="5">(E45-E44)/E44</f>
        <v>0.38294797687861271</v>
      </c>
      <c r="G45" s="550">
        <v>62</v>
      </c>
      <c r="H45" s="550">
        <v>217</v>
      </c>
      <c r="I45" s="550">
        <v>614</v>
      </c>
      <c r="J45" s="550">
        <v>1182</v>
      </c>
      <c r="K45" s="550">
        <v>17</v>
      </c>
      <c r="L45" s="581">
        <v>1642</v>
      </c>
      <c r="M45" s="550">
        <v>16</v>
      </c>
      <c r="N45" s="550">
        <v>69</v>
      </c>
      <c r="O45" s="550">
        <v>2745</v>
      </c>
    </row>
    <row r="46" spans="1:15">
      <c r="A46" s="25">
        <v>46181</v>
      </c>
      <c r="B46" s="582">
        <v>6233</v>
      </c>
      <c r="C46" s="551">
        <f t="shared" ref="C46" si="6">(B46-B45)/B45</f>
        <v>-5.2303481830621862E-2</v>
      </c>
      <c r="D46" s="550">
        <v>8066</v>
      </c>
      <c r="E46" s="382">
        <v>2191</v>
      </c>
      <c r="F46" s="551">
        <f t="shared" ref="F46" si="7">(E46-E45)/E45</f>
        <v>0.14472309299895506</v>
      </c>
      <c r="G46" s="550">
        <v>73</v>
      </c>
      <c r="H46" s="550">
        <v>211</v>
      </c>
      <c r="I46" s="550">
        <v>759</v>
      </c>
      <c r="J46" s="550">
        <v>1369</v>
      </c>
      <c r="K46" s="550">
        <v>53</v>
      </c>
      <c r="L46" s="581">
        <v>666</v>
      </c>
      <c r="M46" s="550">
        <v>24</v>
      </c>
      <c r="N46" s="550">
        <v>62</v>
      </c>
      <c r="O46" s="550">
        <v>3026</v>
      </c>
    </row>
    <row r="47" spans="1:15">
      <c r="A47" s="25">
        <v>46188</v>
      </c>
      <c r="B47" s="582"/>
      <c r="C47" s="551">
        <f t="shared" si="2"/>
        <v>-1</v>
      </c>
      <c r="D47" s="550"/>
      <c r="E47" s="382"/>
      <c r="F47" s="551">
        <f t="shared" si="3"/>
        <v>-1</v>
      </c>
      <c r="G47" s="550"/>
      <c r="H47" s="550"/>
      <c r="I47" s="550"/>
      <c r="J47" s="550"/>
      <c r="K47" s="550"/>
      <c r="L47" s="581"/>
      <c r="M47" s="550"/>
      <c r="N47" s="550"/>
      <c r="O47" s="550"/>
    </row>
    <row r="48" spans="1:15">
      <c r="A48" s="25">
        <v>46195</v>
      </c>
      <c r="B48" s="582"/>
      <c r="C48" s="551" t="e">
        <f t="shared" si="2"/>
        <v>#DIV/0!</v>
      </c>
      <c r="D48" s="550"/>
      <c r="E48" s="382"/>
      <c r="F48" s="551" t="e">
        <f t="shared" si="3"/>
        <v>#DIV/0!</v>
      </c>
      <c r="G48" s="550"/>
      <c r="H48" s="550"/>
      <c r="I48" s="550"/>
      <c r="J48" s="550"/>
      <c r="K48" s="550"/>
      <c r="L48" s="581"/>
      <c r="M48" s="550"/>
      <c r="N48" s="550"/>
      <c r="O48" s="550"/>
    </row>
    <row r="49" spans="1:15">
      <c r="A49" s="25">
        <v>46202</v>
      </c>
      <c r="B49" s="582"/>
      <c r="C49" s="551" t="e">
        <f t="shared" si="2"/>
        <v>#DIV/0!</v>
      </c>
      <c r="D49" s="550"/>
      <c r="E49" s="382"/>
      <c r="F49" s="551" t="e">
        <f t="shared" si="3"/>
        <v>#DIV/0!</v>
      </c>
      <c r="G49" s="550"/>
      <c r="H49" s="550"/>
      <c r="I49" s="550"/>
      <c r="J49" s="550"/>
      <c r="K49" s="550"/>
      <c r="L49" s="581"/>
      <c r="M49" s="550"/>
      <c r="N49" s="550"/>
      <c r="O49" s="550"/>
    </row>
    <row r="50" spans="1:15">
      <c r="A50" s="25">
        <v>46209</v>
      </c>
      <c r="B50" s="582"/>
      <c r="C50" s="551" t="e">
        <f t="shared" si="2"/>
        <v>#DIV/0!</v>
      </c>
      <c r="D50" s="550"/>
      <c r="E50" s="382"/>
      <c r="F50" s="551" t="e">
        <f t="shared" si="3"/>
        <v>#DIV/0!</v>
      </c>
      <c r="G50" s="550"/>
      <c r="H50" s="550"/>
      <c r="I50" s="550"/>
      <c r="J50" s="550"/>
      <c r="K50" s="550"/>
      <c r="L50" s="581"/>
      <c r="M50" s="550"/>
      <c r="N50" s="550"/>
      <c r="O50" s="550"/>
    </row>
    <row r="51" spans="1:15">
      <c r="A51" s="575"/>
      <c r="B51" s="13"/>
      <c r="C51" s="13"/>
      <c r="D51" s="14"/>
      <c r="E51" s="14"/>
      <c r="F51" s="14"/>
      <c r="G51" s="14"/>
      <c r="H51" s="14"/>
      <c r="I51" s="14"/>
      <c r="J51" s="14"/>
      <c r="K51" s="14"/>
      <c r="L51" s="14"/>
      <c r="M51" s="588"/>
      <c r="N51" s="588"/>
      <c r="O51" s="588"/>
    </row>
    <row r="52" spans="1:15">
      <c r="A52" s="575"/>
      <c r="B52" s="13"/>
      <c r="C52" s="13"/>
      <c r="D52" s="14"/>
      <c r="E52" s="14"/>
      <c r="F52" s="14"/>
      <c r="G52" s="14"/>
      <c r="H52" s="14"/>
      <c r="I52" s="14"/>
      <c r="J52" s="14"/>
      <c r="K52" s="14"/>
      <c r="L52" s="14"/>
      <c r="M52" s="588"/>
      <c r="N52" s="588"/>
      <c r="O52" s="588"/>
    </row>
    <row r="53" spans="1:15">
      <c r="A53" s="575"/>
      <c r="B53" s="13"/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588"/>
      <c r="N53" s="588"/>
      <c r="O53" s="588"/>
    </row>
    <row r="54" spans="1:15">
      <c r="A54" s="575"/>
      <c r="B54" s="13"/>
      <c r="C54" s="13"/>
      <c r="D54" s="14"/>
      <c r="E54" s="14"/>
      <c r="F54" s="14"/>
      <c r="G54" s="14"/>
      <c r="H54" s="14"/>
      <c r="I54" s="14"/>
      <c r="J54" s="14"/>
      <c r="K54" s="14"/>
      <c r="L54" s="14"/>
      <c r="M54" s="588"/>
      <c r="N54" s="588"/>
      <c r="O54" s="588"/>
    </row>
    <row r="55" spans="1:15">
      <c r="A55" s="575"/>
      <c r="B55" s="13"/>
      <c r="C55" s="13"/>
      <c r="D55" s="14"/>
      <c r="E55" s="14"/>
      <c r="F55" s="14"/>
      <c r="G55" s="14"/>
      <c r="H55" s="14"/>
      <c r="I55" s="14"/>
      <c r="J55" s="14"/>
      <c r="K55" s="14"/>
      <c r="L55" s="14"/>
      <c r="M55" s="588"/>
      <c r="N55" s="588"/>
      <c r="O55" s="588"/>
    </row>
    <row r="56" spans="1:15">
      <c r="A56" s="575"/>
      <c r="B56" s="13"/>
      <c r="C56" s="13"/>
      <c r="D56" s="14"/>
      <c r="E56" s="14"/>
      <c r="F56" s="14"/>
      <c r="G56" s="14"/>
      <c r="H56" s="14"/>
      <c r="I56" s="14"/>
      <c r="J56" s="14"/>
      <c r="K56" s="14"/>
      <c r="L56" s="14"/>
      <c r="M56" s="588"/>
      <c r="N56" s="588"/>
      <c r="O56" s="588"/>
    </row>
    <row r="57" spans="1:15">
      <c r="A57" s="575"/>
      <c r="B57" s="13"/>
      <c r="C57" s="13"/>
      <c r="D57" s="14"/>
      <c r="E57" s="14"/>
      <c r="F57" s="14"/>
      <c r="G57" s="14"/>
      <c r="H57" s="14"/>
      <c r="I57" s="14"/>
      <c r="J57" s="14"/>
      <c r="K57" s="14"/>
      <c r="L57" s="14"/>
      <c r="M57" s="588"/>
      <c r="N57" s="588"/>
      <c r="O57" s="588"/>
    </row>
    <row r="58" spans="1:15">
      <c r="A58" s="575"/>
      <c r="B58" s="13"/>
      <c r="C58" s="13"/>
      <c r="D58" s="14"/>
      <c r="E58" s="14"/>
      <c r="F58" s="14"/>
      <c r="G58" s="14"/>
      <c r="H58" s="14"/>
      <c r="I58" s="14"/>
      <c r="J58" s="14"/>
      <c r="K58" s="14"/>
      <c r="L58" s="14"/>
      <c r="M58" s="588"/>
      <c r="N58" s="588"/>
      <c r="O58" s="588"/>
    </row>
    <row r="59" spans="1:15">
      <c r="A59" s="575"/>
      <c r="B59" s="13"/>
      <c r="C59" s="13"/>
      <c r="D59" s="14"/>
      <c r="E59" s="14"/>
      <c r="F59" s="14"/>
      <c r="G59" s="14"/>
      <c r="H59" s="14"/>
      <c r="I59" s="14"/>
      <c r="J59" s="14"/>
      <c r="K59" s="14"/>
      <c r="L59" s="14"/>
      <c r="M59" s="588"/>
      <c r="N59" s="588"/>
      <c r="O59" s="588"/>
    </row>
    <row r="60" spans="1:15">
      <c r="A60" s="575"/>
      <c r="B60" s="13"/>
      <c r="C60" s="13"/>
      <c r="D60" s="14"/>
      <c r="E60" s="14"/>
      <c r="F60" s="14"/>
      <c r="G60" s="14"/>
      <c r="H60" s="14"/>
      <c r="I60" s="14"/>
      <c r="J60" s="14"/>
      <c r="K60" s="14"/>
      <c r="L60" s="14"/>
      <c r="M60" s="588"/>
      <c r="N60" s="588"/>
      <c r="O60" s="588"/>
    </row>
    <row r="61" spans="1:15">
      <c r="A61" s="575"/>
      <c r="B61" s="13"/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588"/>
      <c r="N61" s="588"/>
      <c r="O61" s="588"/>
    </row>
    <row r="62" spans="1:15">
      <c r="A62" s="575"/>
      <c r="B62" s="13"/>
      <c r="C62" s="13"/>
      <c r="D62" s="14"/>
      <c r="E62" s="14"/>
      <c r="F62" s="14"/>
      <c r="G62" s="14"/>
      <c r="H62" s="14"/>
      <c r="I62" s="14"/>
      <c r="J62" s="14"/>
      <c r="K62" s="14"/>
      <c r="L62" s="14"/>
      <c r="M62" s="588"/>
      <c r="N62" s="588"/>
      <c r="O62" s="588"/>
    </row>
    <row r="63" spans="1:15">
      <c r="A63" s="575"/>
      <c r="B63" s="13"/>
      <c r="C63" s="13"/>
      <c r="D63" s="14"/>
      <c r="E63" s="14"/>
      <c r="F63" s="14"/>
      <c r="G63" s="14"/>
      <c r="H63" s="14"/>
      <c r="I63" s="14"/>
      <c r="J63" s="14"/>
      <c r="K63" s="14"/>
      <c r="L63" s="14"/>
      <c r="M63" s="588"/>
      <c r="N63" s="588"/>
      <c r="O63" s="588"/>
    </row>
    <row r="64" spans="1:15">
      <c r="A64" s="575"/>
      <c r="B64" s="13"/>
      <c r="C64" s="13"/>
      <c r="D64" s="14"/>
      <c r="E64" s="14"/>
      <c r="F64" s="14"/>
      <c r="G64" s="14"/>
      <c r="H64" s="14"/>
      <c r="I64" s="14"/>
      <c r="J64" s="14"/>
      <c r="K64" s="14"/>
      <c r="L64" s="14"/>
      <c r="M64" s="588"/>
      <c r="N64" s="588"/>
      <c r="O64" s="588"/>
    </row>
    <row r="65" spans="1:15">
      <c r="A65" s="575"/>
      <c r="B65" s="13"/>
      <c r="C65" s="13"/>
      <c r="D65" s="14"/>
      <c r="E65" s="14"/>
      <c r="F65" s="14"/>
      <c r="G65" s="14"/>
      <c r="H65" s="14"/>
      <c r="I65" s="14"/>
      <c r="J65" s="14"/>
      <c r="K65" s="14"/>
      <c r="L65" s="14"/>
      <c r="M65" s="588"/>
      <c r="N65" s="588"/>
      <c r="O65" s="588"/>
    </row>
    <row r="66" spans="1:15">
      <c r="A66" s="575"/>
      <c r="B66" s="13"/>
      <c r="C66" s="13"/>
      <c r="D66" s="14"/>
      <c r="E66" s="14"/>
      <c r="F66" s="14"/>
      <c r="G66" s="14"/>
      <c r="H66" s="14"/>
      <c r="I66" s="14"/>
      <c r="J66" s="14"/>
      <c r="K66" s="14"/>
      <c r="L66" s="14"/>
      <c r="M66" s="588"/>
      <c r="N66" s="588"/>
      <c r="O66" s="588"/>
    </row>
    <row r="67" spans="1:15">
      <c r="A67" s="575"/>
      <c r="B67" s="13"/>
      <c r="C67" s="13"/>
      <c r="D67" s="14"/>
      <c r="E67" s="14"/>
      <c r="F67" s="14"/>
      <c r="G67" s="14"/>
      <c r="H67" s="14"/>
      <c r="I67" s="14"/>
      <c r="J67" s="14"/>
      <c r="K67" s="14"/>
      <c r="L67" s="14"/>
      <c r="M67" s="588"/>
      <c r="N67" s="588"/>
      <c r="O67" s="588"/>
    </row>
    <row r="68" spans="1:15">
      <c r="A68" s="575"/>
      <c r="B68" s="13"/>
      <c r="C68" s="13"/>
      <c r="D68" s="14"/>
      <c r="E68" s="14"/>
      <c r="F68" s="14"/>
      <c r="G68" s="14"/>
      <c r="H68" s="14"/>
      <c r="I68" s="14"/>
      <c r="J68" s="14"/>
      <c r="K68" s="14"/>
      <c r="L68" s="14"/>
      <c r="M68" s="588"/>
      <c r="N68" s="588"/>
      <c r="O68" s="588"/>
    </row>
    <row r="69" spans="1:15">
      <c r="A69" s="575"/>
      <c r="B69" s="13"/>
      <c r="C69" s="13"/>
      <c r="D69" s="14"/>
      <c r="E69" s="14"/>
      <c r="F69" s="14"/>
      <c r="G69" s="14"/>
      <c r="H69" s="14"/>
      <c r="I69" s="14"/>
      <c r="J69" s="14"/>
      <c r="K69" s="14"/>
      <c r="L69" s="14"/>
      <c r="M69" s="588"/>
      <c r="N69" s="588"/>
      <c r="O69" s="588"/>
    </row>
    <row r="70" spans="1:15">
      <c r="A70" s="575"/>
      <c r="B70" s="13"/>
      <c r="C70" s="13"/>
      <c r="D70" s="14"/>
      <c r="E70" s="14"/>
      <c r="F70" s="14"/>
      <c r="G70" s="14"/>
      <c r="H70" s="14"/>
      <c r="I70" s="14"/>
      <c r="J70" s="14"/>
      <c r="K70" s="14"/>
      <c r="L70" s="14"/>
      <c r="M70" s="588"/>
      <c r="N70" s="588"/>
      <c r="O70" s="588"/>
    </row>
    <row r="71" spans="1:15">
      <c r="A71" s="575"/>
      <c r="B71" s="13"/>
      <c r="C71" s="13"/>
      <c r="D71" s="14"/>
      <c r="E71" s="14"/>
      <c r="F71" s="14"/>
      <c r="G71" s="14"/>
      <c r="H71" s="14"/>
      <c r="I71" s="14"/>
      <c r="J71" s="14"/>
      <c r="K71" s="14"/>
      <c r="L71" s="14"/>
      <c r="M71" s="588"/>
      <c r="N71" s="588"/>
      <c r="O71" s="588"/>
    </row>
    <row r="72" spans="1:15">
      <c r="A72" s="575"/>
      <c r="B72" s="13"/>
      <c r="C72" s="13"/>
      <c r="D72" s="14"/>
      <c r="E72" s="14"/>
      <c r="F72" s="14"/>
      <c r="G72" s="14"/>
      <c r="H72" s="14"/>
      <c r="I72" s="14"/>
      <c r="J72" s="14"/>
      <c r="K72" s="14"/>
      <c r="L72" s="14"/>
      <c r="M72" s="588"/>
      <c r="N72" s="588"/>
      <c r="O72" s="588"/>
    </row>
    <row r="73" spans="1:15">
      <c r="A73" s="575"/>
      <c r="B73" s="13"/>
      <c r="C73" s="13"/>
      <c r="D73" s="14"/>
      <c r="E73" s="14"/>
      <c r="F73" s="14"/>
      <c r="G73" s="14"/>
      <c r="H73" s="14"/>
      <c r="I73" s="14"/>
      <c r="J73" s="14"/>
      <c r="K73" s="14"/>
      <c r="L73" s="14"/>
      <c r="M73" s="588"/>
      <c r="N73" s="588"/>
      <c r="O73" s="588"/>
    </row>
    <row r="74" spans="1:15">
      <c r="A74" s="575"/>
      <c r="B74" s="13"/>
      <c r="C74" s="13"/>
      <c r="D74" s="14"/>
      <c r="E74" s="14"/>
      <c r="F74" s="14"/>
      <c r="G74" s="14"/>
      <c r="H74" s="14"/>
      <c r="I74" s="14"/>
      <c r="J74" s="14"/>
      <c r="K74" s="14"/>
      <c r="L74" s="14"/>
      <c r="M74" s="588"/>
      <c r="N74" s="588"/>
      <c r="O74" s="588"/>
    </row>
    <row r="75" spans="1:15">
      <c r="A75" s="575"/>
      <c r="B75" s="13"/>
      <c r="C75" s="13"/>
      <c r="D75" s="14"/>
      <c r="E75" s="14"/>
      <c r="F75" s="14"/>
      <c r="G75" s="14"/>
      <c r="H75" s="14"/>
      <c r="I75" s="14"/>
      <c r="J75" s="14"/>
      <c r="K75" s="14"/>
      <c r="L75" s="14"/>
      <c r="M75" s="588"/>
      <c r="N75" s="588"/>
      <c r="O75" s="588"/>
    </row>
    <row r="76" spans="1:15">
      <c r="A76" s="575"/>
      <c r="B76" s="13"/>
      <c r="C76" s="13"/>
      <c r="D76" s="14"/>
      <c r="E76" s="14"/>
      <c r="F76" s="14"/>
      <c r="G76" s="14"/>
      <c r="H76" s="14"/>
      <c r="I76" s="14"/>
      <c r="J76" s="14"/>
      <c r="K76" s="14"/>
      <c r="L76" s="14"/>
      <c r="M76" s="588"/>
      <c r="N76" s="588"/>
      <c r="O76" s="588"/>
    </row>
    <row r="77" spans="1:15">
      <c r="A77" s="575"/>
      <c r="B77" s="13"/>
      <c r="C77" s="13"/>
      <c r="D77" s="14"/>
      <c r="E77" s="14"/>
      <c r="F77" s="14"/>
      <c r="G77" s="14"/>
      <c r="H77" s="14"/>
      <c r="I77" s="14"/>
      <c r="J77" s="14"/>
      <c r="K77" s="14"/>
      <c r="L77" s="14"/>
      <c r="M77" s="588"/>
      <c r="N77" s="588"/>
      <c r="O77" s="588"/>
    </row>
    <row r="78" spans="1:15">
      <c r="A78" s="575"/>
      <c r="B78" s="13"/>
      <c r="C78" s="13"/>
      <c r="D78" s="14"/>
      <c r="E78" s="14"/>
      <c r="F78" s="14"/>
      <c r="G78" s="14"/>
      <c r="H78" s="14"/>
      <c r="I78" s="14"/>
      <c r="J78" s="14"/>
      <c r="K78" s="14"/>
      <c r="L78" s="14"/>
      <c r="M78" s="588"/>
      <c r="N78" s="588"/>
      <c r="O78" s="588"/>
    </row>
    <row r="79" spans="1:15">
      <c r="A79" s="575"/>
      <c r="B79" s="13"/>
      <c r="C79" s="13"/>
      <c r="D79" s="14"/>
      <c r="E79" s="14"/>
      <c r="F79" s="14"/>
      <c r="G79" s="14"/>
      <c r="H79" s="14"/>
      <c r="I79" s="14"/>
      <c r="J79" s="14"/>
      <c r="K79" s="14"/>
      <c r="L79" s="14"/>
      <c r="M79" s="588"/>
      <c r="N79" s="588"/>
      <c r="O79" s="588"/>
    </row>
    <row r="80" spans="1:15">
      <c r="A80" s="575"/>
      <c r="B80" s="13"/>
      <c r="C80" s="13"/>
      <c r="D80" s="14"/>
      <c r="E80" s="14"/>
      <c r="F80" s="14"/>
      <c r="G80" s="14"/>
      <c r="H80" s="14"/>
      <c r="I80" s="14"/>
      <c r="J80" s="14"/>
      <c r="K80" s="14"/>
      <c r="L80" s="14"/>
      <c r="M80" s="588"/>
      <c r="N80" s="588"/>
      <c r="O80" s="588"/>
    </row>
    <row r="81" spans="1:15">
      <c r="A81" s="575"/>
      <c r="B81" s="13"/>
      <c r="C81" s="13"/>
      <c r="D81" s="14"/>
      <c r="E81" s="14"/>
      <c r="F81" s="14"/>
      <c r="G81" s="14"/>
      <c r="H81" s="14"/>
      <c r="I81" s="14"/>
      <c r="J81" s="14"/>
      <c r="K81" s="14"/>
      <c r="L81" s="14"/>
      <c r="M81" s="588"/>
      <c r="N81" s="588"/>
      <c r="O81" s="588"/>
    </row>
    <row r="82" spans="1:15">
      <c r="A82" s="575"/>
      <c r="B82" s="13"/>
      <c r="C82" s="13"/>
      <c r="D82" s="14"/>
      <c r="E82" s="14"/>
      <c r="F82" s="14"/>
      <c r="G82" s="14"/>
      <c r="H82" s="14"/>
      <c r="I82" s="14"/>
      <c r="J82" s="14"/>
      <c r="K82" s="14"/>
      <c r="L82" s="14"/>
      <c r="M82" s="588"/>
      <c r="N82" s="588"/>
      <c r="O82" s="588"/>
    </row>
    <row r="83" spans="1:15">
      <c r="A83" s="575"/>
      <c r="B83" s="13"/>
      <c r="C83" s="13"/>
      <c r="D83" s="14"/>
      <c r="E83" s="14"/>
      <c r="F83" s="14"/>
      <c r="G83" s="14"/>
      <c r="H83" s="14"/>
      <c r="I83" s="14"/>
      <c r="J83" s="14"/>
      <c r="K83" s="14"/>
      <c r="L83" s="14"/>
      <c r="M83" s="588"/>
      <c r="N83" s="588"/>
      <c r="O83" s="588"/>
    </row>
    <row r="84" spans="1:15">
      <c r="A84" s="575"/>
      <c r="B84" s="13"/>
      <c r="C84" s="13"/>
      <c r="D84" s="14"/>
      <c r="E84" s="14"/>
      <c r="F84" s="14"/>
      <c r="G84" s="14"/>
      <c r="H84" s="14"/>
      <c r="I84" s="14"/>
      <c r="J84" s="14"/>
      <c r="K84" s="14"/>
      <c r="L84" s="14"/>
      <c r="M84" s="588"/>
      <c r="N84" s="588"/>
      <c r="O84" s="588"/>
    </row>
    <row r="85" spans="1:15">
      <c r="A85" s="575"/>
      <c r="B85" s="13"/>
      <c r="C85" s="13"/>
      <c r="D85" s="14"/>
      <c r="E85" s="14"/>
      <c r="F85" s="14"/>
      <c r="G85" s="14"/>
      <c r="H85" s="14"/>
      <c r="I85" s="14"/>
      <c r="J85" s="14"/>
      <c r="K85" s="14"/>
      <c r="L85" s="14"/>
      <c r="M85" s="588"/>
      <c r="N85" s="588"/>
      <c r="O85" s="588"/>
    </row>
    <row r="86" spans="1:15">
      <c r="A86" s="575"/>
      <c r="B86" s="13"/>
      <c r="C86" s="13"/>
      <c r="D86" s="14"/>
      <c r="E86" s="14"/>
      <c r="F86" s="14"/>
      <c r="G86" s="14"/>
      <c r="H86" s="14"/>
      <c r="I86" s="14"/>
      <c r="J86" s="14"/>
      <c r="K86" s="14"/>
      <c r="L86" s="14"/>
      <c r="M86" s="588"/>
      <c r="N86" s="588"/>
      <c r="O86" s="588"/>
    </row>
    <row r="87" spans="1:15">
      <c r="A87" s="575"/>
      <c r="B87" s="13"/>
      <c r="C87" s="13"/>
      <c r="D87" s="14"/>
      <c r="E87" s="14"/>
      <c r="F87" s="14"/>
      <c r="G87" s="14"/>
      <c r="H87" s="14"/>
      <c r="I87" s="14"/>
      <c r="J87" s="14"/>
      <c r="K87" s="14"/>
      <c r="L87" s="14"/>
      <c r="M87" s="588"/>
      <c r="N87" s="588"/>
      <c r="O87" s="588"/>
    </row>
    <row r="88" spans="1:15">
      <c r="A88" s="575"/>
      <c r="B88" s="13"/>
      <c r="C88" s="13"/>
      <c r="D88" s="14"/>
      <c r="E88" s="14"/>
      <c r="F88" s="14"/>
      <c r="G88" s="14"/>
      <c r="H88" s="14"/>
      <c r="I88" s="14"/>
      <c r="J88" s="14"/>
      <c r="K88" s="14"/>
      <c r="L88" s="14"/>
      <c r="M88" s="588"/>
      <c r="N88" s="588"/>
      <c r="O88" s="588"/>
    </row>
    <row r="89" spans="1:15">
      <c r="A89" s="575"/>
      <c r="B89" s="13"/>
      <c r="C89" s="13"/>
      <c r="D89" s="14"/>
      <c r="E89" s="14"/>
      <c r="F89" s="14"/>
      <c r="G89" s="14"/>
      <c r="H89" s="14"/>
      <c r="I89" s="14"/>
      <c r="J89" s="14"/>
      <c r="K89" s="14"/>
      <c r="L89" s="14"/>
      <c r="M89" s="588"/>
      <c r="N89" s="588"/>
      <c r="O89" s="588"/>
    </row>
    <row r="90" spans="1:15">
      <c r="A90" s="575"/>
      <c r="B90" s="13"/>
      <c r="C90" s="13"/>
      <c r="D90" s="14"/>
      <c r="E90" s="14"/>
      <c r="F90" s="14"/>
      <c r="G90" s="14"/>
      <c r="H90" s="14"/>
      <c r="I90" s="14"/>
      <c r="J90" s="14"/>
      <c r="K90" s="14"/>
      <c r="L90" s="14"/>
      <c r="M90" s="588"/>
      <c r="N90" s="588"/>
      <c r="O90" s="588"/>
    </row>
    <row r="91" spans="1:15">
      <c r="A91" s="575"/>
      <c r="B91" s="13"/>
      <c r="C91" s="13"/>
      <c r="D91" s="14"/>
      <c r="E91" s="14"/>
      <c r="F91" s="14"/>
      <c r="G91" s="14"/>
      <c r="H91" s="14"/>
      <c r="I91" s="14"/>
      <c r="J91" s="14"/>
      <c r="K91" s="14"/>
      <c r="L91" s="14"/>
      <c r="M91" s="588"/>
      <c r="N91" s="588"/>
      <c r="O91" s="588"/>
    </row>
    <row r="92" spans="1:15">
      <c r="A92" s="575"/>
      <c r="B92" s="13"/>
      <c r="C92" s="13"/>
      <c r="D92" s="14"/>
      <c r="E92" s="14"/>
      <c r="F92" s="14"/>
      <c r="G92" s="14"/>
      <c r="H92" s="14"/>
      <c r="I92" s="14"/>
      <c r="J92" s="14"/>
      <c r="K92" s="14"/>
      <c r="L92" s="14"/>
      <c r="M92" s="588"/>
      <c r="N92" s="588"/>
      <c r="O92" s="588"/>
    </row>
    <row r="93" spans="1:15">
      <c r="A93" s="575"/>
      <c r="B93" s="13"/>
      <c r="C93" s="13"/>
      <c r="D93" s="14"/>
      <c r="E93" s="14"/>
      <c r="F93" s="14"/>
      <c r="G93" s="14"/>
      <c r="H93" s="14"/>
      <c r="I93" s="14"/>
      <c r="J93" s="14"/>
      <c r="K93" s="14"/>
      <c r="L93" s="14"/>
      <c r="M93" s="588"/>
      <c r="N93" s="588"/>
      <c r="O93" s="588"/>
    </row>
    <row r="94" spans="1:15">
      <c r="A94" s="575"/>
      <c r="B94" s="13"/>
      <c r="C94" s="13"/>
      <c r="D94" s="14"/>
      <c r="E94" s="14"/>
      <c r="F94" s="14"/>
      <c r="G94" s="14"/>
      <c r="H94" s="14"/>
      <c r="I94" s="14"/>
      <c r="J94" s="14"/>
      <c r="K94" s="14"/>
      <c r="L94" s="14"/>
      <c r="M94" s="588"/>
      <c r="N94" s="588"/>
      <c r="O94" s="588"/>
    </row>
    <row r="95" spans="1:15">
      <c r="A95" s="575"/>
      <c r="B95" s="13"/>
      <c r="C95" s="13"/>
      <c r="D95" s="14"/>
      <c r="E95" s="14"/>
      <c r="F95" s="14"/>
      <c r="G95" s="14"/>
      <c r="H95" s="14"/>
      <c r="I95" s="14"/>
      <c r="J95" s="14"/>
      <c r="K95" s="14"/>
      <c r="L95" s="14"/>
      <c r="M95" s="588"/>
      <c r="N95" s="588"/>
      <c r="O95" s="588"/>
    </row>
    <row r="96" spans="1:15">
      <c r="A96" s="575"/>
      <c r="B96" s="13"/>
      <c r="C96" s="13"/>
      <c r="D96" s="14"/>
      <c r="E96" s="14"/>
      <c r="F96" s="14"/>
      <c r="G96" s="14"/>
      <c r="H96" s="14"/>
      <c r="I96" s="14"/>
      <c r="J96" s="14"/>
      <c r="K96" s="14"/>
      <c r="L96" s="14"/>
      <c r="M96" s="588"/>
      <c r="N96" s="588"/>
      <c r="O96" s="588"/>
    </row>
    <row r="97" spans="1:15">
      <c r="A97" s="575"/>
      <c r="B97" s="13"/>
      <c r="C97" s="13"/>
      <c r="D97" s="14"/>
      <c r="E97" s="14"/>
      <c r="F97" s="14"/>
      <c r="G97" s="14"/>
      <c r="H97" s="14"/>
      <c r="I97" s="14"/>
      <c r="J97" s="14"/>
      <c r="K97" s="14"/>
      <c r="L97" s="14"/>
      <c r="M97" s="588"/>
      <c r="N97" s="588"/>
      <c r="O97" s="588"/>
    </row>
    <row r="98" spans="1:15">
      <c r="A98" s="575"/>
      <c r="B98" s="13"/>
      <c r="C98" s="13"/>
      <c r="D98" s="14"/>
      <c r="E98" s="14"/>
      <c r="F98" s="14"/>
      <c r="G98" s="14"/>
      <c r="H98" s="14"/>
      <c r="I98" s="14"/>
      <c r="J98" s="14"/>
      <c r="K98" s="14"/>
      <c r="L98" s="14"/>
      <c r="M98" s="588"/>
      <c r="N98" s="588"/>
      <c r="O98" s="588"/>
    </row>
    <row r="99" spans="1:15">
      <c r="A99" s="575"/>
      <c r="B99" s="13"/>
      <c r="C99" s="13"/>
      <c r="D99" s="14"/>
      <c r="E99" s="14"/>
      <c r="F99" s="14"/>
      <c r="G99" s="14"/>
      <c r="H99" s="14"/>
      <c r="I99" s="14"/>
      <c r="J99" s="14"/>
      <c r="K99" s="14"/>
      <c r="L99" s="14"/>
      <c r="M99" s="588"/>
      <c r="N99" s="588"/>
      <c r="O99" s="588"/>
    </row>
    <row r="100" spans="1:15">
      <c r="A100" s="575"/>
      <c r="B100" s="13"/>
      <c r="C100" s="13"/>
      <c r="D100" s="14"/>
      <c r="E100" s="14"/>
      <c r="F100" s="14"/>
      <c r="G100" s="14"/>
      <c r="H100" s="14"/>
      <c r="I100" s="14"/>
      <c r="J100" s="14"/>
      <c r="K100" s="14"/>
      <c r="L100" s="14"/>
      <c r="M100" s="588"/>
      <c r="N100" s="588"/>
      <c r="O100" s="588"/>
    </row>
    <row r="101" spans="1:15">
      <c r="A101" s="575"/>
      <c r="B101" s="13"/>
      <c r="C101" s="13"/>
      <c r="D101" s="14"/>
      <c r="E101" s="14"/>
      <c r="F101" s="14"/>
      <c r="G101" s="14"/>
      <c r="H101" s="14"/>
      <c r="I101" s="14"/>
      <c r="J101" s="14"/>
      <c r="K101" s="14"/>
      <c r="L101" s="14"/>
      <c r="M101" s="588"/>
      <c r="N101" s="588"/>
      <c r="O101" s="588"/>
    </row>
    <row r="102" spans="1:15">
      <c r="A102" s="575"/>
      <c r="B102" s="13"/>
      <c r="C102" s="13"/>
      <c r="D102" s="14"/>
      <c r="E102" s="14"/>
      <c r="F102" s="14"/>
      <c r="G102" s="14"/>
      <c r="H102" s="14"/>
      <c r="I102" s="14"/>
      <c r="J102" s="14"/>
      <c r="K102" s="14"/>
      <c r="L102" s="14"/>
      <c r="M102" s="588"/>
      <c r="N102" s="588"/>
      <c r="O102" s="588"/>
    </row>
    <row r="103" spans="1:15">
      <c r="A103" s="575"/>
      <c r="B103" s="13"/>
      <c r="C103" s="13"/>
      <c r="D103" s="14"/>
      <c r="E103" s="14"/>
      <c r="F103" s="14"/>
      <c r="G103" s="14"/>
      <c r="H103" s="14"/>
      <c r="I103" s="14"/>
      <c r="J103" s="14"/>
      <c r="K103" s="14"/>
      <c r="L103" s="14"/>
      <c r="M103" s="588"/>
      <c r="N103" s="588"/>
      <c r="O103" s="588"/>
    </row>
    <row r="104" spans="1:15">
      <c r="A104" s="575"/>
      <c r="B104" s="13"/>
      <c r="C104" s="13"/>
      <c r="D104" s="14"/>
      <c r="E104" s="14"/>
      <c r="F104" s="14"/>
      <c r="G104" s="14"/>
      <c r="H104" s="14"/>
      <c r="I104" s="14"/>
      <c r="J104" s="14"/>
      <c r="K104" s="14"/>
      <c r="L104" s="14"/>
      <c r="M104" s="588"/>
      <c r="N104" s="588"/>
      <c r="O104" s="588"/>
    </row>
    <row r="105" spans="1:15">
      <c r="A105" s="575"/>
      <c r="B105" s="13"/>
      <c r="C105" s="13"/>
      <c r="D105" s="14"/>
      <c r="E105" s="14"/>
      <c r="F105" s="14"/>
      <c r="G105" s="14"/>
      <c r="H105" s="14"/>
      <c r="I105" s="14"/>
      <c r="J105" s="14"/>
      <c r="K105" s="14"/>
      <c r="L105" s="14"/>
      <c r="M105" s="588"/>
      <c r="N105" s="588"/>
      <c r="O105" s="588"/>
    </row>
    <row r="106" spans="1:15">
      <c r="A106" s="575"/>
      <c r="B106" s="13"/>
      <c r="C106" s="13"/>
      <c r="D106" s="14"/>
      <c r="E106" s="14"/>
      <c r="F106" s="14"/>
      <c r="G106" s="14"/>
      <c r="H106" s="14"/>
      <c r="I106" s="14"/>
      <c r="J106" s="14"/>
      <c r="K106" s="14"/>
      <c r="L106" s="14"/>
      <c r="M106" s="588"/>
      <c r="N106" s="588"/>
      <c r="O106" s="588"/>
    </row>
    <row r="107" spans="1:15">
      <c r="A107" s="575"/>
      <c r="B107" s="13"/>
      <c r="C107" s="13"/>
      <c r="D107" s="14"/>
      <c r="E107" s="14"/>
      <c r="F107" s="14"/>
      <c r="G107" s="14"/>
      <c r="H107" s="14"/>
      <c r="I107" s="14"/>
      <c r="J107" s="14"/>
      <c r="K107" s="14"/>
      <c r="L107" s="14"/>
      <c r="M107" s="588"/>
      <c r="N107" s="588"/>
      <c r="O107" s="588"/>
    </row>
    <row r="108" spans="1:15">
      <c r="A108" s="575"/>
      <c r="B108" s="13"/>
      <c r="C108" s="13"/>
      <c r="D108" s="14"/>
      <c r="E108" s="14"/>
      <c r="F108" s="14"/>
      <c r="G108" s="14"/>
      <c r="H108" s="14"/>
      <c r="I108" s="14"/>
      <c r="J108" s="14"/>
      <c r="K108" s="14"/>
      <c r="L108" s="14"/>
      <c r="M108" s="588"/>
      <c r="N108" s="588"/>
      <c r="O108" s="588"/>
    </row>
    <row r="109" spans="1:15">
      <c r="A109" s="575"/>
      <c r="B109" s="13"/>
      <c r="C109" s="13"/>
      <c r="D109" s="14"/>
      <c r="E109" s="14"/>
      <c r="F109" s="14"/>
      <c r="G109" s="14"/>
      <c r="H109" s="14"/>
      <c r="I109" s="14"/>
      <c r="J109" s="14"/>
      <c r="K109" s="14"/>
      <c r="L109" s="14"/>
      <c r="M109" s="588"/>
      <c r="N109" s="588"/>
      <c r="O109" s="588"/>
    </row>
    <row r="110" spans="1:15">
      <c r="A110" s="575"/>
      <c r="B110" s="13"/>
      <c r="C110" s="13"/>
      <c r="D110" s="14"/>
      <c r="E110" s="14"/>
      <c r="F110" s="14"/>
      <c r="G110" s="14"/>
      <c r="H110" s="14"/>
      <c r="I110" s="14"/>
      <c r="J110" s="14"/>
      <c r="K110" s="14"/>
      <c r="L110" s="14"/>
      <c r="M110" s="588"/>
      <c r="N110" s="588"/>
      <c r="O110" s="588"/>
    </row>
    <row r="111" spans="1:15">
      <c r="A111" s="575"/>
      <c r="B111" s="13"/>
      <c r="C111" s="13"/>
      <c r="D111" s="14"/>
      <c r="E111" s="14"/>
      <c r="F111" s="14"/>
      <c r="G111" s="14"/>
      <c r="H111" s="14"/>
      <c r="I111" s="14"/>
      <c r="J111" s="14"/>
      <c r="K111" s="14"/>
      <c r="L111" s="14"/>
      <c r="M111" s="588"/>
      <c r="N111" s="588"/>
      <c r="O111" s="588"/>
    </row>
    <row r="112" spans="1:15">
      <c r="A112" s="575"/>
      <c r="B112" s="13"/>
      <c r="C112" s="13"/>
      <c r="D112" s="14"/>
      <c r="E112" s="14"/>
      <c r="F112" s="14"/>
      <c r="G112" s="14"/>
      <c r="H112" s="14"/>
      <c r="I112" s="14"/>
      <c r="J112" s="14"/>
      <c r="K112" s="14"/>
      <c r="L112" s="14"/>
      <c r="M112" s="588"/>
      <c r="N112" s="588"/>
      <c r="O112" s="588"/>
    </row>
    <row r="113" spans="1:15">
      <c r="A113" s="575"/>
      <c r="B113" s="13"/>
      <c r="C113" s="13"/>
      <c r="D113" s="14"/>
      <c r="E113" s="14"/>
      <c r="F113" s="14"/>
      <c r="G113" s="14"/>
      <c r="H113" s="14"/>
      <c r="I113" s="14"/>
      <c r="J113" s="14"/>
      <c r="K113" s="14"/>
      <c r="L113" s="14"/>
      <c r="M113" s="588"/>
      <c r="N113" s="588"/>
      <c r="O113" s="588"/>
    </row>
    <row r="114" spans="1:15">
      <c r="A114" s="575"/>
      <c r="B114" s="13"/>
      <c r="C114" s="13"/>
      <c r="D114" s="14"/>
      <c r="E114" s="14"/>
      <c r="F114" s="14"/>
      <c r="G114" s="14"/>
      <c r="H114" s="14"/>
      <c r="I114" s="14"/>
      <c r="J114" s="14"/>
      <c r="K114" s="14"/>
      <c r="L114" s="14"/>
      <c r="M114" s="588"/>
      <c r="N114" s="588"/>
      <c r="O114" s="588"/>
    </row>
    <row r="115" spans="1:15">
      <c r="A115" s="575"/>
      <c r="B115" s="13"/>
      <c r="C115" s="13"/>
      <c r="D115" s="14"/>
      <c r="E115" s="14"/>
      <c r="F115" s="14"/>
      <c r="G115" s="14"/>
      <c r="H115" s="14"/>
      <c r="I115" s="14"/>
      <c r="J115" s="14"/>
      <c r="K115" s="14"/>
      <c r="L115" s="14"/>
      <c r="M115" s="588"/>
      <c r="N115" s="588"/>
      <c r="O115" s="588"/>
    </row>
    <row r="116" spans="1:15">
      <c r="A116" s="575"/>
      <c r="B116" s="13"/>
      <c r="C116" s="13"/>
      <c r="D116" s="14"/>
      <c r="E116" s="14"/>
      <c r="F116" s="14"/>
      <c r="G116" s="14"/>
      <c r="H116" s="14"/>
      <c r="I116" s="14"/>
      <c r="J116" s="14"/>
      <c r="K116" s="14"/>
      <c r="L116" s="14"/>
      <c r="M116" s="588"/>
      <c r="N116" s="588"/>
      <c r="O116" s="588"/>
    </row>
    <row r="117" spans="1:15">
      <c r="A117" s="575"/>
      <c r="B117" s="13"/>
      <c r="C117" s="13"/>
      <c r="D117" s="14"/>
      <c r="E117" s="14"/>
      <c r="F117" s="14"/>
      <c r="G117" s="14"/>
      <c r="H117" s="14"/>
      <c r="I117" s="14"/>
      <c r="J117" s="14"/>
      <c r="K117" s="14"/>
      <c r="L117" s="14"/>
      <c r="M117" s="588"/>
      <c r="N117" s="588"/>
      <c r="O117" s="588"/>
    </row>
    <row r="118" spans="1:15">
      <c r="A118" s="575"/>
      <c r="B118" s="13"/>
      <c r="C118" s="13"/>
      <c r="D118" s="14"/>
      <c r="E118" s="14"/>
      <c r="F118" s="14"/>
      <c r="G118" s="14"/>
      <c r="H118" s="14"/>
      <c r="I118" s="14"/>
      <c r="J118" s="14"/>
      <c r="K118" s="14"/>
      <c r="L118" s="14"/>
      <c r="M118" s="588"/>
      <c r="N118" s="588"/>
      <c r="O118" s="588"/>
    </row>
    <row r="119" spans="1:15">
      <c r="A119" s="575"/>
      <c r="B119" s="13"/>
      <c r="C119" s="13"/>
      <c r="D119" s="14"/>
      <c r="E119" s="14"/>
      <c r="F119" s="14"/>
      <c r="G119" s="14"/>
      <c r="H119" s="14"/>
      <c r="I119" s="14"/>
      <c r="J119" s="14"/>
      <c r="K119" s="14"/>
      <c r="L119" s="14"/>
      <c r="M119" s="588"/>
      <c r="N119" s="588"/>
      <c r="O119" s="588"/>
    </row>
    <row r="120" spans="1:15">
      <c r="A120" s="575"/>
      <c r="B120" s="13"/>
      <c r="C120" s="13"/>
      <c r="D120" s="14"/>
      <c r="E120" s="14"/>
      <c r="F120" s="14"/>
      <c r="G120" s="14"/>
      <c r="H120" s="14"/>
      <c r="I120" s="14"/>
      <c r="J120" s="14"/>
      <c r="K120" s="14"/>
      <c r="L120" s="14"/>
      <c r="M120" s="588"/>
      <c r="N120" s="588"/>
      <c r="O120" s="588"/>
    </row>
    <row r="121" spans="1:15">
      <c r="A121" s="575"/>
      <c r="B121" s="13"/>
      <c r="C121" s="13"/>
      <c r="D121" s="14"/>
      <c r="E121" s="14"/>
      <c r="F121" s="14"/>
      <c r="G121" s="14"/>
      <c r="H121" s="14"/>
      <c r="I121" s="14"/>
      <c r="J121" s="14"/>
      <c r="K121" s="14"/>
      <c r="L121" s="14"/>
      <c r="M121" s="588"/>
      <c r="N121" s="588"/>
      <c r="O121" s="588"/>
    </row>
    <row r="122" spans="1:15">
      <c r="A122" s="575"/>
      <c r="B122" s="13"/>
      <c r="C122" s="13"/>
      <c r="D122" s="14"/>
      <c r="E122" s="14"/>
      <c r="F122" s="14"/>
      <c r="G122" s="14"/>
      <c r="H122" s="14"/>
      <c r="I122" s="14"/>
      <c r="J122" s="14"/>
      <c r="K122" s="14"/>
      <c r="L122" s="14"/>
      <c r="M122" s="588"/>
      <c r="N122" s="588"/>
      <c r="O122" s="588"/>
    </row>
    <row r="123" spans="1:15">
      <c r="A123" s="575"/>
      <c r="B123" s="13"/>
      <c r="C123" s="13"/>
      <c r="D123" s="14"/>
      <c r="E123" s="14"/>
      <c r="F123" s="14"/>
      <c r="G123" s="14"/>
      <c r="H123" s="14"/>
      <c r="I123" s="14"/>
      <c r="J123" s="14"/>
      <c r="K123" s="14"/>
      <c r="L123" s="14"/>
      <c r="M123" s="588"/>
      <c r="N123" s="588"/>
      <c r="O123" s="588"/>
    </row>
    <row r="124" spans="1:15">
      <c r="A124" s="575"/>
      <c r="B124" s="13"/>
      <c r="C124" s="13"/>
      <c r="D124" s="14"/>
      <c r="E124" s="14"/>
      <c r="F124" s="14"/>
      <c r="G124" s="14"/>
      <c r="H124" s="14"/>
      <c r="I124" s="14"/>
      <c r="J124" s="14"/>
      <c r="K124" s="14"/>
      <c r="L124" s="14"/>
      <c r="M124" s="588"/>
      <c r="N124" s="588"/>
      <c r="O124" s="588"/>
    </row>
    <row r="125" spans="1:15">
      <c r="A125" s="575"/>
      <c r="B125" s="13"/>
      <c r="C125" s="13"/>
      <c r="D125" s="14"/>
      <c r="E125" s="14"/>
      <c r="F125" s="14"/>
      <c r="G125" s="14"/>
      <c r="H125" s="14"/>
      <c r="I125" s="14"/>
      <c r="J125" s="14"/>
      <c r="K125" s="14"/>
      <c r="L125" s="14"/>
      <c r="M125" s="588"/>
      <c r="N125" s="588"/>
      <c r="O125" s="588"/>
    </row>
    <row r="126" spans="1:15">
      <c r="A126" s="575"/>
      <c r="B126" s="13"/>
      <c r="C126" s="13"/>
      <c r="D126" s="14"/>
      <c r="E126" s="14"/>
      <c r="F126" s="14"/>
      <c r="G126" s="14"/>
      <c r="H126" s="14"/>
      <c r="I126" s="14"/>
      <c r="J126" s="14"/>
      <c r="K126" s="14"/>
      <c r="L126" s="14"/>
      <c r="M126" s="588"/>
      <c r="N126" s="588"/>
      <c r="O126" s="588"/>
    </row>
    <row r="127" spans="1:15">
      <c r="A127" s="575"/>
      <c r="B127" s="13"/>
      <c r="C127" s="13"/>
      <c r="D127" s="14"/>
      <c r="E127" s="14"/>
      <c r="F127" s="14"/>
      <c r="G127" s="14"/>
      <c r="H127" s="14"/>
      <c r="I127" s="14"/>
      <c r="J127" s="14"/>
      <c r="K127" s="14"/>
      <c r="L127" s="14"/>
      <c r="M127" s="588"/>
      <c r="N127" s="588"/>
      <c r="O127" s="588"/>
    </row>
    <row r="128" spans="1:15">
      <c r="A128" s="575"/>
      <c r="B128" s="13"/>
      <c r="C128" s="13"/>
      <c r="D128" s="14"/>
      <c r="E128" s="14"/>
      <c r="F128" s="14"/>
      <c r="G128" s="14"/>
      <c r="H128" s="14"/>
      <c r="I128" s="14"/>
      <c r="J128" s="14"/>
      <c r="K128" s="14"/>
      <c r="L128" s="14"/>
      <c r="M128" s="588"/>
      <c r="N128" s="588"/>
      <c r="O128" s="588"/>
    </row>
    <row r="129" spans="1:15">
      <c r="A129" s="575"/>
      <c r="B129" s="13"/>
      <c r="C129" s="13"/>
      <c r="D129" s="14"/>
      <c r="E129" s="14"/>
      <c r="F129" s="14"/>
      <c r="G129" s="14"/>
      <c r="H129" s="14"/>
      <c r="I129" s="14"/>
      <c r="J129" s="14"/>
      <c r="K129" s="14"/>
      <c r="L129" s="14"/>
      <c r="M129" s="588"/>
      <c r="N129" s="588"/>
      <c r="O129" s="588"/>
    </row>
    <row r="130" spans="1:15">
      <c r="A130" s="575"/>
      <c r="B130" s="13"/>
      <c r="C130" s="13"/>
      <c r="D130" s="14"/>
      <c r="E130" s="14"/>
      <c r="F130" s="14"/>
      <c r="G130" s="14"/>
      <c r="H130" s="14"/>
      <c r="I130" s="14"/>
      <c r="J130" s="14"/>
      <c r="K130" s="14"/>
      <c r="L130" s="14"/>
      <c r="M130" s="588"/>
      <c r="N130" s="588"/>
      <c r="O130" s="588"/>
    </row>
    <row r="131" spans="1:15">
      <c r="A131" s="575"/>
      <c r="B131" s="13"/>
      <c r="C131" s="13"/>
      <c r="D131" s="14"/>
      <c r="E131" s="14"/>
      <c r="F131" s="14"/>
      <c r="G131" s="14"/>
      <c r="H131" s="14"/>
      <c r="I131" s="14"/>
      <c r="J131" s="14"/>
      <c r="K131" s="14"/>
      <c r="L131" s="14"/>
      <c r="M131" s="588"/>
      <c r="N131" s="588"/>
      <c r="O131" s="588"/>
    </row>
    <row r="132" spans="1:15">
      <c r="A132" s="575"/>
      <c r="B132" s="13"/>
      <c r="C132" s="13"/>
      <c r="D132" s="14"/>
      <c r="E132" s="14"/>
      <c r="F132" s="14"/>
      <c r="G132" s="14"/>
      <c r="H132" s="14"/>
      <c r="I132" s="14"/>
      <c r="J132" s="14"/>
      <c r="K132" s="14"/>
      <c r="L132" s="14"/>
      <c r="M132" s="588"/>
      <c r="N132" s="588"/>
      <c r="O132" s="588"/>
    </row>
    <row r="133" spans="1:15">
      <c r="A133" s="575"/>
      <c r="B133" s="13"/>
      <c r="C133" s="13"/>
      <c r="D133" s="14"/>
      <c r="E133" s="14"/>
      <c r="F133" s="14"/>
      <c r="G133" s="14"/>
      <c r="H133" s="14"/>
      <c r="I133" s="14"/>
      <c r="J133" s="14"/>
      <c r="K133" s="14"/>
      <c r="L133" s="14"/>
      <c r="M133" s="588"/>
      <c r="N133" s="588"/>
      <c r="O133" s="588"/>
    </row>
    <row r="134" spans="1:15">
      <c r="A134" s="575"/>
      <c r="B134" s="13"/>
      <c r="C134" s="13"/>
      <c r="D134" s="14"/>
      <c r="E134" s="14"/>
      <c r="F134" s="14"/>
      <c r="G134" s="14"/>
      <c r="H134" s="14"/>
      <c r="I134" s="14"/>
      <c r="J134" s="14"/>
      <c r="K134" s="14"/>
      <c r="L134" s="14"/>
      <c r="M134" s="588"/>
      <c r="N134" s="588"/>
      <c r="O134" s="588"/>
    </row>
    <row r="135" spans="1:15">
      <c r="A135" s="575"/>
      <c r="B135" s="13"/>
      <c r="C135" s="13"/>
      <c r="D135" s="14"/>
      <c r="E135" s="14"/>
      <c r="F135" s="14"/>
      <c r="G135" s="14"/>
      <c r="H135" s="14"/>
      <c r="I135" s="14"/>
      <c r="J135" s="14"/>
      <c r="K135" s="14"/>
      <c r="L135" s="14"/>
      <c r="M135" s="588"/>
      <c r="N135" s="588"/>
      <c r="O135" s="588"/>
    </row>
    <row r="136" spans="1:15">
      <c r="A136" s="575"/>
      <c r="B136" s="13"/>
      <c r="C136" s="13"/>
      <c r="D136" s="14"/>
      <c r="E136" s="14"/>
      <c r="F136" s="14"/>
      <c r="G136" s="14"/>
      <c r="H136" s="14"/>
      <c r="I136" s="14"/>
      <c r="J136" s="14"/>
      <c r="K136" s="14"/>
      <c r="L136" s="14"/>
      <c r="M136" s="588"/>
      <c r="N136" s="588"/>
      <c r="O136" s="588"/>
    </row>
    <row r="137" spans="1:15">
      <c r="A137" s="575"/>
      <c r="B137" s="13"/>
      <c r="C137" s="13"/>
      <c r="D137" s="14"/>
      <c r="E137" s="14"/>
      <c r="F137" s="14"/>
      <c r="G137" s="14"/>
      <c r="H137" s="14"/>
      <c r="I137" s="14"/>
      <c r="J137" s="14"/>
      <c r="K137" s="14"/>
      <c r="L137" s="14"/>
      <c r="M137" s="588"/>
      <c r="N137" s="588"/>
      <c r="O137" s="588"/>
    </row>
    <row r="138" spans="1:15">
      <c r="A138" s="575"/>
      <c r="B138" s="13"/>
      <c r="C138" s="13"/>
      <c r="D138" s="14"/>
      <c r="E138" s="14"/>
      <c r="F138" s="14"/>
      <c r="G138" s="14"/>
      <c r="H138" s="14"/>
      <c r="I138" s="14"/>
      <c r="J138" s="14"/>
      <c r="K138" s="14"/>
      <c r="L138" s="14"/>
      <c r="M138" s="588"/>
      <c r="N138" s="588"/>
      <c r="O138" s="588"/>
    </row>
    <row r="139" spans="1:15">
      <c r="A139" s="575"/>
      <c r="B139" s="13"/>
      <c r="C139" s="13"/>
      <c r="D139" s="14"/>
      <c r="E139" s="14"/>
      <c r="F139" s="14"/>
      <c r="G139" s="14"/>
      <c r="H139" s="14"/>
      <c r="I139" s="14"/>
      <c r="J139" s="14"/>
      <c r="K139" s="14"/>
      <c r="L139" s="14"/>
      <c r="M139" s="588"/>
      <c r="N139" s="588"/>
      <c r="O139" s="588"/>
    </row>
    <row r="140" spans="1:15">
      <c r="A140" s="575"/>
      <c r="B140" s="13"/>
      <c r="C140" s="13"/>
      <c r="D140" s="14"/>
      <c r="E140" s="14"/>
      <c r="F140" s="14"/>
      <c r="G140" s="14"/>
      <c r="H140" s="14"/>
      <c r="I140" s="14"/>
      <c r="J140" s="14"/>
      <c r="K140" s="14"/>
      <c r="L140" s="14"/>
      <c r="M140" s="588"/>
      <c r="N140" s="588"/>
      <c r="O140" s="588"/>
    </row>
    <row r="141" spans="1:15">
      <c r="A141" s="575"/>
      <c r="B141" s="13"/>
      <c r="C141" s="13"/>
      <c r="D141" s="14"/>
      <c r="E141" s="14"/>
      <c r="F141" s="14"/>
      <c r="G141" s="14"/>
      <c r="H141" s="14"/>
      <c r="I141" s="14"/>
      <c r="J141" s="14"/>
      <c r="K141" s="14"/>
      <c r="L141" s="14"/>
      <c r="M141" s="588"/>
      <c r="N141" s="588"/>
      <c r="O141" s="588"/>
    </row>
    <row r="142" spans="1:15">
      <c r="A142" s="575"/>
      <c r="B142" s="13"/>
      <c r="C142" s="13"/>
      <c r="D142" s="14"/>
      <c r="E142" s="14"/>
      <c r="F142" s="14"/>
      <c r="G142" s="14"/>
      <c r="H142" s="14"/>
      <c r="I142" s="14"/>
      <c r="J142" s="14"/>
      <c r="K142" s="14"/>
      <c r="L142" s="14"/>
      <c r="M142" s="588"/>
      <c r="N142" s="588"/>
      <c r="O142" s="588"/>
    </row>
    <row r="143" spans="1:15">
      <c r="A143" s="575"/>
      <c r="B143" s="13"/>
      <c r="C143" s="13"/>
      <c r="D143" s="14"/>
      <c r="E143" s="14"/>
      <c r="F143" s="14"/>
      <c r="G143" s="14"/>
      <c r="H143" s="14"/>
      <c r="I143" s="14"/>
      <c r="J143" s="14"/>
      <c r="K143" s="14"/>
      <c r="L143" s="14"/>
      <c r="M143" s="588"/>
      <c r="N143" s="588"/>
      <c r="O143" s="588"/>
    </row>
    <row r="144" spans="1:15">
      <c r="A144" s="575"/>
      <c r="B144" s="13"/>
      <c r="C144" s="13"/>
      <c r="D144" s="14"/>
      <c r="E144" s="14"/>
      <c r="F144" s="14"/>
      <c r="G144" s="14"/>
      <c r="H144" s="14"/>
      <c r="I144" s="14"/>
      <c r="J144" s="14"/>
      <c r="K144" s="14"/>
      <c r="L144" s="14"/>
      <c r="M144" s="588"/>
      <c r="N144" s="588"/>
      <c r="O144" s="588"/>
    </row>
    <row r="145" spans="1:15">
      <c r="A145" s="575"/>
      <c r="B145" s="13"/>
      <c r="C145" s="13"/>
      <c r="D145" s="14"/>
      <c r="E145" s="14"/>
      <c r="F145" s="14"/>
      <c r="G145" s="14"/>
      <c r="H145" s="14"/>
      <c r="I145" s="14"/>
      <c r="J145" s="14"/>
      <c r="K145" s="14"/>
      <c r="L145" s="14"/>
      <c r="M145" s="588"/>
      <c r="N145" s="588"/>
      <c r="O145" s="588"/>
    </row>
    <row r="146" spans="1:15">
      <c r="A146" s="575"/>
      <c r="B146" s="13"/>
      <c r="C146" s="13"/>
      <c r="D146" s="14"/>
      <c r="E146" s="14"/>
      <c r="F146" s="14"/>
      <c r="G146" s="14"/>
      <c r="H146" s="14"/>
      <c r="I146" s="14"/>
      <c r="J146" s="14"/>
      <c r="K146" s="14"/>
      <c r="L146" s="14"/>
      <c r="M146" s="588"/>
      <c r="N146" s="588"/>
      <c r="O146" s="588"/>
    </row>
    <row r="147" spans="1:15">
      <c r="A147" s="575"/>
      <c r="B147" s="13"/>
      <c r="C147" s="13"/>
      <c r="D147" s="14"/>
      <c r="E147" s="14"/>
      <c r="F147" s="14"/>
      <c r="G147" s="14"/>
      <c r="H147" s="14"/>
      <c r="I147" s="14"/>
      <c r="J147" s="14"/>
      <c r="K147" s="14"/>
      <c r="L147" s="14"/>
      <c r="M147" s="588"/>
      <c r="N147" s="588"/>
      <c r="O147" s="588"/>
    </row>
    <row r="148" spans="1:15">
      <c r="A148" s="575"/>
      <c r="B148" s="13"/>
      <c r="C148" s="13"/>
      <c r="D148" s="14"/>
      <c r="E148" s="14"/>
      <c r="F148" s="14"/>
      <c r="G148" s="14"/>
      <c r="H148" s="14"/>
      <c r="I148" s="14"/>
      <c r="J148" s="14"/>
      <c r="K148" s="14"/>
      <c r="L148" s="14"/>
      <c r="M148" s="588"/>
      <c r="N148" s="588"/>
      <c r="O148" s="588"/>
    </row>
    <row r="149" spans="1:15">
      <c r="A149" s="575"/>
      <c r="B149" s="13"/>
      <c r="C149" s="13"/>
      <c r="D149" s="14"/>
      <c r="E149" s="14"/>
      <c r="F149" s="14"/>
      <c r="G149" s="14"/>
      <c r="H149" s="14"/>
      <c r="I149" s="14"/>
      <c r="J149" s="14"/>
      <c r="K149" s="14"/>
      <c r="L149" s="14"/>
      <c r="M149" s="588"/>
      <c r="N149" s="588"/>
      <c r="O149" s="588"/>
    </row>
    <row r="150" spans="1:15">
      <c r="A150" s="575"/>
      <c r="B150" s="13"/>
      <c r="C150" s="13"/>
      <c r="D150" s="14"/>
      <c r="E150" s="14"/>
      <c r="F150" s="14"/>
      <c r="G150" s="14"/>
      <c r="H150" s="14"/>
      <c r="I150" s="14"/>
      <c r="J150" s="14"/>
      <c r="K150" s="14"/>
      <c r="L150" s="14"/>
      <c r="M150" s="588"/>
      <c r="N150" s="588"/>
      <c r="O150" s="588"/>
    </row>
    <row r="151" spans="1:15">
      <c r="A151" s="575"/>
      <c r="B151" s="13"/>
      <c r="C151" s="13"/>
      <c r="D151" s="14"/>
      <c r="E151" s="14"/>
      <c r="F151" s="14"/>
      <c r="G151" s="14"/>
      <c r="H151" s="14"/>
      <c r="I151" s="14"/>
      <c r="J151" s="14"/>
      <c r="K151" s="14"/>
      <c r="L151" s="14"/>
      <c r="M151" s="588"/>
      <c r="N151" s="588"/>
      <c r="O151" s="588"/>
    </row>
    <row r="152" spans="1:15">
      <c r="A152" s="575"/>
      <c r="B152" s="13"/>
      <c r="C152" s="13"/>
      <c r="D152" s="14"/>
      <c r="E152" s="14"/>
      <c r="F152" s="14"/>
      <c r="G152" s="14"/>
      <c r="H152" s="14"/>
      <c r="I152" s="14"/>
      <c r="J152" s="14"/>
      <c r="K152" s="14"/>
      <c r="L152" s="14"/>
      <c r="M152" s="588"/>
      <c r="N152" s="588"/>
      <c r="O152" s="588"/>
    </row>
    <row r="153" spans="1:15">
      <c r="A153" s="575"/>
      <c r="B153" s="13"/>
      <c r="C153" s="13"/>
      <c r="D153" s="14"/>
      <c r="E153" s="14"/>
      <c r="F153" s="14"/>
      <c r="G153" s="14"/>
      <c r="H153" s="14"/>
      <c r="I153" s="14"/>
      <c r="J153" s="14"/>
      <c r="K153" s="14"/>
      <c r="L153" s="14"/>
      <c r="M153" s="588"/>
      <c r="N153" s="588"/>
      <c r="O153" s="588"/>
    </row>
    <row r="154" spans="1:15">
      <c r="A154" s="575"/>
      <c r="B154" s="13"/>
      <c r="C154" s="13"/>
      <c r="D154" s="14"/>
      <c r="E154" s="14"/>
      <c r="F154" s="14"/>
      <c r="G154" s="14"/>
      <c r="H154" s="14"/>
      <c r="I154" s="14"/>
      <c r="J154" s="14"/>
      <c r="K154" s="14"/>
      <c r="L154" s="14"/>
      <c r="M154" s="588"/>
      <c r="N154" s="588"/>
      <c r="O154" s="588"/>
    </row>
    <row r="155" spans="1:15">
      <c r="A155" s="575"/>
      <c r="B155" s="13"/>
      <c r="C155" s="13"/>
      <c r="D155" s="14"/>
      <c r="E155" s="14"/>
      <c r="F155" s="14"/>
      <c r="G155" s="14"/>
      <c r="H155" s="14"/>
      <c r="I155" s="14"/>
      <c r="J155" s="14"/>
      <c r="K155" s="14"/>
      <c r="L155" s="14"/>
      <c r="M155" s="588"/>
      <c r="N155" s="588"/>
      <c r="O155" s="588"/>
    </row>
    <row r="156" spans="1:15">
      <c r="A156" s="575"/>
      <c r="B156" s="13"/>
      <c r="C156" s="13"/>
      <c r="D156" s="14"/>
      <c r="E156" s="14"/>
      <c r="F156" s="14"/>
      <c r="G156" s="14"/>
      <c r="H156" s="14"/>
      <c r="I156" s="14"/>
      <c r="J156" s="14"/>
      <c r="K156" s="14"/>
      <c r="L156" s="14"/>
      <c r="M156" s="588"/>
      <c r="N156" s="588"/>
      <c r="O156" s="588"/>
    </row>
    <row r="157" spans="1:15">
      <c r="A157" s="575"/>
      <c r="B157" s="13"/>
      <c r="C157" s="13"/>
      <c r="D157" s="14"/>
      <c r="E157" s="14"/>
      <c r="F157" s="14"/>
      <c r="G157" s="14"/>
      <c r="H157" s="14"/>
      <c r="I157" s="14"/>
      <c r="J157" s="14"/>
      <c r="K157" s="14"/>
      <c r="L157" s="14"/>
      <c r="M157" s="588"/>
      <c r="N157" s="588"/>
      <c r="O157" s="588"/>
    </row>
    <row r="158" spans="1:15">
      <c r="A158" s="575"/>
      <c r="B158" s="13"/>
      <c r="C158" s="13"/>
      <c r="D158" s="14"/>
      <c r="E158" s="14"/>
      <c r="F158" s="14"/>
      <c r="G158" s="14"/>
      <c r="H158" s="14"/>
      <c r="I158" s="14"/>
      <c r="J158" s="14"/>
      <c r="K158" s="14"/>
      <c r="L158" s="14"/>
      <c r="M158" s="588"/>
      <c r="N158" s="588"/>
      <c r="O158" s="588"/>
    </row>
    <row r="159" spans="1:15">
      <c r="A159" s="575"/>
      <c r="B159" s="13"/>
      <c r="C159" s="13"/>
      <c r="D159" s="14"/>
      <c r="E159" s="14"/>
      <c r="F159" s="14"/>
      <c r="G159" s="14"/>
      <c r="H159" s="14"/>
      <c r="I159" s="14"/>
      <c r="J159" s="14"/>
      <c r="K159" s="14"/>
      <c r="L159" s="14"/>
      <c r="M159" s="588"/>
      <c r="N159" s="588"/>
      <c r="O159" s="588"/>
    </row>
    <row r="160" spans="1:15">
      <c r="A160" s="575"/>
      <c r="B160" s="13"/>
      <c r="C160" s="13"/>
      <c r="D160" s="14"/>
      <c r="E160" s="14"/>
      <c r="F160" s="14"/>
      <c r="G160" s="14"/>
      <c r="H160" s="14"/>
      <c r="I160" s="14"/>
      <c r="J160" s="14"/>
      <c r="K160" s="14"/>
      <c r="L160" s="14"/>
      <c r="M160" s="588"/>
      <c r="N160" s="588"/>
      <c r="O160" s="588"/>
    </row>
    <row r="161" spans="1:15">
      <c r="A161" s="575"/>
      <c r="B161" s="13"/>
      <c r="C161" s="13"/>
      <c r="D161" s="14"/>
      <c r="E161" s="14"/>
      <c r="F161" s="14"/>
      <c r="G161" s="14"/>
      <c r="H161" s="14"/>
      <c r="I161" s="14"/>
      <c r="J161" s="14"/>
      <c r="K161" s="14"/>
      <c r="L161" s="14"/>
      <c r="M161" s="588"/>
      <c r="N161" s="588"/>
      <c r="O161" s="588"/>
    </row>
    <row r="162" spans="1:15">
      <c r="A162" s="575"/>
      <c r="B162" s="13"/>
      <c r="C162" s="13"/>
      <c r="D162" s="14"/>
      <c r="E162" s="14"/>
      <c r="F162" s="14"/>
      <c r="G162" s="14"/>
      <c r="H162" s="14"/>
      <c r="I162" s="14"/>
      <c r="J162" s="14"/>
      <c r="K162" s="14"/>
      <c r="L162" s="14"/>
      <c r="M162" s="588"/>
      <c r="N162" s="588"/>
      <c r="O162" s="588"/>
    </row>
    <row r="163" spans="1:15">
      <c r="A163" s="575"/>
      <c r="B163" s="13"/>
      <c r="C163" s="13"/>
      <c r="D163" s="14"/>
      <c r="E163" s="14"/>
      <c r="F163" s="14"/>
      <c r="G163" s="14"/>
      <c r="H163" s="14"/>
      <c r="I163" s="14"/>
      <c r="J163" s="14"/>
      <c r="K163" s="14"/>
      <c r="L163" s="14"/>
      <c r="M163" s="588"/>
      <c r="N163" s="588"/>
      <c r="O163" s="588"/>
    </row>
    <row r="164" spans="1:15">
      <c r="A164" s="575"/>
      <c r="B164" s="13"/>
      <c r="C164" s="13"/>
      <c r="D164" s="14"/>
      <c r="E164" s="14"/>
      <c r="F164" s="14"/>
      <c r="G164" s="14"/>
      <c r="H164" s="14"/>
      <c r="I164" s="14"/>
      <c r="J164" s="14"/>
      <c r="K164" s="14"/>
      <c r="L164" s="14"/>
      <c r="M164" s="588"/>
      <c r="N164" s="588"/>
      <c r="O164" s="588"/>
    </row>
    <row r="165" spans="1:15">
      <c r="A165" s="575"/>
      <c r="B165" s="13"/>
      <c r="C165" s="13"/>
      <c r="D165" s="14"/>
      <c r="E165" s="14"/>
      <c r="F165" s="14"/>
      <c r="G165" s="14"/>
      <c r="H165" s="14"/>
      <c r="I165" s="14"/>
      <c r="J165" s="14"/>
      <c r="K165" s="14"/>
      <c r="L165" s="14"/>
      <c r="M165" s="588"/>
      <c r="N165" s="588"/>
      <c r="O165" s="588"/>
    </row>
    <row r="166" spans="1:15">
      <c r="A166" s="575"/>
      <c r="B166" s="13"/>
      <c r="C166" s="13"/>
      <c r="D166" s="14"/>
      <c r="E166" s="14"/>
      <c r="F166" s="14"/>
      <c r="G166" s="14"/>
      <c r="H166" s="14"/>
      <c r="I166" s="14"/>
      <c r="J166" s="14"/>
      <c r="K166" s="14"/>
      <c r="L166" s="14"/>
      <c r="M166" s="588"/>
      <c r="N166" s="588"/>
      <c r="O166" s="588"/>
    </row>
    <row r="167" spans="1:15">
      <c r="A167" s="575"/>
      <c r="B167" s="13"/>
      <c r="C167" s="13"/>
      <c r="D167" s="14"/>
      <c r="E167" s="14"/>
      <c r="F167" s="14"/>
      <c r="G167" s="14"/>
      <c r="H167" s="14"/>
      <c r="I167" s="14"/>
      <c r="J167" s="14"/>
      <c r="K167" s="14"/>
      <c r="L167" s="14"/>
      <c r="M167" s="588"/>
      <c r="N167" s="588"/>
      <c r="O167" s="588"/>
    </row>
    <row r="168" spans="1:15">
      <c r="A168" s="575"/>
      <c r="B168" s="13"/>
      <c r="C168" s="13"/>
      <c r="D168" s="14"/>
      <c r="E168" s="14"/>
      <c r="F168" s="14"/>
      <c r="G168" s="14"/>
      <c r="H168" s="14"/>
      <c r="I168" s="14"/>
      <c r="J168" s="14"/>
      <c r="K168" s="14"/>
      <c r="L168" s="14"/>
      <c r="M168" s="588"/>
      <c r="N168" s="588"/>
      <c r="O168" s="588"/>
    </row>
    <row r="169" spans="1:15">
      <c r="A169" s="575"/>
      <c r="B169" s="13"/>
      <c r="C169" s="13"/>
      <c r="D169" s="14"/>
      <c r="E169" s="14"/>
      <c r="F169" s="14"/>
      <c r="G169" s="14"/>
      <c r="H169" s="14"/>
      <c r="I169" s="14"/>
      <c r="J169" s="14"/>
      <c r="K169" s="14"/>
      <c r="L169" s="14"/>
      <c r="M169" s="588"/>
      <c r="N169" s="588"/>
      <c r="O169" s="588"/>
    </row>
    <row r="170" spans="1:15">
      <c r="A170" s="575"/>
      <c r="B170" s="13"/>
      <c r="C170" s="13"/>
      <c r="D170" s="14"/>
      <c r="E170" s="14"/>
      <c r="F170" s="14"/>
      <c r="G170" s="14"/>
      <c r="H170" s="14"/>
      <c r="I170" s="14"/>
      <c r="J170" s="14"/>
      <c r="K170" s="14"/>
      <c r="L170" s="14"/>
      <c r="M170" s="588"/>
      <c r="N170" s="588"/>
      <c r="O170" s="588"/>
    </row>
    <row r="171" spans="1:15">
      <c r="A171" s="575"/>
      <c r="B171" s="13"/>
      <c r="C171" s="13"/>
      <c r="D171" s="14"/>
      <c r="E171" s="14"/>
      <c r="F171" s="14"/>
      <c r="G171" s="14"/>
      <c r="H171" s="14"/>
      <c r="I171" s="14"/>
      <c r="J171" s="14"/>
      <c r="K171" s="14"/>
      <c r="L171" s="14"/>
      <c r="M171" s="588"/>
      <c r="N171" s="588"/>
      <c r="O171" s="588"/>
    </row>
    <row r="172" spans="1:15">
      <c r="A172" s="575"/>
      <c r="B172" s="13"/>
      <c r="C172" s="13"/>
      <c r="D172" s="14"/>
      <c r="E172" s="14"/>
      <c r="F172" s="14"/>
      <c r="G172" s="14"/>
      <c r="H172" s="14"/>
      <c r="I172" s="14"/>
      <c r="J172" s="14"/>
      <c r="K172" s="14"/>
      <c r="L172" s="14"/>
      <c r="M172" s="588"/>
      <c r="N172" s="588"/>
      <c r="O172" s="588"/>
    </row>
    <row r="173" spans="1:15">
      <c r="A173" s="575"/>
      <c r="B173" s="13"/>
      <c r="C173" s="13"/>
      <c r="D173" s="14"/>
      <c r="E173" s="14"/>
      <c r="F173" s="14"/>
      <c r="G173" s="14"/>
      <c r="H173" s="14"/>
      <c r="I173" s="14"/>
      <c r="J173" s="14"/>
      <c r="K173" s="14"/>
      <c r="L173" s="14"/>
      <c r="M173" s="588"/>
      <c r="N173" s="588"/>
      <c r="O173" s="588"/>
    </row>
    <row r="174" spans="1:15">
      <c r="A174" s="575"/>
      <c r="B174" s="13"/>
      <c r="C174" s="13"/>
      <c r="D174" s="14"/>
      <c r="E174" s="14"/>
      <c r="F174" s="14"/>
      <c r="G174" s="14"/>
      <c r="H174" s="14"/>
      <c r="I174" s="14"/>
      <c r="J174" s="14"/>
      <c r="K174" s="14"/>
      <c r="L174" s="14"/>
      <c r="M174" s="588"/>
      <c r="N174" s="588"/>
      <c r="O174" s="588"/>
    </row>
    <row r="175" spans="1:15">
      <c r="A175" s="575"/>
      <c r="B175" s="13"/>
      <c r="C175" s="13"/>
      <c r="D175" s="14"/>
      <c r="E175" s="14"/>
      <c r="F175" s="14"/>
      <c r="G175" s="14"/>
      <c r="H175" s="14"/>
      <c r="I175" s="14"/>
      <c r="J175" s="14"/>
      <c r="K175" s="14"/>
      <c r="L175" s="14"/>
      <c r="M175" s="588"/>
      <c r="N175" s="588"/>
      <c r="O175" s="588"/>
    </row>
    <row r="176" spans="1:15">
      <c r="A176" s="575"/>
      <c r="B176" s="13"/>
      <c r="C176" s="13"/>
      <c r="D176" s="14"/>
      <c r="E176" s="14"/>
      <c r="F176" s="14"/>
      <c r="G176" s="14"/>
      <c r="H176" s="14"/>
      <c r="I176" s="14"/>
      <c r="J176" s="14"/>
      <c r="K176" s="14"/>
      <c r="L176" s="14"/>
      <c r="M176" s="588"/>
      <c r="N176" s="588"/>
      <c r="O176" s="588"/>
    </row>
    <row r="177" spans="1:15">
      <c r="A177" s="575"/>
      <c r="B177" s="13"/>
      <c r="C177" s="13"/>
      <c r="D177" s="14"/>
      <c r="E177" s="14"/>
      <c r="F177" s="14"/>
      <c r="G177" s="14"/>
      <c r="H177" s="14"/>
      <c r="I177" s="14"/>
      <c r="J177" s="14"/>
      <c r="K177" s="14"/>
      <c r="L177" s="14"/>
      <c r="M177" s="588"/>
      <c r="N177" s="588"/>
      <c r="O177" s="588"/>
    </row>
    <row r="178" spans="1:15">
      <c r="A178" s="575"/>
      <c r="B178" s="13"/>
      <c r="C178" s="13"/>
      <c r="D178" s="14"/>
      <c r="E178" s="14"/>
      <c r="F178" s="14"/>
      <c r="G178" s="14"/>
      <c r="H178" s="14"/>
      <c r="I178" s="14"/>
      <c r="J178" s="14"/>
      <c r="K178" s="14"/>
      <c r="L178" s="14"/>
      <c r="M178" s="588"/>
      <c r="N178" s="588"/>
      <c r="O178" s="588"/>
    </row>
    <row r="179" spans="1:15">
      <c r="A179" s="575"/>
      <c r="B179" s="13"/>
      <c r="C179" s="13"/>
      <c r="D179" s="14"/>
      <c r="E179" s="14"/>
      <c r="F179" s="14"/>
      <c r="G179" s="14"/>
      <c r="H179" s="14"/>
      <c r="I179" s="14"/>
      <c r="J179" s="14"/>
      <c r="K179" s="14"/>
      <c r="L179" s="14"/>
      <c r="M179" s="588"/>
      <c r="N179" s="588"/>
      <c r="O179" s="588"/>
    </row>
    <row r="180" spans="1:15">
      <c r="A180" s="575"/>
      <c r="B180" s="13"/>
      <c r="C180" s="13"/>
      <c r="D180" s="14"/>
      <c r="E180" s="14"/>
      <c r="F180" s="14"/>
      <c r="G180" s="14"/>
      <c r="H180" s="14"/>
      <c r="I180" s="14"/>
      <c r="J180" s="14"/>
      <c r="K180" s="14"/>
      <c r="L180" s="14"/>
      <c r="M180" s="588"/>
      <c r="N180" s="588"/>
      <c r="O180" s="588"/>
    </row>
    <row r="181" spans="1:15">
      <c r="A181" s="575"/>
      <c r="B181" s="13"/>
      <c r="C181" s="13"/>
      <c r="D181" s="14"/>
      <c r="E181" s="14"/>
      <c r="F181" s="14"/>
      <c r="G181" s="14"/>
      <c r="H181" s="14"/>
      <c r="I181" s="14"/>
      <c r="J181" s="14"/>
      <c r="K181" s="14"/>
      <c r="L181" s="14"/>
      <c r="M181" s="588"/>
      <c r="N181" s="588"/>
      <c r="O181" s="588"/>
    </row>
    <row r="182" spans="1:15">
      <c r="A182" s="575"/>
      <c r="B182" s="13"/>
      <c r="C182" s="13"/>
      <c r="D182" s="14"/>
      <c r="E182" s="14"/>
      <c r="F182" s="14"/>
      <c r="G182" s="14"/>
      <c r="H182" s="14"/>
      <c r="I182" s="14"/>
      <c r="J182" s="14"/>
      <c r="K182" s="14"/>
      <c r="L182" s="14"/>
      <c r="M182" s="588"/>
      <c r="N182" s="588"/>
      <c r="O182" s="588"/>
    </row>
    <row r="183" spans="1:15">
      <c r="A183" s="575"/>
      <c r="B183" s="13"/>
      <c r="C183" s="13"/>
      <c r="D183" s="14"/>
      <c r="E183" s="14"/>
      <c r="F183" s="14"/>
      <c r="G183" s="14"/>
      <c r="H183" s="14"/>
      <c r="I183" s="14"/>
      <c r="J183" s="14"/>
      <c r="K183" s="14"/>
      <c r="L183" s="14"/>
      <c r="M183" s="588"/>
      <c r="N183" s="588"/>
      <c r="O183" s="588"/>
    </row>
    <row r="184" spans="1:15">
      <c r="A184" s="575"/>
      <c r="B184" s="13"/>
      <c r="C184" s="13"/>
      <c r="D184" s="14"/>
      <c r="E184" s="14"/>
      <c r="F184" s="14"/>
      <c r="G184" s="14"/>
      <c r="H184" s="14"/>
      <c r="I184" s="14"/>
      <c r="J184" s="14"/>
      <c r="K184" s="14"/>
      <c r="L184" s="14"/>
      <c r="M184" s="588"/>
      <c r="N184" s="588"/>
      <c r="O184" s="588"/>
    </row>
    <row r="185" spans="1:15">
      <c r="A185" s="575"/>
      <c r="B185" s="13"/>
      <c r="C185" s="13"/>
      <c r="D185" s="14"/>
      <c r="E185" s="14"/>
      <c r="F185" s="14"/>
      <c r="G185" s="14"/>
      <c r="H185" s="14"/>
      <c r="I185" s="14"/>
      <c r="J185" s="14"/>
      <c r="K185" s="14"/>
      <c r="L185" s="14"/>
      <c r="M185" s="588"/>
      <c r="N185" s="588"/>
      <c r="O185" s="588"/>
    </row>
    <row r="186" spans="1:15">
      <c r="A186" s="575"/>
      <c r="B186" s="13"/>
      <c r="C186" s="13"/>
      <c r="D186" s="14"/>
      <c r="E186" s="14"/>
      <c r="F186" s="14"/>
      <c r="G186" s="14"/>
      <c r="H186" s="14"/>
      <c r="I186" s="14"/>
      <c r="J186" s="14"/>
      <c r="K186" s="14"/>
      <c r="L186" s="14"/>
      <c r="M186" s="588"/>
      <c r="N186" s="588"/>
      <c r="O186" s="588"/>
    </row>
    <row r="187" spans="1:15">
      <c r="A187" s="575"/>
      <c r="B187" s="13"/>
      <c r="C187" s="13"/>
      <c r="D187" s="14"/>
      <c r="E187" s="14"/>
      <c r="F187" s="14"/>
      <c r="G187" s="14"/>
      <c r="H187" s="14"/>
      <c r="I187" s="14"/>
      <c r="J187" s="14"/>
      <c r="K187" s="14"/>
      <c r="L187" s="14"/>
      <c r="M187" s="588"/>
      <c r="N187" s="588"/>
      <c r="O187" s="588"/>
    </row>
    <row r="188" spans="1:15">
      <c r="A188" s="575"/>
      <c r="B188" s="13"/>
      <c r="C188" s="13"/>
      <c r="D188" s="14"/>
      <c r="E188" s="14"/>
      <c r="F188" s="14"/>
      <c r="G188" s="14"/>
      <c r="H188" s="14"/>
      <c r="I188" s="14"/>
      <c r="J188" s="14"/>
      <c r="K188" s="14"/>
      <c r="L188" s="14"/>
      <c r="M188" s="588"/>
      <c r="N188" s="588"/>
      <c r="O188" s="588"/>
    </row>
    <row r="189" spans="1:15">
      <c r="A189" s="575"/>
      <c r="B189" s="13"/>
      <c r="C189" s="13"/>
      <c r="D189" s="14"/>
      <c r="E189" s="14"/>
      <c r="F189" s="14"/>
      <c r="G189" s="14"/>
      <c r="H189" s="14"/>
      <c r="I189" s="14"/>
      <c r="J189" s="14"/>
      <c r="K189" s="14"/>
      <c r="L189" s="14"/>
      <c r="M189" s="588"/>
      <c r="N189" s="588"/>
      <c r="O189" s="588"/>
    </row>
    <row r="190" spans="1:15">
      <c r="A190" s="575"/>
      <c r="B190" s="13"/>
      <c r="C190" s="13"/>
      <c r="D190" s="14"/>
      <c r="E190" s="14"/>
      <c r="F190" s="14"/>
      <c r="G190" s="14"/>
      <c r="H190" s="14"/>
      <c r="I190" s="14"/>
      <c r="J190" s="14"/>
      <c r="K190" s="14"/>
      <c r="L190" s="14"/>
      <c r="M190" s="588"/>
      <c r="N190" s="588"/>
      <c r="O190" s="588"/>
    </row>
    <row r="191" spans="1:15">
      <c r="A191" s="575"/>
      <c r="B191" s="13"/>
      <c r="C191" s="13"/>
      <c r="D191" s="14"/>
      <c r="E191" s="14"/>
      <c r="F191" s="14"/>
      <c r="G191" s="14"/>
      <c r="H191" s="14"/>
      <c r="I191" s="14"/>
      <c r="J191" s="14"/>
      <c r="K191" s="14"/>
      <c r="L191" s="14"/>
      <c r="M191" s="588"/>
      <c r="N191" s="588"/>
      <c r="O191" s="588"/>
    </row>
    <row r="192" spans="1:15">
      <c r="A192" s="575"/>
      <c r="B192" s="13"/>
      <c r="C192" s="13"/>
      <c r="D192" s="14"/>
      <c r="E192" s="14"/>
      <c r="F192" s="14"/>
      <c r="G192" s="14"/>
      <c r="H192" s="14"/>
      <c r="I192" s="14"/>
      <c r="J192" s="14"/>
      <c r="K192" s="14"/>
      <c r="L192" s="14"/>
      <c r="M192" s="588"/>
      <c r="N192" s="588"/>
      <c r="O192" s="588"/>
    </row>
    <row r="193" spans="1:15">
      <c r="A193" s="575"/>
      <c r="B193" s="13"/>
      <c r="C193" s="13"/>
      <c r="D193" s="14"/>
      <c r="E193" s="14"/>
      <c r="F193" s="14"/>
      <c r="G193" s="14"/>
      <c r="H193" s="14"/>
      <c r="I193" s="14"/>
      <c r="J193" s="14"/>
      <c r="K193" s="14"/>
      <c r="L193" s="14"/>
      <c r="M193" s="588"/>
      <c r="N193" s="588"/>
      <c r="O193" s="588"/>
    </row>
    <row r="194" spans="1:15">
      <c r="A194" s="575"/>
      <c r="B194" s="13"/>
      <c r="C194" s="13"/>
      <c r="D194" s="14"/>
      <c r="E194" s="14"/>
      <c r="F194" s="14"/>
      <c r="G194" s="14"/>
      <c r="H194" s="14"/>
      <c r="I194" s="14"/>
      <c r="J194" s="14"/>
      <c r="K194" s="14"/>
      <c r="L194" s="14"/>
      <c r="M194" s="588"/>
      <c r="N194" s="588"/>
      <c r="O194" s="588"/>
    </row>
    <row r="195" spans="1:15">
      <c r="A195" s="575"/>
      <c r="B195" s="13"/>
      <c r="C195" s="13"/>
      <c r="D195" s="14"/>
      <c r="E195" s="14"/>
      <c r="F195" s="14"/>
      <c r="G195" s="14"/>
      <c r="H195" s="14"/>
      <c r="I195" s="14"/>
      <c r="J195" s="14"/>
      <c r="K195" s="14"/>
      <c r="L195" s="14"/>
      <c r="M195" s="588"/>
      <c r="N195" s="588"/>
      <c r="O195" s="588"/>
    </row>
    <row r="196" spans="1:15">
      <c r="A196" s="575"/>
      <c r="B196" s="13"/>
      <c r="C196" s="13"/>
      <c r="D196" s="14"/>
      <c r="E196" s="14"/>
      <c r="F196" s="14"/>
      <c r="G196" s="14"/>
      <c r="H196" s="14"/>
      <c r="I196" s="14"/>
      <c r="J196" s="14"/>
      <c r="K196" s="14"/>
      <c r="L196" s="14"/>
      <c r="M196" s="588"/>
      <c r="N196" s="588"/>
      <c r="O196" s="588"/>
    </row>
    <row r="197" spans="1:15">
      <c r="A197" s="575"/>
      <c r="B197" s="13"/>
      <c r="C197" s="13"/>
      <c r="D197" s="14"/>
      <c r="E197" s="14"/>
      <c r="F197" s="14"/>
      <c r="G197" s="14"/>
      <c r="H197" s="14"/>
      <c r="I197" s="14"/>
      <c r="J197" s="14"/>
      <c r="K197" s="14"/>
      <c r="L197" s="14"/>
      <c r="M197" s="588"/>
      <c r="N197" s="588"/>
      <c r="O197" s="588"/>
    </row>
    <row r="198" spans="1:15">
      <c r="A198" s="575"/>
      <c r="B198" s="13"/>
      <c r="C198" s="13"/>
      <c r="D198" s="14"/>
      <c r="E198" s="14"/>
      <c r="F198" s="14"/>
      <c r="G198" s="14"/>
      <c r="H198" s="14"/>
      <c r="I198" s="14"/>
      <c r="J198" s="14"/>
      <c r="K198" s="14"/>
      <c r="L198" s="14"/>
      <c r="M198" s="588"/>
      <c r="N198" s="588"/>
      <c r="O198" s="588"/>
    </row>
    <row r="199" spans="1:15">
      <c r="A199" s="575"/>
      <c r="B199" s="13"/>
      <c r="C199" s="13"/>
      <c r="D199" s="14"/>
      <c r="E199" s="14"/>
      <c r="F199" s="14"/>
      <c r="G199" s="14"/>
      <c r="H199" s="14"/>
      <c r="I199" s="14"/>
      <c r="J199" s="14"/>
      <c r="K199" s="14"/>
      <c r="L199" s="14"/>
      <c r="M199" s="588"/>
      <c r="N199" s="588"/>
      <c r="O199" s="588"/>
    </row>
    <row r="200" spans="1:15">
      <c r="A200" s="575"/>
      <c r="B200" s="13"/>
      <c r="C200" s="13"/>
      <c r="D200" s="14"/>
      <c r="E200" s="14"/>
      <c r="F200" s="14"/>
      <c r="G200" s="14"/>
      <c r="H200" s="14"/>
      <c r="I200" s="14"/>
      <c r="J200" s="14"/>
      <c r="K200" s="14"/>
      <c r="L200" s="14"/>
      <c r="M200" s="588"/>
      <c r="N200" s="588"/>
      <c r="O200" s="588"/>
    </row>
    <row r="201" spans="1:15">
      <c r="A201" s="575"/>
      <c r="B201" s="13"/>
      <c r="C201" s="13"/>
      <c r="D201" s="14"/>
      <c r="E201" s="14"/>
      <c r="F201" s="14"/>
      <c r="G201" s="14"/>
      <c r="H201" s="14"/>
      <c r="I201" s="14"/>
      <c r="J201" s="14"/>
      <c r="K201" s="14"/>
      <c r="L201" s="14"/>
      <c r="M201" s="588"/>
      <c r="N201" s="588"/>
      <c r="O201" s="588"/>
    </row>
    <row r="202" spans="1:15">
      <c r="A202" s="575"/>
      <c r="B202" s="13"/>
      <c r="C202" s="13"/>
      <c r="D202" s="14"/>
      <c r="E202" s="14"/>
      <c r="F202" s="14"/>
      <c r="G202" s="14"/>
      <c r="H202" s="14"/>
      <c r="I202" s="14"/>
      <c r="J202" s="14"/>
      <c r="K202" s="14"/>
      <c r="L202" s="14"/>
      <c r="M202" s="588"/>
      <c r="N202" s="588"/>
      <c r="O202" s="588"/>
    </row>
    <row r="203" spans="1:15">
      <c r="A203" s="575"/>
      <c r="B203" s="13"/>
      <c r="C203" s="13"/>
      <c r="D203" s="14"/>
      <c r="E203" s="14"/>
      <c r="F203" s="14"/>
      <c r="G203" s="14"/>
      <c r="H203" s="14"/>
      <c r="I203" s="14"/>
      <c r="J203" s="14"/>
      <c r="K203" s="14"/>
      <c r="L203" s="14"/>
      <c r="M203" s="588"/>
      <c r="N203" s="588"/>
      <c r="O203" s="588"/>
    </row>
    <row r="204" spans="1:15">
      <c r="A204" s="575"/>
      <c r="B204" s="13"/>
      <c r="C204" s="13"/>
      <c r="D204" s="14"/>
      <c r="E204" s="14"/>
      <c r="F204" s="14"/>
      <c r="G204" s="14"/>
      <c r="H204" s="14"/>
      <c r="I204" s="14"/>
      <c r="J204" s="14"/>
      <c r="K204" s="14"/>
      <c r="L204" s="14"/>
      <c r="M204" s="588"/>
      <c r="N204" s="588"/>
      <c r="O204" s="588"/>
    </row>
    <row r="205" spans="1:15">
      <c r="A205" s="575"/>
      <c r="B205" s="13"/>
      <c r="C205" s="13"/>
      <c r="D205" s="14"/>
      <c r="E205" s="14"/>
      <c r="F205" s="14"/>
      <c r="G205" s="14"/>
      <c r="H205" s="14"/>
      <c r="I205" s="14"/>
      <c r="J205" s="14"/>
      <c r="K205" s="14"/>
      <c r="L205" s="14"/>
      <c r="M205" s="588"/>
      <c r="N205" s="588"/>
      <c r="O205" s="588"/>
    </row>
    <row r="206" spans="1:15">
      <c r="A206" s="575"/>
      <c r="B206" s="13"/>
      <c r="C206" s="13"/>
      <c r="D206" s="14"/>
      <c r="E206" s="14"/>
      <c r="F206" s="14"/>
      <c r="G206" s="14"/>
      <c r="H206" s="14"/>
      <c r="I206" s="14"/>
      <c r="J206" s="14"/>
      <c r="K206" s="14"/>
      <c r="L206" s="14"/>
      <c r="M206" s="588"/>
      <c r="N206" s="588"/>
      <c r="O206" s="588"/>
    </row>
    <row r="207" spans="1:15">
      <c r="A207" s="575"/>
      <c r="B207" s="13"/>
      <c r="C207" s="13"/>
      <c r="D207" s="14"/>
      <c r="E207" s="14"/>
      <c r="F207" s="14"/>
      <c r="G207" s="14"/>
      <c r="H207" s="14"/>
      <c r="I207" s="14"/>
      <c r="J207" s="14"/>
      <c r="K207" s="14"/>
      <c r="L207" s="14"/>
      <c r="M207" s="588"/>
      <c r="N207" s="588"/>
      <c r="O207" s="588"/>
    </row>
    <row r="208" spans="1:15">
      <c r="A208" s="575"/>
      <c r="B208" s="13"/>
      <c r="C208" s="13"/>
      <c r="D208" s="14"/>
      <c r="E208" s="14"/>
      <c r="F208" s="14"/>
      <c r="G208" s="14"/>
      <c r="H208" s="14"/>
      <c r="I208" s="14"/>
      <c r="J208" s="14"/>
      <c r="K208" s="14"/>
      <c r="L208" s="14"/>
      <c r="M208" s="588"/>
      <c r="N208" s="588"/>
      <c r="O208" s="588"/>
    </row>
    <row r="209" spans="1:15">
      <c r="A209" s="575"/>
      <c r="B209" s="13"/>
      <c r="C209" s="13"/>
      <c r="D209" s="14"/>
      <c r="E209" s="14"/>
      <c r="F209" s="14"/>
      <c r="G209" s="14"/>
      <c r="H209" s="14"/>
      <c r="I209" s="14"/>
      <c r="J209" s="14"/>
      <c r="K209" s="14"/>
      <c r="L209" s="14"/>
      <c r="M209" s="588"/>
      <c r="N209" s="588"/>
      <c r="O209" s="588"/>
    </row>
    <row r="210" spans="1:15">
      <c r="A210" s="575"/>
      <c r="B210" s="13"/>
      <c r="C210" s="13"/>
      <c r="D210" s="14"/>
      <c r="E210" s="14"/>
      <c r="F210" s="14"/>
      <c r="G210" s="14"/>
      <c r="H210" s="14"/>
      <c r="I210" s="14"/>
      <c r="J210" s="14"/>
      <c r="K210" s="14"/>
      <c r="L210" s="14"/>
      <c r="M210" s="588"/>
      <c r="N210" s="588"/>
      <c r="O210" s="588"/>
    </row>
    <row r="211" spans="1:15">
      <c r="A211" s="575"/>
      <c r="B211" s="13"/>
      <c r="C211" s="13"/>
      <c r="D211" s="14"/>
      <c r="E211" s="14"/>
      <c r="F211" s="14"/>
      <c r="G211" s="14"/>
      <c r="H211" s="14"/>
      <c r="I211" s="14"/>
      <c r="J211" s="14"/>
      <c r="K211" s="14"/>
      <c r="L211" s="14"/>
      <c r="M211" s="588"/>
      <c r="N211" s="588"/>
      <c r="O211" s="588"/>
    </row>
    <row r="212" spans="1:15">
      <c r="A212" s="575"/>
      <c r="B212" s="13"/>
      <c r="C212" s="13"/>
      <c r="D212" s="14"/>
      <c r="E212" s="14"/>
      <c r="F212" s="14"/>
      <c r="G212" s="14"/>
      <c r="H212" s="14"/>
      <c r="I212" s="14"/>
      <c r="J212" s="14"/>
      <c r="K212" s="14"/>
      <c r="L212" s="14"/>
      <c r="M212" s="588"/>
      <c r="N212" s="588"/>
      <c r="O212" s="588"/>
    </row>
    <row r="213" spans="1:15">
      <c r="A213" s="575"/>
      <c r="B213" s="13"/>
      <c r="C213" s="13"/>
      <c r="D213" s="14"/>
      <c r="E213" s="14"/>
      <c r="F213" s="14"/>
      <c r="G213" s="14"/>
      <c r="H213" s="14"/>
      <c r="I213" s="14"/>
      <c r="J213" s="14"/>
      <c r="K213" s="14"/>
      <c r="L213" s="14"/>
      <c r="M213" s="588"/>
      <c r="N213" s="588"/>
      <c r="O213" s="588"/>
    </row>
    <row r="214" spans="1:15">
      <c r="A214" s="575"/>
      <c r="B214" s="13"/>
      <c r="C214" s="13"/>
      <c r="D214" s="14"/>
      <c r="E214" s="14"/>
      <c r="F214" s="14"/>
      <c r="G214" s="14"/>
      <c r="H214" s="14"/>
      <c r="I214" s="14"/>
      <c r="J214" s="14"/>
      <c r="K214" s="14"/>
      <c r="L214" s="14"/>
      <c r="M214" s="588"/>
      <c r="N214" s="588"/>
      <c r="O214" s="588"/>
    </row>
    <row r="215" spans="1:15">
      <c r="A215" s="575"/>
      <c r="B215" s="13"/>
      <c r="C215" s="13"/>
      <c r="D215" s="14"/>
      <c r="E215" s="14"/>
      <c r="F215" s="14"/>
      <c r="G215" s="14"/>
      <c r="H215" s="14"/>
      <c r="I215" s="14"/>
      <c r="J215" s="14"/>
      <c r="K215" s="14"/>
      <c r="L215" s="14"/>
      <c r="M215" s="588"/>
      <c r="N215" s="588"/>
      <c r="O215" s="588"/>
    </row>
    <row r="216" spans="1:15">
      <c r="A216" s="575"/>
      <c r="B216" s="13"/>
      <c r="C216" s="13"/>
      <c r="D216" s="14"/>
      <c r="E216" s="14"/>
      <c r="F216" s="14"/>
      <c r="G216" s="14"/>
      <c r="H216" s="14"/>
      <c r="I216" s="14"/>
      <c r="J216" s="14"/>
      <c r="K216" s="14"/>
      <c r="L216" s="14"/>
      <c r="M216" s="588"/>
      <c r="N216" s="588"/>
      <c r="O216" s="588"/>
    </row>
    <row r="217" spans="1:15">
      <c r="A217" s="575"/>
      <c r="B217" s="13"/>
      <c r="C217" s="13"/>
      <c r="D217" s="14"/>
      <c r="E217" s="14"/>
      <c r="F217" s="14"/>
      <c r="G217" s="14"/>
      <c r="H217" s="14"/>
      <c r="I217" s="14"/>
      <c r="J217" s="14"/>
      <c r="K217" s="14"/>
      <c r="L217" s="14"/>
      <c r="M217" s="588"/>
      <c r="N217" s="588"/>
      <c r="O217" s="588"/>
    </row>
    <row r="218" spans="1:15">
      <c r="A218" s="575"/>
      <c r="B218" s="13"/>
      <c r="C218" s="13"/>
      <c r="D218" s="14"/>
      <c r="E218" s="14"/>
      <c r="F218" s="14"/>
      <c r="G218" s="14"/>
      <c r="H218" s="14"/>
      <c r="I218" s="14"/>
      <c r="J218" s="14"/>
      <c r="K218" s="14"/>
      <c r="L218" s="14"/>
      <c r="M218" s="588"/>
      <c r="N218" s="588"/>
      <c r="O218" s="588"/>
    </row>
    <row r="219" spans="1:15">
      <c r="A219" s="575"/>
      <c r="B219" s="13"/>
      <c r="C219" s="13"/>
      <c r="D219" s="14"/>
      <c r="E219" s="14"/>
      <c r="F219" s="14"/>
      <c r="G219" s="14"/>
      <c r="H219" s="14"/>
      <c r="I219" s="14"/>
      <c r="J219" s="14"/>
      <c r="K219" s="14"/>
      <c r="L219" s="14"/>
      <c r="M219" s="588"/>
      <c r="N219" s="588"/>
      <c r="O219" s="588"/>
    </row>
    <row r="220" spans="1:15">
      <c r="A220" s="575"/>
      <c r="B220" s="13"/>
      <c r="C220" s="13"/>
      <c r="D220" s="14"/>
      <c r="E220" s="14"/>
      <c r="F220" s="14"/>
      <c r="G220" s="14"/>
      <c r="H220" s="14"/>
      <c r="I220" s="14"/>
      <c r="J220" s="14"/>
      <c r="K220" s="14"/>
      <c r="L220" s="14"/>
      <c r="M220" s="588"/>
      <c r="N220" s="588"/>
      <c r="O220" s="588"/>
    </row>
    <row r="221" spans="1:15">
      <c r="A221" s="575"/>
      <c r="B221" s="13"/>
      <c r="C221" s="13"/>
      <c r="D221" s="14"/>
      <c r="E221" s="14"/>
      <c r="F221" s="14"/>
      <c r="G221" s="14"/>
      <c r="H221" s="14"/>
      <c r="I221" s="14"/>
      <c r="J221" s="14"/>
      <c r="K221" s="14"/>
      <c r="L221" s="14"/>
      <c r="M221" s="588"/>
      <c r="N221" s="588"/>
      <c r="O221" s="588"/>
    </row>
    <row r="222" spans="1:15">
      <c r="A222" s="575"/>
      <c r="B222" s="13"/>
      <c r="C222" s="13"/>
      <c r="D222" s="14"/>
      <c r="E222" s="14"/>
      <c r="F222" s="14"/>
      <c r="G222" s="14"/>
      <c r="H222" s="14"/>
      <c r="I222" s="14"/>
      <c r="J222" s="14"/>
      <c r="K222" s="14"/>
      <c r="L222" s="14"/>
      <c r="M222" s="588"/>
      <c r="N222" s="588"/>
      <c r="O222" s="588"/>
    </row>
    <row r="223" spans="1:15">
      <c r="A223" s="575"/>
      <c r="B223" s="13"/>
      <c r="C223" s="13"/>
      <c r="D223" s="14"/>
      <c r="E223" s="14"/>
      <c r="F223" s="14"/>
      <c r="G223" s="14"/>
      <c r="H223" s="14"/>
      <c r="I223" s="14"/>
      <c r="J223" s="14"/>
      <c r="K223" s="14"/>
      <c r="L223" s="14"/>
      <c r="M223" s="588"/>
      <c r="N223" s="588"/>
      <c r="O223" s="588"/>
    </row>
    <row r="224" spans="1:15">
      <c r="A224" s="575"/>
      <c r="B224" s="13"/>
      <c r="C224" s="13"/>
      <c r="D224" s="14"/>
      <c r="E224" s="14"/>
      <c r="F224" s="14"/>
      <c r="G224" s="14"/>
      <c r="H224" s="14"/>
      <c r="I224" s="14"/>
      <c r="J224" s="14"/>
      <c r="K224" s="14"/>
      <c r="L224" s="14"/>
      <c r="M224" s="588"/>
      <c r="N224" s="588"/>
      <c r="O224" s="588"/>
    </row>
    <row r="225" spans="1:15">
      <c r="A225" s="575"/>
      <c r="B225" s="13"/>
      <c r="C225" s="13"/>
      <c r="D225" s="14"/>
      <c r="E225" s="14"/>
      <c r="F225" s="14"/>
      <c r="G225" s="14"/>
      <c r="H225" s="14"/>
      <c r="I225" s="14"/>
      <c r="J225" s="14"/>
      <c r="K225" s="14"/>
      <c r="L225" s="14"/>
      <c r="M225" s="588"/>
      <c r="N225" s="588"/>
      <c r="O225" s="588"/>
    </row>
    <row r="226" spans="1:15">
      <c r="A226" s="575"/>
      <c r="B226" s="13"/>
      <c r="C226" s="13"/>
      <c r="D226" s="14"/>
      <c r="E226" s="14"/>
      <c r="F226" s="14"/>
      <c r="G226" s="14"/>
      <c r="H226" s="14"/>
      <c r="I226" s="14"/>
      <c r="J226" s="14"/>
      <c r="K226" s="14"/>
      <c r="L226" s="14"/>
      <c r="M226" s="588"/>
      <c r="N226" s="588"/>
      <c r="O226" s="588"/>
    </row>
    <row r="227" spans="1:15">
      <c r="A227" s="575"/>
      <c r="B227" s="13"/>
      <c r="C227" s="13"/>
      <c r="D227" s="14"/>
      <c r="E227" s="14"/>
      <c r="F227" s="14"/>
      <c r="G227" s="14"/>
      <c r="H227" s="14"/>
      <c r="I227" s="14"/>
      <c r="J227" s="14"/>
      <c r="K227" s="14"/>
      <c r="L227" s="14"/>
      <c r="M227" s="588"/>
      <c r="N227" s="588"/>
      <c r="O227" s="588"/>
    </row>
    <row r="228" spans="1:15">
      <c r="A228" s="575"/>
      <c r="B228" s="13"/>
      <c r="C228" s="13"/>
      <c r="D228" s="14"/>
      <c r="E228" s="14"/>
      <c r="F228" s="14"/>
      <c r="G228" s="14"/>
      <c r="H228" s="14"/>
      <c r="I228" s="14"/>
      <c r="J228" s="14"/>
      <c r="K228" s="14"/>
      <c r="L228" s="14"/>
      <c r="M228" s="588"/>
      <c r="N228" s="588"/>
      <c r="O228" s="588"/>
    </row>
    <row r="229" spans="1:15">
      <c r="A229" s="575"/>
      <c r="B229" s="13"/>
      <c r="C229" s="13"/>
      <c r="D229" s="14"/>
      <c r="E229" s="14"/>
      <c r="F229" s="14"/>
      <c r="G229" s="14"/>
      <c r="H229" s="14"/>
      <c r="I229" s="14"/>
      <c r="J229" s="14"/>
      <c r="K229" s="14"/>
      <c r="L229" s="14"/>
      <c r="M229" s="588"/>
      <c r="N229" s="588"/>
      <c r="O229" s="588"/>
    </row>
    <row r="230" spans="1:15">
      <c r="A230" s="575"/>
      <c r="B230" s="13"/>
      <c r="C230" s="13"/>
      <c r="D230" s="14"/>
      <c r="E230" s="14"/>
      <c r="F230" s="14"/>
      <c r="G230" s="14"/>
      <c r="H230" s="14"/>
      <c r="I230" s="14"/>
      <c r="J230" s="14"/>
      <c r="K230" s="14"/>
      <c r="L230" s="14"/>
      <c r="M230" s="588"/>
      <c r="N230" s="588"/>
      <c r="O230" s="588"/>
    </row>
    <row r="231" spans="1:15">
      <c r="A231" s="575"/>
      <c r="B231" s="13"/>
      <c r="C231" s="13"/>
      <c r="D231" s="14"/>
      <c r="E231" s="14"/>
      <c r="F231" s="14"/>
      <c r="G231" s="14"/>
      <c r="H231" s="14"/>
      <c r="I231" s="14"/>
      <c r="J231" s="14"/>
      <c r="K231" s="14"/>
      <c r="L231" s="14"/>
      <c r="M231" s="588"/>
      <c r="N231" s="588"/>
      <c r="O231" s="588"/>
    </row>
    <row r="232" spans="1:15">
      <c r="A232" s="575"/>
      <c r="B232" s="13"/>
      <c r="C232" s="13"/>
      <c r="D232" s="14"/>
      <c r="E232" s="14"/>
      <c r="F232" s="14"/>
      <c r="G232" s="14"/>
      <c r="H232" s="14"/>
      <c r="I232" s="14"/>
      <c r="J232" s="14"/>
      <c r="K232" s="14"/>
      <c r="L232" s="14"/>
      <c r="M232" s="588"/>
      <c r="N232" s="588"/>
      <c r="O232" s="588"/>
    </row>
    <row r="233" spans="1:15">
      <c r="A233" s="575"/>
      <c r="B233" s="13"/>
      <c r="C233" s="13"/>
      <c r="D233" s="14"/>
      <c r="E233" s="14"/>
      <c r="F233" s="14"/>
      <c r="G233" s="14"/>
      <c r="H233" s="14"/>
      <c r="I233" s="14"/>
      <c r="J233" s="14"/>
      <c r="K233" s="14"/>
      <c r="L233" s="14"/>
      <c r="M233" s="588"/>
      <c r="N233" s="588"/>
      <c r="O233" s="588"/>
    </row>
    <row r="234" spans="1:15">
      <c r="A234" s="575"/>
      <c r="B234" s="13"/>
      <c r="C234" s="13"/>
      <c r="D234" s="14"/>
      <c r="E234" s="14"/>
      <c r="F234" s="14"/>
      <c r="G234" s="14"/>
      <c r="H234" s="14"/>
      <c r="I234" s="14"/>
      <c r="J234" s="14"/>
      <c r="K234" s="14"/>
      <c r="L234" s="14"/>
      <c r="M234" s="588"/>
      <c r="N234" s="588"/>
      <c r="O234" s="588"/>
    </row>
    <row r="235" spans="1:15">
      <c r="A235" s="575"/>
      <c r="B235" s="13"/>
      <c r="C235" s="13"/>
      <c r="D235" s="14"/>
      <c r="E235" s="14"/>
      <c r="F235" s="14"/>
      <c r="G235" s="14"/>
      <c r="H235" s="14"/>
      <c r="I235" s="14"/>
      <c r="J235" s="14"/>
      <c r="K235" s="14"/>
      <c r="L235" s="14"/>
      <c r="M235" s="588"/>
      <c r="N235" s="588"/>
      <c r="O235" s="588"/>
    </row>
    <row r="236" spans="1:15">
      <c r="A236" s="575"/>
      <c r="B236" s="13"/>
      <c r="C236" s="13"/>
      <c r="D236" s="14"/>
      <c r="E236" s="14"/>
      <c r="F236" s="14"/>
      <c r="G236" s="14"/>
      <c r="H236" s="14"/>
      <c r="I236" s="14"/>
      <c r="J236" s="14"/>
      <c r="K236" s="14"/>
      <c r="L236" s="14"/>
      <c r="M236" s="588"/>
      <c r="N236" s="588"/>
      <c r="O236" s="588"/>
    </row>
    <row r="237" spans="1:15">
      <c r="A237" s="575"/>
      <c r="B237" s="13"/>
      <c r="C237" s="13"/>
      <c r="D237" s="14"/>
      <c r="E237" s="14"/>
      <c r="F237" s="14"/>
      <c r="G237" s="14"/>
      <c r="H237" s="14"/>
      <c r="I237" s="14"/>
      <c r="J237" s="14"/>
      <c r="K237" s="14"/>
      <c r="L237" s="14"/>
      <c r="M237" s="588"/>
      <c r="N237" s="588"/>
      <c r="O237" s="588"/>
    </row>
    <row r="238" spans="1:15">
      <c r="A238" s="575"/>
      <c r="B238" s="13"/>
      <c r="C238" s="13"/>
      <c r="D238" s="14"/>
      <c r="E238" s="14"/>
      <c r="F238" s="14"/>
      <c r="G238" s="14"/>
      <c r="H238" s="14"/>
      <c r="I238" s="14"/>
      <c r="J238" s="14"/>
      <c r="K238" s="14"/>
      <c r="L238" s="14"/>
      <c r="M238" s="588"/>
      <c r="N238" s="588"/>
      <c r="O238" s="588"/>
    </row>
    <row r="239" spans="1:15">
      <c r="A239" s="575"/>
      <c r="B239" s="13"/>
      <c r="C239" s="13"/>
      <c r="D239" s="14"/>
      <c r="E239" s="14"/>
      <c r="F239" s="14"/>
      <c r="G239" s="14"/>
      <c r="H239" s="14"/>
      <c r="I239" s="14"/>
      <c r="J239" s="14"/>
      <c r="K239" s="14"/>
      <c r="L239" s="14"/>
      <c r="M239" s="588"/>
      <c r="N239" s="588"/>
      <c r="O239" s="588"/>
    </row>
    <row r="240" spans="1:15">
      <c r="A240" s="575"/>
      <c r="B240" s="13"/>
      <c r="C240" s="13"/>
      <c r="D240" s="14"/>
      <c r="E240" s="14"/>
      <c r="F240" s="14"/>
      <c r="G240" s="14"/>
      <c r="H240" s="14"/>
      <c r="I240" s="14"/>
      <c r="J240" s="14"/>
      <c r="K240" s="14"/>
      <c r="L240" s="14"/>
      <c r="M240" s="588"/>
      <c r="N240" s="588"/>
      <c r="O240" s="588"/>
    </row>
    <row r="241" spans="1:15">
      <c r="A241" s="575"/>
      <c r="B241" s="13"/>
      <c r="C241" s="13"/>
      <c r="D241" s="14"/>
      <c r="E241" s="14"/>
      <c r="F241" s="14"/>
      <c r="G241" s="14"/>
      <c r="H241" s="14"/>
      <c r="I241" s="14"/>
      <c r="J241" s="14"/>
      <c r="K241" s="14"/>
      <c r="L241" s="14"/>
      <c r="M241" s="588"/>
      <c r="N241" s="588"/>
      <c r="O241" s="588"/>
    </row>
    <row r="242" spans="1:15">
      <c r="A242" s="575"/>
      <c r="B242" s="13"/>
      <c r="C242" s="13"/>
      <c r="D242" s="14"/>
      <c r="E242" s="14"/>
      <c r="F242" s="14"/>
      <c r="G242" s="14"/>
      <c r="H242" s="14"/>
      <c r="I242" s="14"/>
      <c r="J242" s="14"/>
      <c r="K242" s="14"/>
      <c r="L242" s="14"/>
      <c r="M242" s="588"/>
      <c r="N242" s="588"/>
      <c r="O242" s="588"/>
    </row>
    <row r="243" spans="1:15">
      <c r="A243" s="575"/>
      <c r="B243" s="13"/>
      <c r="C243" s="13"/>
      <c r="D243" s="14"/>
      <c r="E243" s="14"/>
      <c r="F243" s="14"/>
      <c r="G243" s="14"/>
      <c r="H243" s="14"/>
      <c r="I243" s="14"/>
      <c r="J243" s="14"/>
      <c r="K243" s="14"/>
      <c r="L243" s="14"/>
      <c r="M243" s="588"/>
      <c r="N243" s="588"/>
      <c r="O243" s="588"/>
    </row>
    <row r="244" spans="1:15">
      <c r="A244" s="575"/>
      <c r="B244" s="13"/>
      <c r="C244" s="13"/>
      <c r="D244" s="14"/>
      <c r="E244" s="14"/>
      <c r="F244" s="14"/>
      <c r="G244" s="14"/>
      <c r="H244" s="14"/>
      <c r="I244" s="14"/>
      <c r="J244" s="14"/>
      <c r="K244" s="14"/>
      <c r="L244" s="14"/>
      <c r="M244" s="588"/>
      <c r="N244" s="588"/>
      <c r="O244" s="588"/>
    </row>
    <row r="245" spans="1:15">
      <c r="A245" s="575"/>
      <c r="B245" s="13"/>
      <c r="C245" s="13"/>
      <c r="D245" s="14"/>
      <c r="E245" s="14"/>
      <c r="F245" s="14"/>
      <c r="G245" s="14"/>
      <c r="H245" s="14"/>
      <c r="I245" s="14"/>
      <c r="J245" s="14"/>
      <c r="K245" s="14"/>
      <c r="L245" s="14"/>
      <c r="M245" s="588"/>
      <c r="N245" s="588"/>
      <c r="O245" s="588"/>
    </row>
    <row r="246" spans="1:15">
      <c r="A246" s="575"/>
      <c r="B246" s="13"/>
      <c r="C246" s="13"/>
      <c r="D246" s="14"/>
      <c r="E246" s="14"/>
      <c r="F246" s="14"/>
      <c r="G246" s="14"/>
      <c r="H246" s="14"/>
      <c r="I246" s="14"/>
      <c r="J246" s="14"/>
      <c r="K246" s="14"/>
      <c r="L246" s="14"/>
      <c r="M246" s="588"/>
      <c r="N246" s="588"/>
      <c r="O246" s="588"/>
    </row>
    <row r="247" spans="1:15">
      <c r="A247" s="575"/>
      <c r="B247" s="13"/>
      <c r="C247" s="13"/>
      <c r="D247" s="14"/>
      <c r="E247" s="14"/>
      <c r="F247" s="14"/>
      <c r="G247" s="14"/>
      <c r="H247" s="14"/>
      <c r="I247" s="14"/>
      <c r="J247" s="14"/>
      <c r="K247" s="14"/>
      <c r="L247" s="14"/>
      <c r="M247" s="588"/>
      <c r="N247" s="588"/>
      <c r="O247" s="588"/>
    </row>
    <row r="248" spans="1:15">
      <c r="A248" s="575"/>
      <c r="B248" s="13"/>
      <c r="C248" s="13"/>
      <c r="D248" s="14"/>
      <c r="E248" s="14"/>
      <c r="F248" s="14"/>
      <c r="G248" s="14"/>
      <c r="H248" s="14"/>
      <c r="I248" s="14"/>
      <c r="J248" s="14"/>
      <c r="K248" s="14"/>
      <c r="L248" s="14"/>
      <c r="M248" s="588"/>
      <c r="N248" s="588"/>
      <c r="O248" s="588"/>
    </row>
    <row r="249" spans="1:15">
      <c r="A249" s="575"/>
      <c r="B249" s="13"/>
      <c r="C249" s="13"/>
      <c r="D249" s="14"/>
      <c r="E249" s="14"/>
      <c r="F249" s="14"/>
      <c r="G249" s="14"/>
      <c r="H249" s="14"/>
      <c r="I249" s="14"/>
      <c r="J249" s="14"/>
      <c r="K249" s="14"/>
      <c r="L249" s="14"/>
      <c r="M249" s="588"/>
      <c r="N249" s="588"/>
      <c r="O249" s="588"/>
    </row>
    <row r="250" spans="1:15">
      <c r="A250" s="575"/>
      <c r="B250" s="13"/>
      <c r="C250" s="13"/>
      <c r="D250" s="14"/>
      <c r="E250" s="14"/>
      <c r="F250" s="14"/>
      <c r="G250" s="14"/>
      <c r="H250" s="14"/>
      <c r="I250" s="14"/>
      <c r="J250" s="14"/>
      <c r="K250" s="14"/>
      <c r="L250" s="14"/>
      <c r="M250" s="588"/>
      <c r="N250" s="588"/>
      <c r="O250" s="588"/>
    </row>
    <row r="251" spans="1:15">
      <c r="A251" s="575"/>
      <c r="B251" s="13"/>
      <c r="C251" s="13"/>
      <c r="D251" s="14"/>
      <c r="E251" s="14"/>
      <c r="F251" s="14"/>
      <c r="G251" s="14"/>
      <c r="H251" s="14"/>
      <c r="I251" s="14"/>
      <c r="J251" s="14"/>
      <c r="K251" s="14"/>
      <c r="L251" s="14"/>
      <c r="M251" s="588"/>
      <c r="N251" s="588"/>
      <c r="O251" s="588"/>
    </row>
    <row r="252" spans="1:15">
      <c r="A252" s="575"/>
      <c r="B252" s="13"/>
      <c r="C252" s="13"/>
      <c r="D252" s="14"/>
      <c r="E252" s="14"/>
      <c r="F252" s="14"/>
      <c r="G252" s="14"/>
      <c r="H252" s="14"/>
      <c r="I252" s="14"/>
      <c r="J252" s="14"/>
      <c r="K252" s="14"/>
      <c r="L252" s="14"/>
      <c r="M252" s="588"/>
      <c r="N252" s="588"/>
      <c r="O252" s="588"/>
    </row>
    <row r="253" spans="1:15">
      <c r="A253" s="575"/>
      <c r="B253" s="13"/>
      <c r="C253" s="13"/>
      <c r="D253" s="14"/>
      <c r="E253" s="14"/>
      <c r="F253" s="14"/>
      <c r="G253" s="14"/>
      <c r="H253" s="14"/>
      <c r="I253" s="14"/>
      <c r="J253" s="14"/>
      <c r="K253" s="14"/>
      <c r="L253" s="14"/>
      <c r="M253" s="588"/>
      <c r="N253" s="588"/>
      <c r="O253" s="588"/>
    </row>
    <row r="254" spans="1:15">
      <c r="A254" s="575"/>
      <c r="B254" s="13"/>
      <c r="C254" s="13"/>
      <c r="D254" s="14"/>
      <c r="E254" s="14"/>
      <c r="F254" s="14"/>
      <c r="G254" s="14"/>
      <c r="H254" s="14"/>
      <c r="I254" s="14"/>
      <c r="J254" s="14"/>
      <c r="K254" s="14"/>
      <c r="L254" s="14"/>
      <c r="M254" s="588"/>
      <c r="N254" s="588"/>
      <c r="O254" s="588"/>
    </row>
    <row r="255" spans="1:15">
      <c r="A255" s="575"/>
      <c r="B255" s="13"/>
      <c r="C255" s="13"/>
      <c r="D255" s="14"/>
      <c r="E255" s="14"/>
      <c r="F255" s="14"/>
      <c r="G255" s="14"/>
      <c r="H255" s="14"/>
      <c r="I255" s="14"/>
      <c r="J255" s="14"/>
      <c r="K255" s="14"/>
      <c r="L255" s="14"/>
      <c r="M255" s="588"/>
      <c r="N255" s="588"/>
      <c r="O255" s="588"/>
    </row>
    <row r="256" spans="1:15">
      <c r="A256" s="575"/>
      <c r="B256" s="13"/>
      <c r="C256" s="13"/>
      <c r="D256" s="14"/>
      <c r="E256" s="14"/>
      <c r="F256" s="14"/>
      <c r="G256" s="14"/>
      <c r="H256" s="14"/>
      <c r="I256" s="14"/>
      <c r="J256" s="14"/>
      <c r="K256" s="14"/>
      <c r="L256" s="14"/>
      <c r="M256" s="588"/>
      <c r="N256" s="588"/>
      <c r="O256" s="588"/>
    </row>
    <row r="257" spans="1:15">
      <c r="A257" s="575"/>
      <c r="B257" s="13"/>
      <c r="C257" s="13"/>
      <c r="D257" s="14"/>
      <c r="E257" s="14"/>
      <c r="F257" s="14"/>
      <c r="G257" s="14"/>
      <c r="H257" s="14"/>
      <c r="I257" s="14"/>
      <c r="J257" s="14"/>
      <c r="K257" s="14"/>
      <c r="L257" s="14"/>
      <c r="M257" s="588"/>
      <c r="N257" s="588"/>
      <c r="O257" s="588"/>
    </row>
    <row r="258" spans="1:15">
      <c r="A258" s="575"/>
      <c r="B258" s="13"/>
      <c r="C258" s="13"/>
      <c r="D258" s="14"/>
      <c r="E258" s="14"/>
      <c r="F258" s="14"/>
      <c r="G258" s="14"/>
      <c r="H258" s="14"/>
      <c r="I258" s="14"/>
      <c r="J258" s="14"/>
      <c r="K258" s="14"/>
      <c r="L258" s="14"/>
      <c r="M258" s="588"/>
      <c r="N258" s="588"/>
      <c r="O258" s="588"/>
    </row>
    <row r="259" spans="1:15">
      <c r="A259" s="575"/>
      <c r="B259" s="13"/>
      <c r="C259" s="13"/>
      <c r="D259" s="14"/>
      <c r="E259" s="14"/>
      <c r="F259" s="14"/>
      <c r="G259" s="14"/>
      <c r="H259" s="14"/>
      <c r="I259" s="14"/>
      <c r="J259" s="14"/>
      <c r="K259" s="14"/>
      <c r="L259" s="14"/>
      <c r="M259" s="588"/>
      <c r="N259" s="588"/>
      <c r="O259" s="588"/>
    </row>
    <row r="260" spans="1:15">
      <c r="A260" s="575"/>
      <c r="B260" s="13"/>
      <c r="C260" s="13"/>
      <c r="D260" s="14"/>
      <c r="E260" s="14"/>
      <c r="F260" s="14"/>
      <c r="G260" s="14"/>
      <c r="H260" s="14"/>
      <c r="I260" s="14"/>
      <c r="J260" s="14"/>
      <c r="K260" s="14"/>
      <c r="L260" s="14"/>
      <c r="M260" s="588"/>
      <c r="N260" s="588"/>
      <c r="O260" s="588"/>
    </row>
    <row r="261" spans="1:15">
      <c r="A261" s="575"/>
      <c r="B261" s="13"/>
      <c r="C261" s="13"/>
      <c r="D261" s="14"/>
      <c r="E261" s="14"/>
      <c r="F261" s="14"/>
      <c r="G261" s="14"/>
      <c r="H261" s="14"/>
      <c r="I261" s="14"/>
      <c r="J261" s="14"/>
      <c r="K261" s="14"/>
      <c r="L261" s="14"/>
      <c r="M261" s="588"/>
      <c r="N261" s="588"/>
      <c r="O261" s="588"/>
    </row>
    <row r="262" spans="1:15">
      <c r="A262" s="575"/>
      <c r="B262" s="13"/>
      <c r="C262" s="13"/>
      <c r="D262" s="14"/>
      <c r="E262" s="14"/>
      <c r="F262" s="14"/>
      <c r="G262" s="14"/>
      <c r="H262" s="14"/>
      <c r="I262" s="14"/>
      <c r="J262" s="14"/>
      <c r="K262" s="14"/>
      <c r="L262" s="14"/>
      <c r="M262" s="588"/>
      <c r="N262" s="588"/>
      <c r="O262" s="588"/>
    </row>
    <row r="263" spans="1:15">
      <c r="A263" s="575"/>
      <c r="B263" s="13"/>
      <c r="C263" s="13"/>
      <c r="D263" s="14"/>
      <c r="E263" s="14"/>
      <c r="F263" s="14"/>
      <c r="G263" s="14"/>
      <c r="H263" s="14"/>
      <c r="I263" s="14"/>
      <c r="J263" s="14"/>
      <c r="K263" s="14"/>
      <c r="L263" s="14"/>
      <c r="M263" s="588"/>
      <c r="N263" s="588"/>
      <c r="O263" s="588"/>
    </row>
    <row r="264" spans="1:15">
      <c r="A264" s="575"/>
      <c r="B264" s="13"/>
      <c r="C264" s="13"/>
      <c r="D264" s="14"/>
      <c r="E264" s="14"/>
      <c r="F264" s="14"/>
      <c r="G264" s="14"/>
      <c r="H264" s="14"/>
      <c r="I264" s="14"/>
      <c r="J264" s="14"/>
      <c r="K264" s="14"/>
      <c r="L264" s="14"/>
      <c r="M264" s="588"/>
      <c r="N264" s="588"/>
      <c r="O264" s="588"/>
    </row>
    <row r="265" spans="1:15">
      <c r="A265" s="575"/>
      <c r="B265" s="13"/>
      <c r="C265" s="13"/>
      <c r="D265" s="14"/>
      <c r="E265" s="14"/>
      <c r="F265" s="14"/>
      <c r="G265" s="14"/>
      <c r="H265" s="14"/>
      <c r="I265" s="14"/>
      <c r="J265" s="14"/>
      <c r="K265" s="14"/>
      <c r="L265" s="14"/>
      <c r="M265" s="588"/>
      <c r="N265" s="588"/>
      <c r="O265" s="588"/>
    </row>
    <row r="266" spans="1:15">
      <c r="A266" s="575"/>
      <c r="B266" s="13"/>
      <c r="C266" s="13"/>
      <c r="D266" s="14"/>
      <c r="E266" s="14"/>
      <c r="F266" s="14"/>
      <c r="G266" s="14"/>
      <c r="H266" s="14"/>
      <c r="I266" s="14"/>
      <c r="J266" s="14"/>
      <c r="K266" s="14"/>
      <c r="L266" s="14"/>
      <c r="M266" s="588"/>
      <c r="N266" s="588"/>
      <c r="O266" s="588"/>
    </row>
    <row r="267" spans="1:15">
      <c r="A267" s="575"/>
      <c r="B267" s="13"/>
      <c r="C267" s="13"/>
      <c r="D267" s="14"/>
      <c r="E267" s="14"/>
      <c r="F267" s="14"/>
      <c r="G267" s="14"/>
      <c r="H267" s="14"/>
      <c r="I267" s="14"/>
      <c r="J267" s="14"/>
      <c r="K267" s="14"/>
      <c r="L267" s="14"/>
      <c r="M267" s="588"/>
      <c r="N267" s="588"/>
      <c r="O267" s="588"/>
    </row>
    <row r="268" spans="1:15">
      <c r="A268" s="575"/>
      <c r="B268" s="13"/>
      <c r="C268" s="13"/>
      <c r="D268" s="14"/>
      <c r="E268" s="14"/>
      <c r="F268" s="14"/>
      <c r="G268" s="14"/>
      <c r="H268" s="14"/>
      <c r="I268" s="14"/>
      <c r="J268" s="14"/>
      <c r="K268" s="14"/>
      <c r="L268" s="14"/>
      <c r="M268" s="588"/>
      <c r="N268" s="588"/>
      <c r="O268" s="588"/>
    </row>
    <row r="269" spans="1:15">
      <c r="A269" s="575"/>
      <c r="B269" s="13"/>
      <c r="C269" s="13"/>
      <c r="D269" s="14"/>
      <c r="E269" s="14"/>
      <c r="F269" s="14"/>
      <c r="G269" s="14"/>
      <c r="H269" s="14"/>
      <c r="I269" s="14"/>
      <c r="J269" s="14"/>
      <c r="K269" s="14"/>
      <c r="L269" s="14"/>
      <c r="M269" s="588"/>
      <c r="N269" s="588"/>
      <c r="O269" s="588"/>
    </row>
    <row r="270" spans="1:15">
      <c r="A270" s="575"/>
      <c r="B270" s="13"/>
      <c r="C270" s="13"/>
      <c r="D270" s="14"/>
      <c r="E270" s="14"/>
      <c r="F270" s="14"/>
      <c r="G270" s="14"/>
      <c r="H270" s="14"/>
      <c r="I270" s="14"/>
      <c r="J270" s="14"/>
      <c r="K270" s="14"/>
      <c r="L270" s="14"/>
      <c r="M270" s="588"/>
      <c r="N270" s="588"/>
      <c r="O270" s="588"/>
    </row>
    <row r="271" spans="1:15">
      <c r="A271" s="575"/>
      <c r="B271" s="13"/>
      <c r="C271" s="13"/>
      <c r="D271" s="14"/>
      <c r="E271" s="14"/>
      <c r="F271" s="14"/>
      <c r="G271" s="14"/>
      <c r="H271" s="14"/>
      <c r="I271" s="14"/>
      <c r="J271" s="14"/>
      <c r="K271" s="14"/>
      <c r="L271" s="14"/>
      <c r="M271" s="588"/>
      <c r="N271" s="588"/>
      <c r="O271" s="588"/>
    </row>
    <row r="272" spans="1:15">
      <c r="A272" s="575"/>
      <c r="B272" s="13"/>
      <c r="C272" s="13"/>
      <c r="D272" s="14"/>
      <c r="E272" s="14"/>
      <c r="F272" s="14"/>
      <c r="G272" s="14"/>
      <c r="H272" s="14"/>
      <c r="I272" s="14"/>
      <c r="J272" s="14"/>
      <c r="K272" s="14"/>
      <c r="L272" s="14"/>
      <c r="M272" s="588"/>
      <c r="N272" s="588"/>
      <c r="O272" s="588"/>
    </row>
    <row r="273" spans="1:15">
      <c r="A273" s="575"/>
      <c r="B273" s="13"/>
      <c r="C273" s="13"/>
      <c r="D273" s="14"/>
      <c r="E273" s="14"/>
      <c r="F273" s="14"/>
      <c r="G273" s="14"/>
      <c r="H273" s="14"/>
      <c r="I273" s="14"/>
      <c r="J273" s="14"/>
      <c r="K273" s="14"/>
      <c r="L273" s="14"/>
      <c r="M273" s="588"/>
      <c r="N273" s="588"/>
      <c r="O273" s="588"/>
    </row>
    <row r="274" spans="1:15">
      <c r="A274" s="575"/>
      <c r="B274" s="13"/>
      <c r="C274" s="13"/>
      <c r="D274" s="14"/>
      <c r="E274" s="14"/>
      <c r="F274" s="14"/>
      <c r="G274" s="14"/>
      <c r="H274" s="14"/>
      <c r="I274" s="14"/>
      <c r="J274" s="14"/>
      <c r="K274" s="14"/>
      <c r="L274" s="14"/>
      <c r="M274" s="588"/>
      <c r="N274" s="588"/>
      <c r="O274" s="588"/>
    </row>
    <row r="275" spans="1:15">
      <c r="A275" s="575"/>
      <c r="B275" s="13"/>
      <c r="C275" s="13"/>
      <c r="D275" s="14"/>
      <c r="E275" s="14"/>
      <c r="F275" s="14"/>
      <c r="G275" s="14"/>
      <c r="H275" s="14"/>
      <c r="I275" s="14"/>
      <c r="J275" s="14"/>
      <c r="K275" s="14"/>
      <c r="L275" s="14"/>
      <c r="M275" s="588"/>
      <c r="N275" s="588"/>
      <c r="O275" s="588"/>
    </row>
    <row r="276" spans="1:15">
      <c r="A276" s="575"/>
      <c r="B276" s="13"/>
      <c r="C276" s="13"/>
      <c r="D276" s="14"/>
      <c r="E276" s="14"/>
      <c r="F276" s="14"/>
      <c r="G276" s="14"/>
      <c r="H276" s="14"/>
      <c r="I276" s="14"/>
      <c r="J276" s="14"/>
      <c r="K276" s="14"/>
      <c r="L276" s="14"/>
      <c r="M276" s="588"/>
      <c r="N276" s="588"/>
      <c r="O276" s="588"/>
    </row>
    <row r="277" spans="1:15">
      <c r="A277" s="575"/>
      <c r="B277" s="13"/>
      <c r="C277" s="13"/>
      <c r="D277" s="14"/>
      <c r="E277" s="14"/>
      <c r="F277" s="14"/>
      <c r="G277" s="14"/>
      <c r="H277" s="14"/>
      <c r="I277" s="14"/>
      <c r="J277" s="14"/>
      <c r="K277" s="14"/>
      <c r="L277" s="14"/>
      <c r="M277" s="588"/>
      <c r="N277" s="588"/>
      <c r="O277" s="588"/>
    </row>
    <row r="278" spans="1:15">
      <c r="A278" s="575"/>
      <c r="B278" s="13"/>
      <c r="C278" s="13"/>
      <c r="D278" s="14"/>
      <c r="E278" s="14"/>
      <c r="F278" s="14"/>
      <c r="G278" s="14"/>
      <c r="H278" s="14"/>
      <c r="I278" s="14"/>
      <c r="J278" s="14"/>
      <c r="K278" s="14"/>
      <c r="L278" s="14"/>
      <c r="M278" s="588"/>
      <c r="N278" s="588"/>
      <c r="O278" s="588"/>
    </row>
    <row r="279" spans="1:15">
      <c r="A279" s="575"/>
      <c r="B279" s="13"/>
      <c r="C279" s="13"/>
      <c r="D279" s="14"/>
      <c r="E279" s="14"/>
      <c r="F279" s="14"/>
      <c r="G279" s="14"/>
      <c r="H279" s="14"/>
      <c r="I279" s="14"/>
      <c r="J279" s="14"/>
      <c r="K279" s="14"/>
      <c r="L279" s="14"/>
      <c r="M279" s="588"/>
      <c r="N279" s="588"/>
      <c r="O279" s="588"/>
    </row>
    <row r="280" spans="1:15">
      <c r="A280" s="575"/>
      <c r="B280" s="13"/>
      <c r="C280" s="13"/>
      <c r="D280" s="14"/>
      <c r="E280" s="14"/>
      <c r="F280" s="14"/>
      <c r="G280" s="14"/>
      <c r="H280" s="14"/>
      <c r="I280" s="14"/>
      <c r="J280" s="14"/>
      <c r="K280" s="14"/>
      <c r="L280" s="14"/>
      <c r="M280" s="588"/>
      <c r="N280" s="588"/>
      <c r="O280" s="588"/>
    </row>
    <row r="281" spans="1:15">
      <c r="A281" s="575"/>
      <c r="B281" s="13"/>
      <c r="C281" s="13"/>
      <c r="D281" s="14"/>
      <c r="E281" s="14"/>
      <c r="F281" s="14"/>
      <c r="G281" s="14"/>
      <c r="H281" s="14"/>
      <c r="I281" s="14"/>
      <c r="J281" s="14"/>
      <c r="K281" s="14"/>
      <c r="L281" s="14"/>
      <c r="M281" s="588"/>
      <c r="N281" s="588"/>
      <c r="O281" s="588"/>
    </row>
    <row r="282" spans="1:15">
      <c r="A282" s="575"/>
      <c r="B282" s="13"/>
      <c r="C282" s="13"/>
      <c r="D282" s="14"/>
      <c r="E282" s="14"/>
      <c r="F282" s="14"/>
      <c r="G282" s="14"/>
      <c r="H282" s="14"/>
      <c r="I282" s="14"/>
      <c r="J282" s="14"/>
      <c r="K282" s="14"/>
      <c r="L282" s="14"/>
      <c r="M282" s="588"/>
      <c r="N282" s="588"/>
      <c r="O282" s="588"/>
    </row>
    <row r="283" spans="1:15">
      <c r="A283" s="575"/>
      <c r="B283" s="13"/>
      <c r="C283" s="13"/>
      <c r="D283" s="14"/>
      <c r="E283" s="14"/>
      <c r="F283" s="14"/>
      <c r="G283" s="14"/>
      <c r="H283" s="14"/>
      <c r="I283" s="14"/>
      <c r="J283" s="14"/>
      <c r="K283" s="14"/>
      <c r="L283" s="14"/>
      <c r="M283" s="588"/>
      <c r="N283" s="588"/>
      <c r="O283" s="588"/>
    </row>
    <row r="284" spans="1:15">
      <c r="A284" s="575"/>
      <c r="B284" s="13"/>
      <c r="C284" s="13"/>
      <c r="D284" s="14"/>
      <c r="E284" s="14"/>
      <c r="F284" s="14"/>
      <c r="G284" s="14"/>
      <c r="H284" s="14"/>
      <c r="I284" s="14"/>
      <c r="J284" s="14"/>
      <c r="K284" s="14"/>
      <c r="L284" s="14"/>
      <c r="M284" s="588"/>
      <c r="N284" s="588"/>
      <c r="O284" s="588"/>
    </row>
    <row r="285" spans="1:15">
      <c r="A285" s="575"/>
      <c r="B285" s="13"/>
      <c r="C285" s="13"/>
      <c r="D285" s="14"/>
      <c r="E285" s="14"/>
      <c r="F285" s="14"/>
      <c r="G285" s="14"/>
      <c r="H285" s="14"/>
      <c r="I285" s="14"/>
      <c r="J285" s="14"/>
      <c r="K285" s="14"/>
      <c r="L285" s="14"/>
      <c r="M285" s="588"/>
      <c r="N285" s="588"/>
      <c r="O285" s="588"/>
    </row>
    <row r="286" spans="1:15">
      <c r="A286" s="575"/>
      <c r="B286" s="13"/>
      <c r="C286" s="13"/>
      <c r="D286" s="14"/>
      <c r="E286" s="14"/>
      <c r="F286" s="14"/>
      <c r="G286" s="14"/>
      <c r="H286" s="14"/>
      <c r="I286" s="14"/>
      <c r="J286" s="14"/>
      <c r="K286" s="14"/>
      <c r="L286" s="14"/>
      <c r="M286" s="588"/>
      <c r="N286" s="588"/>
      <c r="O286" s="588"/>
    </row>
    <row r="287" spans="1:15">
      <c r="A287" s="575"/>
      <c r="B287" s="13"/>
      <c r="C287" s="13"/>
      <c r="D287" s="14"/>
      <c r="E287" s="14"/>
      <c r="F287" s="14"/>
      <c r="G287" s="14"/>
      <c r="H287" s="14"/>
      <c r="I287" s="14"/>
      <c r="J287" s="14"/>
      <c r="K287" s="14"/>
      <c r="L287" s="14"/>
      <c r="M287" s="588"/>
      <c r="N287" s="588"/>
      <c r="O287" s="588"/>
    </row>
    <row r="288" spans="1:15">
      <c r="A288" s="575"/>
      <c r="B288" s="13"/>
      <c r="C288" s="13"/>
      <c r="D288" s="14"/>
      <c r="E288" s="14"/>
      <c r="F288" s="14"/>
      <c r="G288" s="14"/>
      <c r="H288" s="14"/>
      <c r="I288" s="14"/>
      <c r="J288" s="14"/>
      <c r="K288" s="14"/>
      <c r="L288" s="14"/>
      <c r="M288" s="588"/>
      <c r="N288" s="588"/>
      <c r="O288" s="588"/>
    </row>
    <row r="289" spans="1:15">
      <c r="A289" s="575"/>
      <c r="B289" s="13"/>
      <c r="C289" s="13"/>
      <c r="D289" s="14"/>
      <c r="E289" s="14"/>
      <c r="F289" s="14"/>
      <c r="G289" s="14"/>
      <c r="H289" s="14"/>
      <c r="I289" s="14"/>
      <c r="J289" s="14"/>
      <c r="K289" s="14"/>
      <c r="L289" s="14"/>
      <c r="M289" s="588"/>
      <c r="N289" s="588"/>
      <c r="O289" s="588"/>
    </row>
    <row r="290" spans="1:15">
      <c r="A290" s="575"/>
      <c r="B290" s="13"/>
      <c r="C290" s="13"/>
      <c r="D290" s="14"/>
      <c r="E290" s="14"/>
      <c r="F290" s="14"/>
      <c r="G290" s="14"/>
      <c r="H290" s="14"/>
      <c r="I290" s="14"/>
      <c r="J290" s="14"/>
      <c r="K290" s="14"/>
      <c r="L290" s="14"/>
      <c r="M290" s="588"/>
      <c r="N290" s="588"/>
      <c r="O290" s="588"/>
    </row>
    <row r="291" spans="1:15">
      <c r="A291" s="575"/>
      <c r="B291" s="13"/>
      <c r="C291" s="13"/>
      <c r="D291" s="14"/>
      <c r="E291" s="14"/>
      <c r="F291" s="14"/>
      <c r="G291" s="14"/>
      <c r="H291" s="14"/>
      <c r="I291" s="14"/>
      <c r="J291" s="14"/>
      <c r="K291" s="14"/>
      <c r="L291" s="14"/>
      <c r="M291" s="588"/>
      <c r="N291" s="588"/>
      <c r="O291" s="588"/>
    </row>
    <row r="292" spans="1:15">
      <c r="A292" s="575"/>
      <c r="B292" s="13"/>
      <c r="C292" s="13"/>
      <c r="D292" s="14"/>
      <c r="E292" s="14"/>
      <c r="F292" s="14"/>
      <c r="G292" s="14"/>
      <c r="H292" s="14"/>
      <c r="I292" s="14"/>
      <c r="J292" s="14"/>
      <c r="K292" s="14"/>
      <c r="L292" s="14"/>
      <c r="M292" s="588"/>
      <c r="N292" s="588"/>
      <c r="O292" s="588"/>
    </row>
    <row r="293" spans="1:15">
      <c r="A293" s="575"/>
      <c r="B293" s="13"/>
      <c r="C293" s="13"/>
      <c r="D293" s="14"/>
      <c r="E293" s="14"/>
      <c r="F293" s="14"/>
      <c r="G293" s="14"/>
      <c r="H293" s="14"/>
      <c r="I293" s="14"/>
      <c r="J293" s="14"/>
      <c r="K293" s="14"/>
      <c r="L293" s="14"/>
      <c r="M293" s="588"/>
      <c r="N293" s="588"/>
      <c r="O293" s="588"/>
    </row>
    <row r="294" spans="1:15">
      <c r="A294" s="575"/>
      <c r="B294" s="13"/>
      <c r="C294" s="13"/>
      <c r="D294" s="14"/>
      <c r="E294" s="14"/>
      <c r="F294" s="14"/>
      <c r="G294" s="14"/>
      <c r="H294" s="14"/>
      <c r="I294" s="14"/>
      <c r="J294" s="14"/>
      <c r="K294" s="14"/>
      <c r="L294" s="14"/>
      <c r="M294" s="588"/>
      <c r="N294" s="588"/>
      <c r="O294" s="588"/>
    </row>
    <row r="295" spans="1:15">
      <c r="A295" s="575"/>
      <c r="B295" s="13"/>
      <c r="C295" s="13"/>
      <c r="D295" s="14"/>
      <c r="E295" s="14"/>
      <c r="F295" s="14"/>
      <c r="G295" s="14"/>
      <c r="H295" s="14"/>
      <c r="I295" s="14"/>
      <c r="J295" s="14"/>
      <c r="K295" s="14"/>
      <c r="L295" s="14"/>
      <c r="M295" s="588"/>
      <c r="N295" s="588"/>
      <c r="O295" s="588"/>
    </row>
    <row r="296" spans="1:15">
      <c r="A296" s="575"/>
      <c r="B296" s="13"/>
      <c r="C296" s="13"/>
      <c r="D296" s="14"/>
      <c r="E296" s="14"/>
      <c r="F296" s="14"/>
      <c r="G296" s="14"/>
      <c r="H296" s="14"/>
      <c r="I296" s="14"/>
      <c r="J296" s="14"/>
      <c r="K296" s="14"/>
      <c r="L296" s="14"/>
      <c r="M296" s="588"/>
      <c r="N296" s="588"/>
      <c r="O296" s="588"/>
    </row>
    <row r="297" spans="1:15">
      <c r="A297" s="575"/>
      <c r="B297" s="13"/>
      <c r="C297" s="13"/>
      <c r="D297" s="14"/>
      <c r="E297" s="14"/>
      <c r="F297" s="14"/>
      <c r="G297" s="14"/>
      <c r="H297" s="14"/>
      <c r="I297" s="14"/>
      <c r="J297" s="14"/>
      <c r="K297" s="14"/>
      <c r="L297" s="14"/>
      <c r="M297" s="588"/>
      <c r="N297" s="588"/>
      <c r="O297" s="588"/>
    </row>
    <row r="298" spans="1:15">
      <c r="A298" s="575"/>
      <c r="B298" s="13"/>
      <c r="C298" s="13"/>
      <c r="D298" s="14"/>
      <c r="E298" s="14"/>
      <c r="F298" s="14"/>
      <c r="G298" s="14"/>
      <c r="H298" s="14"/>
      <c r="I298" s="14"/>
      <c r="J298" s="14"/>
      <c r="K298" s="14"/>
      <c r="L298" s="14"/>
      <c r="M298" s="588"/>
      <c r="N298" s="588"/>
      <c r="O298" s="588"/>
    </row>
    <row r="299" spans="1:15">
      <c r="A299" s="575"/>
      <c r="B299" s="13"/>
      <c r="C299" s="13"/>
      <c r="D299" s="14"/>
      <c r="E299" s="14"/>
      <c r="F299" s="14"/>
      <c r="G299" s="14"/>
      <c r="H299" s="14"/>
      <c r="I299" s="14"/>
      <c r="J299" s="14"/>
      <c r="K299" s="14"/>
      <c r="L299" s="14"/>
      <c r="M299" s="588"/>
      <c r="N299" s="588"/>
      <c r="O299" s="588"/>
    </row>
    <row r="300" spans="1:15">
      <c r="A300" s="575"/>
      <c r="B300" s="13"/>
      <c r="C300" s="13"/>
      <c r="D300" s="14"/>
      <c r="E300" s="14"/>
      <c r="F300" s="14"/>
      <c r="G300" s="14"/>
      <c r="H300" s="14"/>
      <c r="I300" s="14"/>
      <c r="J300" s="14"/>
      <c r="K300" s="14"/>
      <c r="L300" s="14"/>
      <c r="M300" s="588"/>
      <c r="N300" s="588"/>
      <c r="O300" s="588"/>
    </row>
    <row r="301" spans="1:15">
      <c r="A301" s="575"/>
      <c r="B301" s="13"/>
      <c r="C301" s="13"/>
      <c r="D301" s="14"/>
      <c r="E301" s="14"/>
      <c r="F301" s="14"/>
      <c r="G301" s="14"/>
      <c r="H301" s="14"/>
      <c r="I301" s="14"/>
      <c r="J301" s="14"/>
      <c r="K301" s="14"/>
      <c r="L301" s="14"/>
      <c r="M301" s="588"/>
      <c r="N301" s="588"/>
      <c r="O301" s="588"/>
    </row>
    <row r="302" spans="1:15">
      <c r="A302" s="575"/>
      <c r="B302" s="13"/>
      <c r="C302" s="13"/>
      <c r="D302" s="14"/>
      <c r="E302" s="14"/>
      <c r="F302" s="14"/>
      <c r="G302" s="14"/>
      <c r="H302" s="14"/>
      <c r="I302" s="14"/>
      <c r="J302" s="14"/>
      <c r="K302" s="14"/>
      <c r="L302" s="14"/>
      <c r="M302" s="588"/>
      <c r="N302" s="588"/>
      <c r="O302" s="588"/>
    </row>
    <row r="303" spans="1:15">
      <c r="A303" s="575"/>
      <c r="B303" s="13"/>
      <c r="C303" s="13"/>
      <c r="D303" s="14"/>
      <c r="E303" s="14"/>
      <c r="F303" s="14"/>
      <c r="G303" s="14"/>
      <c r="H303" s="14"/>
      <c r="I303" s="14"/>
      <c r="J303" s="14"/>
      <c r="K303" s="14"/>
      <c r="L303" s="14"/>
      <c r="M303" s="588"/>
      <c r="N303" s="588"/>
      <c r="O303" s="588"/>
    </row>
    <row r="304" spans="1:15">
      <c r="A304" s="575"/>
      <c r="B304" s="13"/>
      <c r="C304" s="13"/>
      <c r="D304" s="14"/>
      <c r="E304" s="14"/>
      <c r="F304" s="14"/>
      <c r="G304" s="14"/>
      <c r="H304" s="14"/>
      <c r="I304" s="14"/>
      <c r="J304" s="14"/>
      <c r="K304" s="14"/>
      <c r="L304" s="14"/>
      <c r="M304" s="588"/>
      <c r="N304" s="588"/>
      <c r="O304" s="588"/>
    </row>
    <row r="305" spans="1:15">
      <c r="A305" s="575"/>
      <c r="B305" s="13"/>
      <c r="C305" s="13"/>
      <c r="D305" s="14"/>
      <c r="E305" s="14"/>
      <c r="F305" s="14"/>
      <c r="G305" s="14"/>
      <c r="H305" s="14"/>
      <c r="I305" s="14"/>
      <c r="J305" s="14"/>
      <c r="K305" s="14"/>
      <c r="L305" s="14"/>
      <c r="M305" s="588"/>
      <c r="N305" s="588"/>
      <c r="O305" s="588"/>
    </row>
    <row r="306" spans="1:15">
      <c r="A306" s="575"/>
      <c r="B306" s="13"/>
      <c r="C306" s="13"/>
      <c r="D306" s="14"/>
      <c r="E306" s="14"/>
      <c r="F306" s="14"/>
      <c r="G306" s="14"/>
      <c r="H306" s="14"/>
      <c r="I306" s="14"/>
      <c r="J306" s="14"/>
      <c r="K306" s="14"/>
      <c r="L306" s="14"/>
      <c r="M306" s="588"/>
      <c r="N306" s="588"/>
      <c r="O306" s="588"/>
    </row>
    <row r="307" spans="1:15">
      <c r="A307" s="575"/>
      <c r="B307" s="13"/>
      <c r="C307" s="13"/>
      <c r="D307" s="14"/>
      <c r="E307" s="14"/>
      <c r="F307" s="14"/>
      <c r="G307" s="14"/>
      <c r="H307" s="14"/>
      <c r="I307" s="14"/>
      <c r="J307" s="14"/>
      <c r="K307" s="14"/>
      <c r="L307" s="14"/>
      <c r="M307" s="588"/>
      <c r="N307" s="588"/>
      <c r="O307" s="588"/>
    </row>
    <row r="308" spans="1:15">
      <c r="A308" s="575"/>
      <c r="B308" s="13"/>
      <c r="C308" s="13"/>
      <c r="D308" s="14"/>
      <c r="E308" s="14"/>
      <c r="F308" s="14"/>
      <c r="G308" s="14"/>
      <c r="H308" s="14"/>
      <c r="I308" s="14"/>
      <c r="J308" s="14"/>
      <c r="K308" s="14"/>
      <c r="L308" s="14"/>
      <c r="M308" s="588"/>
      <c r="N308" s="588"/>
      <c r="O308" s="588"/>
    </row>
    <row r="309" spans="1:15">
      <c r="A309" s="575"/>
      <c r="B309" s="13"/>
      <c r="C309" s="13"/>
      <c r="D309" s="14"/>
      <c r="E309" s="14"/>
      <c r="F309" s="14"/>
      <c r="G309" s="14"/>
      <c r="H309" s="14"/>
      <c r="I309" s="14"/>
      <c r="J309" s="14"/>
      <c r="K309" s="14"/>
      <c r="L309" s="14"/>
      <c r="M309" s="588"/>
      <c r="N309" s="588"/>
      <c r="O309" s="588"/>
    </row>
    <row r="310" spans="1:15">
      <c r="A310" s="575"/>
      <c r="B310" s="13"/>
      <c r="C310" s="13"/>
      <c r="D310" s="14"/>
      <c r="E310" s="14"/>
      <c r="F310" s="14"/>
      <c r="G310" s="14"/>
      <c r="H310" s="14"/>
      <c r="I310" s="14"/>
      <c r="J310" s="14"/>
      <c r="K310" s="14"/>
      <c r="L310" s="14"/>
      <c r="M310" s="588"/>
      <c r="N310" s="588"/>
      <c r="O310" s="588"/>
    </row>
    <row r="311" spans="1:15">
      <c r="A311" s="575"/>
      <c r="B311" s="13"/>
      <c r="C311" s="13"/>
      <c r="D311" s="14"/>
      <c r="E311" s="14"/>
      <c r="F311" s="14"/>
      <c r="G311" s="14"/>
      <c r="H311" s="14"/>
      <c r="I311" s="14"/>
      <c r="J311" s="14"/>
      <c r="K311" s="14"/>
      <c r="L311" s="14"/>
      <c r="M311" s="588"/>
      <c r="N311" s="588"/>
      <c r="O311" s="588"/>
    </row>
    <row r="312" spans="1:15">
      <c r="A312" s="575"/>
      <c r="B312" s="13"/>
      <c r="C312" s="13"/>
      <c r="D312" s="14"/>
      <c r="E312" s="14"/>
      <c r="F312" s="14"/>
      <c r="G312" s="14"/>
      <c r="H312" s="14"/>
      <c r="I312" s="14"/>
      <c r="J312" s="14"/>
      <c r="K312" s="14"/>
      <c r="L312" s="14"/>
      <c r="M312" s="588"/>
      <c r="N312" s="588"/>
      <c r="O312" s="588"/>
    </row>
    <row r="313" spans="1:15">
      <c r="A313" s="575"/>
      <c r="B313" s="13"/>
      <c r="C313" s="13"/>
      <c r="D313" s="14"/>
      <c r="E313" s="14"/>
      <c r="F313" s="14"/>
      <c r="G313" s="14"/>
      <c r="H313" s="14"/>
      <c r="I313" s="14"/>
      <c r="J313" s="14"/>
      <c r="K313" s="14"/>
      <c r="L313" s="14"/>
      <c r="M313" s="588"/>
      <c r="N313" s="588"/>
      <c r="O313" s="588"/>
    </row>
    <row r="314" spans="1:15">
      <c r="A314" s="575"/>
      <c r="B314" s="13"/>
      <c r="C314" s="13"/>
      <c r="D314" s="14"/>
      <c r="E314" s="14"/>
      <c r="F314" s="14"/>
      <c r="G314" s="14"/>
      <c r="H314" s="14"/>
      <c r="I314" s="14"/>
      <c r="J314" s="14"/>
      <c r="K314" s="14"/>
      <c r="L314" s="14"/>
      <c r="M314" s="588"/>
      <c r="N314" s="588"/>
      <c r="O314" s="588"/>
    </row>
    <row r="315" spans="1:15">
      <c r="A315" s="575"/>
      <c r="B315" s="13"/>
      <c r="C315" s="13"/>
      <c r="D315" s="14"/>
      <c r="E315" s="14"/>
      <c r="F315" s="14"/>
      <c r="G315" s="14"/>
      <c r="H315" s="14"/>
      <c r="I315" s="14"/>
      <c r="J315" s="14"/>
      <c r="K315" s="14"/>
      <c r="L315" s="14"/>
      <c r="M315" s="588"/>
      <c r="N315" s="588"/>
      <c r="O315" s="588"/>
    </row>
    <row r="316" spans="1:15">
      <c r="A316" s="575"/>
      <c r="B316" s="13"/>
      <c r="C316" s="13"/>
      <c r="D316" s="14"/>
      <c r="E316" s="14"/>
      <c r="F316" s="14"/>
      <c r="G316" s="14"/>
      <c r="H316" s="14"/>
      <c r="I316" s="14"/>
      <c r="J316" s="14"/>
      <c r="K316" s="14"/>
      <c r="L316" s="14"/>
      <c r="M316" s="588"/>
      <c r="N316" s="588"/>
      <c r="O316" s="588"/>
    </row>
    <row r="317" spans="1:15">
      <c r="A317" s="575"/>
      <c r="B317" s="13"/>
      <c r="C317" s="13"/>
      <c r="D317" s="14"/>
      <c r="E317" s="14"/>
      <c r="F317" s="14"/>
      <c r="G317" s="14"/>
      <c r="H317" s="14"/>
      <c r="I317" s="14"/>
      <c r="J317" s="14"/>
      <c r="K317" s="14"/>
      <c r="L317" s="14"/>
      <c r="M317" s="588"/>
      <c r="N317" s="588"/>
      <c r="O317" s="588"/>
    </row>
    <row r="318" spans="1:15">
      <c r="A318" s="575"/>
      <c r="B318" s="13"/>
      <c r="C318" s="13"/>
      <c r="D318" s="14"/>
      <c r="E318" s="14"/>
      <c r="F318" s="14"/>
      <c r="G318" s="14"/>
      <c r="H318" s="14"/>
      <c r="I318" s="14"/>
      <c r="J318" s="14"/>
      <c r="K318" s="14"/>
      <c r="L318" s="14"/>
      <c r="M318" s="588"/>
      <c r="N318" s="588"/>
      <c r="O318" s="588"/>
    </row>
    <row r="319" spans="1:15">
      <c r="A319" s="575"/>
      <c r="B319" s="13"/>
      <c r="C319" s="13"/>
      <c r="D319" s="14"/>
      <c r="E319" s="14"/>
      <c r="F319" s="14"/>
      <c r="G319" s="14"/>
      <c r="H319" s="14"/>
      <c r="I319" s="14"/>
      <c r="J319" s="14"/>
      <c r="K319" s="14"/>
      <c r="L319" s="14"/>
      <c r="M319" s="588"/>
      <c r="N319" s="588"/>
      <c r="O319" s="588"/>
    </row>
    <row r="320" spans="1:15">
      <c r="A320" s="575"/>
      <c r="B320" s="13"/>
      <c r="C320" s="13"/>
      <c r="D320" s="14"/>
      <c r="E320" s="14"/>
      <c r="F320" s="14"/>
      <c r="G320" s="14"/>
      <c r="H320" s="14"/>
      <c r="I320" s="14"/>
      <c r="J320" s="14"/>
      <c r="K320" s="14"/>
      <c r="L320" s="14"/>
      <c r="M320" s="588"/>
      <c r="N320" s="588"/>
      <c r="O320" s="588"/>
    </row>
    <row r="321" spans="1:15">
      <c r="A321" s="575"/>
      <c r="B321" s="13"/>
      <c r="C321" s="13"/>
      <c r="D321" s="14"/>
      <c r="E321" s="14"/>
      <c r="F321" s="14"/>
      <c r="G321" s="14"/>
      <c r="H321" s="14"/>
      <c r="I321" s="14"/>
      <c r="J321" s="14"/>
      <c r="K321" s="14"/>
      <c r="L321" s="14"/>
      <c r="M321" s="588"/>
      <c r="N321" s="588"/>
      <c r="O321" s="588"/>
    </row>
    <row r="322" spans="1:15">
      <c r="A322" s="575"/>
      <c r="B322" s="13"/>
      <c r="C322" s="13"/>
      <c r="D322" s="14"/>
      <c r="E322" s="14"/>
      <c r="F322" s="14"/>
      <c r="G322" s="14"/>
      <c r="H322" s="14"/>
      <c r="I322" s="14"/>
      <c r="J322" s="14"/>
      <c r="K322" s="14"/>
      <c r="L322" s="14"/>
      <c r="M322" s="588"/>
      <c r="N322" s="588"/>
      <c r="O322" s="588"/>
    </row>
    <row r="323" spans="1:15">
      <c r="A323" s="575"/>
      <c r="B323" s="13"/>
      <c r="C323" s="13"/>
      <c r="D323" s="14"/>
      <c r="E323" s="14"/>
      <c r="F323" s="14"/>
      <c r="G323" s="14"/>
      <c r="H323" s="14"/>
      <c r="I323" s="14"/>
      <c r="J323" s="14"/>
      <c r="K323" s="14"/>
      <c r="L323" s="14"/>
      <c r="M323" s="588"/>
      <c r="N323" s="588"/>
      <c r="O323" s="588"/>
    </row>
    <row r="324" spans="1:15">
      <c r="A324" s="575"/>
      <c r="B324" s="13"/>
      <c r="C324" s="13"/>
      <c r="D324" s="14"/>
      <c r="E324" s="14"/>
      <c r="F324" s="14"/>
      <c r="G324" s="14"/>
      <c r="H324" s="14"/>
      <c r="I324" s="14"/>
      <c r="J324" s="14"/>
      <c r="K324" s="14"/>
      <c r="L324" s="14"/>
      <c r="M324" s="588"/>
      <c r="N324" s="588"/>
      <c r="O324" s="588"/>
    </row>
    <row r="325" spans="1:15">
      <c r="A325" s="575"/>
      <c r="B325" s="13"/>
      <c r="C325" s="13"/>
      <c r="D325" s="14"/>
      <c r="E325" s="14"/>
      <c r="F325" s="14"/>
      <c r="G325" s="14"/>
      <c r="H325" s="14"/>
      <c r="I325" s="14"/>
      <c r="J325" s="14"/>
      <c r="K325" s="14"/>
      <c r="L325" s="14"/>
      <c r="M325" s="588"/>
      <c r="N325" s="588"/>
      <c r="O325" s="588"/>
    </row>
    <row r="326" spans="1:15">
      <c r="A326" s="575"/>
      <c r="B326" s="13"/>
      <c r="C326" s="13"/>
      <c r="D326" s="14"/>
      <c r="E326" s="14"/>
      <c r="F326" s="14"/>
      <c r="G326" s="14"/>
      <c r="H326" s="14"/>
      <c r="I326" s="14"/>
      <c r="J326" s="14"/>
      <c r="K326" s="14"/>
      <c r="L326" s="14"/>
      <c r="M326" s="588"/>
      <c r="N326" s="588"/>
      <c r="O326" s="588"/>
    </row>
    <row r="327" spans="1:15">
      <c r="A327" s="575"/>
      <c r="B327" s="13"/>
      <c r="C327" s="13"/>
      <c r="D327" s="14"/>
      <c r="E327" s="14"/>
      <c r="F327" s="14"/>
      <c r="G327" s="14"/>
      <c r="H327" s="14"/>
      <c r="I327" s="14"/>
      <c r="J327" s="14"/>
      <c r="K327" s="14"/>
      <c r="L327" s="14"/>
      <c r="M327" s="588"/>
      <c r="N327" s="588"/>
      <c r="O327" s="588"/>
    </row>
    <row r="328" spans="1:15">
      <c r="A328" s="575"/>
      <c r="B328" s="13"/>
      <c r="C328" s="13"/>
      <c r="D328" s="14"/>
      <c r="E328" s="14"/>
      <c r="F328" s="14"/>
      <c r="G328" s="14"/>
      <c r="H328" s="14"/>
      <c r="I328" s="14"/>
      <c r="J328" s="14"/>
      <c r="K328" s="14"/>
      <c r="L328" s="14"/>
      <c r="M328" s="588"/>
      <c r="N328" s="588"/>
      <c r="O328" s="588"/>
    </row>
    <row r="329" spans="1:15">
      <c r="A329" s="575"/>
      <c r="B329" s="13"/>
      <c r="C329" s="13"/>
      <c r="D329" s="14"/>
      <c r="E329" s="14"/>
      <c r="F329" s="14"/>
      <c r="G329" s="14"/>
      <c r="H329" s="14"/>
      <c r="I329" s="14"/>
      <c r="J329" s="14"/>
      <c r="K329" s="14"/>
      <c r="L329" s="14"/>
      <c r="M329" s="588"/>
      <c r="N329" s="588"/>
      <c r="O329" s="588"/>
    </row>
    <row r="330" spans="1:15">
      <c r="A330" s="575"/>
      <c r="B330" s="13"/>
      <c r="C330" s="13"/>
      <c r="D330" s="14"/>
      <c r="E330" s="14"/>
      <c r="F330" s="14"/>
      <c r="G330" s="14"/>
      <c r="H330" s="14"/>
      <c r="I330" s="14"/>
      <c r="J330" s="14"/>
      <c r="K330" s="14"/>
      <c r="L330" s="14"/>
      <c r="M330" s="588"/>
      <c r="N330" s="588"/>
      <c r="O330" s="588"/>
    </row>
    <row r="331" spans="1:15">
      <c r="A331" s="575"/>
      <c r="B331" s="13"/>
      <c r="C331" s="13"/>
      <c r="D331" s="14"/>
      <c r="E331" s="14"/>
      <c r="F331" s="14"/>
      <c r="G331" s="14"/>
      <c r="H331" s="14"/>
      <c r="I331" s="14"/>
      <c r="J331" s="14"/>
      <c r="K331" s="14"/>
      <c r="L331" s="14"/>
      <c r="M331" s="588"/>
      <c r="N331" s="588"/>
      <c r="O331" s="588"/>
    </row>
    <row r="332" spans="1:15">
      <c r="A332" s="575"/>
      <c r="B332" s="13"/>
      <c r="C332" s="13"/>
      <c r="D332" s="14"/>
      <c r="E332" s="14"/>
      <c r="F332" s="14"/>
      <c r="G332" s="14"/>
      <c r="H332" s="14"/>
      <c r="I332" s="14"/>
      <c r="J332" s="14"/>
      <c r="K332" s="14"/>
      <c r="L332" s="14"/>
      <c r="M332" s="588"/>
      <c r="N332" s="588"/>
      <c r="O332" s="588"/>
    </row>
    <row r="333" spans="1:15">
      <c r="A333" s="575"/>
      <c r="B333" s="13"/>
      <c r="C333" s="13"/>
      <c r="D333" s="14"/>
      <c r="E333" s="14"/>
      <c r="F333" s="14"/>
      <c r="G333" s="14"/>
      <c r="H333" s="14"/>
      <c r="I333" s="14"/>
      <c r="J333" s="14"/>
      <c r="K333" s="14"/>
      <c r="L333" s="14"/>
      <c r="M333" s="588"/>
      <c r="N333" s="588"/>
      <c r="O333" s="588"/>
    </row>
    <row r="334" spans="1:15">
      <c r="A334" s="575"/>
      <c r="B334" s="13"/>
      <c r="C334" s="13"/>
      <c r="D334" s="14"/>
      <c r="E334" s="14"/>
      <c r="F334" s="14"/>
      <c r="G334" s="14"/>
      <c r="H334" s="14"/>
      <c r="I334" s="14"/>
      <c r="J334" s="14"/>
      <c r="K334" s="14"/>
      <c r="L334" s="14"/>
      <c r="M334" s="588"/>
      <c r="N334" s="588"/>
      <c r="O334" s="588"/>
    </row>
    <row r="335" spans="1:15">
      <c r="A335" s="575"/>
      <c r="B335" s="13"/>
      <c r="C335" s="13"/>
      <c r="D335" s="14"/>
      <c r="E335" s="14"/>
      <c r="F335" s="14"/>
      <c r="G335" s="14"/>
      <c r="H335" s="14"/>
      <c r="I335" s="14"/>
      <c r="J335" s="14"/>
      <c r="K335" s="14"/>
      <c r="L335" s="14"/>
      <c r="M335" s="588"/>
      <c r="N335" s="588"/>
      <c r="O335" s="588"/>
    </row>
    <row r="336" spans="1:15">
      <c r="A336" s="575"/>
      <c r="B336" s="13"/>
      <c r="C336" s="13"/>
      <c r="D336" s="14"/>
      <c r="E336" s="14"/>
      <c r="F336" s="14"/>
      <c r="G336" s="14"/>
      <c r="H336" s="14"/>
      <c r="I336" s="14"/>
      <c r="J336" s="14"/>
      <c r="K336" s="14"/>
      <c r="L336" s="14"/>
      <c r="M336" s="588"/>
      <c r="N336" s="588"/>
      <c r="O336" s="588"/>
    </row>
    <row r="337" spans="1:15">
      <c r="A337" s="575"/>
      <c r="B337" s="13"/>
      <c r="C337" s="13"/>
      <c r="D337" s="14"/>
      <c r="E337" s="14"/>
      <c r="F337" s="14"/>
      <c r="G337" s="14"/>
      <c r="H337" s="14"/>
      <c r="I337" s="14"/>
      <c r="J337" s="14"/>
      <c r="K337" s="14"/>
      <c r="L337" s="14"/>
      <c r="M337" s="588"/>
      <c r="N337" s="588"/>
      <c r="O337" s="588"/>
    </row>
    <row r="338" spans="1:15">
      <c r="A338" s="575"/>
      <c r="B338" s="13"/>
      <c r="C338" s="13"/>
      <c r="D338" s="14"/>
      <c r="E338" s="14"/>
      <c r="F338" s="14"/>
      <c r="G338" s="14"/>
      <c r="H338" s="14"/>
      <c r="I338" s="14"/>
      <c r="J338" s="14"/>
      <c r="K338" s="14"/>
      <c r="L338" s="14"/>
      <c r="M338" s="588"/>
      <c r="N338" s="588"/>
      <c r="O338" s="588"/>
    </row>
    <row r="339" spans="1:15">
      <c r="A339" s="575"/>
      <c r="B339" s="13"/>
      <c r="C339" s="13"/>
      <c r="D339" s="14"/>
      <c r="E339" s="14"/>
      <c r="F339" s="14"/>
      <c r="G339" s="14"/>
      <c r="H339" s="14"/>
      <c r="I339" s="14"/>
      <c r="J339" s="14"/>
      <c r="K339" s="14"/>
      <c r="L339" s="14"/>
      <c r="M339" s="588"/>
      <c r="N339" s="588"/>
      <c r="O339" s="588"/>
    </row>
    <row r="340" spans="1:15">
      <c r="A340" s="575"/>
      <c r="B340" s="13"/>
      <c r="C340" s="13"/>
      <c r="D340" s="14"/>
      <c r="E340" s="14"/>
      <c r="F340" s="14"/>
      <c r="G340" s="14"/>
      <c r="H340" s="14"/>
      <c r="I340" s="14"/>
      <c r="J340" s="14"/>
      <c r="K340" s="14"/>
      <c r="L340" s="14"/>
      <c r="M340" s="588"/>
      <c r="N340" s="588"/>
      <c r="O340" s="588"/>
    </row>
    <row r="341" spans="1:15">
      <c r="A341" s="575"/>
      <c r="B341" s="13"/>
      <c r="C341" s="13"/>
      <c r="D341" s="14"/>
      <c r="E341" s="14"/>
      <c r="F341" s="14"/>
      <c r="G341" s="14"/>
      <c r="H341" s="14"/>
      <c r="I341" s="14"/>
      <c r="J341" s="14"/>
      <c r="K341" s="14"/>
      <c r="L341" s="14"/>
      <c r="M341" s="588"/>
      <c r="N341" s="588"/>
      <c r="O341" s="588"/>
    </row>
    <row r="342" spans="1:15">
      <c r="A342" s="575"/>
      <c r="B342" s="13"/>
      <c r="C342" s="13"/>
      <c r="D342" s="14"/>
      <c r="E342" s="14"/>
      <c r="F342" s="14"/>
      <c r="G342" s="14"/>
      <c r="H342" s="14"/>
      <c r="I342" s="14"/>
      <c r="J342" s="14"/>
      <c r="K342" s="14"/>
      <c r="L342" s="14"/>
      <c r="M342" s="588"/>
      <c r="N342" s="588"/>
      <c r="O342" s="588"/>
    </row>
    <row r="343" spans="1:15">
      <c r="A343" s="575"/>
      <c r="B343" s="13"/>
      <c r="C343" s="13"/>
      <c r="D343" s="14"/>
      <c r="E343" s="14"/>
      <c r="F343" s="14"/>
      <c r="G343" s="14"/>
      <c r="H343" s="14"/>
      <c r="I343" s="14"/>
      <c r="J343" s="14"/>
      <c r="K343" s="14"/>
      <c r="L343" s="14"/>
      <c r="M343" s="588"/>
      <c r="N343" s="588"/>
      <c r="O343" s="588"/>
    </row>
    <row r="344" spans="1:15">
      <c r="A344" s="575"/>
      <c r="B344" s="13"/>
      <c r="C344" s="13"/>
      <c r="D344" s="14"/>
      <c r="E344" s="14"/>
      <c r="F344" s="14"/>
      <c r="G344" s="14"/>
      <c r="H344" s="14"/>
      <c r="I344" s="14"/>
      <c r="J344" s="14"/>
      <c r="K344" s="14"/>
      <c r="L344" s="14"/>
      <c r="M344" s="588"/>
      <c r="N344" s="588"/>
      <c r="O344" s="588"/>
    </row>
    <row r="345" spans="1:15">
      <c r="A345" s="575"/>
      <c r="B345" s="13"/>
      <c r="C345" s="13"/>
      <c r="D345" s="14"/>
      <c r="E345" s="14"/>
      <c r="F345" s="14"/>
      <c r="G345" s="14"/>
      <c r="H345" s="14"/>
      <c r="I345" s="14"/>
      <c r="J345" s="14"/>
      <c r="K345" s="14"/>
      <c r="L345" s="14"/>
      <c r="M345" s="588"/>
      <c r="N345" s="588"/>
      <c r="O345" s="588"/>
    </row>
    <row r="346" spans="1:15">
      <c r="A346" s="575"/>
      <c r="B346" s="13"/>
      <c r="C346" s="13"/>
      <c r="D346" s="14"/>
      <c r="E346" s="14"/>
      <c r="F346" s="14"/>
      <c r="G346" s="14"/>
      <c r="H346" s="14"/>
      <c r="I346" s="14"/>
      <c r="J346" s="14"/>
      <c r="K346" s="14"/>
      <c r="L346" s="14"/>
      <c r="M346" s="588"/>
      <c r="N346" s="588"/>
      <c r="O346" s="588"/>
    </row>
    <row r="347" spans="1:15">
      <c r="A347" s="575"/>
      <c r="B347" s="13"/>
      <c r="C347" s="13"/>
      <c r="D347" s="14"/>
      <c r="E347" s="14"/>
      <c r="F347" s="14"/>
      <c r="G347" s="14"/>
      <c r="H347" s="14"/>
      <c r="I347" s="14"/>
      <c r="J347" s="14"/>
      <c r="K347" s="14"/>
      <c r="L347" s="14"/>
      <c r="M347" s="588"/>
      <c r="N347" s="588"/>
      <c r="O347" s="588"/>
    </row>
    <row r="348" spans="1:15">
      <c r="A348" s="575"/>
      <c r="B348" s="13"/>
      <c r="C348" s="13"/>
      <c r="D348" s="14"/>
      <c r="E348" s="14"/>
      <c r="F348" s="14"/>
      <c r="G348" s="14"/>
      <c r="H348" s="14"/>
      <c r="I348" s="14"/>
      <c r="J348" s="14"/>
      <c r="K348" s="14"/>
      <c r="L348" s="14"/>
      <c r="M348" s="588"/>
      <c r="N348" s="588"/>
      <c r="O348" s="588"/>
    </row>
    <row r="349" spans="1:15">
      <c r="A349" s="575"/>
      <c r="B349" s="13"/>
      <c r="C349" s="13"/>
      <c r="D349" s="14"/>
      <c r="E349" s="14"/>
      <c r="F349" s="14"/>
      <c r="G349" s="14"/>
      <c r="H349" s="14"/>
      <c r="I349" s="14"/>
      <c r="J349" s="14"/>
      <c r="K349" s="14"/>
      <c r="L349" s="14"/>
      <c r="M349" s="588"/>
      <c r="N349" s="588"/>
      <c r="O349" s="588"/>
    </row>
    <row r="350" spans="1:15">
      <c r="A350" s="575"/>
      <c r="B350" s="13"/>
      <c r="C350" s="13"/>
      <c r="D350" s="14"/>
      <c r="E350" s="14"/>
      <c r="F350" s="14"/>
      <c r="G350" s="14"/>
      <c r="H350" s="14"/>
      <c r="I350" s="14"/>
      <c r="J350" s="14"/>
      <c r="K350" s="14"/>
      <c r="L350" s="14"/>
      <c r="M350" s="588"/>
      <c r="N350" s="588"/>
      <c r="O350" s="588"/>
    </row>
    <row r="351" spans="1:15">
      <c r="A351" s="575"/>
      <c r="B351" s="13"/>
      <c r="C351" s="13"/>
      <c r="D351" s="14"/>
      <c r="E351" s="14"/>
      <c r="F351" s="14"/>
      <c r="G351" s="14"/>
      <c r="H351" s="14"/>
      <c r="I351" s="14"/>
      <c r="J351" s="14"/>
      <c r="K351" s="14"/>
      <c r="L351" s="14"/>
      <c r="M351" s="588"/>
      <c r="N351" s="588"/>
      <c r="O351" s="588"/>
    </row>
    <row r="352" spans="1:15">
      <c r="A352" s="575"/>
      <c r="B352" s="13"/>
      <c r="C352" s="13"/>
      <c r="D352" s="14"/>
      <c r="E352" s="14"/>
      <c r="F352" s="14"/>
      <c r="G352" s="14"/>
      <c r="H352" s="14"/>
      <c r="I352" s="14"/>
      <c r="J352" s="14"/>
      <c r="K352" s="14"/>
      <c r="L352" s="14"/>
      <c r="M352" s="588"/>
      <c r="N352" s="588"/>
      <c r="O352" s="588"/>
    </row>
    <row r="353" spans="1:15">
      <c r="A353" s="575"/>
      <c r="B353" s="13"/>
      <c r="C353" s="13"/>
      <c r="D353" s="14"/>
      <c r="E353" s="14"/>
      <c r="F353" s="14"/>
      <c r="G353" s="14"/>
      <c r="H353" s="14"/>
      <c r="I353" s="14"/>
      <c r="J353" s="14"/>
      <c r="K353" s="14"/>
      <c r="L353" s="14"/>
      <c r="M353" s="588"/>
      <c r="N353" s="588"/>
      <c r="O353" s="588"/>
    </row>
    <row r="354" spans="1:15">
      <c r="A354" s="575"/>
      <c r="B354" s="13"/>
      <c r="C354" s="13"/>
      <c r="D354" s="14"/>
      <c r="E354" s="14"/>
      <c r="F354" s="14"/>
      <c r="G354" s="14"/>
      <c r="H354" s="14"/>
      <c r="I354" s="14"/>
      <c r="J354" s="14"/>
      <c r="K354" s="14"/>
      <c r="L354" s="14"/>
      <c r="M354" s="588"/>
      <c r="N354" s="588"/>
      <c r="O354" s="588"/>
    </row>
    <row r="355" spans="1:15">
      <c r="A355" s="575"/>
      <c r="B355" s="13"/>
      <c r="C355" s="13"/>
      <c r="D355" s="14"/>
      <c r="E355" s="14"/>
      <c r="F355" s="14"/>
      <c r="G355" s="14"/>
      <c r="H355" s="14"/>
      <c r="I355" s="14"/>
      <c r="J355" s="14"/>
      <c r="K355" s="14"/>
      <c r="L355" s="14"/>
      <c r="M355" s="588"/>
      <c r="N355" s="588"/>
      <c r="O355" s="588"/>
    </row>
    <row r="356" spans="1:15">
      <c r="A356" s="575"/>
      <c r="B356" s="13"/>
      <c r="C356" s="13"/>
      <c r="D356" s="14"/>
      <c r="E356" s="14"/>
      <c r="F356" s="14"/>
      <c r="G356" s="14"/>
      <c r="H356" s="14"/>
      <c r="I356" s="14"/>
      <c r="J356" s="14"/>
      <c r="K356" s="14"/>
      <c r="L356" s="14"/>
      <c r="M356" s="588"/>
      <c r="N356" s="588"/>
      <c r="O356" s="588"/>
    </row>
    <row r="357" spans="1:15">
      <c r="A357" s="575"/>
      <c r="B357" s="13"/>
      <c r="C357" s="13"/>
      <c r="D357" s="14"/>
      <c r="E357" s="14"/>
      <c r="F357" s="14"/>
      <c r="G357" s="14"/>
      <c r="H357" s="14"/>
      <c r="I357" s="14"/>
      <c r="J357" s="14"/>
      <c r="K357" s="14"/>
      <c r="L357" s="14"/>
      <c r="M357" s="588"/>
      <c r="N357" s="588"/>
      <c r="O357" s="588"/>
    </row>
    <row r="358" spans="1:15">
      <c r="A358" s="575"/>
      <c r="B358" s="13"/>
      <c r="C358" s="13"/>
      <c r="D358" s="14"/>
      <c r="E358" s="14"/>
      <c r="F358" s="14"/>
      <c r="G358" s="14"/>
      <c r="H358" s="14"/>
      <c r="I358" s="14"/>
      <c r="J358" s="14"/>
      <c r="K358" s="14"/>
      <c r="L358" s="14"/>
      <c r="M358" s="588"/>
      <c r="N358" s="588"/>
      <c r="O358" s="588"/>
    </row>
    <row r="359" spans="1:15">
      <c r="A359" s="575"/>
      <c r="B359" s="13"/>
      <c r="C359" s="13"/>
      <c r="D359" s="14"/>
      <c r="E359" s="14"/>
      <c r="F359" s="14"/>
      <c r="G359" s="14"/>
      <c r="H359" s="14"/>
      <c r="I359" s="14"/>
      <c r="J359" s="14"/>
      <c r="K359" s="14"/>
      <c r="L359" s="14"/>
      <c r="M359" s="588"/>
      <c r="N359" s="588"/>
      <c r="O359" s="588"/>
    </row>
    <row r="360" spans="1:15">
      <c r="A360" s="575"/>
      <c r="B360" s="13"/>
      <c r="C360" s="13"/>
      <c r="D360" s="14"/>
      <c r="E360" s="14"/>
      <c r="F360" s="14"/>
      <c r="G360" s="14"/>
      <c r="H360" s="14"/>
      <c r="I360" s="14"/>
      <c r="J360" s="14"/>
      <c r="K360" s="14"/>
      <c r="L360" s="14"/>
      <c r="M360" s="588"/>
      <c r="N360" s="588"/>
      <c r="O360" s="588"/>
    </row>
    <row r="361" spans="1:15">
      <c r="A361" s="575"/>
      <c r="B361" s="13"/>
      <c r="C361" s="13"/>
      <c r="D361" s="14"/>
      <c r="E361" s="14"/>
      <c r="F361" s="14"/>
      <c r="G361" s="14"/>
      <c r="H361" s="14"/>
      <c r="I361" s="14"/>
      <c r="J361" s="14"/>
      <c r="K361" s="14"/>
      <c r="L361" s="14"/>
      <c r="M361" s="588"/>
      <c r="N361" s="588"/>
      <c r="O361" s="588"/>
    </row>
    <row r="362" spans="1:15">
      <c r="A362" s="575"/>
      <c r="B362" s="13"/>
      <c r="C362" s="13"/>
      <c r="D362" s="14"/>
      <c r="E362" s="14"/>
      <c r="F362" s="14"/>
      <c r="G362" s="14"/>
      <c r="H362" s="14"/>
      <c r="I362" s="14"/>
      <c r="J362" s="14"/>
      <c r="K362" s="14"/>
      <c r="L362" s="14"/>
      <c r="M362" s="588"/>
      <c r="N362" s="588"/>
      <c r="O362" s="588"/>
    </row>
    <row r="363" spans="1:15">
      <c r="A363" s="575"/>
      <c r="B363" s="13"/>
      <c r="C363" s="13"/>
      <c r="D363" s="14"/>
      <c r="E363" s="14"/>
      <c r="F363" s="14"/>
      <c r="G363" s="14"/>
      <c r="H363" s="14"/>
      <c r="I363" s="14"/>
      <c r="J363" s="14"/>
      <c r="K363" s="14"/>
      <c r="L363" s="14"/>
      <c r="M363" s="588"/>
      <c r="N363" s="588"/>
      <c r="O363" s="588"/>
    </row>
    <row r="364" spans="1:15">
      <c r="A364" s="575"/>
      <c r="B364" s="13"/>
      <c r="C364" s="13"/>
      <c r="D364" s="14"/>
      <c r="E364" s="14"/>
      <c r="F364" s="14"/>
      <c r="G364" s="14"/>
      <c r="H364" s="14"/>
      <c r="I364" s="14"/>
      <c r="J364" s="14"/>
      <c r="K364" s="14"/>
      <c r="L364" s="14"/>
      <c r="M364" s="588"/>
      <c r="N364" s="588"/>
      <c r="O364" s="588"/>
    </row>
    <row r="365" spans="1:15">
      <c r="A365" s="575"/>
      <c r="B365" s="13"/>
      <c r="C365" s="13"/>
      <c r="D365" s="14"/>
      <c r="E365" s="14"/>
      <c r="F365" s="14"/>
      <c r="G365" s="14"/>
      <c r="H365" s="14"/>
      <c r="I365" s="14"/>
      <c r="J365" s="14"/>
      <c r="K365" s="14"/>
      <c r="L365" s="14"/>
      <c r="M365" s="588"/>
      <c r="N365" s="588"/>
      <c r="O365" s="588"/>
    </row>
    <row r="366" spans="1:15">
      <c r="A366" s="575"/>
      <c r="B366" s="13"/>
      <c r="C366" s="13"/>
      <c r="D366" s="14"/>
      <c r="E366" s="14"/>
      <c r="F366" s="14"/>
      <c r="G366" s="14"/>
      <c r="H366" s="14"/>
      <c r="I366" s="14"/>
      <c r="J366" s="14"/>
      <c r="K366" s="14"/>
      <c r="L366" s="14"/>
      <c r="M366" s="588"/>
      <c r="N366" s="588"/>
      <c r="O366" s="588"/>
    </row>
    <row r="367" spans="1:15">
      <c r="A367" s="575"/>
      <c r="B367" s="13"/>
      <c r="C367" s="13"/>
      <c r="D367" s="14"/>
      <c r="E367" s="14"/>
      <c r="F367" s="14"/>
      <c r="G367" s="14"/>
      <c r="H367" s="14"/>
      <c r="I367" s="14"/>
      <c r="J367" s="14"/>
      <c r="K367" s="14"/>
      <c r="L367" s="14"/>
      <c r="M367" s="588"/>
      <c r="N367" s="588"/>
      <c r="O367" s="588"/>
    </row>
    <row r="368" spans="1:15">
      <c r="A368" s="575"/>
      <c r="B368" s="13"/>
      <c r="C368" s="13"/>
      <c r="D368" s="14"/>
      <c r="E368" s="14"/>
      <c r="F368" s="14"/>
      <c r="G368" s="14"/>
      <c r="H368" s="14"/>
      <c r="I368" s="14"/>
      <c r="J368" s="14"/>
      <c r="K368" s="14"/>
      <c r="L368" s="14"/>
      <c r="M368" s="588"/>
      <c r="N368" s="588"/>
      <c r="O368" s="588"/>
    </row>
    <row r="369" spans="1:15">
      <c r="A369" s="575"/>
      <c r="B369" s="13"/>
      <c r="C369" s="13"/>
      <c r="D369" s="14"/>
      <c r="E369" s="14"/>
      <c r="F369" s="14"/>
      <c r="G369" s="14"/>
      <c r="H369" s="14"/>
      <c r="I369" s="14"/>
      <c r="J369" s="14"/>
      <c r="K369" s="14"/>
      <c r="L369" s="14"/>
      <c r="M369" s="588"/>
      <c r="N369" s="588"/>
      <c r="O369" s="588"/>
    </row>
    <row r="370" spans="1:15">
      <c r="A370" s="575"/>
      <c r="B370" s="13"/>
      <c r="C370" s="13"/>
      <c r="D370" s="14"/>
      <c r="E370" s="14"/>
      <c r="F370" s="14"/>
      <c r="G370" s="14"/>
      <c r="H370" s="14"/>
      <c r="I370" s="14"/>
      <c r="J370" s="14"/>
      <c r="K370" s="14"/>
      <c r="L370" s="14"/>
      <c r="M370" s="588"/>
      <c r="N370" s="588"/>
      <c r="O370" s="588"/>
    </row>
    <row r="371" spans="1:15">
      <c r="A371" s="575"/>
      <c r="B371" s="13"/>
      <c r="C371" s="13"/>
      <c r="D371" s="14"/>
      <c r="E371" s="14"/>
      <c r="F371" s="14"/>
      <c r="G371" s="14"/>
      <c r="H371" s="14"/>
      <c r="I371" s="14"/>
      <c r="J371" s="14"/>
      <c r="K371" s="14"/>
      <c r="L371" s="14"/>
      <c r="M371" s="588"/>
      <c r="N371" s="588"/>
      <c r="O371" s="588"/>
    </row>
    <row r="372" spans="1:15">
      <c r="A372" s="575"/>
      <c r="B372" s="13"/>
      <c r="C372" s="13"/>
      <c r="D372" s="14"/>
      <c r="E372" s="14"/>
      <c r="F372" s="14"/>
      <c r="G372" s="14"/>
      <c r="H372" s="14"/>
      <c r="I372" s="14"/>
      <c r="J372" s="14"/>
      <c r="K372" s="14"/>
      <c r="L372" s="14"/>
      <c r="M372" s="588"/>
      <c r="N372" s="588"/>
      <c r="O372" s="588"/>
    </row>
    <row r="373" spans="1:15">
      <c r="A373" s="575"/>
      <c r="B373" s="13"/>
      <c r="C373" s="13"/>
      <c r="D373" s="14"/>
      <c r="E373" s="14"/>
      <c r="F373" s="14"/>
      <c r="G373" s="14"/>
      <c r="H373" s="14"/>
      <c r="I373" s="14"/>
      <c r="J373" s="14"/>
      <c r="K373" s="14"/>
      <c r="L373" s="14"/>
      <c r="M373" s="588"/>
      <c r="N373" s="588"/>
      <c r="O373" s="588"/>
    </row>
    <row r="374" spans="1:15">
      <c r="A374" s="575"/>
      <c r="B374" s="13"/>
      <c r="C374" s="13"/>
      <c r="D374" s="14"/>
      <c r="E374" s="14"/>
      <c r="F374" s="14"/>
      <c r="G374" s="14"/>
      <c r="H374" s="14"/>
      <c r="I374" s="14"/>
      <c r="J374" s="14"/>
      <c r="K374" s="14"/>
      <c r="L374" s="14"/>
      <c r="M374" s="588"/>
      <c r="N374" s="588"/>
      <c r="O374" s="588"/>
    </row>
    <row r="375" spans="1:15">
      <c r="A375" s="575"/>
      <c r="B375" s="13"/>
      <c r="C375" s="13"/>
      <c r="D375" s="14"/>
      <c r="E375" s="14"/>
      <c r="F375" s="14"/>
      <c r="G375" s="14"/>
      <c r="H375" s="14"/>
      <c r="I375" s="14"/>
      <c r="J375" s="14"/>
      <c r="K375" s="14"/>
      <c r="L375" s="14"/>
      <c r="M375" s="588"/>
      <c r="N375" s="588"/>
      <c r="O375" s="588"/>
    </row>
    <row r="376" spans="1:15">
      <c r="A376" s="575"/>
      <c r="B376" s="13"/>
      <c r="C376" s="13"/>
      <c r="D376" s="14"/>
      <c r="E376" s="14"/>
      <c r="F376" s="14"/>
      <c r="G376" s="14"/>
      <c r="H376" s="14"/>
      <c r="I376" s="14"/>
      <c r="J376" s="14"/>
      <c r="K376" s="14"/>
      <c r="L376" s="14"/>
      <c r="M376" s="588"/>
      <c r="N376" s="588"/>
      <c r="O376" s="588"/>
    </row>
    <row r="377" spans="1:15">
      <c r="A377" s="575"/>
      <c r="B377" s="13"/>
      <c r="C377" s="13"/>
      <c r="D377" s="14"/>
      <c r="E377" s="14"/>
      <c r="F377" s="14"/>
      <c r="G377" s="14"/>
      <c r="H377" s="14"/>
      <c r="I377" s="14"/>
      <c r="J377" s="14"/>
      <c r="K377" s="14"/>
      <c r="L377" s="14"/>
      <c r="M377" s="588"/>
      <c r="N377" s="588"/>
      <c r="O377" s="588"/>
    </row>
    <row r="378" spans="1:15">
      <c r="A378" s="575"/>
      <c r="B378" s="13"/>
      <c r="C378" s="13"/>
      <c r="D378" s="14"/>
      <c r="E378" s="14"/>
      <c r="F378" s="14"/>
      <c r="G378" s="14"/>
      <c r="H378" s="14"/>
      <c r="I378" s="14"/>
      <c r="J378" s="14"/>
      <c r="K378" s="14"/>
      <c r="L378" s="14"/>
      <c r="M378" s="588"/>
      <c r="N378" s="588"/>
      <c r="O378" s="588"/>
    </row>
    <row r="379" spans="1:15">
      <c r="A379" s="575"/>
      <c r="B379" s="13"/>
      <c r="C379" s="13"/>
      <c r="D379" s="14"/>
      <c r="E379" s="14"/>
      <c r="F379" s="14"/>
      <c r="G379" s="14"/>
      <c r="H379" s="14"/>
      <c r="I379" s="14"/>
      <c r="J379" s="14"/>
      <c r="K379" s="14"/>
      <c r="L379" s="14"/>
      <c r="M379" s="588"/>
      <c r="N379" s="588"/>
      <c r="O379" s="588"/>
    </row>
    <row r="380" spans="1:15">
      <c r="A380" s="575"/>
      <c r="B380" s="13"/>
      <c r="C380" s="13"/>
      <c r="D380" s="14"/>
      <c r="E380" s="14"/>
      <c r="F380" s="14"/>
      <c r="G380" s="14"/>
      <c r="H380" s="14"/>
      <c r="I380" s="14"/>
      <c r="J380" s="14"/>
      <c r="K380" s="14"/>
      <c r="L380" s="14"/>
      <c r="M380" s="588"/>
      <c r="N380" s="588"/>
      <c r="O380" s="588"/>
    </row>
    <row r="381" spans="1:15">
      <c r="A381" s="575"/>
      <c r="B381" s="13"/>
      <c r="C381" s="13"/>
      <c r="D381" s="14"/>
      <c r="E381" s="14"/>
      <c r="F381" s="14"/>
      <c r="G381" s="14"/>
      <c r="H381" s="14"/>
      <c r="I381" s="14"/>
      <c r="J381" s="14"/>
      <c r="K381" s="14"/>
      <c r="L381" s="14"/>
      <c r="M381" s="588"/>
      <c r="N381" s="588"/>
      <c r="O381" s="588"/>
    </row>
    <row r="382" spans="1:15">
      <c r="A382" s="575"/>
      <c r="B382" s="13"/>
      <c r="C382" s="13"/>
      <c r="D382" s="14"/>
      <c r="E382" s="14"/>
      <c r="F382" s="14"/>
      <c r="G382" s="14"/>
      <c r="H382" s="14"/>
      <c r="I382" s="14"/>
      <c r="J382" s="14"/>
      <c r="K382" s="14"/>
      <c r="L382" s="14"/>
      <c r="M382" s="588"/>
      <c r="N382" s="588"/>
      <c r="O382" s="588"/>
    </row>
    <row r="383" spans="1:15">
      <c r="A383" s="575"/>
      <c r="B383" s="13"/>
      <c r="C383" s="13"/>
      <c r="D383" s="14"/>
      <c r="E383" s="14"/>
      <c r="F383" s="14"/>
      <c r="G383" s="14"/>
      <c r="H383" s="14"/>
      <c r="I383" s="14"/>
      <c r="J383" s="14"/>
      <c r="K383" s="14"/>
      <c r="L383" s="14"/>
      <c r="M383" s="588"/>
      <c r="N383" s="588"/>
      <c r="O383" s="588"/>
    </row>
    <row r="384" spans="1:15">
      <c r="A384" s="575"/>
      <c r="B384" s="13"/>
      <c r="C384" s="13"/>
      <c r="D384" s="14"/>
      <c r="E384" s="14"/>
      <c r="F384" s="14"/>
      <c r="G384" s="14"/>
      <c r="H384" s="14"/>
      <c r="I384" s="14"/>
      <c r="J384" s="14"/>
      <c r="K384" s="14"/>
      <c r="L384" s="14"/>
      <c r="M384" s="588"/>
      <c r="N384" s="588"/>
      <c r="O384" s="588"/>
    </row>
    <row r="385" spans="1:15">
      <c r="A385" s="575"/>
      <c r="B385" s="13"/>
      <c r="C385" s="13"/>
      <c r="D385" s="14"/>
      <c r="E385" s="14"/>
      <c r="F385" s="14"/>
      <c r="G385" s="14"/>
      <c r="H385" s="14"/>
      <c r="I385" s="14"/>
      <c r="J385" s="14"/>
      <c r="K385" s="14"/>
      <c r="L385" s="14"/>
      <c r="M385" s="588"/>
      <c r="N385" s="588"/>
      <c r="O385" s="588"/>
    </row>
    <row r="386" spans="1:15">
      <c r="A386" s="575"/>
      <c r="B386" s="13"/>
      <c r="C386" s="13"/>
      <c r="D386" s="14"/>
      <c r="E386" s="14"/>
      <c r="F386" s="14"/>
      <c r="G386" s="14"/>
      <c r="H386" s="14"/>
      <c r="I386" s="14"/>
      <c r="J386" s="14"/>
      <c r="K386" s="14"/>
      <c r="L386" s="14"/>
      <c r="M386" s="588"/>
      <c r="N386" s="588"/>
      <c r="O386" s="588"/>
    </row>
    <row r="387" spans="1:15">
      <c r="A387" s="575"/>
      <c r="B387" s="13"/>
      <c r="C387" s="13"/>
      <c r="D387" s="14"/>
      <c r="E387" s="14"/>
      <c r="F387" s="14"/>
      <c r="G387" s="14"/>
      <c r="H387" s="14"/>
      <c r="I387" s="14"/>
      <c r="J387" s="14"/>
      <c r="K387" s="14"/>
      <c r="L387" s="14"/>
      <c r="M387" s="588"/>
      <c r="N387" s="588"/>
      <c r="O387" s="588"/>
    </row>
    <row r="388" spans="1:15">
      <c r="A388" s="575"/>
      <c r="B388" s="13"/>
      <c r="C388" s="13"/>
      <c r="D388" s="14"/>
      <c r="E388" s="14"/>
      <c r="F388" s="14"/>
      <c r="G388" s="14"/>
      <c r="H388" s="14"/>
      <c r="I388" s="14"/>
      <c r="J388" s="14"/>
      <c r="K388" s="14"/>
      <c r="L388" s="14"/>
      <c r="M388" s="588"/>
      <c r="N388" s="588"/>
      <c r="O388" s="588"/>
    </row>
    <row r="389" spans="1:15">
      <c r="A389" s="575"/>
      <c r="B389" s="13"/>
      <c r="C389" s="13"/>
      <c r="D389" s="14"/>
      <c r="E389" s="14"/>
      <c r="F389" s="14"/>
      <c r="G389" s="14"/>
      <c r="H389" s="14"/>
      <c r="I389" s="14"/>
      <c r="J389" s="14"/>
      <c r="K389" s="14"/>
      <c r="L389" s="14"/>
      <c r="M389" s="588"/>
      <c r="N389" s="588"/>
      <c r="O389" s="588"/>
    </row>
    <row r="390" spans="1:15">
      <c r="A390" s="575"/>
      <c r="B390" s="13"/>
      <c r="C390" s="13"/>
      <c r="D390" s="14"/>
      <c r="E390" s="14"/>
      <c r="F390" s="14"/>
      <c r="G390" s="14"/>
      <c r="H390" s="14"/>
      <c r="I390" s="14"/>
      <c r="J390" s="14"/>
      <c r="K390" s="14"/>
      <c r="L390" s="14"/>
      <c r="M390" s="588"/>
      <c r="N390" s="588"/>
      <c r="O390" s="588"/>
    </row>
    <row r="391" spans="1:15">
      <c r="A391" s="575"/>
      <c r="B391" s="13"/>
      <c r="C391" s="13"/>
      <c r="D391" s="14"/>
      <c r="E391" s="14"/>
      <c r="F391" s="14"/>
      <c r="G391" s="14"/>
      <c r="H391" s="14"/>
      <c r="I391" s="14"/>
      <c r="J391" s="14"/>
      <c r="K391" s="14"/>
      <c r="L391" s="14"/>
      <c r="M391" s="588"/>
      <c r="N391" s="588"/>
      <c r="O391" s="588"/>
    </row>
    <row r="392" spans="1:15">
      <c r="A392" s="575"/>
      <c r="B392" s="13"/>
      <c r="C392" s="13"/>
      <c r="D392" s="14"/>
      <c r="E392" s="14"/>
      <c r="F392" s="14"/>
      <c r="G392" s="14"/>
      <c r="H392" s="14"/>
      <c r="I392" s="14"/>
      <c r="J392" s="14"/>
      <c r="K392" s="14"/>
      <c r="L392" s="14"/>
      <c r="M392" s="588"/>
      <c r="N392" s="588"/>
      <c r="O392" s="588"/>
    </row>
    <row r="393" spans="1:15">
      <c r="A393" s="575"/>
      <c r="B393" s="13"/>
      <c r="C393" s="13"/>
      <c r="D393" s="14"/>
      <c r="E393" s="14"/>
      <c r="F393" s="14"/>
      <c r="G393" s="14"/>
      <c r="H393" s="14"/>
      <c r="I393" s="14"/>
      <c r="J393" s="14"/>
      <c r="K393" s="14"/>
      <c r="L393" s="14"/>
      <c r="M393" s="588"/>
      <c r="N393" s="588"/>
      <c r="O393" s="588"/>
    </row>
    <row r="394" spans="1:15">
      <c r="A394" s="575"/>
      <c r="B394" s="13"/>
      <c r="C394" s="13"/>
      <c r="D394" s="14"/>
      <c r="E394" s="14"/>
      <c r="F394" s="14"/>
      <c r="G394" s="14"/>
      <c r="H394" s="14"/>
      <c r="I394" s="14"/>
      <c r="J394" s="14"/>
      <c r="K394" s="14"/>
      <c r="L394" s="14"/>
      <c r="M394" s="588"/>
      <c r="N394" s="588"/>
      <c r="O394" s="588"/>
    </row>
    <row r="395" spans="1:15">
      <c r="A395" s="575"/>
      <c r="B395" s="13"/>
      <c r="C395" s="13"/>
      <c r="D395" s="14"/>
      <c r="E395" s="14"/>
      <c r="F395" s="14"/>
      <c r="G395" s="14"/>
      <c r="H395" s="14"/>
      <c r="I395" s="14"/>
      <c r="J395" s="14"/>
      <c r="K395" s="14"/>
      <c r="L395" s="14"/>
      <c r="M395" s="588"/>
      <c r="N395" s="588"/>
      <c r="O395" s="588"/>
    </row>
    <row r="396" spans="1:15">
      <c r="A396" s="575"/>
      <c r="B396" s="13"/>
      <c r="C396" s="13"/>
      <c r="D396" s="14"/>
      <c r="E396" s="14"/>
      <c r="F396" s="14"/>
      <c r="G396" s="14"/>
      <c r="H396" s="14"/>
      <c r="I396" s="14"/>
      <c r="J396" s="14"/>
      <c r="K396" s="14"/>
      <c r="L396" s="14"/>
      <c r="M396" s="588"/>
      <c r="N396" s="588"/>
      <c r="O396" s="588"/>
    </row>
    <row r="397" spans="1:15">
      <c r="A397" s="575"/>
      <c r="B397" s="13"/>
      <c r="C397" s="13"/>
      <c r="D397" s="14"/>
      <c r="E397" s="14"/>
      <c r="F397" s="14"/>
      <c r="G397" s="14"/>
      <c r="H397" s="14"/>
      <c r="I397" s="14"/>
      <c r="J397" s="14"/>
      <c r="K397" s="14"/>
      <c r="L397" s="14"/>
      <c r="M397" s="588"/>
      <c r="N397" s="588"/>
      <c r="O397" s="588"/>
    </row>
    <row r="398" spans="1:15">
      <c r="A398" s="575"/>
      <c r="B398" s="13"/>
      <c r="C398" s="13"/>
      <c r="D398" s="14"/>
      <c r="E398" s="14"/>
      <c r="F398" s="14"/>
      <c r="G398" s="14"/>
      <c r="H398" s="14"/>
      <c r="I398" s="14"/>
      <c r="J398" s="14"/>
      <c r="K398" s="14"/>
      <c r="L398" s="14"/>
      <c r="M398" s="588"/>
      <c r="N398" s="588"/>
      <c r="O398" s="588"/>
    </row>
    <row r="399" spans="1:15">
      <c r="A399" s="575"/>
      <c r="B399" s="13"/>
      <c r="C399" s="13"/>
      <c r="D399" s="14"/>
      <c r="E399" s="14"/>
      <c r="F399" s="14"/>
      <c r="G399" s="14"/>
      <c r="H399" s="14"/>
      <c r="I399" s="14"/>
      <c r="J399" s="14"/>
      <c r="K399" s="14"/>
      <c r="L399" s="14"/>
      <c r="M399" s="588"/>
      <c r="N399" s="588"/>
      <c r="O399" s="588"/>
    </row>
    <row r="400" spans="1:15">
      <c r="A400" s="575"/>
      <c r="B400" s="13"/>
      <c r="C400" s="13"/>
      <c r="D400" s="14"/>
      <c r="E400" s="14"/>
      <c r="F400" s="14"/>
      <c r="G400" s="14"/>
      <c r="H400" s="14"/>
      <c r="I400" s="14"/>
      <c r="J400" s="14"/>
      <c r="K400" s="14"/>
      <c r="L400" s="14"/>
      <c r="M400" s="588"/>
      <c r="N400" s="588"/>
      <c r="O400" s="588"/>
    </row>
    <row r="401" spans="1:15">
      <c r="A401" s="575"/>
      <c r="B401" s="13"/>
      <c r="C401" s="13"/>
      <c r="D401" s="14"/>
      <c r="E401" s="14"/>
      <c r="F401" s="14"/>
      <c r="G401" s="14"/>
      <c r="H401" s="14"/>
      <c r="I401" s="14"/>
      <c r="J401" s="14"/>
      <c r="K401" s="14"/>
      <c r="L401" s="14"/>
      <c r="M401" s="588"/>
      <c r="N401" s="588"/>
      <c r="O401" s="588"/>
    </row>
    <row r="402" spans="1:15">
      <c r="A402" s="575"/>
      <c r="B402" s="13"/>
      <c r="C402" s="13"/>
      <c r="D402" s="14"/>
      <c r="E402" s="14"/>
      <c r="F402" s="14"/>
      <c r="G402" s="14"/>
      <c r="H402" s="14"/>
      <c r="I402" s="14"/>
      <c r="J402" s="14"/>
      <c r="K402" s="14"/>
      <c r="L402" s="14"/>
      <c r="M402" s="588"/>
      <c r="N402" s="588"/>
      <c r="O402" s="588"/>
    </row>
    <row r="403" spans="1:15">
      <c r="A403" s="575"/>
      <c r="B403" s="13"/>
      <c r="C403" s="13"/>
      <c r="D403" s="14"/>
      <c r="E403" s="14"/>
      <c r="F403" s="14"/>
      <c r="G403" s="14"/>
      <c r="H403" s="14"/>
      <c r="I403" s="14"/>
      <c r="J403" s="14"/>
      <c r="K403" s="14"/>
      <c r="L403" s="14"/>
      <c r="M403" s="588"/>
      <c r="N403" s="588"/>
      <c r="O403" s="588"/>
    </row>
    <row r="404" spans="1:15">
      <c r="A404" s="575"/>
      <c r="B404" s="13"/>
      <c r="C404" s="13"/>
      <c r="D404" s="14"/>
      <c r="E404" s="14"/>
      <c r="F404" s="14"/>
      <c r="G404" s="14"/>
      <c r="H404" s="14"/>
      <c r="I404" s="14"/>
      <c r="J404" s="14"/>
      <c r="K404" s="14"/>
      <c r="L404" s="14"/>
      <c r="M404" s="588"/>
      <c r="N404" s="588"/>
      <c r="O404" s="588"/>
    </row>
    <row r="405" spans="1:15">
      <c r="A405" s="575"/>
      <c r="B405" s="13"/>
      <c r="C405" s="13"/>
      <c r="D405" s="14"/>
      <c r="E405" s="14"/>
      <c r="F405" s="14"/>
      <c r="G405" s="14"/>
      <c r="H405" s="14"/>
      <c r="I405" s="14"/>
      <c r="J405" s="14"/>
      <c r="K405" s="14"/>
      <c r="L405" s="14"/>
      <c r="M405" s="588"/>
      <c r="N405" s="588"/>
      <c r="O405" s="588"/>
    </row>
    <row r="406" spans="1:15">
      <c r="A406" s="575"/>
      <c r="B406" s="13"/>
      <c r="C406" s="13"/>
      <c r="D406" s="14"/>
      <c r="E406" s="14"/>
      <c r="F406" s="14"/>
      <c r="G406" s="14"/>
      <c r="H406" s="14"/>
      <c r="I406" s="14"/>
      <c r="J406" s="14"/>
      <c r="K406" s="14"/>
      <c r="L406" s="14"/>
      <c r="M406" s="588"/>
      <c r="N406" s="588"/>
      <c r="O406" s="588"/>
    </row>
    <row r="407" spans="1:15">
      <c r="A407" s="575"/>
      <c r="B407" s="13"/>
      <c r="C407" s="13"/>
      <c r="D407" s="14"/>
      <c r="E407" s="14"/>
      <c r="F407" s="14"/>
      <c r="G407" s="14"/>
      <c r="H407" s="14"/>
      <c r="I407" s="14"/>
      <c r="J407" s="14"/>
      <c r="K407" s="14"/>
      <c r="L407" s="14"/>
      <c r="M407" s="588"/>
      <c r="N407" s="588"/>
      <c r="O407" s="588"/>
    </row>
    <row r="408" spans="1:15">
      <c r="A408" s="575"/>
      <c r="B408" s="13"/>
      <c r="C408" s="13"/>
      <c r="D408" s="14"/>
      <c r="E408" s="14"/>
      <c r="F408" s="14"/>
      <c r="G408" s="14"/>
      <c r="H408" s="14"/>
      <c r="I408" s="14"/>
      <c r="J408" s="14"/>
      <c r="K408" s="14"/>
      <c r="L408" s="14"/>
      <c r="M408" s="588"/>
      <c r="N408" s="588"/>
      <c r="O408" s="588"/>
    </row>
    <row r="409" spans="1:15">
      <c r="A409" s="575"/>
      <c r="B409" s="13"/>
      <c r="C409" s="13"/>
      <c r="D409" s="14"/>
      <c r="E409" s="14"/>
      <c r="F409" s="14"/>
      <c r="G409" s="14"/>
      <c r="H409" s="14"/>
      <c r="I409" s="14"/>
      <c r="J409" s="14"/>
      <c r="K409" s="14"/>
      <c r="L409" s="14"/>
      <c r="M409" s="588"/>
      <c r="N409" s="588"/>
      <c r="O409" s="588"/>
    </row>
    <row r="410" spans="1:15">
      <c r="A410" s="575"/>
      <c r="B410" s="13"/>
      <c r="C410" s="13"/>
      <c r="D410" s="14"/>
      <c r="E410" s="14"/>
      <c r="F410" s="14"/>
      <c r="G410" s="14"/>
      <c r="H410" s="14"/>
      <c r="I410" s="14"/>
      <c r="J410" s="14"/>
      <c r="K410" s="14"/>
      <c r="L410" s="14"/>
      <c r="M410" s="588"/>
      <c r="N410" s="588"/>
      <c r="O410" s="588"/>
    </row>
    <row r="411" spans="1:15">
      <c r="A411" s="575"/>
      <c r="B411" s="13"/>
      <c r="C411" s="13"/>
      <c r="D411" s="14"/>
      <c r="E411" s="14"/>
      <c r="F411" s="14"/>
      <c r="G411" s="14"/>
      <c r="H411" s="14"/>
      <c r="I411" s="14"/>
      <c r="J411" s="14"/>
      <c r="K411" s="14"/>
      <c r="L411" s="14"/>
      <c r="M411" s="588"/>
      <c r="N411" s="588"/>
      <c r="O411" s="588"/>
    </row>
    <row r="412" spans="1:15">
      <c r="A412" s="575"/>
      <c r="B412" s="13"/>
      <c r="C412" s="13"/>
      <c r="D412" s="14"/>
      <c r="E412" s="14"/>
      <c r="F412" s="14"/>
      <c r="G412" s="14"/>
      <c r="H412" s="14"/>
      <c r="I412" s="14"/>
      <c r="J412" s="14"/>
      <c r="K412" s="14"/>
      <c r="L412" s="14"/>
      <c r="M412" s="588"/>
      <c r="N412" s="588"/>
      <c r="O412" s="588"/>
    </row>
    <row r="413" spans="1:15">
      <c r="A413" s="575"/>
      <c r="B413" s="13"/>
      <c r="C413" s="13"/>
      <c r="D413" s="14"/>
      <c r="E413" s="14"/>
      <c r="F413" s="14"/>
      <c r="G413" s="14"/>
      <c r="H413" s="14"/>
      <c r="I413" s="14"/>
      <c r="J413" s="14"/>
      <c r="K413" s="14"/>
      <c r="L413" s="14"/>
      <c r="M413" s="588"/>
      <c r="N413" s="588"/>
      <c r="O413" s="588"/>
    </row>
    <row r="414" spans="1:15">
      <c r="A414" s="575"/>
      <c r="B414" s="13"/>
      <c r="C414" s="13"/>
      <c r="D414" s="14"/>
      <c r="E414" s="14"/>
      <c r="F414" s="14"/>
      <c r="G414" s="14"/>
      <c r="H414" s="14"/>
      <c r="I414" s="14"/>
      <c r="J414" s="14"/>
      <c r="K414" s="14"/>
      <c r="L414" s="14"/>
      <c r="M414" s="588"/>
      <c r="N414" s="588"/>
      <c r="O414" s="588"/>
    </row>
    <row r="415" spans="1:15">
      <c r="A415" s="575"/>
      <c r="B415" s="13"/>
      <c r="C415" s="13"/>
      <c r="D415" s="14"/>
      <c r="E415" s="14"/>
      <c r="F415" s="14"/>
      <c r="G415" s="14"/>
      <c r="H415" s="14"/>
      <c r="I415" s="14"/>
      <c r="J415" s="14"/>
      <c r="K415" s="14"/>
      <c r="L415" s="14"/>
      <c r="M415" s="588"/>
      <c r="N415" s="588"/>
      <c r="O415" s="588"/>
    </row>
    <row r="416" spans="1:15">
      <c r="A416" s="575"/>
      <c r="B416" s="13"/>
      <c r="C416" s="13"/>
      <c r="D416" s="14"/>
      <c r="E416" s="14"/>
      <c r="F416" s="14"/>
      <c r="G416" s="14"/>
      <c r="H416" s="14"/>
      <c r="I416" s="14"/>
      <c r="J416" s="14"/>
      <c r="K416" s="14"/>
      <c r="L416" s="14"/>
      <c r="M416" s="588"/>
      <c r="N416" s="588"/>
      <c r="O416" s="588"/>
    </row>
    <row r="417" spans="1:15">
      <c r="A417" s="575"/>
      <c r="B417" s="13"/>
      <c r="C417" s="13"/>
      <c r="D417" s="14"/>
      <c r="E417" s="14"/>
      <c r="F417" s="14"/>
      <c r="G417" s="14"/>
      <c r="H417" s="14"/>
      <c r="I417" s="14"/>
      <c r="J417" s="14"/>
      <c r="K417" s="14"/>
      <c r="L417" s="14"/>
      <c r="M417" s="588"/>
      <c r="N417" s="588"/>
      <c r="O417" s="588"/>
    </row>
    <row r="418" spans="1:15">
      <c r="A418" s="575"/>
      <c r="B418" s="13"/>
      <c r="C418" s="13"/>
      <c r="D418" s="14"/>
      <c r="E418" s="14"/>
      <c r="F418" s="14"/>
      <c r="G418" s="14"/>
      <c r="H418" s="14"/>
      <c r="I418" s="14"/>
      <c r="J418" s="14"/>
      <c r="K418" s="14"/>
      <c r="L418" s="14"/>
      <c r="M418" s="588"/>
      <c r="N418" s="588"/>
      <c r="O418" s="588"/>
    </row>
    <row r="419" spans="1:15">
      <c r="A419" s="575"/>
      <c r="B419" s="13"/>
      <c r="C419" s="13"/>
      <c r="D419" s="14"/>
      <c r="E419" s="14"/>
      <c r="F419" s="14"/>
      <c r="G419" s="14"/>
      <c r="H419" s="14"/>
      <c r="I419" s="14"/>
      <c r="J419" s="14"/>
      <c r="K419" s="14"/>
      <c r="L419" s="14"/>
      <c r="M419" s="588"/>
      <c r="N419" s="588"/>
      <c r="O419" s="588"/>
    </row>
    <row r="420" spans="1:15">
      <c r="A420" s="575"/>
      <c r="B420" s="13"/>
      <c r="C420" s="13"/>
      <c r="D420" s="14"/>
      <c r="E420" s="14"/>
      <c r="F420" s="14"/>
      <c r="G420" s="14"/>
      <c r="H420" s="14"/>
      <c r="I420" s="14"/>
      <c r="J420" s="14"/>
      <c r="K420" s="14"/>
      <c r="L420" s="14"/>
      <c r="M420" s="588"/>
      <c r="N420" s="588"/>
      <c r="O420" s="588"/>
    </row>
    <row r="421" spans="1:15">
      <c r="A421" s="575"/>
      <c r="B421" s="13"/>
      <c r="C421" s="13"/>
      <c r="D421" s="14"/>
      <c r="E421" s="14"/>
      <c r="F421" s="14"/>
      <c r="G421" s="14"/>
      <c r="H421" s="14"/>
      <c r="I421" s="14"/>
      <c r="J421" s="14"/>
      <c r="K421" s="14"/>
      <c r="L421" s="14"/>
      <c r="M421" s="588"/>
      <c r="N421" s="588"/>
      <c r="O421" s="588"/>
    </row>
    <row r="422" spans="1:15">
      <c r="A422" s="575"/>
      <c r="B422" s="13"/>
      <c r="C422" s="13"/>
      <c r="D422" s="14"/>
      <c r="E422" s="14"/>
      <c r="F422" s="14"/>
      <c r="G422" s="14"/>
      <c r="H422" s="14"/>
      <c r="I422" s="14"/>
      <c r="J422" s="14"/>
      <c r="K422" s="14"/>
      <c r="L422" s="14"/>
      <c r="M422" s="588"/>
      <c r="N422" s="588"/>
      <c r="O422" s="588"/>
    </row>
    <row r="423" spans="1:15">
      <c r="A423" s="575"/>
      <c r="B423" s="13"/>
      <c r="C423" s="13"/>
      <c r="D423" s="14"/>
      <c r="E423" s="14"/>
      <c r="F423" s="14"/>
      <c r="G423" s="14"/>
      <c r="H423" s="14"/>
      <c r="I423" s="14"/>
      <c r="J423" s="14"/>
      <c r="K423" s="14"/>
      <c r="L423" s="14"/>
      <c r="M423" s="588"/>
      <c r="N423" s="588"/>
      <c r="O423" s="588"/>
    </row>
    <row r="424" spans="1:15">
      <c r="A424" s="575"/>
      <c r="B424" s="13"/>
      <c r="C424" s="13"/>
      <c r="D424" s="14"/>
      <c r="E424" s="14"/>
      <c r="F424" s="14"/>
      <c r="G424" s="14"/>
      <c r="H424" s="14"/>
      <c r="I424" s="14"/>
      <c r="J424" s="14"/>
      <c r="K424" s="14"/>
      <c r="L424" s="14"/>
      <c r="M424" s="588"/>
      <c r="N424" s="588"/>
      <c r="O424" s="588"/>
    </row>
    <row r="425" spans="1:15">
      <c r="A425" s="575"/>
      <c r="B425" s="13"/>
      <c r="C425" s="13"/>
      <c r="D425" s="14"/>
      <c r="E425" s="14"/>
      <c r="F425" s="14"/>
      <c r="G425" s="14"/>
      <c r="H425" s="14"/>
      <c r="I425" s="14"/>
      <c r="J425" s="14"/>
      <c r="K425" s="14"/>
      <c r="L425" s="14"/>
      <c r="M425" s="588"/>
      <c r="N425" s="588"/>
      <c r="O425" s="588"/>
    </row>
    <row r="426" spans="1:15">
      <c r="A426" s="575"/>
      <c r="B426" s="13"/>
      <c r="C426" s="13"/>
      <c r="D426" s="14"/>
      <c r="E426" s="14"/>
      <c r="F426" s="14"/>
      <c r="G426" s="14"/>
      <c r="H426" s="14"/>
      <c r="I426" s="14"/>
      <c r="J426" s="14"/>
      <c r="K426" s="14"/>
      <c r="L426" s="14"/>
      <c r="M426" s="588"/>
      <c r="N426" s="588"/>
      <c r="O426" s="588"/>
    </row>
    <row r="427" spans="1:15">
      <c r="A427" s="575"/>
      <c r="B427" s="13"/>
      <c r="C427" s="13"/>
      <c r="D427" s="14"/>
      <c r="E427" s="14"/>
      <c r="F427" s="14"/>
      <c r="G427" s="14"/>
      <c r="H427" s="14"/>
      <c r="I427" s="14"/>
      <c r="J427" s="14"/>
      <c r="K427" s="14"/>
      <c r="L427" s="14"/>
      <c r="M427" s="588"/>
      <c r="N427" s="588"/>
      <c r="O427" s="588"/>
    </row>
    <row r="428" spans="1:15">
      <c r="A428" s="575"/>
      <c r="B428" s="13"/>
      <c r="C428" s="13"/>
      <c r="D428" s="14"/>
      <c r="E428" s="14"/>
      <c r="F428" s="14"/>
      <c r="G428" s="14"/>
      <c r="H428" s="14"/>
      <c r="I428" s="14"/>
      <c r="J428" s="14"/>
      <c r="K428" s="14"/>
      <c r="L428" s="14"/>
      <c r="M428" s="588"/>
      <c r="N428" s="588"/>
      <c r="O428" s="588"/>
    </row>
    <row r="429" spans="1:15">
      <c r="A429" s="575"/>
      <c r="B429" s="13"/>
      <c r="C429" s="13"/>
      <c r="D429" s="14"/>
      <c r="E429" s="14"/>
      <c r="F429" s="14"/>
      <c r="G429" s="14"/>
      <c r="H429" s="14"/>
      <c r="I429" s="14"/>
      <c r="J429" s="14"/>
      <c r="K429" s="14"/>
      <c r="L429" s="14"/>
      <c r="M429" s="588"/>
      <c r="N429" s="588"/>
      <c r="O429" s="588"/>
    </row>
    <row r="430" spans="1:15">
      <c r="A430" s="575"/>
      <c r="B430" s="13"/>
      <c r="C430" s="13"/>
      <c r="D430" s="14"/>
      <c r="E430" s="14"/>
      <c r="F430" s="14"/>
      <c r="G430" s="14"/>
      <c r="H430" s="14"/>
      <c r="I430" s="14"/>
      <c r="J430" s="14"/>
      <c r="K430" s="14"/>
      <c r="L430" s="14"/>
      <c r="M430" s="588"/>
      <c r="N430" s="588"/>
      <c r="O430" s="588"/>
    </row>
    <row r="431" spans="1:15">
      <c r="A431" s="575"/>
      <c r="B431" s="13"/>
      <c r="C431" s="13"/>
      <c r="D431" s="14"/>
      <c r="E431" s="14"/>
      <c r="F431" s="14"/>
      <c r="G431" s="14"/>
      <c r="H431" s="14"/>
      <c r="I431" s="14"/>
      <c r="J431" s="14"/>
      <c r="K431" s="14"/>
      <c r="L431" s="14"/>
      <c r="M431" s="588"/>
      <c r="N431" s="588"/>
      <c r="O431" s="588"/>
    </row>
    <row r="432" spans="1:15">
      <c r="A432" s="575"/>
      <c r="B432" s="13"/>
      <c r="C432" s="13"/>
      <c r="D432" s="14"/>
      <c r="E432" s="14"/>
      <c r="F432" s="14"/>
      <c r="G432" s="14"/>
      <c r="H432" s="14"/>
      <c r="I432" s="14"/>
      <c r="J432" s="14"/>
      <c r="K432" s="14"/>
      <c r="L432" s="14"/>
      <c r="M432" s="588"/>
      <c r="N432" s="588"/>
      <c r="O432" s="588"/>
    </row>
    <row r="433" spans="1:15">
      <c r="A433" s="575"/>
      <c r="B433" s="13"/>
      <c r="C433" s="13"/>
      <c r="D433" s="14"/>
      <c r="E433" s="14"/>
      <c r="F433" s="14"/>
      <c r="G433" s="14"/>
      <c r="H433" s="14"/>
      <c r="I433" s="14"/>
      <c r="J433" s="14"/>
      <c r="K433" s="14"/>
      <c r="L433" s="14"/>
      <c r="M433" s="588"/>
      <c r="N433" s="588"/>
      <c r="O433" s="588"/>
    </row>
    <row r="434" spans="1:15">
      <c r="A434" s="575"/>
      <c r="B434" s="13"/>
      <c r="C434" s="13"/>
      <c r="D434" s="14"/>
      <c r="E434" s="14"/>
      <c r="F434" s="14"/>
      <c r="G434" s="14"/>
      <c r="H434" s="14"/>
      <c r="I434" s="14"/>
      <c r="J434" s="14"/>
      <c r="K434" s="14"/>
      <c r="L434" s="14"/>
      <c r="M434" s="588"/>
      <c r="N434" s="588"/>
      <c r="O434" s="588"/>
    </row>
    <row r="435" spans="1:15">
      <c r="A435" s="575"/>
      <c r="B435" s="13"/>
      <c r="C435" s="13"/>
      <c r="D435" s="14"/>
      <c r="E435" s="14"/>
      <c r="F435" s="14"/>
      <c r="G435" s="14"/>
      <c r="H435" s="14"/>
      <c r="I435" s="14"/>
      <c r="J435" s="14"/>
      <c r="K435" s="14"/>
      <c r="L435" s="14"/>
      <c r="M435" s="588"/>
      <c r="N435" s="588"/>
      <c r="O435" s="588"/>
    </row>
    <row r="436" spans="1:15">
      <c r="A436" s="575"/>
      <c r="B436" s="13"/>
      <c r="C436" s="13"/>
      <c r="D436" s="14"/>
      <c r="E436" s="14"/>
      <c r="F436" s="14"/>
      <c r="G436" s="14"/>
      <c r="H436" s="14"/>
      <c r="I436" s="14"/>
      <c r="J436" s="14"/>
      <c r="K436" s="14"/>
      <c r="L436" s="14"/>
      <c r="M436" s="588"/>
      <c r="N436" s="588"/>
      <c r="O436" s="588"/>
    </row>
    <row r="437" spans="1:15">
      <c r="A437" s="575"/>
      <c r="B437" s="13"/>
      <c r="C437" s="13"/>
      <c r="D437" s="14"/>
      <c r="E437" s="14"/>
      <c r="F437" s="14"/>
      <c r="G437" s="14"/>
      <c r="H437" s="14"/>
      <c r="I437" s="14"/>
      <c r="J437" s="14"/>
      <c r="K437" s="14"/>
      <c r="L437" s="14"/>
      <c r="M437" s="588"/>
      <c r="N437" s="588"/>
      <c r="O437" s="588"/>
    </row>
    <row r="438" spans="1:15">
      <c r="A438" s="575"/>
      <c r="B438" s="13"/>
      <c r="C438" s="13"/>
      <c r="D438" s="14"/>
      <c r="E438" s="14"/>
      <c r="F438" s="14"/>
      <c r="G438" s="14"/>
      <c r="H438" s="14"/>
      <c r="I438" s="14"/>
      <c r="J438" s="14"/>
      <c r="K438" s="14"/>
      <c r="L438" s="14"/>
      <c r="M438" s="588"/>
      <c r="N438" s="588"/>
      <c r="O438" s="588"/>
    </row>
    <row r="439" spans="1:15">
      <c r="A439" s="575"/>
      <c r="B439" s="13"/>
      <c r="C439" s="13"/>
      <c r="D439" s="14"/>
      <c r="E439" s="14"/>
      <c r="F439" s="14"/>
      <c r="G439" s="14"/>
      <c r="H439" s="14"/>
      <c r="I439" s="14"/>
      <c r="J439" s="14"/>
      <c r="K439" s="14"/>
      <c r="L439" s="14"/>
      <c r="M439" s="588"/>
      <c r="N439" s="588"/>
      <c r="O439" s="588"/>
    </row>
    <row r="440" spans="1:15">
      <c r="A440" s="575"/>
      <c r="B440" s="13"/>
      <c r="C440" s="13"/>
      <c r="D440" s="14"/>
      <c r="E440" s="14"/>
      <c r="F440" s="14"/>
      <c r="G440" s="14"/>
      <c r="H440" s="14"/>
      <c r="I440" s="14"/>
      <c r="J440" s="14"/>
      <c r="K440" s="14"/>
      <c r="L440" s="14"/>
      <c r="M440" s="588"/>
      <c r="N440" s="588"/>
      <c r="O440" s="588"/>
    </row>
    <row r="441" spans="1:15">
      <c r="A441" s="575"/>
      <c r="B441" s="13"/>
      <c r="C441" s="13"/>
      <c r="D441" s="14"/>
      <c r="E441" s="14"/>
      <c r="F441" s="14"/>
      <c r="G441" s="14"/>
      <c r="H441" s="14"/>
      <c r="I441" s="14"/>
      <c r="J441" s="14"/>
      <c r="K441" s="14"/>
      <c r="L441" s="14"/>
      <c r="M441" s="588"/>
      <c r="N441" s="588"/>
      <c r="O441" s="588"/>
    </row>
    <row r="442" spans="1:15">
      <c r="A442" s="575"/>
      <c r="B442" s="13"/>
      <c r="C442" s="13"/>
      <c r="D442" s="14"/>
      <c r="E442" s="14"/>
      <c r="F442" s="14"/>
      <c r="G442" s="14"/>
      <c r="H442" s="14"/>
      <c r="I442" s="14"/>
      <c r="J442" s="14"/>
      <c r="K442" s="14"/>
      <c r="L442" s="14"/>
      <c r="M442" s="588"/>
      <c r="N442" s="588"/>
      <c r="O442" s="588"/>
    </row>
    <row r="443" spans="1:15">
      <c r="A443" s="575"/>
      <c r="B443" s="13"/>
      <c r="C443" s="13"/>
      <c r="D443" s="14"/>
      <c r="E443" s="14"/>
      <c r="F443" s="14"/>
      <c r="G443" s="14"/>
      <c r="H443" s="14"/>
      <c r="I443" s="14"/>
      <c r="J443" s="14"/>
      <c r="K443" s="14"/>
      <c r="L443" s="14"/>
      <c r="M443" s="588"/>
      <c r="N443" s="588"/>
      <c r="O443" s="588"/>
    </row>
    <row r="444" spans="1:15">
      <c r="A444" s="575"/>
      <c r="B444" s="13"/>
      <c r="C444" s="13"/>
      <c r="D444" s="14"/>
      <c r="E444" s="14"/>
      <c r="F444" s="14"/>
      <c r="G444" s="14"/>
      <c r="H444" s="14"/>
      <c r="I444" s="14"/>
      <c r="J444" s="14"/>
      <c r="K444" s="14"/>
      <c r="L444" s="14"/>
      <c r="M444" s="588"/>
      <c r="N444" s="588"/>
      <c r="O444" s="588"/>
    </row>
    <row r="445" spans="1:15">
      <c r="A445" s="575"/>
      <c r="B445" s="13"/>
      <c r="C445" s="13"/>
      <c r="D445" s="14"/>
      <c r="E445" s="14"/>
      <c r="F445" s="14"/>
      <c r="G445" s="14"/>
      <c r="H445" s="14"/>
      <c r="I445" s="14"/>
      <c r="J445" s="14"/>
      <c r="K445" s="14"/>
      <c r="L445" s="14"/>
      <c r="M445" s="588"/>
      <c r="N445" s="588"/>
      <c r="O445" s="588"/>
    </row>
    <row r="446" spans="1:15">
      <c r="A446" s="575"/>
      <c r="B446" s="13"/>
      <c r="C446" s="13"/>
      <c r="D446" s="14"/>
      <c r="E446" s="14"/>
      <c r="F446" s="14"/>
      <c r="G446" s="14"/>
      <c r="H446" s="14"/>
      <c r="I446" s="14"/>
      <c r="J446" s="14"/>
      <c r="K446" s="14"/>
      <c r="L446" s="14"/>
      <c r="M446" s="588"/>
      <c r="N446" s="588"/>
      <c r="O446" s="588"/>
    </row>
    <row r="447" spans="1:15">
      <c r="A447" s="575"/>
      <c r="B447" s="13"/>
      <c r="C447" s="13"/>
      <c r="D447" s="14"/>
      <c r="E447" s="14"/>
      <c r="F447" s="14"/>
      <c r="G447" s="14"/>
      <c r="H447" s="14"/>
      <c r="I447" s="14"/>
      <c r="J447" s="14"/>
      <c r="K447" s="14"/>
      <c r="L447" s="14"/>
      <c r="M447" s="588"/>
      <c r="N447" s="588"/>
      <c r="O447" s="588"/>
    </row>
    <row r="448" spans="1:15">
      <c r="A448" s="575"/>
      <c r="B448" s="13"/>
      <c r="C448" s="13"/>
      <c r="D448" s="14"/>
      <c r="E448" s="14"/>
      <c r="F448" s="14"/>
      <c r="G448" s="14"/>
      <c r="H448" s="14"/>
      <c r="I448" s="14"/>
      <c r="J448" s="14"/>
      <c r="K448" s="14"/>
      <c r="L448" s="14"/>
      <c r="M448" s="588"/>
      <c r="N448" s="588"/>
      <c r="O448" s="588"/>
    </row>
    <row r="449" spans="1:15">
      <c r="A449" s="575"/>
      <c r="B449" s="13"/>
      <c r="C449" s="13"/>
      <c r="D449" s="14"/>
      <c r="E449" s="14"/>
      <c r="F449" s="14"/>
      <c r="G449" s="14"/>
      <c r="H449" s="14"/>
      <c r="I449" s="14"/>
      <c r="J449" s="14"/>
      <c r="K449" s="14"/>
      <c r="L449" s="14"/>
      <c r="M449" s="588"/>
      <c r="N449" s="588"/>
      <c r="O449" s="588"/>
    </row>
    <row r="450" spans="1:15">
      <c r="A450" s="575"/>
      <c r="B450" s="13"/>
      <c r="C450" s="13"/>
      <c r="D450" s="14"/>
      <c r="E450" s="14"/>
      <c r="F450" s="14"/>
      <c r="G450" s="14"/>
      <c r="H450" s="14"/>
      <c r="I450" s="14"/>
      <c r="J450" s="14"/>
      <c r="K450" s="14"/>
      <c r="L450" s="14"/>
      <c r="M450" s="588"/>
      <c r="N450" s="588"/>
      <c r="O450" s="588"/>
    </row>
    <row r="451" spans="1:15">
      <c r="A451" s="575"/>
      <c r="B451" s="13"/>
      <c r="C451" s="13"/>
      <c r="D451" s="14"/>
      <c r="E451" s="14"/>
      <c r="F451" s="14"/>
      <c r="G451" s="14"/>
      <c r="H451" s="14"/>
      <c r="I451" s="14"/>
      <c r="J451" s="14"/>
      <c r="K451" s="14"/>
      <c r="L451" s="14"/>
      <c r="M451" s="588"/>
      <c r="N451" s="588"/>
      <c r="O451" s="588"/>
    </row>
    <row r="452" spans="1:15">
      <c r="A452" s="575"/>
      <c r="B452" s="13"/>
      <c r="C452" s="13"/>
      <c r="D452" s="14"/>
      <c r="E452" s="14"/>
      <c r="F452" s="14"/>
      <c r="G452" s="14"/>
      <c r="H452" s="14"/>
      <c r="I452" s="14"/>
      <c r="J452" s="14"/>
      <c r="K452" s="14"/>
      <c r="L452" s="14"/>
      <c r="M452" s="588"/>
      <c r="N452" s="588"/>
      <c r="O452" s="588"/>
    </row>
    <row r="453" spans="1:15">
      <c r="A453" s="575"/>
      <c r="B453" s="13"/>
      <c r="C453" s="13"/>
      <c r="D453" s="14"/>
      <c r="E453" s="14"/>
      <c r="F453" s="14"/>
      <c r="G453" s="14"/>
      <c r="H453" s="14"/>
      <c r="I453" s="14"/>
      <c r="J453" s="14"/>
      <c r="K453" s="14"/>
      <c r="L453" s="14"/>
      <c r="M453" s="588"/>
      <c r="N453" s="588"/>
      <c r="O453" s="588"/>
    </row>
    <row r="454" spans="1:15">
      <c r="A454" s="575"/>
      <c r="B454" s="13"/>
      <c r="C454" s="13"/>
      <c r="D454" s="14"/>
      <c r="E454" s="14"/>
      <c r="F454" s="14"/>
      <c r="G454" s="14"/>
      <c r="H454" s="14"/>
      <c r="I454" s="14"/>
      <c r="J454" s="14"/>
      <c r="K454" s="14"/>
      <c r="L454" s="14"/>
      <c r="M454" s="588"/>
      <c r="N454" s="588"/>
      <c r="O454" s="588"/>
    </row>
    <row r="455" spans="1:15">
      <c r="A455" s="575"/>
      <c r="B455" s="13"/>
      <c r="C455" s="13"/>
      <c r="D455" s="14"/>
      <c r="E455" s="14"/>
      <c r="F455" s="14"/>
      <c r="G455" s="14"/>
      <c r="H455" s="14"/>
      <c r="I455" s="14"/>
      <c r="J455" s="14"/>
      <c r="K455" s="14"/>
      <c r="L455" s="14"/>
      <c r="M455" s="588"/>
      <c r="N455" s="588"/>
      <c r="O455" s="588"/>
    </row>
    <row r="456" spans="1:15">
      <c r="A456" s="575"/>
      <c r="B456" s="13"/>
      <c r="C456" s="13"/>
      <c r="D456" s="14"/>
      <c r="E456" s="14"/>
      <c r="F456" s="14"/>
      <c r="G456" s="14"/>
      <c r="H456" s="14"/>
      <c r="I456" s="14"/>
      <c r="J456" s="14"/>
      <c r="K456" s="14"/>
      <c r="L456" s="14"/>
      <c r="M456" s="588"/>
      <c r="N456" s="588"/>
      <c r="O456" s="588"/>
    </row>
    <row r="457" spans="1:15">
      <c r="A457" s="575"/>
      <c r="B457" s="13"/>
      <c r="C457" s="13"/>
      <c r="D457" s="14"/>
      <c r="E457" s="14"/>
      <c r="F457" s="14"/>
      <c r="G457" s="14"/>
      <c r="H457" s="14"/>
      <c r="I457" s="14"/>
      <c r="J457" s="14"/>
      <c r="K457" s="14"/>
      <c r="L457" s="14"/>
      <c r="M457" s="588"/>
      <c r="N457" s="588"/>
      <c r="O457" s="588"/>
    </row>
    <row r="458" spans="1:15">
      <c r="A458" s="575"/>
      <c r="B458" s="13"/>
      <c r="C458" s="13"/>
      <c r="D458" s="14"/>
      <c r="E458" s="14"/>
      <c r="F458" s="14"/>
      <c r="G458" s="14"/>
      <c r="H458" s="14"/>
      <c r="I458" s="14"/>
      <c r="J458" s="14"/>
      <c r="K458" s="14"/>
      <c r="L458" s="14"/>
      <c r="M458" s="588"/>
      <c r="N458" s="588"/>
      <c r="O458" s="588"/>
    </row>
    <row r="459" spans="1:15">
      <c r="A459" s="575"/>
      <c r="B459" s="13"/>
      <c r="C459" s="13"/>
      <c r="D459" s="14"/>
      <c r="E459" s="14"/>
      <c r="F459" s="14"/>
      <c r="G459" s="14"/>
      <c r="H459" s="14"/>
      <c r="I459" s="14"/>
      <c r="J459" s="14"/>
      <c r="K459" s="14"/>
      <c r="L459" s="14"/>
      <c r="M459" s="588"/>
      <c r="N459" s="588"/>
      <c r="O459" s="588"/>
    </row>
    <row r="460" spans="1:15">
      <c r="A460" s="575"/>
      <c r="B460" s="13"/>
      <c r="C460" s="13"/>
      <c r="D460" s="14"/>
      <c r="E460" s="14"/>
      <c r="F460" s="14"/>
      <c r="G460" s="14"/>
      <c r="H460" s="14"/>
      <c r="I460" s="14"/>
      <c r="J460" s="14"/>
      <c r="K460" s="14"/>
      <c r="L460" s="14"/>
      <c r="M460" s="588"/>
      <c r="N460" s="588"/>
      <c r="O460" s="588"/>
    </row>
    <row r="461" spans="1:15">
      <c r="A461" s="575"/>
      <c r="B461" s="13"/>
      <c r="C461" s="13"/>
      <c r="D461" s="14"/>
      <c r="E461" s="14"/>
      <c r="F461" s="14"/>
      <c r="G461" s="14"/>
      <c r="H461" s="14"/>
      <c r="I461" s="14"/>
      <c r="J461" s="14"/>
      <c r="K461" s="14"/>
      <c r="L461" s="14"/>
      <c r="M461" s="588"/>
      <c r="N461" s="588"/>
      <c r="O461" s="588"/>
    </row>
    <row r="462" spans="1:15">
      <c r="A462" s="575"/>
      <c r="B462" s="13"/>
      <c r="C462" s="13"/>
      <c r="D462" s="14"/>
      <c r="E462" s="14"/>
      <c r="F462" s="14"/>
      <c r="G462" s="14"/>
      <c r="H462" s="14"/>
      <c r="I462" s="14"/>
      <c r="J462" s="14"/>
      <c r="K462" s="14"/>
      <c r="L462" s="14"/>
      <c r="M462" s="588"/>
      <c r="N462" s="588"/>
      <c r="O462" s="588"/>
    </row>
    <row r="463" spans="1:15">
      <c r="A463" s="575"/>
      <c r="B463" s="13"/>
      <c r="C463" s="13"/>
      <c r="D463" s="14"/>
      <c r="E463" s="14"/>
      <c r="F463" s="14"/>
      <c r="G463" s="14"/>
      <c r="H463" s="14"/>
      <c r="I463" s="14"/>
      <c r="J463" s="14"/>
      <c r="K463" s="14"/>
      <c r="L463" s="14"/>
      <c r="M463" s="588"/>
      <c r="N463" s="588"/>
      <c r="O463" s="588"/>
    </row>
    <row r="464" spans="1:15">
      <c r="A464" s="575"/>
      <c r="B464" s="13"/>
      <c r="C464" s="13"/>
      <c r="D464" s="14"/>
      <c r="E464" s="14"/>
      <c r="F464" s="14"/>
      <c r="G464" s="14"/>
      <c r="H464" s="14"/>
      <c r="I464" s="14"/>
      <c r="J464" s="14"/>
      <c r="K464" s="14"/>
      <c r="L464" s="14"/>
      <c r="M464" s="588"/>
      <c r="N464" s="588"/>
      <c r="O464" s="588"/>
    </row>
    <row r="465" spans="1:15">
      <c r="A465" s="575"/>
      <c r="B465" s="13"/>
      <c r="C465" s="13"/>
      <c r="D465" s="14"/>
      <c r="E465" s="14"/>
      <c r="F465" s="14"/>
      <c r="G465" s="14"/>
      <c r="H465" s="14"/>
      <c r="I465" s="14"/>
      <c r="J465" s="14"/>
      <c r="K465" s="14"/>
      <c r="L465" s="14"/>
      <c r="M465" s="588"/>
      <c r="N465" s="588"/>
      <c r="O465" s="588"/>
    </row>
    <row r="466" spans="1:15">
      <c r="A466" s="575"/>
      <c r="B466" s="13"/>
      <c r="C466" s="13"/>
      <c r="D466" s="14"/>
      <c r="E466" s="14"/>
      <c r="F466" s="14"/>
      <c r="G466" s="14"/>
      <c r="H466" s="14"/>
      <c r="I466" s="14"/>
      <c r="J466" s="14"/>
      <c r="K466" s="14"/>
      <c r="L466" s="14"/>
      <c r="M466" s="588"/>
      <c r="N466" s="588"/>
      <c r="O466" s="588"/>
    </row>
    <row r="467" spans="1:15">
      <c r="A467" s="575"/>
      <c r="B467" s="13"/>
      <c r="C467" s="13"/>
      <c r="D467" s="14"/>
      <c r="E467" s="14"/>
      <c r="F467" s="14"/>
      <c r="G467" s="14"/>
      <c r="H467" s="14"/>
      <c r="I467" s="14"/>
      <c r="J467" s="14"/>
      <c r="K467" s="14"/>
      <c r="L467" s="14"/>
      <c r="M467" s="588"/>
      <c r="N467" s="588"/>
      <c r="O467" s="588"/>
    </row>
    <row r="468" spans="1:15">
      <c r="A468" s="575"/>
      <c r="B468" s="13"/>
      <c r="C468" s="13"/>
      <c r="D468" s="14"/>
      <c r="E468" s="14"/>
      <c r="F468" s="14"/>
      <c r="G468" s="14"/>
      <c r="H468" s="14"/>
      <c r="I468" s="14"/>
      <c r="J468" s="14"/>
      <c r="K468" s="14"/>
      <c r="L468" s="14"/>
      <c r="M468" s="588"/>
      <c r="N468" s="588"/>
      <c r="O468" s="588"/>
    </row>
    <row r="469" spans="1:15">
      <c r="A469" s="575"/>
      <c r="B469" s="13"/>
      <c r="C469" s="13"/>
      <c r="D469" s="14"/>
      <c r="E469" s="14"/>
      <c r="F469" s="14"/>
      <c r="G469" s="14"/>
      <c r="H469" s="14"/>
      <c r="I469" s="14"/>
      <c r="J469" s="14"/>
      <c r="K469" s="14"/>
      <c r="L469" s="14"/>
      <c r="M469" s="588"/>
      <c r="N469" s="588"/>
      <c r="O469" s="588"/>
    </row>
    <row r="470" spans="1:15">
      <c r="A470" s="575"/>
      <c r="B470" s="13"/>
      <c r="C470" s="13"/>
      <c r="D470" s="14"/>
      <c r="E470" s="14"/>
      <c r="F470" s="14"/>
      <c r="G470" s="14"/>
      <c r="H470" s="14"/>
      <c r="I470" s="14"/>
      <c r="J470" s="14"/>
      <c r="K470" s="14"/>
      <c r="L470" s="14"/>
      <c r="M470" s="588"/>
      <c r="N470" s="588"/>
      <c r="O470" s="588"/>
    </row>
    <row r="471" spans="1:15">
      <c r="A471" s="575"/>
      <c r="B471" s="13"/>
      <c r="C471" s="13"/>
      <c r="D471" s="14"/>
      <c r="E471" s="14"/>
      <c r="F471" s="14"/>
      <c r="G471" s="14"/>
      <c r="H471" s="14"/>
      <c r="I471" s="14"/>
      <c r="J471" s="14"/>
      <c r="K471" s="14"/>
      <c r="L471" s="14"/>
      <c r="M471" s="588"/>
      <c r="N471" s="588"/>
      <c r="O471" s="588"/>
    </row>
    <row r="472" spans="1:15">
      <c r="A472" s="575"/>
      <c r="B472" s="13"/>
      <c r="C472" s="13"/>
      <c r="D472" s="14"/>
      <c r="E472" s="14"/>
      <c r="F472" s="14"/>
      <c r="G472" s="14"/>
      <c r="H472" s="14"/>
      <c r="I472" s="14"/>
      <c r="J472" s="14"/>
      <c r="K472" s="14"/>
      <c r="L472" s="14"/>
      <c r="M472" s="588"/>
      <c r="N472" s="588"/>
      <c r="O472" s="588"/>
    </row>
    <row r="473" spans="1:15">
      <c r="A473" s="575"/>
      <c r="B473" s="13"/>
      <c r="C473" s="13"/>
      <c r="D473" s="14"/>
      <c r="E473" s="14"/>
      <c r="F473" s="14"/>
      <c r="G473" s="14"/>
      <c r="H473" s="14"/>
      <c r="I473" s="14"/>
      <c r="J473" s="14"/>
      <c r="K473" s="14"/>
      <c r="L473" s="14"/>
      <c r="M473" s="588"/>
      <c r="N473" s="588"/>
      <c r="O473" s="588"/>
    </row>
    <row r="474" spans="1:15">
      <c r="A474" s="575"/>
      <c r="B474" s="13"/>
      <c r="C474" s="13"/>
      <c r="D474" s="14"/>
      <c r="E474" s="14"/>
      <c r="F474" s="14"/>
      <c r="G474" s="14"/>
      <c r="H474" s="14"/>
      <c r="I474" s="14"/>
      <c r="J474" s="14"/>
      <c r="K474" s="14"/>
      <c r="L474" s="14"/>
      <c r="M474" s="588"/>
      <c r="N474" s="588"/>
      <c r="O474" s="588"/>
    </row>
    <row r="475" spans="1:15">
      <c r="A475" s="575"/>
      <c r="B475" s="13"/>
      <c r="C475" s="13"/>
      <c r="D475" s="14"/>
      <c r="E475" s="14"/>
      <c r="F475" s="14"/>
      <c r="G475" s="14"/>
      <c r="H475" s="14"/>
      <c r="I475" s="14"/>
      <c r="J475" s="14"/>
      <c r="K475" s="14"/>
      <c r="L475" s="14"/>
      <c r="M475" s="588"/>
      <c r="N475" s="588"/>
      <c r="O475" s="588"/>
    </row>
    <row r="476" spans="1:15">
      <c r="A476" s="575"/>
      <c r="B476" s="13"/>
      <c r="C476" s="13"/>
      <c r="D476" s="14"/>
      <c r="E476" s="14"/>
      <c r="F476" s="14"/>
      <c r="G476" s="14"/>
      <c r="H476" s="14"/>
      <c r="I476" s="14"/>
      <c r="J476" s="14"/>
      <c r="K476" s="14"/>
      <c r="L476" s="14"/>
      <c r="M476" s="588"/>
      <c r="N476" s="588"/>
      <c r="O476" s="588"/>
    </row>
    <row r="477" spans="1:15">
      <c r="A477" s="575"/>
      <c r="B477" s="13"/>
      <c r="C477" s="13"/>
      <c r="D477" s="14"/>
      <c r="E477" s="14"/>
      <c r="F477" s="14"/>
      <c r="G477" s="14"/>
      <c r="H477" s="14"/>
      <c r="I477" s="14"/>
      <c r="J477" s="14"/>
      <c r="K477" s="14"/>
      <c r="L477" s="14"/>
      <c r="M477" s="588"/>
      <c r="N477" s="588"/>
      <c r="O477" s="588"/>
    </row>
    <row r="478" spans="1:15">
      <c r="A478" s="575"/>
      <c r="B478" s="13"/>
      <c r="C478" s="13"/>
      <c r="D478" s="14"/>
      <c r="E478" s="14"/>
      <c r="F478" s="14"/>
      <c r="G478" s="14"/>
      <c r="H478" s="14"/>
      <c r="I478" s="14"/>
      <c r="J478" s="14"/>
      <c r="K478" s="14"/>
      <c r="L478" s="14"/>
      <c r="M478" s="588"/>
      <c r="N478" s="588"/>
      <c r="O478" s="588"/>
    </row>
    <row r="479" spans="1:15">
      <c r="A479" s="575"/>
      <c r="B479" s="13"/>
      <c r="C479" s="13"/>
      <c r="D479" s="14"/>
      <c r="E479" s="14"/>
      <c r="F479" s="14"/>
      <c r="G479" s="14"/>
      <c r="H479" s="14"/>
      <c r="I479" s="14"/>
      <c r="J479" s="14"/>
      <c r="K479" s="14"/>
      <c r="L479" s="14"/>
      <c r="M479" s="588"/>
      <c r="N479" s="588"/>
      <c r="O479" s="588"/>
    </row>
    <row r="480" spans="1:15">
      <c r="A480" s="575"/>
      <c r="B480" s="13"/>
      <c r="C480" s="13"/>
      <c r="D480" s="14"/>
      <c r="E480" s="14"/>
      <c r="F480" s="14"/>
      <c r="G480" s="14"/>
      <c r="H480" s="14"/>
      <c r="I480" s="14"/>
      <c r="J480" s="14"/>
      <c r="K480" s="14"/>
      <c r="L480" s="14"/>
      <c r="M480" s="588"/>
      <c r="N480" s="588"/>
      <c r="O480" s="588"/>
    </row>
    <row r="481" spans="1:15">
      <c r="A481" s="575"/>
      <c r="B481" s="13"/>
      <c r="C481" s="13"/>
      <c r="D481" s="14"/>
      <c r="E481" s="14"/>
      <c r="F481" s="14"/>
      <c r="G481" s="14"/>
      <c r="H481" s="14"/>
      <c r="I481" s="14"/>
      <c r="J481" s="14"/>
      <c r="K481" s="14"/>
      <c r="L481" s="14"/>
      <c r="M481" s="588"/>
      <c r="N481" s="588"/>
      <c r="O481" s="588"/>
    </row>
    <row r="482" spans="1:15">
      <c r="A482" s="575"/>
      <c r="B482" s="13"/>
      <c r="C482" s="13"/>
      <c r="D482" s="14"/>
      <c r="E482" s="14"/>
      <c r="F482" s="14"/>
      <c r="G482" s="14"/>
      <c r="H482" s="14"/>
      <c r="I482" s="14"/>
      <c r="J482" s="14"/>
      <c r="K482" s="14"/>
      <c r="L482" s="14"/>
      <c r="M482" s="588"/>
      <c r="N482" s="588"/>
      <c r="O482" s="588"/>
    </row>
    <row r="483" spans="1:15">
      <c r="A483" s="575"/>
      <c r="B483" s="13"/>
      <c r="C483" s="13"/>
      <c r="D483" s="14"/>
      <c r="E483" s="14"/>
      <c r="F483" s="14"/>
      <c r="G483" s="14"/>
      <c r="H483" s="14"/>
      <c r="I483" s="14"/>
      <c r="J483" s="14"/>
      <c r="K483" s="14"/>
      <c r="L483" s="14"/>
      <c r="M483" s="588"/>
      <c r="N483" s="588"/>
      <c r="O483" s="588"/>
    </row>
    <row r="484" spans="1:15">
      <c r="A484" s="575"/>
      <c r="B484" s="13"/>
      <c r="C484" s="13"/>
      <c r="D484" s="14"/>
      <c r="E484" s="14"/>
      <c r="F484" s="14"/>
      <c r="G484" s="14"/>
      <c r="H484" s="14"/>
      <c r="I484" s="14"/>
      <c r="J484" s="14"/>
      <c r="K484" s="14"/>
      <c r="L484" s="14"/>
      <c r="M484" s="588"/>
      <c r="N484" s="588"/>
      <c r="O484" s="588"/>
    </row>
    <row r="485" spans="1:15">
      <c r="A485" s="575"/>
      <c r="B485" s="13"/>
      <c r="C485" s="13"/>
      <c r="D485" s="14"/>
      <c r="E485" s="14"/>
      <c r="F485" s="14"/>
      <c r="G485" s="14"/>
      <c r="H485" s="14"/>
      <c r="I485" s="14"/>
      <c r="J485" s="14"/>
      <c r="K485" s="14"/>
      <c r="L485" s="14"/>
      <c r="M485" s="588"/>
      <c r="N485" s="588"/>
      <c r="O485" s="588"/>
    </row>
    <row r="486" spans="1:15">
      <c r="A486" s="575"/>
      <c r="B486" s="13"/>
      <c r="C486" s="13"/>
      <c r="D486" s="14"/>
      <c r="E486" s="14"/>
      <c r="F486" s="14"/>
      <c r="G486" s="14"/>
      <c r="H486" s="14"/>
      <c r="I486" s="14"/>
      <c r="J486" s="14"/>
      <c r="K486" s="14"/>
      <c r="L486" s="14"/>
      <c r="M486" s="588"/>
      <c r="N486" s="588"/>
      <c r="O486" s="588"/>
    </row>
    <row r="487" spans="1:15">
      <c r="A487" s="575"/>
      <c r="B487" s="13"/>
      <c r="C487" s="13"/>
      <c r="D487" s="14"/>
      <c r="E487" s="14"/>
      <c r="F487" s="14"/>
      <c r="G487" s="14"/>
      <c r="H487" s="14"/>
      <c r="I487" s="14"/>
      <c r="J487" s="14"/>
      <c r="K487" s="14"/>
      <c r="L487" s="14"/>
      <c r="M487" s="588"/>
      <c r="N487" s="588"/>
      <c r="O487" s="588"/>
    </row>
    <row r="488" spans="1:15">
      <c r="A488" s="575"/>
      <c r="B488" s="13"/>
      <c r="C488" s="13"/>
      <c r="D488" s="14"/>
      <c r="E488" s="14"/>
      <c r="F488" s="14"/>
      <c r="G488" s="14"/>
      <c r="H488" s="14"/>
      <c r="I488" s="14"/>
      <c r="J488" s="14"/>
      <c r="K488" s="14"/>
      <c r="L488" s="14"/>
      <c r="M488" s="588"/>
      <c r="N488" s="588"/>
      <c r="O488" s="588"/>
    </row>
    <row r="489" spans="1:15">
      <c r="A489" s="575"/>
      <c r="B489" s="13"/>
      <c r="C489" s="13"/>
      <c r="D489" s="14"/>
      <c r="E489" s="14"/>
      <c r="F489" s="14"/>
      <c r="G489" s="14"/>
      <c r="H489" s="14"/>
      <c r="I489" s="14"/>
      <c r="J489" s="14"/>
      <c r="K489" s="14"/>
      <c r="L489" s="14"/>
      <c r="M489" s="588"/>
      <c r="N489" s="588"/>
      <c r="O489" s="588"/>
    </row>
    <row r="490" spans="1:15">
      <c r="A490" s="575"/>
      <c r="B490" s="13"/>
      <c r="C490" s="13"/>
      <c r="D490" s="14"/>
      <c r="E490" s="14"/>
      <c r="F490" s="14"/>
      <c r="G490" s="14"/>
      <c r="H490" s="14"/>
      <c r="I490" s="14"/>
      <c r="J490" s="14"/>
      <c r="K490" s="14"/>
      <c r="L490" s="14"/>
      <c r="M490" s="588"/>
      <c r="N490" s="588"/>
      <c r="O490" s="588"/>
    </row>
    <row r="491" spans="1:15">
      <c r="A491" s="575"/>
      <c r="B491" s="13"/>
      <c r="C491" s="13"/>
      <c r="D491" s="14"/>
      <c r="E491" s="14"/>
      <c r="F491" s="14"/>
      <c r="G491" s="14"/>
      <c r="H491" s="14"/>
      <c r="I491" s="14"/>
      <c r="J491" s="14"/>
      <c r="K491" s="14"/>
      <c r="L491" s="14"/>
      <c r="M491" s="588"/>
      <c r="N491" s="588"/>
      <c r="O491" s="588"/>
    </row>
    <row r="492" spans="1:15">
      <c r="A492" s="575"/>
      <c r="B492" s="13"/>
      <c r="C492" s="13"/>
      <c r="D492" s="14"/>
      <c r="E492" s="14"/>
      <c r="F492" s="14"/>
      <c r="G492" s="14"/>
      <c r="H492" s="14"/>
      <c r="I492" s="14"/>
      <c r="J492" s="14"/>
      <c r="K492" s="14"/>
      <c r="L492" s="14"/>
      <c r="M492" s="588"/>
      <c r="N492" s="588"/>
      <c r="O492" s="588"/>
    </row>
    <row r="493" spans="1:15">
      <c r="A493" s="575"/>
      <c r="B493" s="13"/>
      <c r="C493" s="13"/>
      <c r="D493" s="14"/>
      <c r="E493" s="14"/>
      <c r="F493" s="14"/>
      <c r="G493" s="14"/>
      <c r="H493" s="14"/>
      <c r="I493" s="14"/>
      <c r="J493" s="14"/>
      <c r="K493" s="14"/>
      <c r="L493" s="14"/>
      <c r="M493" s="588"/>
      <c r="N493" s="588"/>
      <c r="O493" s="588"/>
    </row>
    <row r="494" spans="1:15">
      <c r="A494" s="575"/>
      <c r="B494" s="13"/>
      <c r="C494" s="13"/>
      <c r="D494" s="14"/>
      <c r="E494" s="14"/>
      <c r="F494" s="14"/>
      <c r="G494" s="14"/>
      <c r="H494" s="14"/>
      <c r="I494" s="14"/>
      <c r="J494" s="14"/>
      <c r="K494" s="14"/>
      <c r="L494" s="14"/>
      <c r="M494" s="588"/>
      <c r="N494" s="588"/>
      <c r="O494" s="588"/>
    </row>
    <row r="495" spans="1:15">
      <c r="A495" s="575"/>
      <c r="B495" s="13"/>
      <c r="C495" s="13"/>
      <c r="D495" s="14"/>
      <c r="E495" s="14"/>
      <c r="F495" s="14"/>
      <c r="G495" s="14"/>
      <c r="H495" s="14"/>
      <c r="I495" s="14"/>
      <c r="J495" s="14"/>
      <c r="K495" s="14"/>
      <c r="L495" s="14"/>
      <c r="M495" s="588"/>
      <c r="N495" s="588"/>
      <c r="O495" s="588"/>
    </row>
    <row r="496" spans="1:15">
      <c r="A496" s="575"/>
      <c r="B496" s="13"/>
      <c r="C496" s="13"/>
      <c r="D496" s="14"/>
      <c r="E496" s="14"/>
      <c r="F496" s="14"/>
      <c r="G496" s="14"/>
      <c r="H496" s="14"/>
      <c r="I496" s="14"/>
      <c r="J496" s="14"/>
      <c r="K496" s="14"/>
      <c r="L496" s="14"/>
      <c r="M496" s="588"/>
      <c r="N496" s="588"/>
      <c r="O496" s="588"/>
    </row>
    <row r="497" spans="1:15">
      <c r="A497" s="575"/>
      <c r="B497" s="13"/>
      <c r="C497" s="13"/>
      <c r="D497" s="14"/>
      <c r="E497" s="14"/>
      <c r="F497" s="14"/>
      <c r="G497" s="14"/>
      <c r="H497" s="14"/>
      <c r="I497" s="14"/>
      <c r="J497" s="14"/>
      <c r="K497" s="14"/>
      <c r="L497" s="14"/>
      <c r="M497" s="588"/>
      <c r="N497" s="588"/>
      <c r="O497" s="588"/>
    </row>
    <row r="498" spans="1:15">
      <c r="A498" s="575"/>
      <c r="B498" s="13"/>
      <c r="C498" s="13"/>
      <c r="D498" s="14"/>
      <c r="E498" s="14"/>
      <c r="F498" s="14"/>
      <c r="G498" s="14"/>
      <c r="H498" s="14"/>
      <c r="I498" s="14"/>
      <c r="J498" s="14"/>
      <c r="K498" s="14"/>
      <c r="L498" s="14"/>
      <c r="M498" s="588"/>
      <c r="N498" s="588"/>
      <c r="O498" s="588"/>
    </row>
    <row r="499" spans="1:15">
      <c r="A499" s="575"/>
      <c r="B499" s="13"/>
      <c r="C499" s="13"/>
      <c r="D499" s="14"/>
      <c r="E499" s="14"/>
      <c r="F499" s="14"/>
      <c r="G499" s="14"/>
      <c r="H499" s="14"/>
      <c r="I499" s="14"/>
      <c r="J499" s="14"/>
      <c r="K499" s="14"/>
      <c r="L499" s="14"/>
      <c r="M499" s="588"/>
      <c r="N499" s="588"/>
      <c r="O499" s="588"/>
    </row>
    <row r="500" spans="1:15">
      <c r="A500" s="575"/>
      <c r="B500" s="13"/>
      <c r="C500" s="13"/>
      <c r="D500" s="14"/>
      <c r="E500" s="14"/>
      <c r="F500" s="14"/>
      <c r="G500" s="14"/>
      <c r="H500" s="14"/>
      <c r="I500" s="14"/>
      <c r="J500" s="14"/>
      <c r="K500" s="14"/>
      <c r="L500" s="14"/>
      <c r="M500" s="588"/>
      <c r="N500" s="588"/>
      <c r="O500" s="588"/>
    </row>
    <row r="501" spans="1:15">
      <c r="A501" s="575"/>
      <c r="B501" s="13"/>
      <c r="C501" s="13"/>
      <c r="D501" s="14"/>
      <c r="E501" s="14"/>
      <c r="F501" s="14"/>
      <c r="G501" s="14"/>
      <c r="H501" s="14"/>
      <c r="I501" s="14"/>
      <c r="J501" s="14"/>
      <c r="K501" s="14"/>
      <c r="L501" s="14"/>
      <c r="M501" s="588"/>
      <c r="N501" s="588"/>
      <c r="O501" s="588"/>
    </row>
    <row r="502" spans="1:15">
      <c r="A502" s="575"/>
      <c r="B502" s="13"/>
      <c r="C502" s="13"/>
      <c r="D502" s="14"/>
      <c r="E502" s="14"/>
      <c r="F502" s="14"/>
      <c r="G502" s="14"/>
      <c r="H502" s="14"/>
      <c r="I502" s="14"/>
      <c r="J502" s="14"/>
      <c r="K502" s="14"/>
      <c r="L502" s="14"/>
      <c r="M502" s="588"/>
      <c r="N502" s="588"/>
      <c r="O502" s="588"/>
    </row>
    <row r="503" spans="1:15">
      <c r="A503" s="575"/>
      <c r="B503" s="13"/>
      <c r="C503" s="13"/>
      <c r="D503" s="14"/>
      <c r="E503" s="14"/>
      <c r="F503" s="14"/>
      <c r="G503" s="14"/>
      <c r="H503" s="14"/>
      <c r="I503" s="14"/>
      <c r="J503" s="14"/>
      <c r="K503" s="14"/>
      <c r="L503" s="14"/>
      <c r="M503" s="588"/>
      <c r="N503" s="588"/>
      <c r="O503" s="588"/>
    </row>
    <row r="504" spans="1:15">
      <c r="A504" s="575"/>
      <c r="B504" s="13"/>
      <c r="C504" s="13"/>
      <c r="D504" s="14"/>
      <c r="E504" s="14"/>
      <c r="F504" s="14"/>
      <c r="G504" s="14"/>
      <c r="H504" s="14"/>
      <c r="I504" s="14"/>
      <c r="J504" s="14"/>
      <c r="K504" s="14"/>
      <c r="L504" s="14"/>
      <c r="M504" s="588"/>
      <c r="N504" s="588"/>
      <c r="O504" s="588"/>
    </row>
    <row r="505" spans="1:15">
      <c r="A505" s="575"/>
      <c r="B505" s="13"/>
      <c r="C505" s="13"/>
      <c r="D505" s="14"/>
      <c r="E505" s="14"/>
      <c r="F505" s="14"/>
      <c r="G505" s="14"/>
      <c r="H505" s="14"/>
      <c r="I505" s="14"/>
      <c r="J505" s="14"/>
      <c r="K505" s="14"/>
      <c r="L505" s="14"/>
      <c r="M505" s="588"/>
      <c r="N505" s="588"/>
      <c r="O505" s="588"/>
    </row>
    <row r="506" spans="1:15">
      <c r="A506" s="575"/>
      <c r="B506" s="13"/>
      <c r="C506" s="13"/>
      <c r="D506" s="14"/>
      <c r="E506" s="14"/>
      <c r="F506" s="14"/>
      <c r="G506" s="14"/>
      <c r="H506" s="14"/>
      <c r="I506" s="14"/>
      <c r="J506" s="14"/>
      <c r="K506" s="14"/>
      <c r="L506" s="14"/>
      <c r="M506" s="588"/>
      <c r="N506" s="588"/>
      <c r="O506" s="588"/>
    </row>
    <row r="507" spans="1:15">
      <c r="A507" s="575"/>
      <c r="B507" s="13"/>
      <c r="C507" s="13"/>
      <c r="D507" s="14"/>
      <c r="E507" s="14"/>
      <c r="F507" s="14"/>
      <c r="G507" s="14"/>
      <c r="H507" s="14"/>
      <c r="I507" s="14"/>
      <c r="J507" s="14"/>
      <c r="K507" s="14"/>
      <c r="L507" s="14"/>
      <c r="M507" s="588"/>
      <c r="N507" s="588"/>
      <c r="O507" s="588"/>
    </row>
    <row r="508" spans="1:15">
      <c r="A508" s="575"/>
      <c r="B508" s="13"/>
      <c r="C508" s="13"/>
      <c r="D508" s="14"/>
      <c r="E508" s="14"/>
      <c r="F508" s="14"/>
      <c r="G508" s="14"/>
      <c r="H508" s="14"/>
      <c r="I508" s="14"/>
      <c r="J508" s="14"/>
      <c r="K508" s="14"/>
      <c r="L508" s="14"/>
      <c r="M508" s="588"/>
      <c r="N508" s="588"/>
      <c r="O508" s="588"/>
    </row>
    <row r="509" spans="1:15">
      <c r="A509" s="575"/>
      <c r="B509" s="13"/>
      <c r="C509" s="13"/>
      <c r="D509" s="14"/>
      <c r="E509" s="14"/>
      <c r="F509" s="14"/>
      <c r="G509" s="14"/>
      <c r="H509" s="14"/>
      <c r="I509" s="14"/>
      <c r="J509" s="14"/>
      <c r="K509" s="14"/>
      <c r="L509" s="14"/>
      <c r="M509" s="588"/>
      <c r="N509" s="588"/>
      <c r="O509" s="588"/>
    </row>
    <row r="510" spans="1:15">
      <c r="A510" s="575"/>
      <c r="B510" s="13"/>
      <c r="C510" s="13"/>
      <c r="D510" s="14"/>
      <c r="E510" s="14"/>
      <c r="F510" s="14"/>
      <c r="G510" s="14"/>
      <c r="H510" s="14"/>
      <c r="I510" s="14"/>
      <c r="J510" s="14"/>
      <c r="K510" s="14"/>
      <c r="L510" s="14"/>
      <c r="M510" s="588"/>
      <c r="N510" s="588"/>
      <c r="O510" s="588"/>
    </row>
    <row r="511" spans="1:15">
      <c r="A511" s="575"/>
      <c r="B511" s="13"/>
      <c r="C511" s="13"/>
      <c r="D511" s="14"/>
      <c r="E511" s="14"/>
      <c r="F511" s="14"/>
      <c r="G511" s="14"/>
      <c r="H511" s="14"/>
      <c r="I511" s="14"/>
      <c r="J511" s="14"/>
      <c r="K511" s="14"/>
      <c r="L511" s="14"/>
      <c r="M511" s="588"/>
      <c r="N511" s="588"/>
      <c r="O511" s="588"/>
    </row>
    <row r="512" spans="1:15">
      <c r="A512" s="575"/>
      <c r="B512" s="13"/>
      <c r="C512" s="13"/>
      <c r="D512" s="14"/>
      <c r="E512" s="14"/>
      <c r="F512" s="14"/>
      <c r="G512" s="14"/>
      <c r="H512" s="14"/>
      <c r="I512" s="14"/>
      <c r="J512" s="14"/>
      <c r="K512" s="14"/>
      <c r="L512" s="14"/>
      <c r="M512" s="588"/>
      <c r="N512" s="588"/>
      <c r="O512" s="588"/>
    </row>
    <row r="513" spans="1:15">
      <c r="A513" s="575"/>
      <c r="B513" s="13"/>
      <c r="C513" s="13"/>
      <c r="D513" s="14"/>
      <c r="E513" s="14"/>
      <c r="F513" s="14"/>
      <c r="G513" s="14"/>
      <c r="H513" s="14"/>
      <c r="I513" s="14"/>
      <c r="J513" s="14"/>
      <c r="K513" s="14"/>
      <c r="L513" s="14"/>
      <c r="M513" s="588"/>
      <c r="N513" s="588"/>
      <c r="O513" s="588"/>
    </row>
    <row r="514" spans="1:15">
      <c r="A514" s="575"/>
      <c r="B514" s="13"/>
      <c r="C514" s="13"/>
      <c r="D514" s="14"/>
      <c r="E514" s="14"/>
      <c r="F514" s="14"/>
      <c r="G514" s="14"/>
      <c r="H514" s="14"/>
      <c r="I514" s="14"/>
      <c r="J514" s="14"/>
      <c r="K514" s="14"/>
      <c r="L514" s="14"/>
      <c r="M514" s="588"/>
      <c r="N514" s="588"/>
      <c r="O514" s="588"/>
    </row>
    <row r="515" spans="1:15">
      <c r="A515" s="575"/>
      <c r="B515" s="13"/>
      <c r="C515" s="13"/>
      <c r="D515" s="14"/>
      <c r="E515" s="14"/>
      <c r="F515" s="14"/>
      <c r="G515" s="14"/>
      <c r="H515" s="14"/>
      <c r="I515" s="14"/>
      <c r="J515" s="14"/>
      <c r="K515" s="14"/>
      <c r="L515" s="14"/>
      <c r="M515" s="588"/>
      <c r="N515" s="588"/>
      <c r="O515" s="588"/>
    </row>
    <row r="516" spans="1:15">
      <c r="A516" s="575"/>
      <c r="B516" s="13"/>
      <c r="C516" s="13"/>
      <c r="D516" s="14"/>
      <c r="E516" s="14"/>
      <c r="F516" s="14"/>
      <c r="G516" s="14"/>
      <c r="H516" s="14"/>
      <c r="I516" s="14"/>
      <c r="J516" s="14"/>
      <c r="K516" s="14"/>
      <c r="L516" s="14"/>
      <c r="M516" s="588"/>
      <c r="N516" s="588"/>
      <c r="O516" s="588"/>
    </row>
    <row r="517" spans="1:15">
      <c r="A517" s="575"/>
      <c r="B517" s="13"/>
      <c r="C517" s="13"/>
      <c r="D517" s="14"/>
      <c r="E517" s="14"/>
      <c r="F517" s="14"/>
      <c r="G517" s="14"/>
      <c r="H517" s="14"/>
      <c r="I517" s="14"/>
      <c r="J517" s="14"/>
      <c r="K517" s="14"/>
      <c r="L517" s="14"/>
      <c r="M517" s="588"/>
      <c r="N517" s="588"/>
      <c r="O517" s="588"/>
    </row>
    <row r="518" spans="1:15">
      <c r="A518" s="575"/>
      <c r="B518" s="13"/>
      <c r="C518" s="13"/>
      <c r="D518" s="14"/>
      <c r="E518" s="14"/>
      <c r="F518" s="14"/>
      <c r="G518" s="14"/>
      <c r="H518" s="14"/>
      <c r="I518" s="14"/>
      <c r="J518" s="14"/>
      <c r="K518" s="14"/>
      <c r="L518" s="14"/>
      <c r="M518" s="588"/>
      <c r="N518" s="588"/>
      <c r="O518" s="588"/>
    </row>
    <row r="519" spans="1:15">
      <c r="A519" s="575"/>
      <c r="B519" s="13"/>
      <c r="C519" s="13"/>
      <c r="D519" s="14"/>
      <c r="E519" s="14"/>
      <c r="F519" s="14"/>
      <c r="G519" s="14"/>
      <c r="H519" s="14"/>
      <c r="I519" s="14"/>
      <c r="J519" s="14"/>
      <c r="K519" s="14"/>
      <c r="L519" s="14"/>
      <c r="M519" s="588"/>
      <c r="N519" s="588"/>
      <c r="O519" s="588"/>
    </row>
    <row r="520" spans="1:15">
      <c r="A520" s="575"/>
      <c r="B520" s="13"/>
      <c r="C520" s="13"/>
      <c r="D520" s="14"/>
      <c r="E520" s="14"/>
      <c r="F520" s="14"/>
      <c r="G520" s="14"/>
      <c r="H520" s="14"/>
      <c r="I520" s="14"/>
      <c r="J520" s="14"/>
      <c r="K520" s="14"/>
      <c r="L520" s="14"/>
      <c r="M520" s="588"/>
      <c r="N520" s="588"/>
      <c r="O520" s="588"/>
    </row>
    <row r="521" spans="1:15">
      <c r="A521" s="575"/>
      <c r="B521" s="13"/>
      <c r="C521" s="13"/>
      <c r="D521" s="14"/>
      <c r="E521" s="14"/>
      <c r="F521" s="14"/>
      <c r="G521" s="14"/>
      <c r="H521" s="14"/>
      <c r="I521" s="14"/>
      <c r="J521" s="14"/>
      <c r="K521" s="14"/>
      <c r="L521" s="14"/>
      <c r="M521" s="588"/>
      <c r="N521" s="588"/>
      <c r="O521" s="588"/>
    </row>
    <row r="522" spans="1:15">
      <c r="A522" s="575"/>
      <c r="B522" s="13"/>
      <c r="C522" s="13"/>
      <c r="D522" s="14"/>
      <c r="E522" s="14"/>
      <c r="F522" s="14"/>
      <c r="G522" s="14"/>
      <c r="H522" s="14"/>
      <c r="I522" s="14"/>
      <c r="J522" s="14"/>
      <c r="K522" s="14"/>
      <c r="L522" s="14"/>
      <c r="M522" s="588"/>
      <c r="N522" s="588"/>
      <c r="O522" s="588"/>
    </row>
    <row r="523" spans="1:15">
      <c r="A523" s="575"/>
      <c r="B523" s="13"/>
      <c r="C523" s="13"/>
      <c r="D523" s="14"/>
      <c r="E523" s="14"/>
      <c r="F523" s="14"/>
      <c r="G523" s="14"/>
      <c r="H523" s="14"/>
      <c r="I523" s="14"/>
      <c r="J523" s="14"/>
      <c r="K523" s="14"/>
      <c r="L523" s="14"/>
      <c r="M523" s="588"/>
      <c r="N523" s="588"/>
      <c r="O523" s="588"/>
    </row>
    <row r="524" spans="1:15">
      <c r="A524" s="575"/>
      <c r="B524" s="13"/>
      <c r="C524" s="13"/>
      <c r="D524" s="14"/>
      <c r="E524" s="14"/>
      <c r="F524" s="14"/>
      <c r="G524" s="14"/>
      <c r="H524" s="14"/>
      <c r="I524" s="14"/>
      <c r="J524" s="14"/>
      <c r="K524" s="14"/>
      <c r="L524" s="14"/>
      <c r="M524" s="588"/>
      <c r="N524" s="588"/>
      <c r="O524" s="588"/>
    </row>
    <row r="525" spans="1:15">
      <c r="A525" s="575"/>
      <c r="B525" s="13"/>
      <c r="C525" s="13"/>
      <c r="D525" s="14"/>
      <c r="E525" s="14"/>
      <c r="F525" s="14"/>
      <c r="G525" s="14"/>
      <c r="H525" s="14"/>
      <c r="I525" s="14"/>
      <c r="J525" s="14"/>
      <c r="K525" s="14"/>
      <c r="L525" s="14"/>
      <c r="M525" s="588"/>
      <c r="N525" s="588"/>
      <c r="O525" s="588"/>
    </row>
    <row r="526" spans="1:15">
      <c r="A526" s="575"/>
      <c r="B526" s="13"/>
      <c r="C526" s="13"/>
      <c r="D526" s="14"/>
      <c r="E526" s="14"/>
      <c r="F526" s="14"/>
      <c r="G526" s="14"/>
      <c r="H526" s="14"/>
      <c r="I526" s="14"/>
      <c r="J526" s="14"/>
      <c r="K526" s="14"/>
      <c r="L526" s="14"/>
      <c r="M526" s="588"/>
      <c r="N526" s="588"/>
      <c r="O526" s="588"/>
    </row>
    <row r="527" spans="1:15">
      <c r="A527" s="575"/>
      <c r="B527" s="13"/>
      <c r="C527" s="13"/>
      <c r="D527" s="14"/>
      <c r="E527" s="14"/>
      <c r="F527" s="14"/>
      <c r="G527" s="14"/>
      <c r="H527" s="14"/>
      <c r="I527" s="14"/>
      <c r="J527" s="14"/>
      <c r="K527" s="14"/>
      <c r="L527" s="14"/>
      <c r="M527" s="588"/>
      <c r="N527" s="588"/>
      <c r="O527" s="588"/>
    </row>
    <row r="528" spans="1:15">
      <c r="A528" s="575"/>
      <c r="B528" s="13"/>
      <c r="C528" s="13"/>
      <c r="D528" s="14"/>
      <c r="E528" s="14"/>
      <c r="F528" s="14"/>
      <c r="G528" s="14"/>
      <c r="H528" s="14"/>
      <c r="I528" s="14"/>
      <c r="J528" s="14"/>
      <c r="K528" s="14"/>
      <c r="L528" s="14"/>
      <c r="M528" s="588"/>
      <c r="N528" s="588"/>
      <c r="O528" s="588"/>
    </row>
    <row r="529" spans="1:15">
      <c r="A529" s="575"/>
      <c r="B529" s="13"/>
      <c r="C529" s="13"/>
      <c r="D529" s="14"/>
      <c r="E529" s="14"/>
      <c r="F529" s="14"/>
      <c r="G529" s="14"/>
      <c r="H529" s="14"/>
      <c r="I529" s="14"/>
      <c r="J529" s="14"/>
      <c r="K529" s="14"/>
      <c r="L529" s="14"/>
      <c r="M529" s="588"/>
      <c r="N529" s="588"/>
      <c r="O529" s="588"/>
    </row>
    <row r="530" spans="1:15">
      <c r="A530" s="575"/>
      <c r="B530" s="13"/>
      <c r="C530" s="13"/>
      <c r="D530" s="14"/>
      <c r="E530" s="14"/>
      <c r="F530" s="14"/>
      <c r="G530" s="14"/>
      <c r="H530" s="14"/>
      <c r="I530" s="14"/>
      <c r="J530" s="14"/>
      <c r="K530" s="14"/>
      <c r="L530" s="14"/>
      <c r="M530" s="588"/>
      <c r="N530" s="588"/>
      <c r="O530" s="588"/>
    </row>
    <row r="531" spans="1:15">
      <c r="A531" s="575"/>
      <c r="B531" s="13"/>
      <c r="C531" s="13"/>
      <c r="D531" s="14"/>
      <c r="E531" s="14"/>
      <c r="F531" s="14"/>
      <c r="G531" s="14"/>
      <c r="H531" s="14"/>
      <c r="I531" s="14"/>
      <c r="J531" s="14"/>
      <c r="K531" s="14"/>
      <c r="L531" s="14"/>
      <c r="M531" s="588"/>
      <c r="N531" s="588"/>
      <c r="O531" s="588"/>
    </row>
    <row r="532" spans="1:15">
      <c r="A532" s="575"/>
      <c r="B532" s="13"/>
      <c r="C532" s="13"/>
      <c r="D532" s="14"/>
      <c r="E532" s="14"/>
      <c r="F532" s="14"/>
      <c r="G532" s="14"/>
      <c r="H532" s="14"/>
      <c r="I532" s="14"/>
      <c r="J532" s="14"/>
      <c r="K532" s="14"/>
      <c r="L532" s="14"/>
      <c r="M532" s="588"/>
      <c r="N532" s="588"/>
      <c r="O532" s="588"/>
    </row>
    <row r="533" spans="1:15">
      <c r="A533" s="575"/>
      <c r="B533" s="13"/>
      <c r="C533" s="13"/>
      <c r="D533" s="14"/>
      <c r="E533" s="14"/>
      <c r="F533" s="14"/>
      <c r="G533" s="14"/>
      <c r="H533" s="14"/>
      <c r="I533" s="14"/>
      <c r="J533" s="14"/>
      <c r="K533" s="14"/>
      <c r="L533" s="14"/>
      <c r="M533" s="588"/>
      <c r="N533" s="588"/>
      <c r="O533" s="588"/>
    </row>
    <row r="534" spans="1:15">
      <c r="A534" s="575"/>
      <c r="B534" s="13"/>
      <c r="C534" s="13"/>
      <c r="D534" s="14"/>
      <c r="E534" s="14"/>
      <c r="F534" s="14"/>
      <c r="G534" s="14"/>
      <c r="H534" s="14"/>
      <c r="I534" s="14"/>
      <c r="J534" s="14"/>
      <c r="K534" s="14"/>
      <c r="L534" s="14"/>
      <c r="M534" s="588"/>
      <c r="N534" s="588"/>
      <c r="O534" s="588"/>
    </row>
    <row r="535" spans="1:15">
      <c r="A535" s="575"/>
      <c r="B535" s="13"/>
      <c r="C535" s="13"/>
      <c r="D535" s="14"/>
      <c r="E535" s="14"/>
      <c r="F535" s="14"/>
      <c r="G535" s="14"/>
      <c r="H535" s="14"/>
      <c r="I535" s="14"/>
      <c r="J535" s="14"/>
      <c r="K535" s="14"/>
      <c r="L535" s="14"/>
      <c r="M535" s="588"/>
      <c r="N535" s="588"/>
      <c r="O535" s="588"/>
    </row>
    <row r="536" spans="1:15">
      <c r="A536" s="575"/>
      <c r="B536" s="13"/>
      <c r="C536" s="13"/>
      <c r="D536" s="14"/>
      <c r="E536" s="14"/>
      <c r="F536" s="14"/>
      <c r="G536" s="14"/>
      <c r="H536" s="14"/>
      <c r="I536" s="14"/>
      <c r="J536" s="14"/>
      <c r="K536" s="14"/>
      <c r="L536" s="14"/>
      <c r="M536" s="588"/>
      <c r="N536" s="588"/>
      <c r="O536" s="588"/>
    </row>
    <row r="537" spans="1:15">
      <c r="A537" s="575"/>
      <c r="B537" s="13"/>
      <c r="C537" s="13"/>
      <c r="D537" s="14"/>
      <c r="E537" s="14"/>
      <c r="F537" s="14"/>
      <c r="G537" s="14"/>
      <c r="H537" s="14"/>
      <c r="I537" s="14"/>
      <c r="J537" s="14"/>
      <c r="K537" s="14"/>
      <c r="L537" s="14"/>
      <c r="M537" s="588"/>
      <c r="N537" s="588"/>
      <c r="O537" s="588"/>
    </row>
    <row r="538" spans="1:15">
      <c r="A538" s="575"/>
      <c r="B538" s="13"/>
      <c r="C538" s="13"/>
      <c r="D538" s="14"/>
      <c r="E538" s="14"/>
      <c r="F538" s="14"/>
      <c r="G538" s="14"/>
      <c r="H538" s="14"/>
      <c r="I538" s="14"/>
      <c r="J538" s="14"/>
      <c r="K538" s="14"/>
      <c r="L538" s="14"/>
      <c r="M538" s="588"/>
      <c r="N538" s="588"/>
      <c r="O538" s="588"/>
    </row>
    <row r="539" spans="1:15">
      <c r="A539" s="575"/>
      <c r="B539" s="13"/>
      <c r="C539" s="13"/>
      <c r="D539" s="14"/>
      <c r="E539" s="14"/>
      <c r="F539" s="14"/>
      <c r="G539" s="14"/>
      <c r="H539" s="14"/>
      <c r="I539" s="14"/>
      <c r="J539" s="14"/>
      <c r="K539" s="14"/>
      <c r="L539" s="14"/>
      <c r="M539" s="588"/>
      <c r="N539" s="588"/>
      <c r="O539" s="588"/>
    </row>
    <row r="540" spans="1:15">
      <c r="A540" s="575"/>
      <c r="B540" s="13"/>
      <c r="C540" s="13"/>
      <c r="D540" s="14"/>
      <c r="E540" s="14"/>
      <c r="F540" s="14"/>
      <c r="G540" s="14"/>
      <c r="H540" s="14"/>
      <c r="I540" s="14"/>
      <c r="J540" s="14"/>
      <c r="K540" s="14"/>
      <c r="L540" s="14"/>
      <c r="M540" s="588"/>
      <c r="N540" s="588"/>
      <c r="O540" s="588"/>
    </row>
    <row r="541" spans="1:15">
      <c r="A541" s="575"/>
      <c r="B541" s="13"/>
      <c r="C541" s="13"/>
      <c r="D541" s="14"/>
      <c r="E541" s="14"/>
      <c r="F541" s="14"/>
      <c r="G541" s="14"/>
      <c r="H541" s="14"/>
      <c r="I541" s="14"/>
      <c r="J541" s="14"/>
      <c r="K541" s="14"/>
      <c r="L541" s="14"/>
      <c r="M541" s="588"/>
      <c r="N541" s="588"/>
      <c r="O541" s="588"/>
    </row>
    <row r="542" spans="1:15">
      <c r="A542" s="575"/>
      <c r="B542" s="13"/>
      <c r="C542" s="13"/>
      <c r="D542" s="14"/>
      <c r="E542" s="14"/>
      <c r="F542" s="14"/>
      <c r="G542" s="14"/>
      <c r="H542" s="14"/>
      <c r="I542" s="14"/>
      <c r="J542" s="14"/>
      <c r="K542" s="14"/>
      <c r="L542" s="14"/>
      <c r="M542" s="588"/>
      <c r="N542" s="588"/>
      <c r="O542" s="588"/>
    </row>
    <row r="543" spans="1:15">
      <c r="A543" s="575"/>
      <c r="B543" s="13"/>
      <c r="C543" s="13"/>
      <c r="D543" s="14"/>
      <c r="E543" s="14"/>
      <c r="F543" s="14"/>
      <c r="G543" s="14"/>
      <c r="H543" s="14"/>
      <c r="I543" s="14"/>
      <c r="J543" s="14"/>
      <c r="K543" s="14"/>
      <c r="L543" s="14"/>
      <c r="M543" s="588"/>
      <c r="N543" s="588"/>
      <c r="O543" s="588"/>
    </row>
    <row r="544" spans="1:15">
      <c r="A544" s="575"/>
      <c r="B544" s="13"/>
      <c r="C544" s="13"/>
      <c r="D544" s="14"/>
      <c r="E544" s="14"/>
      <c r="F544" s="14"/>
      <c r="G544" s="14"/>
      <c r="H544" s="14"/>
      <c r="I544" s="14"/>
      <c r="J544" s="14"/>
      <c r="K544" s="14"/>
      <c r="L544" s="14"/>
      <c r="M544" s="588"/>
      <c r="N544" s="588"/>
      <c r="O544" s="588"/>
    </row>
    <row r="545" spans="1:15">
      <c r="A545" s="575"/>
      <c r="B545" s="13"/>
      <c r="C545" s="13"/>
      <c r="D545" s="14"/>
      <c r="E545" s="14"/>
      <c r="F545" s="14"/>
      <c r="G545" s="14"/>
      <c r="H545" s="14"/>
      <c r="I545" s="14"/>
      <c r="J545" s="14"/>
      <c r="K545" s="14"/>
      <c r="L545" s="14"/>
      <c r="M545" s="588"/>
      <c r="N545" s="588"/>
      <c r="O545" s="588"/>
    </row>
    <row r="546" spans="1:15">
      <c r="A546" s="575"/>
      <c r="B546" s="13"/>
      <c r="C546" s="13"/>
      <c r="D546" s="14"/>
      <c r="E546" s="14"/>
      <c r="F546" s="14"/>
      <c r="G546" s="14"/>
      <c r="H546" s="14"/>
      <c r="I546" s="14"/>
      <c r="J546" s="14"/>
      <c r="K546" s="14"/>
      <c r="L546" s="14"/>
      <c r="M546" s="588"/>
      <c r="N546" s="588"/>
      <c r="O546" s="588"/>
    </row>
    <row r="547" spans="1:15">
      <c r="A547" s="575"/>
      <c r="B547" s="13"/>
      <c r="C547" s="13"/>
      <c r="D547" s="14"/>
      <c r="E547" s="14"/>
      <c r="F547" s="14"/>
      <c r="G547" s="14"/>
      <c r="H547" s="14"/>
      <c r="I547" s="14"/>
      <c r="J547" s="14"/>
      <c r="K547" s="14"/>
      <c r="L547" s="14"/>
      <c r="M547" s="588"/>
      <c r="N547" s="588"/>
      <c r="O547" s="588"/>
    </row>
    <row r="548" spans="1:15">
      <c r="A548" s="575"/>
      <c r="B548" s="13"/>
      <c r="C548" s="13"/>
      <c r="D548" s="14"/>
      <c r="E548" s="14"/>
      <c r="F548" s="14"/>
      <c r="G548" s="14"/>
      <c r="H548" s="14"/>
      <c r="I548" s="14"/>
      <c r="J548" s="14"/>
      <c r="K548" s="14"/>
      <c r="L548" s="14"/>
      <c r="M548" s="588"/>
      <c r="N548" s="588"/>
      <c r="O548" s="588"/>
    </row>
    <row r="549" spans="1:15">
      <c r="A549" s="575"/>
      <c r="B549" s="13"/>
      <c r="C549" s="13"/>
      <c r="D549" s="14"/>
      <c r="E549" s="14"/>
      <c r="F549" s="14"/>
      <c r="G549" s="14"/>
      <c r="H549" s="14"/>
      <c r="I549" s="14"/>
      <c r="J549" s="14"/>
      <c r="K549" s="14"/>
      <c r="L549" s="14"/>
      <c r="M549" s="588"/>
      <c r="N549" s="588"/>
      <c r="O549" s="588"/>
    </row>
    <row r="550" spans="1:15">
      <c r="A550" s="575"/>
      <c r="B550" s="13"/>
      <c r="C550" s="13"/>
      <c r="D550" s="14"/>
      <c r="E550" s="14"/>
      <c r="F550" s="14"/>
      <c r="G550" s="14"/>
      <c r="H550" s="14"/>
      <c r="I550" s="14"/>
      <c r="J550" s="14"/>
      <c r="K550" s="14"/>
      <c r="L550" s="14"/>
      <c r="M550" s="588"/>
      <c r="N550" s="588"/>
      <c r="O550" s="588"/>
    </row>
    <row r="551" spans="1:15">
      <c r="A551" s="575"/>
      <c r="B551" s="13"/>
      <c r="C551" s="13"/>
      <c r="D551" s="14"/>
      <c r="E551" s="14"/>
      <c r="F551" s="14"/>
      <c r="G551" s="14"/>
      <c r="H551" s="14"/>
      <c r="I551" s="14"/>
      <c r="J551" s="14"/>
      <c r="K551" s="14"/>
      <c r="L551" s="14"/>
      <c r="M551" s="588"/>
      <c r="N551" s="588"/>
      <c r="O551" s="588"/>
    </row>
    <row r="552" spans="1:15">
      <c r="A552" s="575"/>
      <c r="B552" s="13"/>
      <c r="C552" s="13"/>
      <c r="D552" s="14"/>
      <c r="E552" s="14"/>
      <c r="F552" s="14"/>
      <c r="G552" s="14"/>
      <c r="H552" s="14"/>
      <c r="I552" s="14"/>
      <c r="J552" s="14"/>
      <c r="K552" s="14"/>
      <c r="L552" s="14"/>
      <c r="M552" s="588"/>
      <c r="N552" s="588"/>
      <c r="O552" s="588"/>
    </row>
    <row r="553" spans="1:15">
      <c r="A553" s="575"/>
      <c r="B553" s="13"/>
      <c r="C553" s="13"/>
      <c r="D553" s="14"/>
      <c r="E553" s="14"/>
      <c r="F553" s="14"/>
      <c r="G553" s="14"/>
      <c r="H553" s="14"/>
      <c r="I553" s="14"/>
      <c r="J553" s="14"/>
      <c r="K553" s="14"/>
      <c r="L553" s="14"/>
      <c r="M553" s="588"/>
      <c r="N553" s="588"/>
      <c r="O553" s="588"/>
    </row>
    <row r="554" spans="1:15">
      <c r="A554" s="575"/>
      <c r="B554" s="13"/>
      <c r="C554" s="13"/>
      <c r="D554" s="14"/>
      <c r="E554" s="14"/>
      <c r="F554" s="14"/>
      <c r="G554" s="14"/>
      <c r="H554" s="14"/>
      <c r="I554" s="14"/>
      <c r="J554" s="14"/>
      <c r="K554" s="14"/>
      <c r="L554" s="14"/>
      <c r="M554" s="588"/>
      <c r="N554" s="588"/>
      <c r="O554" s="588"/>
    </row>
    <row r="555" spans="1:15">
      <c r="A555" s="575"/>
      <c r="B555" s="13"/>
      <c r="C555" s="13"/>
      <c r="D555" s="14"/>
      <c r="E555" s="14"/>
      <c r="F555" s="14"/>
      <c r="G555" s="14"/>
      <c r="H555" s="14"/>
      <c r="I555" s="14"/>
      <c r="J555" s="14"/>
      <c r="K555" s="14"/>
      <c r="L555" s="14"/>
      <c r="M555" s="588"/>
      <c r="N555" s="588"/>
      <c r="O555" s="588"/>
    </row>
    <row r="556" spans="1:15">
      <c r="A556" s="575"/>
      <c r="B556" s="13"/>
      <c r="C556" s="13"/>
      <c r="D556" s="14"/>
      <c r="E556" s="14"/>
      <c r="F556" s="14"/>
      <c r="G556" s="14"/>
      <c r="H556" s="14"/>
      <c r="I556" s="14"/>
      <c r="J556" s="14"/>
      <c r="K556" s="14"/>
      <c r="L556" s="14"/>
      <c r="M556" s="588"/>
      <c r="N556" s="588"/>
      <c r="O556" s="588"/>
    </row>
    <row r="557" spans="1:15">
      <c r="A557" s="575"/>
      <c r="B557" s="13"/>
      <c r="C557" s="13"/>
      <c r="D557" s="14"/>
      <c r="E557" s="14"/>
      <c r="F557" s="14"/>
      <c r="G557" s="14"/>
      <c r="H557" s="14"/>
      <c r="I557" s="14"/>
      <c r="J557" s="14"/>
      <c r="K557" s="14"/>
      <c r="L557" s="14"/>
      <c r="M557" s="588"/>
      <c r="N557" s="588"/>
      <c r="O557" s="588"/>
    </row>
    <row r="558" spans="1:15">
      <c r="A558" s="575"/>
      <c r="B558" s="13"/>
      <c r="C558" s="13"/>
      <c r="D558" s="14"/>
      <c r="E558" s="14"/>
      <c r="F558" s="14"/>
      <c r="G558" s="14"/>
      <c r="H558" s="14"/>
      <c r="I558" s="14"/>
      <c r="J558" s="14"/>
      <c r="K558" s="14"/>
      <c r="L558" s="14"/>
      <c r="M558" s="588"/>
      <c r="N558" s="588"/>
      <c r="O558" s="588"/>
    </row>
    <row r="559" spans="1:15">
      <c r="A559" s="575"/>
      <c r="B559" s="13"/>
      <c r="C559" s="13"/>
      <c r="D559" s="14"/>
      <c r="E559" s="14"/>
      <c r="F559" s="14"/>
      <c r="G559" s="14"/>
      <c r="H559" s="14"/>
      <c r="I559" s="14"/>
      <c r="J559" s="14"/>
      <c r="K559" s="14"/>
      <c r="L559" s="14"/>
      <c r="M559" s="588"/>
      <c r="N559" s="588"/>
      <c r="O559" s="588"/>
    </row>
    <row r="560" spans="1:15">
      <c r="A560" s="575"/>
      <c r="B560" s="13"/>
      <c r="C560" s="13"/>
      <c r="D560" s="14"/>
      <c r="E560" s="14"/>
      <c r="F560" s="14"/>
      <c r="G560" s="14"/>
      <c r="H560" s="14"/>
      <c r="I560" s="14"/>
      <c r="J560" s="14"/>
      <c r="K560" s="14"/>
      <c r="L560" s="14"/>
      <c r="M560" s="588"/>
      <c r="N560" s="588"/>
      <c r="O560" s="588"/>
    </row>
    <row r="561" spans="1:15">
      <c r="A561" s="575"/>
      <c r="B561" s="13"/>
      <c r="C561" s="13"/>
      <c r="D561" s="14"/>
      <c r="E561" s="14"/>
      <c r="F561" s="14"/>
      <c r="G561" s="14"/>
      <c r="H561" s="14"/>
      <c r="I561" s="14"/>
      <c r="J561" s="14"/>
      <c r="K561" s="14"/>
      <c r="L561" s="14"/>
      <c r="M561" s="588"/>
      <c r="N561" s="588"/>
      <c r="O561" s="588"/>
    </row>
    <row r="562" spans="1:15">
      <c r="A562" s="575"/>
      <c r="B562" s="13"/>
      <c r="C562" s="13"/>
      <c r="D562" s="14"/>
      <c r="E562" s="14"/>
      <c r="F562" s="14"/>
      <c r="G562" s="14"/>
      <c r="H562" s="14"/>
      <c r="I562" s="14"/>
      <c r="J562" s="14"/>
      <c r="K562" s="14"/>
      <c r="L562" s="14"/>
      <c r="M562" s="588"/>
      <c r="N562" s="588"/>
      <c r="O562" s="588"/>
    </row>
    <row r="563" spans="1:15">
      <c r="A563" s="575"/>
      <c r="B563" s="13"/>
      <c r="C563" s="13"/>
      <c r="D563" s="14"/>
      <c r="E563" s="14"/>
      <c r="F563" s="14"/>
      <c r="G563" s="14"/>
      <c r="H563" s="14"/>
      <c r="I563" s="14"/>
      <c r="J563" s="14"/>
      <c r="K563" s="14"/>
      <c r="L563" s="14"/>
      <c r="M563" s="588"/>
      <c r="N563" s="588"/>
      <c r="O563" s="588"/>
    </row>
    <row r="564" spans="1:15">
      <c r="A564" s="575"/>
      <c r="B564" s="13"/>
      <c r="C564" s="13"/>
      <c r="D564" s="14"/>
      <c r="E564" s="14"/>
      <c r="F564" s="14"/>
      <c r="G564" s="14"/>
      <c r="H564" s="14"/>
      <c r="I564" s="14"/>
      <c r="J564" s="14"/>
      <c r="K564" s="14"/>
      <c r="L564" s="14"/>
      <c r="M564" s="588"/>
      <c r="N564" s="588"/>
      <c r="O564" s="588"/>
    </row>
    <row r="565" spans="1:15">
      <c r="A565" s="575"/>
      <c r="B565" s="13"/>
      <c r="C565" s="13"/>
      <c r="D565" s="14"/>
      <c r="E565" s="14"/>
      <c r="F565" s="14"/>
      <c r="G565" s="14"/>
      <c r="H565" s="14"/>
      <c r="I565" s="14"/>
      <c r="J565" s="14"/>
      <c r="K565" s="14"/>
      <c r="L565" s="14"/>
      <c r="M565" s="588"/>
      <c r="N565" s="588"/>
      <c r="O565" s="588"/>
    </row>
    <row r="566" spans="1:15">
      <c r="A566" s="575"/>
      <c r="B566" s="13"/>
      <c r="C566" s="13"/>
      <c r="D566" s="14"/>
      <c r="E566" s="14"/>
      <c r="F566" s="14"/>
      <c r="G566" s="14"/>
      <c r="H566" s="14"/>
      <c r="I566" s="14"/>
      <c r="J566" s="14"/>
      <c r="K566" s="14"/>
      <c r="L566" s="14"/>
      <c r="M566" s="588"/>
      <c r="N566" s="588"/>
      <c r="O566" s="588"/>
    </row>
    <row r="567" spans="1:15">
      <c r="A567" s="575"/>
      <c r="B567" s="13"/>
      <c r="C567" s="13"/>
      <c r="D567" s="14"/>
      <c r="E567" s="14"/>
      <c r="F567" s="14"/>
      <c r="G567" s="14"/>
      <c r="H567" s="14"/>
      <c r="I567" s="14"/>
      <c r="J567" s="14"/>
      <c r="K567" s="14"/>
      <c r="L567" s="14"/>
      <c r="M567" s="588"/>
      <c r="N567" s="588"/>
      <c r="O567" s="588"/>
    </row>
    <row r="568" spans="1:15">
      <c r="A568" s="575"/>
      <c r="B568" s="13"/>
      <c r="C568" s="13"/>
      <c r="D568" s="14"/>
      <c r="E568" s="14"/>
      <c r="F568" s="14"/>
      <c r="G568" s="14"/>
      <c r="H568" s="14"/>
      <c r="I568" s="14"/>
      <c r="J568" s="14"/>
      <c r="K568" s="14"/>
      <c r="L568" s="14"/>
      <c r="M568" s="588"/>
      <c r="N568" s="588"/>
      <c r="O568" s="588"/>
    </row>
    <row r="569" spans="1:15">
      <c r="A569" s="575"/>
      <c r="B569" s="13"/>
      <c r="C569" s="13"/>
      <c r="D569" s="14"/>
      <c r="E569" s="14"/>
      <c r="F569" s="14"/>
      <c r="G569" s="14"/>
      <c r="H569" s="14"/>
      <c r="I569" s="14"/>
      <c r="J569" s="14"/>
      <c r="K569" s="14"/>
      <c r="L569" s="14"/>
      <c r="M569" s="588"/>
      <c r="N569" s="588"/>
      <c r="O569" s="588"/>
    </row>
    <row r="570" spans="1:15">
      <c r="A570" s="575"/>
      <c r="B570" s="13"/>
      <c r="C570" s="13"/>
      <c r="D570" s="14"/>
      <c r="E570" s="14"/>
      <c r="F570" s="14"/>
      <c r="G570" s="14"/>
      <c r="H570" s="14"/>
      <c r="I570" s="14"/>
      <c r="J570" s="14"/>
      <c r="K570" s="14"/>
      <c r="L570" s="14"/>
      <c r="M570" s="588"/>
      <c r="N570" s="588"/>
      <c r="O570" s="588"/>
    </row>
    <row r="571" spans="1:15">
      <c r="A571" s="575"/>
      <c r="B571" s="13"/>
      <c r="C571" s="13"/>
      <c r="D571" s="14"/>
      <c r="E571" s="14"/>
      <c r="F571" s="14"/>
      <c r="G571" s="14"/>
      <c r="H571" s="14"/>
      <c r="I571" s="14"/>
      <c r="J571" s="14"/>
      <c r="K571" s="14"/>
      <c r="L571" s="14"/>
      <c r="M571" s="588"/>
      <c r="N571" s="588"/>
      <c r="O571" s="588"/>
    </row>
    <row r="572" spans="1:15">
      <c r="A572" s="575"/>
      <c r="B572" s="13"/>
      <c r="C572" s="13"/>
      <c r="D572" s="14"/>
      <c r="E572" s="14"/>
      <c r="F572" s="14"/>
      <c r="G572" s="14"/>
      <c r="H572" s="14"/>
      <c r="I572" s="14"/>
      <c r="J572" s="14"/>
      <c r="K572" s="14"/>
      <c r="L572" s="14"/>
      <c r="M572" s="588"/>
      <c r="N572" s="588"/>
      <c r="O572" s="588"/>
    </row>
    <row r="573" spans="1:15">
      <c r="A573" s="575"/>
      <c r="B573" s="13"/>
      <c r="C573" s="13"/>
      <c r="D573" s="14"/>
      <c r="E573" s="14"/>
      <c r="F573" s="14"/>
      <c r="G573" s="14"/>
      <c r="H573" s="14"/>
      <c r="I573" s="14"/>
      <c r="J573" s="14"/>
      <c r="K573" s="14"/>
      <c r="L573" s="14"/>
      <c r="M573" s="588"/>
      <c r="N573" s="588"/>
      <c r="O573" s="588"/>
    </row>
    <row r="574" spans="1:15">
      <c r="A574" s="575"/>
      <c r="B574" s="13"/>
      <c r="C574" s="13"/>
      <c r="D574" s="14"/>
      <c r="E574" s="14"/>
      <c r="F574" s="14"/>
      <c r="G574" s="14"/>
      <c r="H574" s="14"/>
      <c r="I574" s="14"/>
      <c r="J574" s="14"/>
      <c r="K574" s="14"/>
      <c r="L574" s="14"/>
      <c r="M574" s="588"/>
      <c r="N574" s="588"/>
      <c r="O574" s="588"/>
    </row>
    <row r="575" spans="1:15">
      <c r="A575" s="575"/>
      <c r="B575" s="13"/>
      <c r="C575" s="13"/>
      <c r="D575" s="14"/>
      <c r="E575" s="14"/>
      <c r="F575" s="14"/>
      <c r="G575" s="14"/>
      <c r="H575" s="14"/>
      <c r="I575" s="14"/>
      <c r="J575" s="14"/>
      <c r="K575" s="14"/>
      <c r="L575" s="14"/>
      <c r="M575" s="588"/>
      <c r="N575" s="588"/>
      <c r="O575" s="588"/>
    </row>
    <row r="576" spans="1:15">
      <c r="A576" s="575"/>
      <c r="B576" s="13"/>
      <c r="C576" s="13"/>
      <c r="D576" s="14"/>
      <c r="E576" s="14"/>
      <c r="F576" s="14"/>
      <c r="G576" s="14"/>
      <c r="H576" s="14"/>
      <c r="I576" s="14"/>
      <c r="J576" s="14"/>
      <c r="K576" s="14"/>
      <c r="L576" s="14"/>
      <c r="M576" s="588"/>
      <c r="N576" s="588"/>
      <c r="O576" s="588"/>
    </row>
    <row r="577" spans="1:15">
      <c r="A577" s="575"/>
      <c r="B577" s="13"/>
      <c r="C577" s="13"/>
      <c r="D577" s="14"/>
      <c r="E577" s="14"/>
      <c r="F577" s="14"/>
      <c r="G577" s="14"/>
      <c r="H577" s="14"/>
      <c r="I577" s="14"/>
      <c r="J577" s="14"/>
      <c r="K577" s="14"/>
      <c r="L577" s="14"/>
      <c r="M577" s="588"/>
      <c r="N577" s="588"/>
      <c r="O577" s="588"/>
    </row>
    <row r="578" spans="1:15">
      <c r="A578" s="575"/>
      <c r="B578" s="13"/>
      <c r="C578" s="13"/>
      <c r="D578" s="14"/>
      <c r="E578" s="14"/>
      <c r="F578" s="14"/>
      <c r="G578" s="14"/>
      <c r="H578" s="14"/>
      <c r="I578" s="14"/>
      <c r="J578" s="14"/>
      <c r="K578" s="14"/>
      <c r="L578" s="14"/>
      <c r="M578" s="588"/>
      <c r="N578" s="588"/>
      <c r="O578" s="588"/>
    </row>
    <row r="579" spans="1:15">
      <c r="A579" s="575"/>
      <c r="B579" s="13"/>
      <c r="C579" s="13"/>
      <c r="D579" s="14"/>
      <c r="E579" s="14"/>
      <c r="F579" s="14"/>
      <c r="G579" s="14"/>
      <c r="H579" s="14"/>
      <c r="I579" s="14"/>
      <c r="J579" s="14"/>
      <c r="K579" s="14"/>
      <c r="L579" s="14"/>
      <c r="M579" s="588"/>
      <c r="N579" s="588"/>
      <c r="O579" s="588"/>
    </row>
    <row r="580" spans="1:15">
      <c r="A580" s="575"/>
      <c r="B580" s="13"/>
      <c r="C580" s="13"/>
      <c r="D580" s="14"/>
      <c r="E580" s="14"/>
      <c r="F580" s="14"/>
      <c r="G580" s="14"/>
      <c r="H580" s="14"/>
      <c r="I580" s="14"/>
      <c r="J580" s="14"/>
      <c r="K580" s="14"/>
      <c r="L580" s="14"/>
      <c r="M580" s="588"/>
      <c r="N580" s="588"/>
      <c r="O580" s="588"/>
    </row>
    <row r="581" spans="1:15">
      <c r="A581" s="575"/>
      <c r="B581" s="13"/>
      <c r="C581" s="13"/>
      <c r="D581" s="14"/>
      <c r="E581" s="14"/>
      <c r="F581" s="14"/>
      <c r="G581" s="14"/>
      <c r="H581" s="14"/>
      <c r="I581" s="14"/>
      <c r="J581" s="14"/>
      <c r="K581" s="14"/>
      <c r="L581" s="14"/>
      <c r="M581" s="588"/>
      <c r="N581" s="588"/>
      <c r="O581" s="588"/>
    </row>
    <row r="582" spans="1:15">
      <c r="A582" s="575"/>
      <c r="B582" s="13"/>
      <c r="C582" s="13"/>
      <c r="D582" s="14"/>
      <c r="E582" s="14"/>
      <c r="F582" s="14"/>
      <c r="G582" s="14"/>
      <c r="H582" s="14"/>
      <c r="I582" s="14"/>
      <c r="J582" s="14"/>
      <c r="K582" s="14"/>
      <c r="L582" s="14"/>
      <c r="M582" s="588"/>
      <c r="N582" s="588"/>
      <c r="O582" s="588"/>
    </row>
    <row r="583" spans="1:15">
      <c r="A583" s="575"/>
      <c r="B583" s="13"/>
      <c r="C583" s="13"/>
      <c r="D583" s="14"/>
      <c r="E583" s="14"/>
      <c r="F583" s="14"/>
      <c r="G583" s="14"/>
      <c r="H583" s="14"/>
      <c r="I583" s="14"/>
      <c r="J583" s="14"/>
      <c r="K583" s="14"/>
      <c r="L583" s="14"/>
      <c r="M583" s="588"/>
      <c r="N583" s="588"/>
      <c r="O583" s="588"/>
    </row>
    <row r="584" spans="1:15">
      <c r="A584" s="575"/>
      <c r="B584" s="13"/>
      <c r="C584" s="13"/>
      <c r="D584" s="14"/>
      <c r="E584" s="14"/>
      <c r="F584" s="14"/>
      <c r="G584" s="14"/>
      <c r="H584" s="14"/>
      <c r="I584" s="14"/>
      <c r="J584" s="14"/>
      <c r="K584" s="14"/>
      <c r="L584" s="14"/>
      <c r="M584" s="588"/>
      <c r="N584" s="588"/>
      <c r="O584" s="588"/>
    </row>
    <row r="585" spans="1:15">
      <c r="A585" s="575"/>
      <c r="B585" s="13"/>
      <c r="C585" s="13"/>
      <c r="D585" s="14"/>
      <c r="E585" s="14"/>
      <c r="F585" s="14"/>
      <c r="G585" s="14"/>
      <c r="H585" s="14"/>
      <c r="I585" s="14"/>
      <c r="J585" s="14"/>
      <c r="K585" s="14"/>
      <c r="L585" s="14"/>
      <c r="M585" s="588"/>
      <c r="N585" s="588"/>
      <c r="O585" s="588"/>
    </row>
    <row r="586" spans="1:15">
      <c r="A586" s="575"/>
      <c r="B586" s="13"/>
      <c r="C586" s="13"/>
      <c r="D586" s="14"/>
      <c r="E586" s="14"/>
      <c r="F586" s="14"/>
      <c r="G586" s="14"/>
      <c r="H586" s="14"/>
      <c r="I586" s="14"/>
      <c r="J586" s="14"/>
      <c r="K586" s="14"/>
      <c r="L586" s="14"/>
      <c r="M586" s="588"/>
      <c r="N586" s="588"/>
      <c r="O586" s="588"/>
    </row>
    <row r="587" spans="1:15">
      <c r="A587" s="575"/>
      <c r="B587" s="13"/>
      <c r="C587" s="13"/>
      <c r="D587" s="14"/>
      <c r="E587" s="14"/>
      <c r="F587" s="14"/>
      <c r="G587" s="14"/>
      <c r="H587" s="14"/>
      <c r="I587" s="14"/>
      <c r="J587" s="14"/>
      <c r="K587" s="14"/>
      <c r="L587" s="14"/>
      <c r="M587" s="588"/>
      <c r="N587" s="588"/>
      <c r="O587" s="588"/>
    </row>
    <row r="588" spans="1:15">
      <c r="A588" s="575"/>
      <c r="B588" s="13"/>
      <c r="C588" s="13"/>
      <c r="D588" s="14"/>
      <c r="E588" s="14"/>
      <c r="F588" s="14"/>
      <c r="G588" s="14"/>
      <c r="H588" s="14"/>
      <c r="I588" s="14"/>
      <c r="J588" s="14"/>
      <c r="K588" s="14"/>
      <c r="L588" s="14"/>
      <c r="M588" s="588"/>
      <c r="N588" s="588"/>
      <c r="O588" s="588"/>
    </row>
    <row r="589" spans="1:15">
      <c r="A589" s="575"/>
      <c r="B589" s="13"/>
      <c r="C589" s="13"/>
      <c r="D589" s="14"/>
      <c r="E589" s="14"/>
      <c r="F589" s="14"/>
      <c r="G589" s="14"/>
      <c r="H589" s="14"/>
      <c r="I589" s="14"/>
      <c r="J589" s="14"/>
      <c r="K589" s="14"/>
      <c r="L589" s="14"/>
      <c r="M589" s="588"/>
      <c r="N589" s="588"/>
      <c r="O589" s="588"/>
    </row>
    <row r="590" spans="1:15">
      <c r="A590" s="575"/>
      <c r="B590" s="13"/>
      <c r="C590" s="13"/>
      <c r="D590" s="14"/>
      <c r="E590" s="14"/>
      <c r="F590" s="14"/>
      <c r="G590" s="14"/>
      <c r="H590" s="14"/>
      <c r="I590" s="14"/>
      <c r="J590" s="14"/>
      <c r="K590" s="14"/>
      <c r="L590" s="14"/>
      <c r="M590" s="588"/>
      <c r="N590" s="588"/>
      <c r="O590" s="588"/>
    </row>
    <row r="591" spans="1:15">
      <c r="A591" s="575"/>
      <c r="B591" s="13"/>
      <c r="C591" s="13"/>
      <c r="D591" s="14"/>
      <c r="E591" s="14"/>
      <c r="F591" s="14"/>
      <c r="G591" s="14"/>
      <c r="H591" s="14"/>
      <c r="I591" s="14"/>
      <c r="J591" s="14"/>
      <c r="K591" s="14"/>
      <c r="L591" s="14"/>
      <c r="M591" s="588"/>
      <c r="N591" s="588"/>
      <c r="O591" s="588"/>
    </row>
    <row r="592" spans="1:15">
      <c r="A592" s="575"/>
      <c r="B592" s="13"/>
      <c r="C592" s="13"/>
      <c r="D592" s="14"/>
      <c r="E592" s="14"/>
      <c r="F592" s="14"/>
      <c r="G592" s="14"/>
      <c r="H592" s="14"/>
      <c r="I592" s="14"/>
      <c r="J592" s="14"/>
      <c r="K592" s="14"/>
      <c r="L592" s="14"/>
      <c r="M592" s="588"/>
      <c r="N592" s="588"/>
      <c r="O592" s="588"/>
    </row>
    <row r="593" spans="1:15">
      <c r="A593" s="575"/>
      <c r="B593" s="13"/>
      <c r="C593" s="13"/>
      <c r="D593" s="14"/>
      <c r="E593" s="14"/>
      <c r="F593" s="14"/>
      <c r="G593" s="14"/>
      <c r="H593" s="14"/>
      <c r="I593" s="14"/>
      <c r="J593" s="14"/>
      <c r="K593" s="14"/>
      <c r="L593" s="14"/>
      <c r="M593" s="588"/>
      <c r="N593" s="588"/>
      <c r="O593" s="588"/>
    </row>
    <row r="594" spans="1:15">
      <c r="A594" s="575"/>
      <c r="B594" s="13"/>
      <c r="C594" s="13"/>
      <c r="D594" s="14"/>
      <c r="E594" s="14"/>
      <c r="F594" s="14"/>
      <c r="G594" s="14"/>
      <c r="H594" s="14"/>
      <c r="I594" s="14"/>
      <c r="J594" s="14"/>
      <c r="K594" s="14"/>
      <c r="L594" s="14"/>
      <c r="M594" s="588"/>
      <c r="N594" s="588"/>
      <c r="O594" s="588"/>
    </row>
    <row r="595" spans="1:15">
      <c r="A595" s="575"/>
      <c r="B595" s="13"/>
      <c r="C595" s="13"/>
      <c r="D595" s="14"/>
      <c r="E595" s="14"/>
      <c r="F595" s="14"/>
      <c r="G595" s="14"/>
      <c r="H595" s="14"/>
      <c r="I595" s="14"/>
      <c r="J595" s="14"/>
      <c r="K595" s="14"/>
      <c r="L595" s="14"/>
      <c r="M595" s="588"/>
      <c r="N595" s="588"/>
      <c r="O595" s="588"/>
    </row>
    <row r="596" spans="1:15">
      <c r="A596" s="575"/>
      <c r="B596" s="13"/>
      <c r="C596" s="13"/>
      <c r="D596" s="14"/>
      <c r="E596" s="14"/>
      <c r="F596" s="14"/>
      <c r="G596" s="14"/>
      <c r="H596" s="14"/>
      <c r="I596" s="14"/>
      <c r="J596" s="14"/>
      <c r="K596" s="14"/>
      <c r="L596" s="14"/>
      <c r="M596" s="588"/>
      <c r="N596" s="588"/>
      <c r="O596" s="588"/>
    </row>
    <row r="597" spans="1:15">
      <c r="A597" s="575"/>
      <c r="B597" s="13"/>
      <c r="C597" s="13"/>
      <c r="D597" s="14"/>
      <c r="E597" s="14"/>
      <c r="F597" s="14"/>
      <c r="G597" s="14"/>
      <c r="H597" s="14"/>
      <c r="I597" s="14"/>
      <c r="J597" s="14"/>
      <c r="K597" s="14"/>
      <c r="L597" s="14"/>
      <c r="M597" s="588"/>
      <c r="N597" s="588"/>
      <c r="O597" s="588"/>
    </row>
    <row r="598" spans="1:15">
      <c r="A598" s="575"/>
      <c r="B598" s="13"/>
      <c r="C598" s="13"/>
      <c r="D598" s="14"/>
      <c r="E598" s="14"/>
      <c r="F598" s="14"/>
      <c r="G598" s="14"/>
      <c r="H598" s="14"/>
      <c r="I598" s="14"/>
      <c r="J598" s="14"/>
      <c r="K598" s="14"/>
      <c r="L598" s="14"/>
      <c r="M598" s="588"/>
      <c r="N598" s="588"/>
      <c r="O598" s="588"/>
    </row>
    <row r="599" spans="1:15">
      <c r="A599" s="575"/>
      <c r="B599" s="13"/>
      <c r="C599" s="13"/>
      <c r="D599" s="14"/>
      <c r="E599" s="14"/>
      <c r="F599" s="14"/>
      <c r="G599" s="14"/>
      <c r="H599" s="14"/>
      <c r="I599" s="14"/>
      <c r="J599" s="14"/>
      <c r="K599" s="14"/>
      <c r="L599" s="14"/>
      <c r="M599" s="588"/>
      <c r="N599" s="588"/>
      <c r="O599" s="588"/>
    </row>
    <row r="600" spans="1:15">
      <c r="A600" s="575"/>
      <c r="B600" s="13"/>
      <c r="C600" s="13"/>
      <c r="D600" s="14"/>
      <c r="E600" s="14"/>
      <c r="F600" s="14"/>
      <c r="G600" s="14"/>
      <c r="H600" s="14"/>
      <c r="I600" s="14"/>
      <c r="J600" s="14"/>
      <c r="K600" s="14"/>
      <c r="L600" s="14"/>
      <c r="M600" s="588"/>
      <c r="N600" s="588"/>
      <c r="O600" s="588"/>
    </row>
    <row r="601" spans="1:15">
      <c r="A601" s="575"/>
      <c r="B601" s="13"/>
      <c r="C601" s="13"/>
      <c r="D601" s="14"/>
      <c r="E601" s="14"/>
      <c r="F601" s="14"/>
      <c r="G601" s="14"/>
      <c r="H601" s="14"/>
      <c r="I601" s="14"/>
      <c r="J601" s="14"/>
      <c r="K601" s="14"/>
      <c r="L601" s="14"/>
      <c r="M601" s="588"/>
      <c r="N601" s="588"/>
      <c r="O601" s="588"/>
    </row>
    <row r="602" spans="1:15">
      <c r="A602" s="575"/>
      <c r="B602" s="13"/>
      <c r="C602" s="13"/>
      <c r="D602" s="14"/>
      <c r="E602" s="14"/>
      <c r="F602" s="14"/>
      <c r="G602" s="14"/>
      <c r="H602" s="14"/>
      <c r="I602" s="14"/>
      <c r="J602" s="14"/>
      <c r="K602" s="14"/>
      <c r="L602" s="14"/>
      <c r="M602" s="588"/>
      <c r="N602" s="588"/>
      <c r="O602" s="588"/>
    </row>
    <row r="603" spans="1:15">
      <c r="A603" s="575"/>
      <c r="B603" s="13"/>
      <c r="C603" s="13"/>
      <c r="D603" s="14"/>
      <c r="E603" s="14"/>
      <c r="F603" s="14"/>
      <c r="G603" s="14"/>
      <c r="H603" s="14"/>
      <c r="I603" s="14"/>
      <c r="J603" s="14"/>
      <c r="K603" s="14"/>
      <c r="L603" s="14"/>
      <c r="M603" s="588"/>
      <c r="N603" s="588"/>
      <c r="O603" s="588"/>
    </row>
    <row r="604" spans="1:15">
      <c r="A604" s="575"/>
      <c r="B604" s="13"/>
      <c r="C604" s="13"/>
      <c r="D604" s="14"/>
      <c r="E604" s="14"/>
      <c r="F604" s="14"/>
      <c r="G604" s="14"/>
      <c r="H604" s="14"/>
      <c r="I604" s="14"/>
      <c r="J604" s="14"/>
      <c r="K604" s="14"/>
      <c r="L604" s="14"/>
      <c r="M604" s="588"/>
      <c r="N604" s="588"/>
      <c r="O604" s="588"/>
    </row>
    <row r="605" spans="1:15">
      <c r="A605" s="575"/>
      <c r="B605" s="13"/>
      <c r="C605" s="13"/>
      <c r="D605" s="14"/>
      <c r="E605" s="14"/>
      <c r="F605" s="14"/>
      <c r="G605" s="14"/>
      <c r="H605" s="14"/>
      <c r="I605" s="14"/>
      <c r="J605" s="14"/>
      <c r="K605" s="14"/>
      <c r="L605" s="14"/>
      <c r="M605" s="588"/>
      <c r="N605" s="588"/>
      <c r="O605" s="588"/>
    </row>
    <row r="606" spans="1:15">
      <c r="A606" s="575"/>
      <c r="B606" s="13"/>
      <c r="C606" s="13"/>
      <c r="D606" s="14"/>
      <c r="E606" s="14"/>
      <c r="F606" s="14"/>
      <c r="G606" s="14"/>
      <c r="H606" s="14"/>
      <c r="I606" s="14"/>
      <c r="J606" s="14"/>
      <c r="K606" s="14"/>
      <c r="L606" s="14"/>
      <c r="M606" s="588"/>
      <c r="N606" s="588"/>
      <c r="O606" s="588"/>
    </row>
    <row r="607" spans="1:15">
      <c r="A607" s="575"/>
      <c r="B607" s="13"/>
      <c r="C607" s="13"/>
      <c r="D607" s="14"/>
      <c r="E607" s="14"/>
      <c r="F607" s="14"/>
      <c r="G607" s="14"/>
      <c r="H607" s="14"/>
      <c r="I607" s="14"/>
      <c r="J607" s="14"/>
      <c r="K607" s="14"/>
      <c r="L607" s="14"/>
      <c r="M607" s="588"/>
      <c r="N607" s="588"/>
      <c r="O607" s="588"/>
    </row>
    <row r="608" spans="1:15">
      <c r="A608" s="575"/>
      <c r="B608" s="13"/>
      <c r="C608" s="13"/>
      <c r="D608" s="14"/>
      <c r="E608" s="14"/>
      <c r="F608" s="14"/>
      <c r="G608" s="14"/>
      <c r="H608" s="14"/>
      <c r="I608" s="14"/>
      <c r="J608" s="14"/>
      <c r="K608" s="14"/>
      <c r="L608" s="14"/>
      <c r="M608" s="588"/>
      <c r="N608" s="588"/>
      <c r="O608" s="588"/>
    </row>
    <row r="609" spans="1:15">
      <c r="A609" s="575"/>
      <c r="B609" s="13"/>
      <c r="C609" s="13"/>
      <c r="D609" s="14"/>
      <c r="E609" s="14"/>
      <c r="F609" s="14"/>
      <c r="G609" s="14"/>
      <c r="H609" s="14"/>
      <c r="I609" s="14"/>
      <c r="J609" s="14"/>
      <c r="K609" s="14"/>
      <c r="L609" s="14"/>
      <c r="M609" s="588"/>
      <c r="N609" s="588"/>
      <c r="O609" s="588"/>
    </row>
    <row r="610" spans="1:15">
      <c r="A610" s="575"/>
      <c r="B610" s="13"/>
      <c r="C610" s="13"/>
      <c r="D610" s="14"/>
      <c r="E610" s="14"/>
      <c r="F610" s="14"/>
      <c r="G610" s="14"/>
      <c r="H610" s="14"/>
      <c r="I610" s="14"/>
      <c r="J610" s="14"/>
      <c r="K610" s="14"/>
      <c r="L610" s="14"/>
      <c r="M610" s="588"/>
      <c r="N610" s="588"/>
      <c r="O610" s="588"/>
    </row>
    <row r="611" spans="1:15">
      <c r="A611" s="575"/>
      <c r="B611" s="13"/>
      <c r="C611" s="13"/>
      <c r="D611" s="14"/>
      <c r="E611" s="14"/>
      <c r="F611" s="14"/>
      <c r="G611" s="14"/>
      <c r="H611" s="14"/>
      <c r="I611" s="14"/>
      <c r="J611" s="14"/>
      <c r="K611" s="14"/>
      <c r="L611" s="14"/>
      <c r="M611" s="588"/>
      <c r="N611" s="588"/>
      <c r="O611" s="588"/>
    </row>
    <row r="612" spans="1:15">
      <c r="A612" s="575"/>
      <c r="B612" s="13"/>
      <c r="C612" s="13"/>
      <c r="D612" s="14"/>
      <c r="E612" s="14"/>
      <c r="F612" s="14"/>
      <c r="G612" s="14"/>
      <c r="H612" s="14"/>
      <c r="I612" s="14"/>
      <c r="J612" s="14"/>
      <c r="K612" s="14"/>
      <c r="L612" s="14"/>
      <c r="M612" s="588"/>
      <c r="N612" s="588"/>
      <c r="O612" s="588"/>
    </row>
    <row r="613" spans="1:15">
      <c r="A613" s="575"/>
      <c r="B613" s="13"/>
      <c r="C613" s="13"/>
      <c r="D613" s="14"/>
      <c r="E613" s="14"/>
      <c r="F613" s="14"/>
      <c r="G613" s="14"/>
      <c r="H613" s="14"/>
      <c r="I613" s="14"/>
      <c r="J613" s="14"/>
      <c r="K613" s="14"/>
      <c r="L613" s="14"/>
      <c r="M613" s="588"/>
      <c r="N613" s="588"/>
      <c r="O613" s="588"/>
    </row>
    <row r="614" spans="1:15">
      <c r="A614" s="575"/>
      <c r="B614" s="13"/>
      <c r="C614" s="13"/>
      <c r="D614" s="14"/>
      <c r="E614" s="14"/>
      <c r="F614" s="14"/>
      <c r="G614" s="14"/>
      <c r="H614" s="14"/>
      <c r="I614" s="14"/>
      <c r="J614" s="14"/>
      <c r="K614" s="14"/>
      <c r="L614" s="14"/>
      <c r="M614" s="588"/>
      <c r="N614" s="588"/>
      <c r="O614" s="588"/>
    </row>
    <row r="615" spans="1:15">
      <c r="A615" s="575"/>
      <c r="B615" s="13"/>
      <c r="C615" s="13"/>
      <c r="D615" s="14"/>
      <c r="E615" s="14"/>
      <c r="F615" s="14"/>
      <c r="G615" s="14"/>
      <c r="H615" s="14"/>
      <c r="I615" s="14"/>
      <c r="J615" s="14"/>
      <c r="K615" s="14"/>
      <c r="L615" s="14"/>
      <c r="M615" s="588"/>
      <c r="N615" s="588"/>
      <c r="O615" s="588"/>
    </row>
    <row r="616" spans="1:15">
      <c r="A616" s="575"/>
      <c r="B616" s="13"/>
      <c r="C616" s="13"/>
      <c r="D616" s="14"/>
      <c r="E616" s="14"/>
      <c r="F616" s="14"/>
      <c r="G616" s="14"/>
      <c r="H616" s="14"/>
      <c r="I616" s="14"/>
      <c r="J616" s="14"/>
      <c r="K616" s="14"/>
      <c r="L616" s="14"/>
      <c r="M616" s="588"/>
      <c r="N616" s="588"/>
      <c r="O616" s="588"/>
    </row>
    <row r="617" spans="1:15">
      <c r="A617" s="575"/>
      <c r="B617" s="13"/>
      <c r="C617" s="13"/>
      <c r="D617" s="14"/>
      <c r="E617" s="14"/>
      <c r="F617" s="14"/>
      <c r="G617" s="14"/>
      <c r="H617" s="14"/>
      <c r="I617" s="14"/>
      <c r="J617" s="14"/>
      <c r="K617" s="14"/>
      <c r="L617" s="14"/>
      <c r="M617" s="588"/>
      <c r="N617" s="588"/>
      <c r="O617" s="588"/>
    </row>
    <row r="618" spans="1:15">
      <c r="A618" s="575"/>
      <c r="B618" s="13"/>
      <c r="C618" s="13"/>
      <c r="D618" s="14"/>
      <c r="E618" s="14"/>
      <c r="F618" s="14"/>
      <c r="G618" s="14"/>
      <c r="H618" s="14"/>
      <c r="I618" s="14"/>
      <c r="J618" s="14"/>
      <c r="K618" s="14"/>
      <c r="L618" s="14"/>
      <c r="M618" s="588"/>
      <c r="N618" s="588"/>
      <c r="O618" s="588"/>
    </row>
    <row r="619" spans="1:15">
      <c r="A619" s="575"/>
      <c r="B619" s="13"/>
      <c r="C619" s="13"/>
      <c r="D619" s="14"/>
      <c r="E619" s="14"/>
      <c r="F619" s="14"/>
      <c r="G619" s="14"/>
      <c r="H619" s="14"/>
      <c r="I619" s="14"/>
      <c r="J619" s="14"/>
      <c r="K619" s="14"/>
      <c r="L619" s="14"/>
      <c r="M619" s="588"/>
      <c r="N619" s="588"/>
      <c r="O619" s="588"/>
    </row>
    <row r="620" spans="1:15">
      <c r="A620" s="575"/>
      <c r="B620" s="13"/>
      <c r="C620" s="13"/>
      <c r="D620" s="14"/>
      <c r="E620" s="14"/>
      <c r="F620" s="14"/>
      <c r="G620" s="14"/>
      <c r="H620" s="14"/>
      <c r="I620" s="14"/>
      <c r="J620" s="14"/>
      <c r="K620" s="14"/>
      <c r="L620" s="14"/>
      <c r="M620" s="588"/>
      <c r="N620" s="588"/>
      <c r="O620" s="588"/>
    </row>
    <row r="621" spans="1:15">
      <c r="A621" s="575"/>
      <c r="B621" s="13"/>
      <c r="C621" s="13"/>
      <c r="D621" s="14"/>
      <c r="E621" s="14"/>
      <c r="F621" s="14"/>
      <c r="G621" s="14"/>
      <c r="H621" s="14"/>
      <c r="I621" s="14"/>
      <c r="J621" s="14"/>
      <c r="K621" s="14"/>
      <c r="L621" s="14"/>
      <c r="M621" s="588"/>
      <c r="N621" s="588"/>
      <c r="O621" s="588"/>
    </row>
    <row r="622" spans="1:15">
      <c r="A622" s="575"/>
      <c r="B622" s="13"/>
      <c r="C622" s="13"/>
      <c r="D622" s="14"/>
      <c r="E622" s="14"/>
      <c r="F622" s="14"/>
      <c r="G622" s="14"/>
      <c r="H622" s="14"/>
      <c r="I622" s="14"/>
      <c r="J622" s="14"/>
      <c r="K622" s="14"/>
      <c r="L622" s="14"/>
      <c r="M622" s="588"/>
      <c r="N622" s="588"/>
      <c r="O622" s="588"/>
    </row>
    <row r="623" spans="1:15">
      <c r="A623" s="575"/>
      <c r="B623" s="13"/>
      <c r="C623" s="13"/>
      <c r="D623" s="14"/>
      <c r="E623" s="14"/>
      <c r="F623" s="14"/>
      <c r="G623" s="14"/>
      <c r="H623" s="14"/>
      <c r="I623" s="14"/>
      <c r="J623" s="14"/>
      <c r="K623" s="14"/>
      <c r="L623" s="14"/>
      <c r="M623" s="588"/>
      <c r="N623" s="588"/>
      <c r="O623" s="588"/>
    </row>
    <row r="624" spans="1:15">
      <c r="A624" s="575"/>
      <c r="B624" s="13"/>
      <c r="C624" s="13"/>
      <c r="D624" s="14"/>
      <c r="E624" s="14"/>
      <c r="F624" s="14"/>
      <c r="G624" s="14"/>
      <c r="H624" s="14"/>
      <c r="I624" s="14"/>
      <c r="J624" s="14"/>
      <c r="K624" s="14"/>
      <c r="L624" s="14"/>
      <c r="M624" s="588"/>
      <c r="N624" s="588"/>
      <c r="O624" s="588"/>
    </row>
    <row r="625" spans="1:15">
      <c r="A625" s="575"/>
      <c r="B625" s="13"/>
      <c r="C625" s="13"/>
      <c r="D625" s="14"/>
      <c r="E625" s="14"/>
      <c r="F625" s="14"/>
      <c r="G625" s="14"/>
      <c r="H625" s="14"/>
      <c r="I625" s="14"/>
      <c r="J625" s="14"/>
      <c r="K625" s="14"/>
      <c r="L625" s="14"/>
      <c r="M625" s="588"/>
      <c r="N625" s="588"/>
      <c r="O625" s="588"/>
    </row>
    <row r="626" spans="1:15">
      <c r="A626" s="575"/>
      <c r="B626" s="13"/>
      <c r="C626" s="13"/>
      <c r="D626" s="14"/>
      <c r="E626" s="14"/>
      <c r="F626" s="14"/>
      <c r="G626" s="14"/>
      <c r="H626" s="14"/>
      <c r="I626" s="14"/>
      <c r="J626" s="14"/>
      <c r="K626" s="14"/>
      <c r="L626" s="14"/>
      <c r="M626" s="588"/>
      <c r="N626" s="588"/>
      <c r="O626" s="588"/>
    </row>
    <row r="627" spans="1:15">
      <c r="A627" s="575"/>
      <c r="B627" s="13"/>
      <c r="C627" s="13"/>
      <c r="D627" s="14"/>
      <c r="E627" s="14"/>
      <c r="F627" s="14"/>
      <c r="G627" s="14"/>
      <c r="H627" s="14"/>
      <c r="I627" s="14"/>
      <c r="J627" s="14"/>
      <c r="K627" s="14"/>
      <c r="L627" s="14"/>
      <c r="M627" s="588"/>
      <c r="N627" s="588"/>
      <c r="O627" s="588"/>
    </row>
    <row r="628" spans="1:15">
      <c r="A628" s="575"/>
      <c r="B628" s="13"/>
      <c r="C628" s="13"/>
      <c r="D628" s="14"/>
      <c r="E628" s="14"/>
      <c r="F628" s="14"/>
      <c r="G628" s="14"/>
      <c r="H628" s="14"/>
      <c r="I628" s="14"/>
      <c r="J628" s="14"/>
      <c r="K628" s="14"/>
      <c r="L628" s="14"/>
      <c r="M628" s="588"/>
      <c r="N628" s="588"/>
      <c r="O628" s="588"/>
    </row>
    <row r="629" spans="1:15">
      <c r="A629" s="575"/>
      <c r="B629" s="13"/>
      <c r="C629" s="13"/>
      <c r="D629" s="14"/>
      <c r="E629" s="14"/>
      <c r="F629" s="14"/>
      <c r="G629" s="14"/>
      <c r="H629" s="14"/>
      <c r="I629" s="14"/>
      <c r="J629" s="14"/>
      <c r="K629" s="14"/>
      <c r="L629" s="14"/>
      <c r="M629" s="588"/>
      <c r="N629" s="588"/>
      <c r="O629" s="588"/>
    </row>
    <row r="630" spans="1:15">
      <c r="A630" s="575"/>
      <c r="B630" s="13"/>
      <c r="C630" s="13"/>
      <c r="D630" s="14"/>
      <c r="E630" s="14"/>
      <c r="F630" s="14"/>
      <c r="G630" s="14"/>
      <c r="H630" s="14"/>
      <c r="I630" s="14"/>
      <c r="J630" s="14"/>
      <c r="K630" s="14"/>
      <c r="L630" s="14"/>
      <c r="M630" s="588"/>
      <c r="N630" s="588"/>
      <c r="O630" s="588"/>
    </row>
    <row r="631" spans="1:15">
      <c r="A631" s="575"/>
      <c r="B631" s="13"/>
      <c r="C631" s="13"/>
      <c r="D631" s="14"/>
      <c r="E631" s="14"/>
      <c r="F631" s="14"/>
      <c r="G631" s="14"/>
      <c r="H631" s="14"/>
      <c r="I631" s="14"/>
      <c r="J631" s="14"/>
      <c r="K631" s="14"/>
      <c r="L631" s="14"/>
      <c r="M631" s="588"/>
      <c r="N631" s="588"/>
      <c r="O631" s="588"/>
    </row>
    <row r="632" spans="1:15">
      <c r="A632" s="575"/>
      <c r="B632" s="13"/>
      <c r="C632" s="13"/>
      <c r="D632" s="14"/>
      <c r="E632" s="14"/>
      <c r="F632" s="14"/>
      <c r="G632" s="14"/>
      <c r="H632" s="14"/>
      <c r="I632" s="14"/>
      <c r="J632" s="14"/>
      <c r="K632" s="14"/>
      <c r="L632" s="14"/>
      <c r="M632" s="588"/>
      <c r="N632" s="588"/>
      <c r="O632" s="588"/>
    </row>
    <row r="633" spans="1:15">
      <c r="A633" s="575"/>
      <c r="B633" s="13"/>
      <c r="C633" s="13"/>
      <c r="D633" s="14"/>
      <c r="E633" s="14"/>
      <c r="F633" s="14"/>
      <c r="G633" s="14"/>
      <c r="H633" s="14"/>
      <c r="I633" s="14"/>
      <c r="J633" s="14"/>
      <c r="K633" s="14"/>
      <c r="L633" s="14"/>
      <c r="M633" s="588"/>
      <c r="N633" s="588"/>
      <c r="O633" s="588"/>
    </row>
    <row r="634" spans="1:15">
      <c r="A634" s="575"/>
      <c r="B634" s="13"/>
      <c r="C634" s="13"/>
      <c r="D634" s="14"/>
      <c r="E634" s="14"/>
      <c r="F634" s="14"/>
      <c r="G634" s="14"/>
      <c r="H634" s="14"/>
      <c r="I634" s="14"/>
      <c r="J634" s="14"/>
      <c r="K634" s="14"/>
      <c r="L634" s="14"/>
      <c r="M634" s="588"/>
      <c r="N634" s="588"/>
      <c r="O634" s="588"/>
    </row>
    <row r="635" spans="1:15">
      <c r="A635" s="575"/>
      <c r="B635" s="13"/>
      <c r="C635" s="13"/>
      <c r="D635" s="14"/>
      <c r="E635" s="14"/>
      <c r="F635" s="14"/>
      <c r="G635" s="14"/>
      <c r="H635" s="14"/>
      <c r="I635" s="14"/>
      <c r="J635" s="14"/>
      <c r="K635" s="14"/>
      <c r="L635" s="14"/>
      <c r="M635" s="588"/>
      <c r="N635" s="588"/>
      <c r="O635" s="588"/>
    </row>
    <row r="636" spans="1:15">
      <c r="A636" s="575"/>
      <c r="B636" s="13"/>
      <c r="C636" s="13"/>
      <c r="D636" s="14"/>
      <c r="E636" s="14"/>
      <c r="F636" s="14"/>
      <c r="G636" s="14"/>
      <c r="H636" s="14"/>
      <c r="I636" s="14"/>
      <c r="J636" s="14"/>
      <c r="K636" s="14"/>
      <c r="L636" s="14"/>
      <c r="M636" s="588"/>
      <c r="N636" s="588"/>
      <c r="O636" s="588"/>
    </row>
    <row r="637" spans="1:15">
      <c r="A637" s="575"/>
      <c r="B637" s="13"/>
      <c r="C637" s="13"/>
      <c r="D637" s="14"/>
      <c r="E637" s="14"/>
      <c r="F637" s="14"/>
      <c r="G637" s="14"/>
      <c r="H637" s="14"/>
      <c r="I637" s="14"/>
      <c r="J637" s="14"/>
      <c r="K637" s="14"/>
      <c r="L637" s="14"/>
      <c r="M637" s="588"/>
      <c r="N637" s="588"/>
      <c r="O637" s="588"/>
    </row>
    <row r="638" spans="1:15">
      <c r="A638" s="575"/>
      <c r="B638" s="13"/>
      <c r="C638" s="13"/>
      <c r="D638" s="14"/>
      <c r="E638" s="14"/>
      <c r="F638" s="14"/>
      <c r="G638" s="14"/>
      <c r="H638" s="14"/>
      <c r="I638" s="14"/>
      <c r="J638" s="14"/>
      <c r="K638" s="14"/>
      <c r="L638" s="14"/>
      <c r="M638" s="588"/>
      <c r="N638" s="588"/>
      <c r="O638" s="588"/>
    </row>
    <row r="639" spans="1:15">
      <c r="A639" s="575"/>
      <c r="B639" s="13"/>
      <c r="C639" s="13"/>
      <c r="D639" s="14"/>
      <c r="E639" s="14"/>
      <c r="F639" s="14"/>
      <c r="G639" s="14"/>
      <c r="H639" s="14"/>
      <c r="I639" s="14"/>
      <c r="J639" s="14"/>
      <c r="K639" s="14"/>
      <c r="L639" s="14"/>
      <c r="M639" s="588"/>
      <c r="N639" s="588"/>
      <c r="O639" s="588"/>
    </row>
    <row r="640" spans="1:15">
      <c r="A640" s="575"/>
      <c r="B640" s="13"/>
      <c r="C640" s="13"/>
      <c r="D640" s="14"/>
      <c r="E640" s="14"/>
      <c r="F640" s="14"/>
      <c r="G640" s="14"/>
      <c r="H640" s="14"/>
      <c r="I640" s="14"/>
      <c r="J640" s="14"/>
      <c r="K640" s="14"/>
      <c r="L640" s="14"/>
      <c r="M640" s="588"/>
      <c r="N640" s="588"/>
      <c r="O640" s="588"/>
    </row>
    <row r="641" spans="1:15">
      <c r="A641" s="575"/>
      <c r="B641" s="13"/>
      <c r="C641" s="13"/>
      <c r="D641" s="14"/>
      <c r="E641" s="14"/>
      <c r="F641" s="14"/>
      <c r="G641" s="14"/>
      <c r="H641" s="14"/>
      <c r="I641" s="14"/>
      <c r="J641" s="14"/>
      <c r="K641" s="14"/>
      <c r="L641" s="14"/>
      <c r="M641" s="588"/>
      <c r="N641" s="588"/>
      <c r="O641" s="588"/>
    </row>
    <row r="642" spans="1:15">
      <c r="A642" s="575"/>
      <c r="B642" s="13"/>
      <c r="C642" s="13"/>
      <c r="D642" s="14"/>
      <c r="E642" s="14"/>
      <c r="F642" s="14"/>
      <c r="G642" s="14"/>
      <c r="H642" s="14"/>
      <c r="I642" s="14"/>
      <c r="J642" s="14"/>
      <c r="K642" s="14"/>
      <c r="L642" s="14"/>
      <c r="M642" s="588"/>
      <c r="N642" s="588"/>
      <c r="O642" s="588"/>
    </row>
    <row r="643" spans="1:15">
      <c r="A643" s="575"/>
      <c r="B643" s="13"/>
      <c r="C643" s="13"/>
      <c r="D643" s="14"/>
      <c r="E643" s="14"/>
      <c r="F643" s="14"/>
      <c r="G643" s="14"/>
      <c r="H643" s="14"/>
      <c r="I643" s="14"/>
      <c r="J643" s="14"/>
      <c r="K643" s="14"/>
      <c r="L643" s="14"/>
      <c r="M643" s="588"/>
      <c r="N643" s="588"/>
      <c r="O643" s="588"/>
    </row>
    <row r="644" spans="1:15">
      <c r="A644" s="575"/>
      <c r="B644" s="13"/>
      <c r="C644" s="13"/>
      <c r="D644" s="14"/>
      <c r="E644" s="14"/>
      <c r="F644" s="14"/>
      <c r="G644" s="14"/>
      <c r="H644" s="14"/>
      <c r="I644" s="14"/>
      <c r="J644" s="14"/>
      <c r="K644" s="14"/>
      <c r="L644" s="14"/>
      <c r="M644" s="588"/>
      <c r="N644" s="588"/>
      <c r="O644" s="588"/>
    </row>
    <row r="645" spans="1:15">
      <c r="A645" s="575"/>
      <c r="B645" s="13"/>
      <c r="C645" s="13"/>
      <c r="D645" s="14"/>
      <c r="E645" s="14"/>
      <c r="F645" s="14"/>
      <c r="G645" s="14"/>
      <c r="H645" s="14"/>
      <c r="I645" s="14"/>
      <c r="J645" s="14"/>
      <c r="K645" s="14"/>
      <c r="L645" s="14"/>
      <c r="M645" s="588"/>
      <c r="N645" s="588"/>
      <c r="O645" s="588"/>
    </row>
    <row r="646" spans="1:15">
      <c r="A646" s="575"/>
      <c r="B646" s="13"/>
      <c r="C646" s="13"/>
      <c r="D646" s="14"/>
      <c r="E646" s="14"/>
      <c r="F646" s="14"/>
      <c r="G646" s="14"/>
      <c r="H646" s="14"/>
      <c r="I646" s="14"/>
      <c r="J646" s="14"/>
      <c r="K646" s="14"/>
      <c r="L646" s="14"/>
      <c r="M646" s="588"/>
      <c r="N646" s="588"/>
      <c r="O646" s="588"/>
    </row>
    <row r="647" spans="1:15">
      <c r="A647" s="575"/>
      <c r="B647" s="13"/>
      <c r="C647" s="13"/>
      <c r="D647" s="14"/>
      <c r="E647" s="14"/>
      <c r="F647" s="14"/>
      <c r="G647" s="14"/>
      <c r="H647" s="14"/>
      <c r="I647" s="14"/>
      <c r="J647" s="14"/>
      <c r="K647" s="14"/>
      <c r="L647" s="14"/>
      <c r="M647" s="588"/>
      <c r="N647" s="588"/>
      <c r="O647" s="588"/>
    </row>
    <row r="648" spans="1:15">
      <c r="A648" s="575"/>
      <c r="B648" s="13"/>
      <c r="C648" s="13"/>
      <c r="D648" s="14"/>
      <c r="E648" s="14"/>
      <c r="F648" s="14"/>
      <c r="G648" s="14"/>
      <c r="H648" s="14"/>
      <c r="I648" s="14"/>
      <c r="J648" s="14"/>
      <c r="K648" s="14"/>
      <c r="L648" s="14"/>
      <c r="M648" s="588"/>
      <c r="N648" s="588"/>
      <c r="O648" s="588"/>
    </row>
    <row r="649" spans="1:15">
      <c r="A649" s="575"/>
      <c r="B649" s="13"/>
      <c r="C649" s="13"/>
      <c r="D649" s="14"/>
      <c r="E649" s="14"/>
      <c r="F649" s="14"/>
      <c r="G649" s="14"/>
      <c r="H649" s="14"/>
      <c r="I649" s="14"/>
      <c r="J649" s="14"/>
      <c r="K649" s="14"/>
      <c r="L649" s="14"/>
      <c r="M649" s="588"/>
      <c r="N649" s="588"/>
      <c r="O649" s="588"/>
    </row>
    <row r="650" spans="1:15">
      <c r="A650" s="575"/>
      <c r="B650" s="13"/>
      <c r="C650" s="13"/>
      <c r="D650" s="14"/>
      <c r="E650" s="14"/>
      <c r="F650" s="14"/>
      <c r="G650" s="14"/>
      <c r="H650" s="14"/>
      <c r="I650" s="14"/>
      <c r="J650" s="14"/>
      <c r="K650" s="14"/>
      <c r="L650" s="14"/>
      <c r="M650" s="588"/>
      <c r="N650" s="588"/>
      <c r="O650" s="588"/>
    </row>
    <row r="651" spans="1:15">
      <c r="A651" s="575"/>
      <c r="B651" s="13"/>
      <c r="C651" s="13"/>
      <c r="D651" s="14"/>
      <c r="E651" s="14"/>
      <c r="F651" s="14"/>
      <c r="G651" s="14"/>
      <c r="H651" s="14"/>
      <c r="I651" s="14"/>
      <c r="J651" s="14"/>
      <c r="K651" s="14"/>
      <c r="L651" s="14"/>
      <c r="M651" s="588"/>
      <c r="N651" s="588"/>
      <c r="O651" s="588"/>
    </row>
    <row r="652" spans="1:15">
      <c r="A652" s="575"/>
      <c r="B652" s="13"/>
      <c r="C652" s="13"/>
      <c r="D652" s="14"/>
      <c r="E652" s="14"/>
      <c r="F652" s="14"/>
      <c r="G652" s="14"/>
      <c r="H652" s="14"/>
      <c r="I652" s="14"/>
      <c r="J652" s="14"/>
      <c r="K652" s="14"/>
      <c r="L652" s="14"/>
      <c r="M652" s="588"/>
      <c r="N652" s="588"/>
      <c r="O652" s="588"/>
    </row>
    <row r="653" spans="1:15">
      <c r="A653" s="575"/>
      <c r="B653" s="13"/>
      <c r="C653" s="13"/>
      <c r="D653" s="14"/>
      <c r="E653" s="14"/>
      <c r="F653" s="14"/>
      <c r="G653" s="14"/>
      <c r="H653" s="14"/>
      <c r="I653" s="14"/>
      <c r="J653" s="14"/>
      <c r="K653" s="14"/>
      <c r="L653" s="14"/>
      <c r="M653" s="588"/>
      <c r="N653" s="588"/>
      <c r="O653" s="588"/>
    </row>
    <row r="654" spans="1:15">
      <c r="A654" s="575"/>
      <c r="B654" s="13"/>
      <c r="C654" s="13"/>
      <c r="D654" s="14"/>
      <c r="E654" s="14"/>
      <c r="F654" s="14"/>
      <c r="G654" s="14"/>
      <c r="H654" s="14"/>
      <c r="I654" s="14"/>
      <c r="J654" s="14"/>
      <c r="K654" s="14"/>
      <c r="L654" s="14"/>
      <c r="M654" s="588"/>
      <c r="N654" s="588"/>
      <c r="O654" s="588"/>
    </row>
    <row r="655" spans="1:15">
      <c r="A655" s="575"/>
      <c r="B655" s="13"/>
      <c r="C655" s="13"/>
      <c r="D655" s="14"/>
      <c r="E655" s="14"/>
      <c r="F655" s="14"/>
      <c r="G655" s="14"/>
      <c r="H655" s="14"/>
      <c r="I655" s="14"/>
      <c r="J655" s="14"/>
      <c r="K655" s="14"/>
      <c r="L655" s="14"/>
      <c r="M655" s="588"/>
      <c r="N655" s="588"/>
      <c r="O655" s="588"/>
    </row>
    <row r="656" spans="1:15">
      <c r="A656" s="575"/>
      <c r="B656" s="13"/>
      <c r="C656" s="13"/>
      <c r="D656" s="14"/>
      <c r="E656" s="14"/>
      <c r="F656" s="14"/>
      <c r="G656" s="14"/>
      <c r="H656" s="14"/>
      <c r="I656" s="14"/>
      <c r="J656" s="14"/>
      <c r="K656" s="14"/>
      <c r="L656" s="14"/>
      <c r="M656" s="588"/>
      <c r="N656" s="588"/>
      <c r="O656" s="588"/>
    </row>
    <row r="657" spans="1:15">
      <c r="A657" s="575"/>
      <c r="B657" s="13"/>
      <c r="C657" s="13"/>
      <c r="D657" s="14"/>
      <c r="E657" s="14"/>
      <c r="F657" s="14"/>
      <c r="G657" s="14"/>
      <c r="H657" s="14"/>
      <c r="I657" s="14"/>
      <c r="J657" s="14"/>
      <c r="K657" s="14"/>
      <c r="L657" s="14"/>
      <c r="M657" s="588"/>
      <c r="N657" s="588"/>
      <c r="O657" s="588"/>
    </row>
    <row r="658" spans="1:15">
      <c r="A658" s="575"/>
      <c r="B658" s="13"/>
      <c r="C658" s="13"/>
      <c r="D658" s="14"/>
      <c r="E658" s="14"/>
      <c r="F658" s="14"/>
      <c r="G658" s="14"/>
      <c r="H658" s="14"/>
      <c r="I658" s="14"/>
      <c r="J658" s="14"/>
      <c r="K658" s="14"/>
      <c r="L658" s="14"/>
      <c r="M658" s="588"/>
      <c r="N658" s="588"/>
      <c r="O658" s="588"/>
    </row>
    <row r="659" spans="1:15">
      <c r="A659" s="575"/>
      <c r="B659" s="13"/>
      <c r="C659" s="13"/>
      <c r="D659" s="14"/>
      <c r="E659" s="14"/>
      <c r="F659" s="14"/>
      <c r="G659" s="14"/>
      <c r="H659" s="14"/>
      <c r="I659" s="14"/>
      <c r="J659" s="14"/>
      <c r="K659" s="14"/>
      <c r="L659" s="14"/>
      <c r="M659" s="588"/>
      <c r="N659" s="588"/>
      <c r="O659" s="588"/>
    </row>
    <row r="660" spans="1:15">
      <c r="A660" s="575"/>
      <c r="B660" s="13"/>
      <c r="C660" s="13"/>
      <c r="D660" s="14"/>
      <c r="E660" s="14"/>
      <c r="F660" s="14"/>
      <c r="G660" s="14"/>
      <c r="H660" s="14"/>
      <c r="I660" s="14"/>
      <c r="J660" s="14"/>
      <c r="K660" s="14"/>
      <c r="L660" s="14"/>
      <c r="M660" s="588"/>
      <c r="N660" s="588"/>
      <c r="O660" s="588"/>
    </row>
    <row r="661" spans="1:15">
      <c r="A661" s="575"/>
      <c r="B661" s="13"/>
      <c r="C661" s="13"/>
      <c r="D661" s="14"/>
      <c r="E661" s="14"/>
      <c r="F661" s="14"/>
      <c r="G661" s="14"/>
      <c r="H661" s="14"/>
      <c r="I661" s="14"/>
      <c r="J661" s="14"/>
      <c r="K661" s="14"/>
      <c r="L661" s="14"/>
      <c r="M661" s="588"/>
      <c r="N661" s="588"/>
      <c r="O661" s="588"/>
    </row>
    <row r="662" spans="1:15">
      <c r="A662" s="575"/>
      <c r="B662" s="13"/>
      <c r="C662" s="13"/>
      <c r="D662" s="14"/>
      <c r="E662" s="14"/>
      <c r="F662" s="14"/>
      <c r="G662" s="14"/>
      <c r="H662" s="14"/>
      <c r="I662" s="14"/>
      <c r="J662" s="14"/>
      <c r="K662" s="14"/>
      <c r="L662" s="14"/>
      <c r="M662" s="588"/>
      <c r="N662" s="588"/>
      <c r="O662" s="588"/>
    </row>
    <row r="663" spans="1:15">
      <c r="A663" s="575"/>
      <c r="B663" s="13"/>
      <c r="C663" s="13"/>
      <c r="D663" s="14"/>
      <c r="E663" s="14"/>
      <c r="F663" s="14"/>
      <c r="G663" s="14"/>
      <c r="H663" s="14"/>
      <c r="I663" s="14"/>
      <c r="J663" s="14"/>
      <c r="K663" s="14"/>
      <c r="L663" s="14"/>
      <c r="M663" s="588"/>
      <c r="N663" s="588"/>
      <c r="O663" s="588"/>
    </row>
    <row r="664" spans="1:15">
      <c r="A664" s="575"/>
      <c r="B664" s="13"/>
      <c r="C664" s="13"/>
      <c r="D664" s="14"/>
      <c r="E664" s="14"/>
      <c r="F664" s="14"/>
      <c r="G664" s="14"/>
      <c r="H664" s="14"/>
      <c r="I664" s="14"/>
      <c r="J664" s="14"/>
      <c r="K664" s="14"/>
      <c r="L664" s="14"/>
      <c r="M664" s="588"/>
      <c r="N664" s="588"/>
      <c r="O664" s="588"/>
    </row>
    <row r="665" spans="1:15">
      <c r="A665" s="575"/>
      <c r="B665" s="13"/>
      <c r="C665" s="13"/>
      <c r="D665" s="14"/>
      <c r="E665" s="14"/>
      <c r="F665" s="14"/>
      <c r="G665" s="14"/>
      <c r="H665" s="14"/>
      <c r="I665" s="14"/>
      <c r="J665" s="14"/>
      <c r="K665" s="14"/>
      <c r="L665" s="14"/>
      <c r="M665" s="588"/>
      <c r="N665" s="588"/>
      <c r="O665" s="588"/>
    </row>
    <row r="666" spans="1:15">
      <c r="A666" s="575"/>
      <c r="B666" s="13"/>
      <c r="C666" s="13"/>
      <c r="D666" s="14"/>
      <c r="E666" s="14"/>
      <c r="F666" s="14"/>
      <c r="G666" s="14"/>
      <c r="H666" s="14"/>
      <c r="I666" s="14"/>
      <c r="J666" s="14"/>
      <c r="K666" s="14"/>
      <c r="L666" s="14"/>
      <c r="M666" s="588"/>
      <c r="N666" s="588"/>
      <c r="O666" s="588"/>
    </row>
    <row r="667" spans="1:15">
      <c r="A667" s="575"/>
      <c r="B667" s="13"/>
      <c r="C667" s="13"/>
      <c r="D667" s="14"/>
      <c r="E667" s="14"/>
      <c r="F667" s="14"/>
      <c r="G667" s="14"/>
      <c r="H667" s="14"/>
      <c r="I667" s="14"/>
      <c r="J667" s="14"/>
      <c r="K667" s="14"/>
      <c r="L667" s="14"/>
      <c r="M667" s="588"/>
      <c r="N667" s="588"/>
      <c r="O667" s="588"/>
    </row>
    <row r="668" spans="1:15">
      <c r="A668" s="575"/>
      <c r="B668" s="13"/>
      <c r="C668" s="13"/>
      <c r="D668" s="14"/>
      <c r="E668" s="14"/>
      <c r="F668" s="14"/>
      <c r="G668" s="14"/>
      <c r="H668" s="14"/>
      <c r="I668" s="14"/>
      <c r="J668" s="14"/>
      <c r="K668" s="14"/>
      <c r="L668" s="14"/>
      <c r="M668" s="588"/>
      <c r="N668" s="588"/>
      <c r="O668" s="588"/>
    </row>
    <row r="669" spans="1:15">
      <c r="A669" s="575"/>
      <c r="B669" s="13"/>
      <c r="C669" s="13"/>
      <c r="D669" s="14"/>
      <c r="E669" s="14"/>
      <c r="F669" s="14"/>
      <c r="G669" s="14"/>
      <c r="H669" s="14"/>
      <c r="I669" s="14"/>
      <c r="J669" s="14"/>
      <c r="K669" s="14"/>
      <c r="L669" s="14"/>
      <c r="M669" s="588"/>
      <c r="N669" s="588"/>
      <c r="O669" s="588"/>
    </row>
    <row r="670" spans="1:15">
      <c r="A670" s="575"/>
      <c r="B670" s="13"/>
      <c r="C670" s="13"/>
      <c r="D670" s="14"/>
      <c r="E670" s="14"/>
      <c r="F670" s="14"/>
      <c r="G670" s="14"/>
      <c r="H670" s="14"/>
      <c r="I670" s="14"/>
      <c r="J670" s="14"/>
      <c r="K670" s="14"/>
      <c r="L670" s="14"/>
      <c r="M670" s="588"/>
      <c r="N670" s="588"/>
      <c r="O670" s="588"/>
    </row>
    <row r="671" spans="1:15">
      <c r="A671" s="575"/>
      <c r="B671" s="13"/>
      <c r="C671" s="13"/>
      <c r="D671" s="14"/>
      <c r="E671" s="14"/>
      <c r="F671" s="14"/>
      <c r="G671" s="14"/>
      <c r="H671" s="14"/>
      <c r="I671" s="14"/>
      <c r="J671" s="14"/>
      <c r="K671" s="14"/>
      <c r="L671" s="14"/>
      <c r="M671" s="588"/>
      <c r="N671" s="588"/>
      <c r="O671" s="588"/>
    </row>
    <row r="672" spans="1:15">
      <c r="A672" s="575"/>
      <c r="B672" s="13"/>
      <c r="C672" s="13"/>
      <c r="D672" s="14"/>
      <c r="E672" s="14"/>
      <c r="F672" s="14"/>
      <c r="G672" s="14"/>
      <c r="H672" s="14"/>
      <c r="I672" s="14"/>
      <c r="J672" s="14"/>
      <c r="K672" s="14"/>
      <c r="L672" s="14"/>
      <c r="M672" s="588"/>
      <c r="N672" s="588"/>
      <c r="O672" s="588"/>
    </row>
    <row r="673" spans="1:15">
      <c r="A673" s="575"/>
      <c r="B673" s="13"/>
      <c r="C673" s="13"/>
      <c r="D673" s="14"/>
      <c r="E673" s="14"/>
      <c r="F673" s="14"/>
      <c r="G673" s="14"/>
      <c r="H673" s="14"/>
      <c r="I673" s="14"/>
      <c r="J673" s="14"/>
      <c r="K673" s="14"/>
      <c r="L673" s="14"/>
      <c r="M673" s="588"/>
      <c r="N673" s="588"/>
      <c r="O673" s="588"/>
    </row>
    <row r="674" spans="1:15">
      <c r="A674" s="575"/>
      <c r="B674" s="13"/>
      <c r="C674" s="13"/>
      <c r="D674" s="14"/>
      <c r="E674" s="14"/>
      <c r="F674" s="14"/>
      <c r="G674" s="14"/>
      <c r="H674" s="14"/>
      <c r="I674" s="14"/>
      <c r="J674" s="14"/>
      <c r="K674" s="14"/>
      <c r="L674" s="14"/>
      <c r="M674" s="588"/>
      <c r="N674" s="588"/>
      <c r="O674" s="588"/>
    </row>
    <row r="675" spans="1:15">
      <c r="A675" s="575"/>
      <c r="B675" s="13"/>
      <c r="C675" s="13"/>
      <c r="D675" s="14"/>
      <c r="E675" s="14"/>
      <c r="F675" s="14"/>
      <c r="G675" s="14"/>
      <c r="H675" s="14"/>
      <c r="I675" s="14"/>
      <c r="J675" s="14"/>
      <c r="K675" s="14"/>
      <c r="L675" s="14"/>
      <c r="M675" s="588"/>
      <c r="N675" s="588"/>
      <c r="O675" s="588"/>
    </row>
    <row r="676" spans="1:15">
      <c r="A676" s="575"/>
      <c r="B676" s="13"/>
      <c r="C676" s="13"/>
      <c r="D676" s="14"/>
      <c r="E676" s="14"/>
      <c r="F676" s="14"/>
      <c r="G676" s="14"/>
      <c r="H676" s="14"/>
      <c r="I676" s="14"/>
      <c r="J676" s="14"/>
      <c r="K676" s="14"/>
      <c r="L676" s="14"/>
      <c r="M676" s="588"/>
      <c r="N676" s="588"/>
      <c r="O676" s="588"/>
    </row>
    <row r="677" spans="1:15">
      <c r="A677" s="575"/>
      <c r="B677" s="13"/>
      <c r="C677" s="13"/>
      <c r="D677" s="14"/>
      <c r="E677" s="14"/>
      <c r="F677" s="14"/>
      <c r="G677" s="14"/>
      <c r="H677" s="14"/>
      <c r="I677" s="14"/>
      <c r="J677" s="14"/>
      <c r="K677" s="14"/>
      <c r="L677" s="14"/>
      <c r="M677" s="588"/>
      <c r="N677" s="588"/>
      <c r="O677" s="588"/>
    </row>
    <row r="678" spans="1:15">
      <c r="A678" s="575"/>
      <c r="B678" s="13"/>
      <c r="C678" s="13"/>
      <c r="D678" s="14"/>
      <c r="E678" s="14"/>
      <c r="F678" s="14"/>
      <c r="G678" s="14"/>
      <c r="H678" s="14"/>
      <c r="I678" s="14"/>
      <c r="J678" s="14"/>
      <c r="K678" s="14"/>
      <c r="L678" s="14"/>
      <c r="M678" s="588"/>
      <c r="N678" s="588"/>
      <c r="O678" s="588"/>
    </row>
    <row r="679" spans="1:15">
      <c r="A679" s="575"/>
      <c r="B679" s="13"/>
      <c r="C679" s="13"/>
      <c r="D679" s="14"/>
      <c r="E679" s="14"/>
      <c r="F679" s="14"/>
      <c r="G679" s="14"/>
      <c r="H679" s="14"/>
      <c r="I679" s="14"/>
      <c r="J679" s="14"/>
      <c r="K679" s="14"/>
      <c r="L679" s="14"/>
      <c r="M679" s="588"/>
      <c r="N679" s="588"/>
      <c r="O679" s="588"/>
    </row>
    <row r="680" spans="1:15">
      <c r="A680" s="575"/>
      <c r="B680" s="13"/>
      <c r="C680" s="13"/>
      <c r="D680" s="14"/>
      <c r="E680" s="14"/>
      <c r="F680" s="14"/>
      <c r="G680" s="14"/>
      <c r="H680" s="14"/>
      <c r="I680" s="14"/>
      <c r="J680" s="14"/>
      <c r="K680" s="14"/>
      <c r="L680" s="14"/>
      <c r="M680" s="588"/>
      <c r="N680" s="588"/>
      <c r="O680" s="588"/>
    </row>
    <row r="681" spans="1:15">
      <c r="A681" s="575"/>
      <c r="B681" s="13"/>
      <c r="C681" s="13"/>
      <c r="D681" s="14"/>
      <c r="E681" s="14"/>
      <c r="F681" s="14"/>
      <c r="G681" s="14"/>
      <c r="H681" s="14"/>
      <c r="I681" s="14"/>
      <c r="J681" s="14"/>
      <c r="K681" s="14"/>
      <c r="L681" s="14"/>
      <c r="M681" s="588"/>
      <c r="N681" s="588"/>
      <c r="O681" s="588"/>
    </row>
    <row r="682" spans="1:15">
      <c r="A682" s="575"/>
      <c r="B682" s="13"/>
      <c r="C682" s="13"/>
      <c r="D682" s="14"/>
      <c r="E682" s="14"/>
      <c r="F682" s="14"/>
      <c r="G682" s="14"/>
      <c r="H682" s="14"/>
      <c r="I682" s="14"/>
      <c r="J682" s="14"/>
      <c r="K682" s="14"/>
      <c r="L682" s="14"/>
      <c r="M682" s="588"/>
      <c r="N682" s="588"/>
      <c r="O682" s="588"/>
    </row>
    <row r="683" spans="1:15">
      <c r="A683" s="575"/>
      <c r="B683" s="13"/>
      <c r="C683" s="13"/>
      <c r="D683" s="14"/>
      <c r="E683" s="14"/>
      <c r="F683" s="14"/>
      <c r="G683" s="14"/>
      <c r="H683" s="14"/>
      <c r="I683" s="14"/>
      <c r="J683" s="14"/>
      <c r="K683" s="14"/>
      <c r="L683" s="14"/>
      <c r="M683" s="588"/>
      <c r="N683" s="588"/>
      <c r="O683" s="588"/>
    </row>
    <row r="684" spans="1:15">
      <c r="A684" s="575"/>
      <c r="B684" s="13"/>
      <c r="C684" s="13"/>
      <c r="D684" s="14"/>
      <c r="E684" s="14"/>
      <c r="F684" s="14"/>
      <c r="G684" s="14"/>
      <c r="H684" s="14"/>
      <c r="I684" s="14"/>
      <c r="J684" s="14"/>
      <c r="K684" s="14"/>
      <c r="L684" s="14"/>
      <c r="M684" s="588"/>
      <c r="N684" s="588"/>
      <c r="O684" s="588"/>
    </row>
    <row r="685" spans="1:15">
      <c r="A685" s="575"/>
      <c r="B685" s="13"/>
      <c r="C685" s="13"/>
      <c r="D685" s="14"/>
      <c r="E685" s="14"/>
      <c r="F685" s="14"/>
      <c r="G685" s="14"/>
      <c r="H685" s="14"/>
      <c r="I685" s="14"/>
      <c r="J685" s="14"/>
      <c r="K685" s="14"/>
      <c r="L685" s="14"/>
      <c r="M685" s="588"/>
      <c r="N685" s="588"/>
      <c r="O685" s="588"/>
    </row>
    <row r="686" spans="1:15">
      <c r="A686" s="575"/>
      <c r="B686" s="13"/>
      <c r="C686" s="13"/>
      <c r="D686" s="14"/>
      <c r="E686" s="14"/>
      <c r="F686" s="14"/>
      <c r="G686" s="14"/>
      <c r="H686" s="14"/>
      <c r="I686" s="14"/>
      <c r="J686" s="14"/>
      <c r="K686" s="14"/>
      <c r="L686" s="14"/>
      <c r="M686" s="588"/>
      <c r="N686" s="588"/>
      <c r="O686" s="588"/>
    </row>
    <row r="687" spans="1:15">
      <c r="A687" s="575"/>
      <c r="B687" s="13"/>
      <c r="C687" s="13"/>
      <c r="D687" s="14"/>
      <c r="E687" s="14"/>
      <c r="F687" s="14"/>
      <c r="G687" s="14"/>
      <c r="H687" s="14"/>
      <c r="I687" s="14"/>
      <c r="J687" s="14"/>
      <c r="K687" s="14"/>
      <c r="L687" s="14"/>
      <c r="M687" s="588"/>
      <c r="N687" s="588"/>
      <c r="O687" s="588"/>
    </row>
    <row r="688" spans="1:15">
      <c r="A688" s="575"/>
      <c r="B688" s="13"/>
      <c r="C688" s="13"/>
      <c r="D688" s="14"/>
      <c r="E688" s="14"/>
      <c r="F688" s="14"/>
      <c r="G688" s="14"/>
      <c r="H688" s="14"/>
      <c r="I688" s="14"/>
      <c r="J688" s="14"/>
      <c r="K688" s="14"/>
      <c r="L688" s="14"/>
      <c r="M688" s="588"/>
      <c r="N688" s="588"/>
      <c r="O688" s="588"/>
    </row>
    <row r="689" spans="1:15">
      <c r="A689" s="575"/>
      <c r="B689" s="13"/>
      <c r="C689" s="13"/>
      <c r="D689" s="14"/>
      <c r="E689" s="14"/>
      <c r="F689" s="14"/>
      <c r="G689" s="14"/>
      <c r="H689" s="14"/>
      <c r="I689" s="14"/>
      <c r="J689" s="14"/>
      <c r="K689" s="14"/>
      <c r="L689" s="14"/>
      <c r="M689" s="588"/>
      <c r="N689" s="588"/>
      <c r="O689" s="588"/>
    </row>
    <row r="690" spans="1:15">
      <c r="A690" s="575"/>
      <c r="B690" s="13"/>
      <c r="C690" s="13"/>
      <c r="D690" s="14"/>
      <c r="E690" s="14"/>
      <c r="F690" s="14"/>
      <c r="G690" s="14"/>
      <c r="H690" s="14"/>
      <c r="I690" s="14"/>
      <c r="J690" s="14"/>
      <c r="K690" s="14"/>
      <c r="L690" s="14"/>
      <c r="M690" s="588"/>
      <c r="N690" s="588"/>
      <c r="O690" s="588"/>
    </row>
    <row r="691" spans="1:15">
      <c r="A691" s="575"/>
      <c r="B691" s="13"/>
      <c r="C691" s="13"/>
      <c r="D691" s="14"/>
      <c r="E691" s="14"/>
      <c r="F691" s="14"/>
      <c r="G691" s="14"/>
      <c r="H691" s="14"/>
      <c r="I691" s="14"/>
      <c r="J691" s="14"/>
      <c r="K691" s="14"/>
      <c r="L691" s="14"/>
      <c r="M691" s="588"/>
      <c r="N691" s="588"/>
      <c r="O691" s="588"/>
    </row>
    <row r="692" spans="1:15">
      <c r="A692" s="575"/>
      <c r="B692" s="13"/>
      <c r="C692" s="13"/>
      <c r="D692" s="14"/>
      <c r="E692" s="14"/>
      <c r="F692" s="14"/>
      <c r="G692" s="14"/>
      <c r="H692" s="14"/>
      <c r="I692" s="14"/>
      <c r="J692" s="14"/>
      <c r="K692" s="14"/>
      <c r="L692" s="14"/>
      <c r="M692" s="588"/>
      <c r="N692" s="588"/>
      <c r="O692" s="588"/>
    </row>
    <row r="693" spans="1:15">
      <c r="A693" s="575"/>
      <c r="B693" s="13"/>
      <c r="C693" s="13"/>
      <c r="D693" s="14"/>
      <c r="E693" s="14"/>
      <c r="F693" s="14"/>
      <c r="G693" s="14"/>
      <c r="H693" s="14"/>
      <c r="I693" s="14"/>
      <c r="J693" s="14"/>
      <c r="K693" s="14"/>
      <c r="L693" s="14"/>
      <c r="M693" s="588"/>
      <c r="N693" s="588"/>
      <c r="O693" s="588"/>
    </row>
    <row r="694" spans="1:15">
      <c r="A694" s="575"/>
      <c r="B694" s="13"/>
      <c r="C694" s="13"/>
      <c r="D694" s="14"/>
      <c r="E694" s="14"/>
      <c r="F694" s="14"/>
      <c r="G694" s="14"/>
      <c r="H694" s="14"/>
      <c r="I694" s="14"/>
      <c r="J694" s="14"/>
      <c r="K694" s="14"/>
      <c r="L694" s="14"/>
      <c r="M694" s="588"/>
      <c r="N694" s="588"/>
      <c r="O694" s="588"/>
    </row>
    <row r="695" spans="1:15">
      <c r="A695" s="575"/>
      <c r="B695" s="13"/>
      <c r="C695" s="13"/>
      <c r="D695" s="14"/>
      <c r="E695" s="14"/>
      <c r="F695" s="14"/>
      <c r="G695" s="14"/>
      <c r="H695" s="14"/>
      <c r="I695" s="14"/>
      <c r="J695" s="14"/>
      <c r="K695" s="14"/>
      <c r="L695" s="14"/>
      <c r="M695" s="588"/>
      <c r="N695" s="588"/>
      <c r="O695" s="588"/>
    </row>
    <row r="696" spans="1:15">
      <c r="A696" s="575"/>
      <c r="B696" s="13"/>
      <c r="C696" s="13"/>
      <c r="D696" s="14"/>
      <c r="E696" s="14"/>
      <c r="F696" s="14"/>
      <c r="G696" s="14"/>
      <c r="H696" s="14"/>
      <c r="I696" s="14"/>
      <c r="J696" s="14"/>
      <c r="K696" s="14"/>
      <c r="L696" s="14"/>
      <c r="M696" s="588"/>
      <c r="N696" s="588"/>
      <c r="O696" s="588"/>
    </row>
    <row r="697" spans="1:15">
      <c r="A697" s="575"/>
      <c r="B697" s="13"/>
      <c r="C697" s="13"/>
      <c r="D697" s="14"/>
      <c r="E697" s="14"/>
      <c r="F697" s="14"/>
      <c r="G697" s="14"/>
      <c r="H697" s="14"/>
      <c r="I697" s="14"/>
      <c r="J697" s="14"/>
      <c r="K697" s="14"/>
      <c r="L697" s="14"/>
      <c r="M697" s="588"/>
      <c r="N697" s="588"/>
      <c r="O697" s="588"/>
    </row>
    <row r="698" spans="1:15">
      <c r="A698" s="575"/>
      <c r="B698" s="13"/>
      <c r="C698" s="13"/>
      <c r="D698" s="14"/>
      <c r="E698" s="14"/>
      <c r="F698" s="14"/>
      <c r="G698" s="14"/>
      <c r="H698" s="14"/>
      <c r="I698" s="14"/>
      <c r="J698" s="14"/>
      <c r="K698" s="14"/>
      <c r="L698" s="14"/>
      <c r="M698" s="588"/>
      <c r="N698" s="588"/>
      <c r="O698" s="588"/>
    </row>
    <row r="699" spans="1:15">
      <c r="A699" s="575"/>
      <c r="B699" s="13"/>
      <c r="C699" s="13"/>
      <c r="D699" s="14"/>
      <c r="E699" s="14"/>
      <c r="F699" s="14"/>
      <c r="G699" s="14"/>
      <c r="H699" s="14"/>
      <c r="I699" s="14"/>
      <c r="J699" s="14"/>
      <c r="K699" s="14"/>
      <c r="L699" s="14"/>
      <c r="M699" s="588"/>
      <c r="N699" s="588"/>
      <c r="O699" s="588"/>
    </row>
    <row r="700" spans="1:15">
      <c r="A700" s="575"/>
      <c r="B700" s="13"/>
      <c r="C700" s="13"/>
      <c r="D700" s="14"/>
      <c r="E700" s="14"/>
      <c r="F700" s="14"/>
      <c r="G700" s="14"/>
      <c r="H700" s="14"/>
      <c r="I700" s="14"/>
      <c r="J700" s="14"/>
      <c r="K700" s="14"/>
      <c r="L700" s="14"/>
      <c r="M700" s="588"/>
      <c r="N700" s="588"/>
      <c r="O700" s="588"/>
    </row>
    <row r="701" spans="1:15">
      <c r="A701" s="575"/>
      <c r="B701" s="13"/>
      <c r="C701" s="13"/>
      <c r="D701" s="14"/>
      <c r="E701" s="14"/>
      <c r="F701" s="14"/>
      <c r="G701" s="14"/>
      <c r="H701" s="14"/>
      <c r="I701" s="14"/>
      <c r="J701" s="14"/>
      <c r="K701" s="14"/>
      <c r="L701" s="14"/>
      <c r="M701" s="588"/>
      <c r="N701" s="588"/>
      <c r="O701" s="588"/>
    </row>
    <row r="702" spans="1:15">
      <c r="H702" s="14"/>
      <c r="I702" s="14"/>
      <c r="J702" s="14"/>
      <c r="K702" s="14"/>
      <c r="L702" s="14"/>
      <c r="M702" s="588"/>
      <c r="N702" s="588"/>
      <c r="O702" s="588"/>
    </row>
    <row r="703" spans="1:15">
      <c r="H703" s="14"/>
      <c r="I703" s="14"/>
      <c r="J703" s="14"/>
      <c r="K703" s="14"/>
      <c r="L703" s="14"/>
      <c r="M703" s="588"/>
      <c r="N703" s="588"/>
      <c r="O703" s="588"/>
    </row>
    <row r="704" spans="1:15">
      <c r="H704" s="14"/>
      <c r="I704" s="14"/>
      <c r="J704" s="14"/>
      <c r="K704" s="14"/>
      <c r="L704" s="14"/>
      <c r="M704" s="588"/>
      <c r="N704" s="588"/>
      <c r="O704" s="588"/>
    </row>
    <row r="705" spans="8:15">
      <c r="H705" s="14"/>
      <c r="I705" s="14"/>
      <c r="J705" s="14"/>
      <c r="K705" s="14"/>
      <c r="L705" s="14"/>
      <c r="M705" s="588"/>
      <c r="N705" s="588"/>
      <c r="O705" s="588"/>
    </row>
    <row r="706" spans="8:15">
      <c r="H706" s="14"/>
      <c r="I706" s="14"/>
      <c r="J706" s="14"/>
      <c r="K706" s="14"/>
      <c r="L706" s="14"/>
      <c r="M706" s="588"/>
      <c r="N706" s="588"/>
      <c r="O706" s="588"/>
    </row>
    <row r="707" spans="8:15">
      <c r="H707" s="14"/>
      <c r="I707" s="14"/>
      <c r="J707" s="14"/>
      <c r="K707" s="14"/>
      <c r="L707" s="14"/>
      <c r="M707" s="588"/>
      <c r="N707" s="588"/>
      <c r="O707" s="588"/>
    </row>
    <row r="708" spans="8:15">
      <c r="H708" s="14"/>
      <c r="I708" s="14"/>
      <c r="J708" s="14"/>
      <c r="K708" s="14"/>
      <c r="L708" s="14"/>
      <c r="M708" s="588"/>
      <c r="N708" s="588"/>
      <c r="O708" s="588"/>
    </row>
    <row r="709" spans="8:15">
      <c r="H709" s="14"/>
      <c r="I709" s="14"/>
      <c r="J709" s="14"/>
      <c r="K709" s="14"/>
      <c r="L709" s="14"/>
      <c r="M709" s="588"/>
      <c r="N709" s="588"/>
      <c r="O709" s="588"/>
    </row>
    <row r="710" spans="8:15">
      <c r="H710" s="14"/>
      <c r="I710" s="14"/>
      <c r="J710" s="14"/>
      <c r="K710" s="14"/>
      <c r="L710" s="14"/>
      <c r="M710" s="588"/>
      <c r="N710" s="588"/>
      <c r="O710" s="588"/>
    </row>
    <row r="711" spans="8:15">
      <c r="H711" s="14"/>
      <c r="I711" s="14"/>
      <c r="J711" s="14"/>
      <c r="K711" s="14"/>
      <c r="L711" s="14"/>
      <c r="M711" s="588"/>
      <c r="N711" s="588"/>
      <c r="O711" s="588"/>
    </row>
    <row r="712" spans="8:15">
      <c r="H712" s="14"/>
      <c r="I712" s="14"/>
      <c r="J712" s="14"/>
      <c r="K712" s="14"/>
      <c r="L712" s="14"/>
      <c r="M712" s="588"/>
      <c r="N712" s="588"/>
      <c r="O712" s="588"/>
    </row>
    <row r="713" spans="8:15">
      <c r="H713" s="14"/>
      <c r="I713" s="14"/>
      <c r="J713" s="14"/>
      <c r="K713" s="14"/>
      <c r="L713" s="14"/>
      <c r="M713" s="588"/>
      <c r="N713" s="588"/>
      <c r="O713" s="588"/>
    </row>
    <row r="714" spans="8:15">
      <c r="H714" s="14"/>
      <c r="I714" s="14"/>
      <c r="J714" s="14"/>
      <c r="K714" s="14"/>
      <c r="L714" s="14"/>
      <c r="M714" s="588"/>
      <c r="N714" s="588"/>
      <c r="O714" s="588"/>
    </row>
    <row r="715" spans="8:15">
      <c r="H715" s="14"/>
      <c r="I715" s="14"/>
      <c r="J715" s="14"/>
      <c r="K715" s="14"/>
      <c r="L715" s="14"/>
      <c r="M715" s="588"/>
      <c r="N715" s="588"/>
      <c r="O715" s="588"/>
    </row>
    <row r="716" spans="8:15">
      <c r="H716" s="14"/>
      <c r="I716" s="14"/>
      <c r="J716" s="14"/>
      <c r="K716" s="14"/>
      <c r="L716" s="14"/>
      <c r="M716" s="588"/>
      <c r="N716" s="588"/>
      <c r="O716" s="588"/>
    </row>
    <row r="717" spans="8:15">
      <c r="H717" s="14"/>
      <c r="I717" s="14"/>
      <c r="J717" s="14"/>
      <c r="K717" s="14"/>
      <c r="L717" s="14"/>
      <c r="M717" s="588"/>
      <c r="N717" s="588"/>
      <c r="O717" s="588"/>
    </row>
    <row r="718" spans="8:15">
      <c r="H718" s="14"/>
      <c r="I718" s="14"/>
      <c r="J718" s="14"/>
      <c r="K718" s="14"/>
      <c r="L718" s="14"/>
      <c r="M718" s="588"/>
      <c r="N718" s="588"/>
      <c r="O718" s="588"/>
    </row>
    <row r="719" spans="8:15">
      <c r="H719" s="14"/>
      <c r="I719" s="14"/>
      <c r="J719" s="14"/>
      <c r="K719" s="14"/>
      <c r="L719" s="14"/>
      <c r="M719" s="588"/>
      <c r="N719" s="588"/>
      <c r="O719" s="588"/>
    </row>
    <row r="720" spans="8:15">
      <c r="H720" s="14"/>
      <c r="I720" s="14"/>
      <c r="J720" s="14"/>
      <c r="K720" s="14"/>
      <c r="L720" s="14"/>
      <c r="M720" s="588"/>
      <c r="N720" s="588"/>
      <c r="O720" s="588"/>
    </row>
    <row r="721" spans="8:15">
      <c r="H721" s="14"/>
      <c r="I721" s="14"/>
      <c r="J721" s="14"/>
      <c r="K721" s="14"/>
      <c r="L721" s="14"/>
      <c r="M721" s="588"/>
      <c r="N721" s="588"/>
      <c r="O721" s="588"/>
    </row>
    <row r="722" spans="8:15">
      <c r="H722" s="14"/>
      <c r="I722" s="14"/>
      <c r="J722" s="14"/>
      <c r="K722" s="14"/>
      <c r="L722" s="14"/>
      <c r="M722" s="588"/>
      <c r="N722" s="588"/>
      <c r="O722" s="588"/>
    </row>
    <row r="723" spans="8:15">
      <c r="H723" s="14"/>
      <c r="I723" s="14"/>
      <c r="J723" s="14"/>
      <c r="K723" s="14"/>
      <c r="L723" s="14"/>
      <c r="M723" s="588"/>
      <c r="N723" s="588"/>
      <c r="O723" s="588"/>
    </row>
    <row r="724" spans="8:15">
      <c r="H724" s="14"/>
      <c r="I724" s="14"/>
      <c r="J724" s="14"/>
      <c r="K724" s="14"/>
      <c r="L724" s="14"/>
      <c r="M724" s="588"/>
      <c r="N724" s="588"/>
      <c r="O724" s="588"/>
    </row>
    <row r="725" spans="8:15">
      <c r="H725" s="14"/>
      <c r="I725" s="14"/>
      <c r="J725" s="14"/>
      <c r="K725" s="14"/>
      <c r="L725" s="14"/>
      <c r="M725" s="588"/>
      <c r="N725" s="588"/>
      <c r="O725" s="588"/>
    </row>
    <row r="726" spans="8:15">
      <c r="H726" s="14"/>
      <c r="I726" s="14"/>
      <c r="J726" s="14"/>
      <c r="K726" s="14"/>
      <c r="L726" s="14"/>
      <c r="M726" s="588"/>
      <c r="N726" s="588"/>
      <c r="O726" s="588"/>
    </row>
    <row r="727" spans="8:15">
      <c r="H727" s="14"/>
      <c r="I727" s="14"/>
      <c r="J727" s="14"/>
      <c r="K727" s="14"/>
      <c r="L727" s="14"/>
      <c r="M727" s="588"/>
      <c r="N727" s="588"/>
      <c r="O727" s="588"/>
    </row>
    <row r="728" spans="8:15">
      <c r="H728" s="14"/>
      <c r="I728" s="14"/>
      <c r="J728" s="14"/>
      <c r="K728" s="14"/>
      <c r="L728" s="14"/>
      <c r="M728" s="588"/>
      <c r="N728" s="588"/>
      <c r="O728" s="588"/>
    </row>
    <row r="729" spans="8:15">
      <c r="H729" s="14"/>
      <c r="I729" s="14"/>
      <c r="J729" s="14"/>
      <c r="K729" s="14"/>
      <c r="L729" s="14"/>
      <c r="M729" s="588"/>
      <c r="N729" s="588"/>
      <c r="O729" s="588"/>
    </row>
    <row r="730" spans="8:15">
      <c r="H730" s="14"/>
      <c r="I730" s="14"/>
      <c r="J730" s="14"/>
      <c r="K730" s="14"/>
      <c r="L730" s="14"/>
      <c r="M730" s="588"/>
      <c r="N730" s="588"/>
      <c r="O730" s="588"/>
    </row>
    <row r="731" spans="8:15">
      <c r="H731" s="14"/>
      <c r="I731" s="14"/>
      <c r="J731" s="14"/>
      <c r="K731" s="14"/>
      <c r="L731" s="14"/>
      <c r="M731" s="588"/>
      <c r="N731" s="588"/>
      <c r="O731" s="588"/>
    </row>
    <row r="732" spans="8:15">
      <c r="H732" s="14"/>
      <c r="I732" s="14"/>
      <c r="J732" s="14"/>
      <c r="K732" s="14"/>
      <c r="L732" s="14"/>
      <c r="M732" s="588"/>
      <c r="N732" s="588"/>
      <c r="O732" s="588"/>
    </row>
    <row r="733" spans="8:15">
      <c r="H733" s="14"/>
      <c r="I733" s="14"/>
      <c r="J733" s="14"/>
      <c r="K733" s="14"/>
      <c r="L733" s="14"/>
      <c r="M733" s="588"/>
      <c r="N733" s="588"/>
      <c r="O733" s="588"/>
    </row>
    <row r="734" spans="8:15">
      <c r="H734" s="14"/>
      <c r="I734" s="14"/>
      <c r="J734" s="14"/>
      <c r="K734" s="14"/>
      <c r="L734" s="14"/>
      <c r="M734" s="588"/>
      <c r="N734" s="588"/>
      <c r="O734" s="588"/>
    </row>
    <row r="735" spans="8:15">
      <c r="H735" s="14"/>
      <c r="I735" s="14"/>
      <c r="J735" s="14"/>
      <c r="K735" s="14"/>
      <c r="L735" s="14"/>
      <c r="M735" s="588"/>
      <c r="N735" s="588"/>
      <c r="O735" s="588"/>
    </row>
    <row r="736" spans="8:15">
      <c r="H736" s="14"/>
      <c r="I736" s="14"/>
      <c r="J736" s="14"/>
      <c r="K736" s="14"/>
      <c r="L736" s="14"/>
      <c r="M736" s="588"/>
      <c r="N736" s="588"/>
      <c r="O736" s="588"/>
    </row>
    <row r="737" spans="8:15">
      <c r="H737" s="14"/>
      <c r="I737" s="14"/>
      <c r="J737" s="14"/>
      <c r="K737" s="14"/>
      <c r="L737" s="14"/>
      <c r="M737" s="588"/>
      <c r="N737" s="588"/>
      <c r="O737" s="588"/>
    </row>
    <row r="738" spans="8:15">
      <c r="H738" s="14"/>
      <c r="I738" s="14"/>
      <c r="J738" s="14"/>
      <c r="K738" s="14"/>
      <c r="L738" s="14"/>
      <c r="M738" s="588"/>
      <c r="N738" s="588"/>
      <c r="O738" s="588"/>
    </row>
    <row r="739" spans="8:15">
      <c r="H739" s="14"/>
      <c r="I739" s="14"/>
      <c r="J739" s="14"/>
      <c r="K739" s="14"/>
      <c r="L739" s="14"/>
      <c r="M739" s="588"/>
      <c r="N739" s="588"/>
      <c r="O739" s="588"/>
    </row>
    <row r="740" spans="8:15">
      <c r="H740" s="14"/>
      <c r="I740" s="14"/>
      <c r="J740" s="14"/>
      <c r="K740" s="14"/>
      <c r="L740" s="14"/>
      <c r="M740" s="588"/>
      <c r="N740" s="588"/>
      <c r="O740" s="588"/>
    </row>
    <row r="741" spans="8:15">
      <c r="H741" s="14"/>
      <c r="I741" s="14"/>
      <c r="J741" s="14"/>
      <c r="K741" s="14"/>
      <c r="L741" s="14"/>
      <c r="M741" s="588"/>
      <c r="N741" s="588"/>
      <c r="O741" s="588"/>
    </row>
    <row r="742" spans="8:15">
      <c r="H742" s="14"/>
      <c r="I742" s="14"/>
      <c r="J742" s="14"/>
      <c r="K742" s="14"/>
      <c r="L742" s="14"/>
      <c r="M742" s="588"/>
      <c r="N742" s="588"/>
      <c r="O742" s="588"/>
    </row>
    <row r="743" spans="8:15">
      <c r="H743" s="14"/>
      <c r="I743" s="14"/>
      <c r="J743" s="14"/>
      <c r="K743" s="14"/>
      <c r="L743" s="14"/>
      <c r="M743" s="588"/>
      <c r="N743" s="588"/>
      <c r="O743" s="588"/>
    </row>
    <row r="744" spans="8:15">
      <c r="H744" s="14"/>
      <c r="I744" s="14"/>
      <c r="J744" s="14"/>
      <c r="K744" s="14"/>
      <c r="L744" s="14"/>
      <c r="M744" s="588"/>
      <c r="N744" s="588"/>
      <c r="O744" s="588"/>
    </row>
    <row r="745" spans="8:15">
      <c r="H745" s="14"/>
      <c r="I745" s="14"/>
      <c r="J745" s="14"/>
      <c r="K745" s="14"/>
      <c r="L745" s="14"/>
      <c r="M745" s="588"/>
      <c r="N745" s="588"/>
      <c r="O745" s="58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3A731-4295-4DA4-9040-FF6F30E090FD}">
  <dimension ref="A1:E791"/>
  <sheetViews>
    <sheetView workbookViewId="0">
      <selection activeCell="L13" sqref="L13"/>
    </sheetView>
  </sheetViews>
  <sheetFormatPr defaultColWidth="11" defaultRowHeight="14"/>
  <cols>
    <col min="1" max="1" width="13.5" customWidth="1"/>
    <col min="2" max="2" width="16.83203125" customWidth="1"/>
    <col min="3" max="3" width="18.33203125" customWidth="1"/>
    <col min="4" max="4" width="15" customWidth="1"/>
    <col min="5" max="5" width="19.33203125" customWidth="1"/>
  </cols>
  <sheetData>
    <row r="1" spans="1:5" ht="20.5" thickBot="1">
      <c r="A1" s="35" t="s">
        <v>368</v>
      </c>
      <c r="B1" s="57"/>
      <c r="C1" s="57"/>
      <c r="D1" s="57"/>
      <c r="E1" s="57"/>
    </row>
    <row r="2" spans="1:5" ht="20">
      <c r="A2" s="552"/>
      <c r="B2" s="59" t="s">
        <v>382</v>
      </c>
      <c r="C2" s="59" t="s">
        <v>383</v>
      </c>
      <c r="D2" s="59"/>
      <c r="E2" s="59"/>
    </row>
    <row r="3" spans="1:5" ht="25">
      <c r="A3" s="553" t="s">
        <v>319</v>
      </c>
      <c r="B3" s="63" t="s">
        <v>384</v>
      </c>
      <c r="C3" s="141" t="s">
        <v>385</v>
      </c>
      <c r="D3" s="63" t="s">
        <v>386</v>
      </c>
      <c r="E3" s="63" t="s">
        <v>387</v>
      </c>
    </row>
    <row r="4" spans="1:5" ht="15.5">
      <c r="A4" s="554" t="s">
        <v>364</v>
      </c>
      <c r="B4" s="65"/>
      <c r="C4" s="142"/>
      <c r="D4" s="65"/>
      <c r="E4" s="65"/>
    </row>
    <row r="5" spans="1:5">
      <c r="A5" s="533" t="s">
        <v>381</v>
      </c>
      <c r="B5" s="336"/>
      <c r="C5" s="336"/>
      <c r="D5" s="336"/>
      <c r="E5" s="555">
        <v>0.98192845381613847</v>
      </c>
    </row>
    <row r="6" spans="1:5">
      <c r="A6" s="533" t="s">
        <v>388</v>
      </c>
      <c r="B6" s="336"/>
      <c r="C6" s="383"/>
      <c r="D6" s="336"/>
      <c r="E6" s="556" t="e">
        <f t="shared" ref="E6:E25" si="0">C6/D6</f>
        <v>#DIV/0!</v>
      </c>
    </row>
    <row r="7" spans="1:5">
      <c r="A7" s="533" t="s">
        <v>389</v>
      </c>
      <c r="B7" s="336"/>
      <c r="C7" s="383"/>
      <c r="D7" s="336"/>
      <c r="E7" s="556" t="e">
        <f t="shared" si="0"/>
        <v>#DIV/0!</v>
      </c>
    </row>
    <row r="8" spans="1:5">
      <c r="A8" s="533" t="s">
        <v>390</v>
      </c>
      <c r="B8" s="336"/>
      <c r="C8" s="383"/>
      <c r="D8" s="336"/>
      <c r="E8" s="556" t="e">
        <f t="shared" si="0"/>
        <v>#DIV/0!</v>
      </c>
    </row>
    <row r="9" spans="1:5">
      <c r="A9" s="533" t="s">
        <v>391</v>
      </c>
      <c r="B9" s="336"/>
      <c r="C9" s="383"/>
      <c r="D9" s="336"/>
      <c r="E9" s="556" t="e">
        <f t="shared" si="0"/>
        <v>#DIV/0!</v>
      </c>
    </row>
    <row r="10" spans="1:5">
      <c r="A10" s="533" t="s">
        <v>392</v>
      </c>
      <c r="B10" s="336"/>
      <c r="C10" s="383"/>
      <c r="D10" s="336"/>
      <c r="E10" s="556" t="e">
        <f t="shared" si="0"/>
        <v>#DIV/0!</v>
      </c>
    </row>
    <row r="11" spans="1:5">
      <c r="A11" s="533" t="s">
        <v>393</v>
      </c>
      <c r="B11" s="336">
        <v>19</v>
      </c>
      <c r="C11" s="383">
        <v>4446</v>
      </c>
      <c r="D11" s="336">
        <v>4560</v>
      </c>
      <c r="E11" s="556">
        <f t="shared" si="0"/>
        <v>0.97499999999999998</v>
      </c>
    </row>
    <row r="12" spans="1:5">
      <c r="A12" s="533" t="s">
        <v>394</v>
      </c>
      <c r="B12" s="336">
        <v>16</v>
      </c>
      <c r="C12" s="383">
        <v>5587</v>
      </c>
      <c r="D12" s="336">
        <v>5820</v>
      </c>
      <c r="E12" s="556">
        <f t="shared" si="0"/>
        <v>0.95996563573883165</v>
      </c>
    </row>
    <row r="13" spans="1:5">
      <c r="A13" s="533" t="s">
        <v>395</v>
      </c>
      <c r="B13" s="336">
        <v>48</v>
      </c>
      <c r="C13" s="383">
        <v>7313</v>
      </c>
      <c r="D13" s="336">
        <v>7662</v>
      </c>
      <c r="E13" s="556">
        <f t="shared" si="0"/>
        <v>0.95445053510832678</v>
      </c>
    </row>
    <row r="14" spans="1:5">
      <c r="A14" s="533" t="s">
        <v>396</v>
      </c>
      <c r="B14" s="336">
        <v>20</v>
      </c>
      <c r="C14" s="383">
        <v>5370</v>
      </c>
      <c r="D14" s="336">
        <v>5820</v>
      </c>
      <c r="E14" s="556">
        <f t="shared" si="0"/>
        <v>0.92268041237113407</v>
      </c>
    </row>
    <row r="15" spans="1:5">
      <c r="A15" s="533" t="s">
        <v>397</v>
      </c>
      <c r="B15" s="336">
        <v>29</v>
      </c>
      <c r="C15" s="383">
        <v>10990</v>
      </c>
      <c r="D15" s="336">
        <v>11550</v>
      </c>
      <c r="E15" s="556">
        <f t="shared" si="0"/>
        <v>0.95151515151515154</v>
      </c>
    </row>
    <row r="16" spans="1:5">
      <c r="A16" s="557" t="s">
        <v>398</v>
      </c>
      <c r="B16" s="336">
        <v>191</v>
      </c>
      <c r="C16" s="383">
        <v>10095</v>
      </c>
      <c r="D16" s="336">
        <v>11542</v>
      </c>
      <c r="E16" s="556">
        <f t="shared" si="0"/>
        <v>0.87463177958759308</v>
      </c>
    </row>
    <row r="17" spans="1:5">
      <c r="A17" s="557" t="s">
        <v>399</v>
      </c>
      <c r="B17" s="336">
        <v>27</v>
      </c>
      <c r="C17" s="383">
        <v>4105</v>
      </c>
      <c r="D17" s="336">
        <v>4965</v>
      </c>
      <c r="E17" s="556">
        <f t="shared" si="0"/>
        <v>0.82678751258811678</v>
      </c>
    </row>
    <row r="18" spans="1:5">
      <c r="A18" s="533" t="s">
        <v>388</v>
      </c>
      <c r="B18" s="336">
        <v>37</v>
      </c>
      <c r="C18" s="383">
        <v>10801</v>
      </c>
      <c r="D18" s="336">
        <v>11747</v>
      </c>
      <c r="E18" s="556">
        <f t="shared" si="0"/>
        <v>0.91946880054481994</v>
      </c>
    </row>
    <row r="19" spans="1:5">
      <c r="A19" s="533" t="s">
        <v>389</v>
      </c>
      <c r="B19" s="336">
        <v>53</v>
      </c>
      <c r="C19" s="383">
        <v>14750</v>
      </c>
      <c r="D19" s="336">
        <v>16596</v>
      </c>
      <c r="E19" s="556">
        <f t="shared" si="0"/>
        <v>0.88876837792239094</v>
      </c>
    </row>
    <row r="20" spans="1:5">
      <c r="A20" s="533" t="s">
        <v>390</v>
      </c>
      <c r="B20" s="336">
        <v>54</v>
      </c>
      <c r="C20" s="383">
        <v>12555</v>
      </c>
      <c r="D20" s="336">
        <v>14968</v>
      </c>
      <c r="E20" s="556">
        <f t="shared" si="0"/>
        <v>0.8387894174238375</v>
      </c>
    </row>
    <row r="21" spans="1:5">
      <c r="A21" s="533" t="s">
        <v>391</v>
      </c>
      <c r="B21" s="336">
        <v>64</v>
      </c>
      <c r="C21" s="383">
        <v>16955</v>
      </c>
      <c r="D21" s="336">
        <v>19017</v>
      </c>
      <c r="E21" s="556">
        <f t="shared" si="0"/>
        <v>0.89157069990008941</v>
      </c>
    </row>
    <row r="22" spans="1:5">
      <c r="A22" s="533" t="s">
        <v>392</v>
      </c>
      <c r="B22" s="336">
        <v>39</v>
      </c>
      <c r="C22" s="383">
        <v>26735</v>
      </c>
      <c r="D22" s="336">
        <v>28853</v>
      </c>
      <c r="E22" s="556">
        <f t="shared" si="0"/>
        <v>0.92659342182788618</v>
      </c>
    </row>
    <row r="23" spans="1:5">
      <c r="A23" s="533"/>
      <c r="B23" s="336"/>
      <c r="C23" s="383"/>
      <c r="D23" s="336"/>
      <c r="E23" s="556" t="e">
        <f t="shared" si="0"/>
        <v>#DIV/0!</v>
      </c>
    </row>
    <row r="24" spans="1:5">
      <c r="A24" s="533"/>
      <c r="B24" s="336"/>
      <c r="C24" s="383"/>
      <c r="D24" s="336"/>
      <c r="E24" s="556" t="e">
        <f t="shared" si="0"/>
        <v>#DIV/0!</v>
      </c>
    </row>
    <row r="25" spans="1:5">
      <c r="A25" s="533"/>
      <c r="B25" s="336"/>
      <c r="C25" s="383"/>
      <c r="D25" s="336"/>
      <c r="E25" s="556" t="e">
        <f t="shared" si="0"/>
        <v>#DIV/0!</v>
      </c>
    </row>
    <row r="26" spans="1:5">
      <c r="A26" s="533"/>
      <c r="B26" s="336"/>
      <c r="C26" s="383"/>
      <c r="D26" s="336"/>
      <c r="E26" s="558"/>
    </row>
    <row r="27" spans="1:5">
      <c r="A27" s="533"/>
      <c r="B27" s="336"/>
      <c r="C27" s="383"/>
      <c r="D27" s="336"/>
      <c r="E27" s="558"/>
    </row>
    <row r="28" spans="1:5">
      <c r="A28" s="557"/>
      <c r="B28" s="336"/>
      <c r="C28" s="383"/>
      <c r="D28" s="336"/>
      <c r="E28" s="558"/>
    </row>
    <row r="29" spans="1:5">
      <c r="A29" s="557"/>
      <c r="B29" s="336"/>
      <c r="C29" s="383"/>
      <c r="D29" s="336"/>
      <c r="E29" s="558"/>
    </row>
    <row r="30" spans="1:5">
      <c r="A30" s="534"/>
      <c r="B30" s="336"/>
      <c r="C30" s="383"/>
      <c r="D30" s="336"/>
      <c r="E30" s="336"/>
    </row>
    <row r="31" spans="1:5">
      <c r="A31" s="534"/>
      <c r="B31" s="336"/>
      <c r="C31" s="383"/>
      <c r="D31" s="336"/>
      <c r="E31" s="336"/>
    </row>
    <row r="32" spans="1:5">
      <c r="A32" s="534"/>
      <c r="B32" s="336"/>
      <c r="C32" s="383"/>
      <c r="D32" s="336"/>
      <c r="E32" s="336"/>
    </row>
    <row r="33" spans="1:5">
      <c r="A33" s="534"/>
      <c r="B33" s="336"/>
      <c r="C33" s="383"/>
      <c r="D33" s="336"/>
      <c r="E33" s="336"/>
    </row>
    <row r="34" spans="1:5">
      <c r="A34" s="534"/>
      <c r="B34" s="336"/>
      <c r="C34" s="383"/>
      <c r="D34" s="336"/>
      <c r="E34" s="336"/>
    </row>
    <row r="35" spans="1:5">
      <c r="A35" s="534"/>
      <c r="B35" s="336"/>
      <c r="C35" s="383"/>
      <c r="D35" s="336"/>
      <c r="E35" s="336"/>
    </row>
    <row r="36" spans="1:5">
      <c r="A36" s="534"/>
      <c r="B36" s="336"/>
      <c r="C36" s="383"/>
      <c r="D36" s="336"/>
      <c r="E36" s="336"/>
    </row>
    <row r="37" spans="1:5">
      <c r="A37" s="534"/>
      <c r="B37" s="336"/>
      <c r="C37" s="383"/>
      <c r="D37" s="336"/>
      <c r="E37" s="336"/>
    </row>
    <row r="38" spans="1:5">
      <c r="A38" s="534"/>
      <c r="B38" s="336"/>
      <c r="C38" s="383"/>
      <c r="D38" s="336"/>
      <c r="E38" s="336"/>
    </row>
    <row r="39" spans="1:5">
      <c r="A39" s="534"/>
      <c r="B39" s="336"/>
      <c r="C39" s="383"/>
      <c r="D39" s="336"/>
      <c r="E39" s="336"/>
    </row>
    <row r="40" spans="1:5">
      <c r="A40" s="534"/>
      <c r="B40" s="336"/>
      <c r="C40" s="383"/>
      <c r="D40" s="336"/>
      <c r="E40" s="336"/>
    </row>
    <row r="41" spans="1:5">
      <c r="A41" s="534"/>
      <c r="B41" s="336"/>
      <c r="C41" s="383"/>
      <c r="D41" s="336"/>
      <c r="E41" s="336"/>
    </row>
    <row r="42" spans="1:5">
      <c r="A42" s="534"/>
      <c r="B42" s="336"/>
      <c r="C42" s="383"/>
      <c r="D42" s="336"/>
      <c r="E42" s="336"/>
    </row>
    <row r="43" spans="1:5">
      <c r="A43" s="534"/>
      <c r="B43" s="336"/>
      <c r="C43" s="383"/>
      <c r="D43" s="336"/>
      <c r="E43" s="336"/>
    </row>
    <row r="44" spans="1:5">
      <c r="A44" s="534"/>
      <c r="B44" s="336"/>
      <c r="C44" s="383"/>
      <c r="D44" s="336"/>
      <c r="E44" s="336"/>
    </row>
    <row r="45" spans="1:5">
      <c r="A45" s="534"/>
      <c r="B45" s="336"/>
      <c r="C45" s="383"/>
      <c r="D45" s="336"/>
      <c r="E45" s="336"/>
    </row>
    <row r="46" spans="1:5">
      <c r="A46" s="534"/>
      <c r="B46" s="336"/>
      <c r="C46" s="383"/>
      <c r="D46" s="336"/>
      <c r="E46" s="336"/>
    </row>
    <row r="47" spans="1:5">
      <c r="A47" s="534"/>
      <c r="B47" s="336"/>
      <c r="C47" s="383"/>
      <c r="D47" s="336"/>
      <c r="E47" s="336"/>
    </row>
    <row r="48" spans="1:5">
      <c r="A48" s="534"/>
      <c r="B48" s="336"/>
      <c r="C48" s="383"/>
      <c r="D48" s="336"/>
      <c r="E48" s="336"/>
    </row>
    <row r="49" spans="1:5">
      <c r="A49" s="534"/>
      <c r="B49" s="336"/>
      <c r="C49" s="383"/>
      <c r="D49" s="336"/>
      <c r="E49" s="336"/>
    </row>
    <row r="50" spans="1:5">
      <c r="A50" s="534"/>
      <c r="B50" s="336"/>
      <c r="C50" s="383"/>
      <c r="D50" s="336"/>
      <c r="E50" s="336"/>
    </row>
    <row r="51" spans="1:5">
      <c r="A51" s="534"/>
      <c r="B51" s="336"/>
      <c r="C51" s="383"/>
      <c r="D51" s="336"/>
      <c r="E51" s="336"/>
    </row>
    <row r="52" spans="1:5">
      <c r="A52" s="534"/>
      <c r="B52" s="336"/>
      <c r="C52" s="383"/>
      <c r="D52" s="336"/>
      <c r="E52" s="336"/>
    </row>
    <row r="53" spans="1:5">
      <c r="A53" s="534"/>
      <c r="B53" s="336"/>
      <c r="C53" s="383"/>
      <c r="D53" s="336"/>
      <c r="E53" s="336"/>
    </row>
    <row r="54" spans="1:5">
      <c r="A54" s="534"/>
      <c r="B54" s="336"/>
      <c r="C54" s="383"/>
      <c r="D54" s="336"/>
      <c r="E54" s="336"/>
    </row>
    <row r="55" spans="1:5">
      <c r="A55" s="534"/>
      <c r="B55" s="336"/>
      <c r="C55" s="383"/>
      <c r="D55" s="336"/>
      <c r="E55" s="336"/>
    </row>
    <row r="56" spans="1:5">
      <c r="A56" s="534"/>
      <c r="B56" s="336"/>
      <c r="C56" s="383"/>
      <c r="D56" s="336"/>
      <c r="E56" s="336"/>
    </row>
    <row r="57" spans="1:5" ht="14.5" thickBot="1">
      <c r="A57" s="534"/>
      <c r="B57" s="559"/>
      <c r="C57" s="548"/>
      <c r="D57" s="559"/>
      <c r="E57" s="559"/>
    </row>
    <row r="58" spans="1:5">
      <c r="A58" s="23"/>
      <c r="B58" s="13"/>
      <c r="C58" s="13"/>
      <c r="D58" s="13"/>
      <c r="E58" s="13"/>
    </row>
    <row r="59" spans="1:5">
      <c r="A59" s="23"/>
      <c r="B59" s="13"/>
      <c r="C59" s="13"/>
      <c r="D59" s="13"/>
      <c r="E59" s="13"/>
    </row>
    <row r="60" spans="1:5">
      <c r="A60" s="23"/>
      <c r="B60" s="13"/>
      <c r="C60" s="13"/>
      <c r="D60" s="13"/>
      <c r="E60" s="13"/>
    </row>
    <row r="61" spans="1:5">
      <c r="A61" s="23"/>
      <c r="B61" s="13"/>
      <c r="C61" s="13"/>
      <c r="D61" s="13"/>
      <c r="E61" s="13"/>
    </row>
    <row r="62" spans="1:5">
      <c r="A62" s="23"/>
      <c r="B62" s="13"/>
      <c r="C62" s="13"/>
      <c r="D62" s="13"/>
      <c r="E62" s="13"/>
    </row>
    <row r="63" spans="1:5">
      <c r="A63" s="23"/>
      <c r="B63" s="13"/>
      <c r="C63" s="13"/>
      <c r="D63" s="13"/>
      <c r="E63" s="13"/>
    </row>
    <row r="64" spans="1:5">
      <c r="A64" s="23"/>
      <c r="B64" s="13"/>
      <c r="C64" s="13"/>
      <c r="D64" s="13"/>
      <c r="E64" s="13"/>
    </row>
    <row r="65" spans="1:5">
      <c r="A65" s="23"/>
      <c r="B65" s="13"/>
      <c r="C65" s="13"/>
      <c r="D65" s="13"/>
      <c r="E65" s="13"/>
    </row>
    <row r="66" spans="1:5">
      <c r="A66" s="23"/>
      <c r="B66" s="13"/>
      <c r="C66" s="13"/>
      <c r="D66" s="13"/>
      <c r="E66" s="13"/>
    </row>
    <row r="67" spans="1:5">
      <c r="A67" s="23"/>
      <c r="B67" s="13"/>
      <c r="C67" s="13"/>
      <c r="D67" s="13"/>
      <c r="E67" s="13"/>
    </row>
    <row r="68" spans="1:5">
      <c r="A68" s="23"/>
      <c r="B68" s="13"/>
      <c r="C68" s="13"/>
      <c r="D68" s="13"/>
      <c r="E68" s="13"/>
    </row>
    <row r="69" spans="1:5">
      <c r="A69" s="23"/>
      <c r="B69" s="13"/>
      <c r="C69" s="13"/>
      <c r="D69" s="13"/>
      <c r="E69" s="13"/>
    </row>
    <row r="70" spans="1:5">
      <c r="A70" s="23"/>
      <c r="B70" s="13"/>
      <c r="C70" s="13"/>
      <c r="D70" s="13"/>
      <c r="E70" s="13"/>
    </row>
    <row r="71" spans="1:5">
      <c r="A71" s="23"/>
      <c r="B71" s="13"/>
      <c r="C71" s="13"/>
      <c r="D71" s="13"/>
      <c r="E71" s="13"/>
    </row>
    <row r="72" spans="1:5">
      <c r="A72" s="23"/>
      <c r="B72" s="13"/>
      <c r="C72" s="13"/>
      <c r="D72" s="13"/>
      <c r="E72" s="13"/>
    </row>
    <row r="73" spans="1:5">
      <c r="A73" s="23"/>
      <c r="B73" s="13"/>
      <c r="C73" s="13"/>
      <c r="D73" s="13"/>
      <c r="E73" s="13"/>
    </row>
    <row r="74" spans="1:5">
      <c r="A74" s="23"/>
      <c r="B74" s="13"/>
      <c r="C74" s="13"/>
      <c r="D74" s="13"/>
      <c r="E74" s="13"/>
    </row>
    <row r="75" spans="1:5">
      <c r="A75" s="23"/>
      <c r="B75" s="13"/>
      <c r="C75" s="13"/>
      <c r="D75" s="13"/>
      <c r="E75" s="13"/>
    </row>
    <row r="76" spans="1:5">
      <c r="A76" s="23"/>
      <c r="B76" s="13"/>
      <c r="C76" s="13"/>
      <c r="D76" s="13"/>
      <c r="E76" s="13"/>
    </row>
    <row r="77" spans="1:5">
      <c r="A77" s="23"/>
      <c r="B77" s="13"/>
      <c r="C77" s="13"/>
      <c r="D77" s="13"/>
      <c r="E77" s="13"/>
    </row>
    <row r="78" spans="1:5">
      <c r="A78" s="23"/>
      <c r="B78" s="13"/>
      <c r="C78" s="13"/>
      <c r="D78" s="13"/>
      <c r="E78" s="13"/>
    </row>
    <row r="79" spans="1:5">
      <c r="A79" s="23"/>
      <c r="B79" s="13"/>
      <c r="C79" s="13"/>
      <c r="D79" s="13"/>
      <c r="E79" s="13"/>
    </row>
    <row r="80" spans="1:5">
      <c r="A80" s="23"/>
      <c r="B80" s="13"/>
      <c r="C80" s="13"/>
      <c r="D80" s="13"/>
      <c r="E80" s="13"/>
    </row>
    <row r="81" spans="1:5">
      <c r="A81" s="23"/>
      <c r="B81" s="13"/>
      <c r="C81" s="13"/>
      <c r="D81" s="13"/>
      <c r="E81" s="13"/>
    </row>
    <row r="82" spans="1:5">
      <c r="A82" s="23"/>
      <c r="B82" s="13"/>
      <c r="C82" s="13"/>
      <c r="D82" s="13"/>
      <c r="E82" s="13"/>
    </row>
    <row r="83" spans="1:5">
      <c r="A83" s="23"/>
      <c r="B83" s="13"/>
      <c r="C83" s="13"/>
      <c r="D83" s="13"/>
      <c r="E83" s="13"/>
    </row>
    <row r="84" spans="1:5">
      <c r="A84" s="23"/>
      <c r="B84" s="13"/>
      <c r="C84" s="13"/>
      <c r="D84" s="13"/>
      <c r="E84" s="13"/>
    </row>
    <row r="85" spans="1:5">
      <c r="A85" s="23"/>
      <c r="B85" s="13"/>
      <c r="C85" s="13"/>
      <c r="D85" s="13"/>
      <c r="E85" s="13"/>
    </row>
    <row r="86" spans="1:5">
      <c r="A86" s="23"/>
      <c r="B86" s="13"/>
      <c r="C86" s="13"/>
      <c r="D86" s="13"/>
      <c r="E86" s="13"/>
    </row>
    <row r="87" spans="1:5">
      <c r="A87" s="23"/>
      <c r="B87" s="13"/>
      <c r="C87" s="13"/>
      <c r="D87" s="13"/>
      <c r="E87" s="13"/>
    </row>
    <row r="88" spans="1:5">
      <c r="A88" s="23"/>
      <c r="B88" s="13"/>
      <c r="C88" s="13"/>
      <c r="D88" s="13"/>
      <c r="E88" s="13"/>
    </row>
    <row r="89" spans="1:5">
      <c r="A89" s="23"/>
      <c r="B89" s="13"/>
      <c r="C89" s="13"/>
      <c r="D89" s="13"/>
      <c r="E89" s="13"/>
    </row>
    <row r="90" spans="1:5">
      <c r="A90" s="23"/>
      <c r="B90" s="13"/>
      <c r="C90" s="13"/>
      <c r="D90" s="13"/>
      <c r="E90" s="13"/>
    </row>
    <row r="91" spans="1:5">
      <c r="A91" s="23"/>
      <c r="B91" s="13"/>
      <c r="C91" s="13"/>
      <c r="D91" s="13"/>
      <c r="E91" s="13"/>
    </row>
    <row r="92" spans="1:5">
      <c r="A92" s="23"/>
      <c r="B92" s="13"/>
      <c r="C92" s="13"/>
      <c r="D92" s="13"/>
      <c r="E92" s="13"/>
    </row>
    <row r="93" spans="1:5">
      <c r="A93" s="23"/>
      <c r="B93" s="13"/>
      <c r="C93" s="13"/>
      <c r="D93" s="13"/>
      <c r="E93" s="13"/>
    </row>
    <row r="94" spans="1:5">
      <c r="A94" s="23"/>
      <c r="B94" s="13"/>
      <c r="C94" s="13"/>
      <c r="D94" s="13"/>
      <c r="E94" s="13"/>
    </row>
    <row r="95" spans="1:5">
      <c r="A95" s="23"/>
      <c r="B95" s="13"/>
      <c r="C95" s="13"/>
      <c r="D95" s="13"/>
      <c r="E95" s="13"/>
    </row>
    <row r="96" spans="1:5">
      <c r="A96" s="23"/>
      <c r="B96" s="13"/>
      <c r="C96" s="13"/>
      <c r="D96" s="13"/>
      <c r="E96" s="13"/>
    </row>
    <row r="97" spans="1:5">
      <c r="A97" s="23"/>
      <c r="B97" s="13"/>
      <c r="C97" s="13"/>
      <c r="D97" s="13"/>
      <c r="E97" s="13"/>
    </row>
    <row r="98" spans="1:5">
      <c r="A98" s="23"/>
      <c r="B98" s="13"/>
      <c r="C98" s="13"/>
      <c r="D98" s="13"/>
      <c r="E98" s="13"/>
    </row>
    <row r="99" spans="1:5">
      <c r="A99" s="23"/>
      <c r="B99" s="13"/>
      <c r="C99" s="13"/>
      <c r="D99" s="13"/>
      <c r="E99" s="13"/>
    </row>
    <row r="100" spans="1:5">
      <c r="A100" s="23"/>
      <c r="B100" s="13"/>
      <c r="C100" s="13"/>
      <c r="D100" s="13"/>
      <c r="E100" s="13"/>
    </row>
    <row r="101" spans="1:5">
      <c r="A101" s="23"/>
      <c r="B101" s="13"/>
      <c r="C101" s="13"/>
      <c r="D101" s="13"/>
      <c r="E101" s="13"/>
    </row>
    <row r="102" spans="1:5">
      <c r="A102" s="23"/>
      <c r="B102" s="13"/>
      <c r="C102" s="13"/>
      <c r="D102" s="13"/>
      <c r="E102" s="13"/>
    </row>
    <row r="103" spans="1:5">
      <c r="A103" s="23"/>
      <c r="B103" s="13"/>
      <c r="C103" s="13"/>
      <c r="D103" s="13"/>
      <c r="E103" s="13"/>
    </row>
    <row r="104" spans="1:5">
      <c r="A104" s="23"/>
      <c r="B104" s="13"/>
      <c r="C104" s="13"/>
      <c r="D104" s="13"/>
      <c r="E104" s="13"/>
    </row>
    <row r="105" spans="1:5">
      <c r="A105" s="23"/>
      <c r="B105" s="13"/>
      <c r="C105" s="13"/>
      <c r="D105" s="13"/>
      <c r="E105" s="13"/>
    </row>
    <row r="106" spans="1:5">
      <c r="A106" s="23"/>
      <c r="B106" s="13"/>
      <c r="C106" s="13"/>
      <c r="D106" s="13"/>
      <c r="E106" s="13"/>
    </row>
    <row r="107" spans="1:5">
      <c r="A107" s="23"/>
      <c r="B107" s="13"/>
      <c r="C107" s="13"/>
      <c r="D107" s="13"/>
      <c r="E107" s="13"/>
    </row>
    <row r="108" spans="1:5">
      <c r="A108" s="23"/>
      <c r="B108" s="13"/>
      <c r="C108" s="13"/>
      <c r="D108" s="13"/>
      <c r="E108" s="13"/>
    </row>
    <row r="109" spans="1:5">
      <c r="A109" s="23"/>
      <c r="B109" s="13"/>
      <c r="C109" s="13"/>
      <c r="D109" s="13"/>
      <c r="E109" s="13"/>
    </row>
    <row r="110" spans="1:5">
      <c r="A110" s="23"/>
      <c r="B110" s="13"/>
      <c r="C110" s="13"/>
      <c r="D110" s="13"/>
      <c r="E110" s="13"/>
    </row>
    <row r="111" spans="1:5">
      <c r="A111" s="23"/>
      <c r="B111" s="13"/>
      <c r="C111" s="13"/>
      <c r="D111" s="13"/>
      <c r="E111" s="13"/>
    </row>
    <row r="112" spans="1:5">
      <c r="A112" s="23"/>
      <c r="B112" s="13"/>
      <c r="C112" s="13"/>
      <c r="D112" s="13"/>
      <c r="E112" s="13"/>
    </row>
    <row r="113" spans="1:5">
      <c r="A113" s="23"/>
      <c r="B113" s="13"/>
      <c r="C113" s="13"/>
      <c r="D113" s="13"/>
      <c r="E113" s="13"/>
    </row>
    <row r="114" spans="1:5">
      <c r="A114" s="23"/>
      <c r="B114" s="13"/>
      <c r="C114" s="13"/>
      <c r="D114" s="13"/>
      <c r="E114" s="13"/>
    </row>
    <row r="115" spans="1:5">
      <c r="A115" s="23"/>
      <c r="B115" s="13"/>
      <c r="C115" s="13"/>
      <c r="D115" s="13"/>
      <c r="E115" s="13"/>
    </row>
    <row r="116" spans="1:5">
      <c r="A116" s="23"/>
      <c r="B116" s="13"/>
      <c r="C116" s="13"/>
      <c r="D116" s="13"/>
      <c r="E116" s="13"/>
    </row>
    <row r="117" spans="1:5">
      <c r="A117" s="23"/>
      <c r="B117" s="13"/>
      <c r="C117" s="13"/>
      <c r="D117" s="13"/>
      <c r="E117" s="13"/>
    </row>
    <row r="118" spans="1:5">
      <c r="A118" s="23"/>
      <c r="B118" s="13"/>
      <c r="C118" s="13"/>
      <c r="D118" s="13"/>
      <c r="E118" s="13"/>
    </row>
    <row r="119" spans="1:5">
      <c r="A119" s="23"/>
      <c r="B119" s="13"/>
      <c r="C119" s="13"/>
      <c r="D119" s="13"/>
      <c r="E119" s="13"/>
    </row>
    <row r="120" spans="1:5">
      <c r="A120" s="23"/>
      <c r="B120" s="13"/>
      <c r="C120" s="13"/>
      <c r="D120" s="13"/>
      <c r="E120" s="13"/>
    </row>
    <row r="121" spans="1:5">
      <c r="A121" s="23"/>
      <c r="B121" s="13"/>
      <c r="C121" s="13"/>
      <c r="D121" s="13"/>
      <c r="E121" s="13"/>
    </row>
    <row r="122" spans="1:5">
      <c r="A122" s="23"/>
      <c r="B122" s="13"/>
      <c r="C122" s="13"/>
      <c r="D122" s="13"/>
      <c r="E122" s="13"/>
    </row>
    <row r="123" spans="1:5">
      <c r="A123" s="23"/>
      <c r="B123" s="13"/>
      <c r="C123" s="13"/>
      <c r="D123" s="13"/>
      <c r="E123" s="13"/>
    </row>
    <row r="124" spans="1:5">
      <c r="A124" s="23"/>
      <c r="B124" s="13"/>
      <c r="C124" s="13"/>
      <c r="D124" s="13"/>
      <c r="E124" s="13"/>
    </row>
    <row r="125" spans="1:5">
      <c r="A125" s="23"/>
      <c r="B125" s="13"/>
      <c r="C125" s="13"/>
      <c r="D125" s="13"/>
      <c r="E125" s="13"/>
    </row>
    <row r="126" spans="1:5">
      <c r="A126" s="23"/>
      <c r="B126" s="13"/>
      <c r="C126" s="13"/>
      <c r="D126" s="13"/>
      <c r="E126" s="13"/>
    </row>
    <row r="127" spans="1:5">
      <c r="A127" s="23"/>
      <c r="B127" s="13"/>
      <c r="C127" s="13"/>
      <c r="D127" s="13"/>
      <c r="E127" s="13"/>
    </row>
    <row r="128" spans="1:5">
      <c r="A128" s="23"/>
      <c r="B128" s="13"/>
      <c r="C128" s="13"/>
      <c r="D128" s="13"/>
      <c r="E128" s="13"/>
    </row>
    <row r="129" spans="1:5">
      <c r="A129" s="23"/>
      <c r="B129" s="13"/>
      <c r="C129" s="13"/>
      <c r="D129" s="13"/>
      <c r="E129" s="13"/>
    </row>
    <row r="130" spans="1:5">
      <c r="A130" s="23"/>
      <c r="B130" s="13"/>
      <c r="C130" s="13"/>
      <c r="D130" s="13"/>
      <c r="E130" s="13"/>
    </row>
    <row r="131" spans="1:5">
      <c r="A131" s="23"/>
      <c r="B131" s="13"/>
      <c r="C131" s="13"/>
      <c r="D131" s="13"/>
      <c r="E131" s="13"/>
    </row>
    <row r="132" spans="1:5">
      <c r="A132" s="23"/>
      <c r="B132" s="13"/>
      <c r="C132" s="13"/>
      <c r="D132" s="13"/>
      <c r="E132" s="13"/>
    </row>
    <row r="133" spans="1:5">
      <c r="A133" s="23"/>
      <c r="B133" s="13"/>
      <c r="C133" s="13"/>
      <c r="D133" s="13"/>
      <c r="E133" s="13"/>
    </row>
    <row r="134" spans="1:5">
      <c r="A134" s="23"/>
      <c r="B134" s="13"/>
      <c r="C134" s="13"/>
      <c r="D134" s="13"/>
      <c r="E134" s="13"/>
    </row>
    <row r="135" spans="1:5">
      <c r="A135" s="23"/>
      <c r="B135" s="13"/>
      <c r="C135" s="13"/>
      <c r="D135" s="13"/>
      <c r="E135" s="13"/>
    </row>
    <row r="136" spans="1:5">
      <c r="A136" s="23"/>
      <c r="B136" s="13"/>
      <c r="C136" s="13"/>
      <c r="D136" s="13"/>
      <c r="E136" s="13"/>
    </row>
    <row r="137" spans="1:5">
      <c r="A137" s="23"/>
      <c r="B137" s="13"/>
      <c r="C137" s="13"/>
      <c r="D137" s="13"/>
      <c r="E137" s="13"/>
    </row>
    <row r="138" spans="1:5">
      <c r="A138" s="23"/>
      <c r="B138" s="13"/>
      <c r="C138" s="13"/>
      <c r="D138" s="13"/>
      <c r="E138" s="13"/>
    </row>
    <row r="139" spans="1:5">
      <c r="A139" s="23"/>
      <c r="B139" s="13"/>
      <c r="C139" s="13"/>
      <c r="D139" s="13"/>
      <c r="E139" s="13"/>
    </row>
    <row r="140" spans="1:5">
      <c r="A140" s="23"/>
      <c r="B140" s="13"/>
      <c r="C140" s="13"/>
      <c r="D140" s="13"/>
      <c r="E140" s="13"/>
    </row>
    <row r="141" spans="1:5">
      <c r="A141" s="23"/>
      <c r="B141" s="13"/>
      <c r="C141" s="13"/>
      <c r="D141" s="13"/>
      <c r="E141" s="13"/>
    </row>
    <row r="142" spans="1:5">
      <c r="A142" s="23"/>
      <c r="B142" s="13"/>
      <c r="C142" s="13"/>
      <c r="D142" s="13"/>
      <c r="E142" s="13"/>
    </row>
    <row r="143" spans="1:5">
      <c r="A143" s="23"/>
      <c r="B143" s="13"/>
      <c r="C143" s="13"/>
      <c r="D143" s="13"/>
      <c r="E143" s="13"/>
    </row>
    <row r="144" spans="1:5">
      <c r="A144" s="23"/>
      <c r="B144" s="13"/>
      <c r="C144" s="13"/>
      <c r="D144" s="13"/>
      <c r="E144" s="13"/>
    </row>
    <row r="145" spans="1:5">
      <c r="A145" s="23"/>
      <c r="B145" s="13"/>
      <c r="C145" s="13"/>
      <c r="D145" s="13"/>
      <c r="E145" s="13"/>
    </row>
    <row r="146" spans="1:5">
      <c r="A146" s="23"/>
      <c r="B146" s="13"/>
      <c r="C146" s="13"/>
      <c r="D146" s="13"/>
      <c r="E146" s="13"/>
    </row>
    <row r="147" spans="1:5">
      <c r="A147" s="23"/>
      <c r="B147" s="13"/>
      <c r="C147" s="13"/>
      <c r="D147" s="13"/>
      <c r="E147" s="13"/>
    </row>
    <row r="148" spans="1:5">
      <c r="A148" s="23"/>
      <c r="B148" s="13"/>
      <c r="C148" s="13"/>
      <c r="D148" s="13"/>
      <c r="E148" s="13"/>
    </row>
    <row r="149" spans="1:5">
      <c r="A149" s="23"/>
      <c r="B149" s="13"/>
      <c r="C149" s="13"/>
      <c r="D149" s="13"/>
      <c r="E149" s="13"/>
    </row>
    <row r="150" spans="1:5">
      <c r="A150" s="23"/>
      <c r="B150" s="13"/>
      <c r="C150" s="13"/>
      <c r="D150" s="13"/>
      <c r="E150" s="13"/>
    </row>
    <row r="151" spans="1:5">
      <c r="A151" s="23"/>
      <c r="B151" s="13"/>
      <c r="C151" s="13"/>
      <c r="D151" s="13"/>
      <c r="E151" s="13"/>
    </row>
    <row r="152" spans="1:5">
      <c r="A152" s="23"/>
      <c r="B152" s="13"/>
      <c r="C152" s="13"/>
      <c r="D152" s="13"/>
      <c r="E152" s="13"/>
    </row>
    <row r="153" spans="1:5">
      <c r="A153" s="23"/>
      <c r="B153" s="13"/>
      <c r="C153" s="13"/>
      <c r="D153" s="13"/>
      <c r="E153" s="13"/>
    </row>
    <row r="154" spans="1:5">
      <c r="A154" s="23"/>
      <c r="B154" s="13"/>
      <c r="C154" s="13"/>
      <c r="D154" s="13"/>
      <c r="E154" s="13"/>
    </row>
    <row r="155" spans="1:5">
      <c r="A155" s="23"/>
      <c r="B155" s="13"/>
      <c r="C155" s="13"/>
      <c r="D155" s="13"/>
      <c r="E155" s="13"/>
    </row>
    <row r="156" spans="1:5">
      <c r="A156" s="23"/>
      <c r="B156" s="13"/>
      <c r="C156" s="13"/>
      <c r="D156" s="13"/>
      <c r="E156" s="13"/>
    </row>
    <row r="157" spans="1:5">
      <c r="A157" s="23"/>
      <c r="B157" s="13"/>
      <c r="C157" s="13"/>
      <c r="D157" s="13"/>
      <c r="E157" s="13"/>
    </row>
    <row r="158" spans="1:5">
      <c r="A158" s="23"/>
      <c r="B158" s="13"/>
      <c r="C158" s="13"/>
      <c r="D158" s="13"/>
      <c r="E158" s="13"/>
    </row>
    <row r="159" spans="1:5">
      <c r="A159" s="23"/>
      <c r="B159" s="13"/>
      <c r="C159" s="13"/>
      <c r="D159" s="13"/>
      <c r="E159" s="13"/>
    </row>
    <row r="160" spans="1:5">
      <c r="A160" s="23"/>
      <c r="B160" s="13"/>
      <c r="C160" s="13"/>
      <c r="D160" s="13"/>
      <c r="E160" s="13"/>
    </row>
    <row r="161" spans="1:5">
      <c r="A161" s="23"/>
      <c r="B161" s="13"/>
      <c r="C161" s="13"/>
      <c r="D161" s="13"/>
      <c r="E161" s="13"/>
    </row>
    <row r="162" spans="1:5">
      <c r="A162" s="23"/>
      <c r="B162" s="13"/>
      <c r="C162" s="13"/>
      <c r="D162" s="13"/>
      <c r="E162" s="13"/>
    </row>
    <row r="163" spans="1:5">
      <c r="A163" s="23"/>
      <c r="B163" s="13"/>
      <c r="C163" s="13"/>
      <c r="D163" s="13"/>
      <c r="E163" s="13"/>
    </row>
    <row r="164" spans="1:5">
      <c r="A164" s="23"/>
      <c r="B164" s="13"/>
      <c r="C164" s="13"/>
      <c r="D164" s="13"/>
      <c r="E164" s="13"/>
    </row>
    <row r="165" spans="1:5">
      <c r="A165" s="23"/>
      <c r="B165" s="13"/>
      <c r="C165" s="13"/>
      <c r="D165" s="13"/>
      <c r="E165" s="13"/>
    </row>
    <row r="166" spans="1:5">
      <c r="A166" s="23"/>
      <c r="B166" s="13"/>
      <c r="C166" s="13"/>
      <c r="D166" s="13"/>
      <c r="E166" s="13"/>
    </row>
    <row r="167" spans="1:5">
      <c r="A167" s="23"/>
      <c r="B167" s="13"/>
      <c r="C167" s="13"/>
      <c r="D167" s="13"/>
      <c r="E167" s="13"/>
    </row>
    <row r="168" spans="1:5">
      <c r="A168" s="23"/>
      <c r="B168" s="13"/>
      <c r="C168" s="13"/>
      <c r="D168" s="13"/>
      <c r="E168" s="13"/>
    </row>
    <row r="169" spans="1:5">
      <c r="A169" s="23"/>
      <c r="B169" s="13"/>
      <c r="C169" s="13"/>
      <c r="D169" s="13"/>
      <c r="E169" s="13"/>
    </row>
    <row r="170" spans="1:5">
      <c r="A170" s="23"/>
      <c r="B170" s="13"/>
      <c r="C170" s="13"/>
      <c r="D170" s="13"/>
      <c r="E170" s="13"/>
    </row>
    <row r="171" spans="1:5">
      <c r="A171" s="23"/>
      <c r="B171" s="13"/>
      <c r="C171" s="13"/>
      <c r="D171" s="13"/>
      <c r="E171" s="13"/>
    </row>
    <row r="172" spans="1:5">
      <c r="A172" s="23"/>
      <c r="B172" s="13"/>
      <c r="C172" s="13"/>
      <c r="D172" s="13"/>
      <c r="E172" s="13"/>
    </row>
    <row r="173" spans="1:5">
      <c r="A173" s="23"/>
      <c r="B173" s="13"/>
      <c r="C173" s="13"/>
      <c r="D173" s="13"/>
      <c r="E173" s="13"/>
    </row>
    <row r="174" spans="1:5">
      <c r="A174" s="23"/>
      <c r="B174" s="13"/>
      <c r="C174" s="13"/>
      <c r="D174" s="13"/>
      <c r="E174" s="13"/>
    </row>
    <row r="175" spans="1:5">
      <c r="A175" s="23"/>
      <c r="B175" s="13"/>
      <c r="C175" s="13"/>
      <c r="D175" s="13"/>
      <c r="E175" s="13"/>
    </row>
    <row r="176" spans="1:5">
      <c r="A176" s="23"/>
      <c r="B176" s="13"/>
      <c r="C176" s="13"/>
      <c r="D176" s="13"/>
      <c r="E176" s="13"/>
    </row>
    <row r="177" spans="1:5">
      <c r="A177" s="23"/>
      <c r="B177" s="13"/>
      <c r="C177" s="13"/>
      <c r="D177" s="13"/>
      <c r="E177" s="13"/>
    </row>
    <row r="178" spans="1:5">
      <c r="A178" s="23"/>
      <c r="B178" s="13"/>
      <c r="C178" s="13"/>
      <c r="D178" s="13"/>
      <c r="E178" s="13"/>
    </row>
    <row r="179" spans="1:5">
      <c r="A179" s="23"/>
      <c r="B179" s="13"/>
      <c r="C179" s="13"/>
      <c r="D179" s="13"/>
      <c r="E179" s="13"/>
    </row>
    <row r="180" spans="1:5">
      <c r="A180" s="23"/>
      <c r="B180" s="13"/>
      <c r="C180" s="13"/>
      <c r="D180" s="13"/>
      <c r="E180" s="13"/>
    </row>
    <row r="181" spans="1:5">
      <c r="A181" s="23"/>
      <c r="B181" s="13"/>
      <c r="C181" s="13"/>
      <c r="D181" s="13"/>
      <c r="E181" s="13"/>
    </row>
    <row r="182" spans="1:5">
      <c r="A182" s="23"/>
      <c r="B182" s="13"/>
      <c r="C182" s="13"/>
      <c r="D182" s="13"/>
      <c r="E182" s="13"/>
    </row>
    <row r="183" spans="1:5">
      <c r="A183" s="23"/>
      <c r="B183" s="13"/>
      <c r="C183" s="13"/>
      <c r="D183" s="13"/>
      <c r="E183" s="13"/>
    </row>
    <row r="184" spans="1:5">
      <c r="A184" s="23"/>
      <c r="B184" s="13"/>
      <c r="C184" s="13"/>
      <c r="D184" s="13"/>
      <c r="E184" s="13"/>
    </row>
    <row r="185" spans="1:5">
      <c r="A185" s="23"/>
      <c r="B185" s="13"/>
      <c r="C185" s="13"/>
      <c r="D185" s="13"/>
      <c r="E185" s="13"/>
    </row>
    <row r="186" spans="1:5">
      <c r="A186" s="23"/>
      <c r="B186" s="13"/>
      <c r="C186" s="13"/>
      <c r="D186" s="13"/>
      <c r="E186" s="13"/>
    </row>
    <row r="187" spans="1:5">
      <c r="A187" s="23"/>
      <c r="B187" s="13"/>
      <c r="C187" s="13"/>
      <c r="D187" s="13"/>
      <c r="E187" s="13"/>
    </row>
    <row r="188" spans="1:5">
      <c r="A188" s="23"/>
      <c r="B188" s="13"/>
      <c r="C188" s="13"/>
      <c r="D188" s="13"/>
      <c r="E188" s="13"/>
    </row>
    <row r="189" spans="1:5">
      <c r="A189" s="23"/>
      <c r="B189" s="13"/>
      <c r="C189" s="13"/>
      <c r="D189" s="13"/>
      <c r="E189" s="13"/>
    </row>
    <row r="190" spans="1:5">
      <c r="A190" s="23"/>
      <c r="B190" s="13"/>
      <c r="C190" s="13"/>
      <c r="D190" s="13"/>
      <c r="E190" s="13"/>
    </row>
    <row r="191" spans="1:5">
      <c r="A191" s="23"/>
      <c r="B191" s="13"/>
      <c r="C191" s="13"/>
      <c r="D191" s="13"/>
      <c r="E191" s="13"/>
    </row>
    <row r="192" spans="1:5">
      <c r="A192" s="23"/>
      <c r="B192" s="13"/>
      <c r="C192" s="13"/>
      <c r="D192" s="13"/>
      <c r="E192" s="13"/>
    </row>
    <row r="193" spans="1:5">
      <c r="A193" s="23"/>
      <c r="B193" s="13"/>
      <c r="C193" s="13"/>
      <c r="D193" s="13"/>
      <c r="E193" s="13"/>
    </row>
    <row r="194" spans="1:5">
      <c r="A194" s="23"/>
      <c r="B194" s="13"/>
      <c r="C194" s="13"/>
      <c r="D194" s="13"/>
      <c r="E194" s="13"/>
    </row>
    <row r="195" spans="1:5">
      <c r="A195" s="23"/>
      <c r="B195" s="13"/>
      <c r="C195" s="13"/>
      <c r="D195" s="13"/>
      <c r="E195" s="13"/>
    </row>
    <row r="196" spans="1:5">
      <c r="A196" s="23"/>
      <c r="B196" s="13"/>
      <c r="C196" s="13"/>
      <c r="D196" s="13"/>
      <c r="E196" s="13"/>
    </row>
    <row r="197" spans="1:5">
      <c r="A197" s="23"/>
      <c r="B197" s="13"/>
      <c r="C197" s="13"/>
      <c r="D197" s="13"/>
      <c r="E197" s="13"/>
    </row>
    <row r="198" spans="1:5">
      <c r="A198" s="23"/>
      <c r="B198" s="13"/>
      <c r="C198" s="13"/>
      <c r="D198" s="13"/>
      <c r="E198" s="13"/>
    </row>
    <row r="199" spans="1:5">
      <c r="A199" s="23"/>
      <c r="B199" s="13"/>
      <c r="C199" s="13"/>
      <c r="D199" s="13"/>
      <c r="E199" s="13"/>
    </row>
    <row r="200" spans="1:5">
      <c r="A200" s="23"/>
      <c r="B200" s="13"/>
      <c r="C200" s="13"/>
      <c r="D200" s="13"/>
      <c r="E200" s="13"/>
    </row>
    <row r="201" spans="1:5">
      <c r="A201" s="23"/>
      <c r="B201" s="13"/>
      <c r="C201" s="13"/>
      <c r="D201" s="13"/>
      <c r="E201" s="13"/>
    </row>
    <row r="202" spans="1:5">
      <c r="A202" s="23"/>
      <c r="B202" s="13"/>
      <c r="C202" s="13"/>
      <c r="D202" s="13"/>
      <c r="E202" s="13"/>
    </row>
    <row r="203" spans="1:5">
      <c r="A203" s="23"/>
      <c r="B203" s="13"/>
      <c r="C203" s="13"/>
      <c r="D203" s="13"/>
      <c r="E203" s="13"/>
    </row>
    <row r="204" spans="1:5">
      <c r="A204" s="23"/>
      <c r="B204" s="13"/>
      <c r="C204" s="13"/>
      <c r="D204" s="13"/>
      <c r="E204" s="13"/>
    </row>
    <row r="205" spans="1:5">
      <c r="A205" s="23"/>
      <c r="B205" s="13"/>
      <c r="C205" s="13"/>
      <c r="D205" s="13"/>
      <c r="E205" s="13"/>
    </row>
    <row r="206" spans="1:5">
      <c r="A206" s="23"/>
      <c r="B206" s="13"/>
      <c r="C206" s="13"/>
      <c r="D206" s="13"/>
      <c r="E206" s="13"/>
    </row>
    <row r="207" spans="1:5">
      <c r="A207" s="23"/>
      <c r="B207" s="13"/>
      <c r="C207" s="13"/>
      <c r="D207" s="13"/>
      <c r="E207" s="13"/>
    </row>
    <row r="208" spans="1:5">
      <c r="A208" s="23"/>
      <c r="B208" s="13"/>
      <c r="C208" s="13"/>
      <c r="D208" s="13"/>
      <c r="E208" s="13"/>
    </row>
    <row r="209" spans="1:5">
      <c r="A209" s="23"/>
      <c r="B209" s="13"/>
      <c r="C209" s="13"/>
      <c r="D209" s="13"/>
      <c r="E209" s="13"/>
    </row>
    <row r="210" spans="1:5">
      <c r="A210" s="23"/>
      <c r="B210" s="13"/>
      <c r="C210" s="13"/>
      <c r="D210" s="13"/>
      <c r="E210" s="13"/>
    </row>
    <row r="211" spans="1:5">
      <c r="A211" s="23"/>
      <c r="B211" s="13"/>
      <c r="C211" s="13"/>
      <c r="D211" s="13"/>
      <c r="E211" s="13"/>
    </row>
    <row r="212" spans="1:5">
      <c r="A212" s="23"/>
      <c r="B212" s="13"/>
      <c r="C212" s="13"/>
      <c r="D212" s="13"/>
      <c r="E212" s="13"/>
    </row>
    <row r="213" spans="1:5">
      <c r="A213" s="23"/>
      <c r="B213" s="13"/>
      <c r="C213" s="13"/>
      <c r="D213" s="13"/>
      <c r="E213" s="13"/>
    </row>
    <row r="214" spans="1:5">
      <c r="A214" s="23"/>
      <c r="B214" s="13"/>
      <c r="C214" s="13"/>
      <c r="D214" s="13"/>
      <c r="E214" s="13"/>
    </row>
    <row r="215" spans="1:5">
      <c r="A215" s="23"/>
      <c r="B215" s="13"/>
      <c r="C215" s="13"/>
      <c r="D215" s="13"/>
      <c r="E215" s="13"/>
    </row>
    <row r="216" spans="1:5">
      <c r="A216" s="23"/>
      <c r="B216" s="13"/>
      <c r="C216" s="13"/>
      <c r="D216" s="13"/>
      <c r="E216" s="13"/>
    </row>
    <row r="217" spans="1:5">
      <c r="A217" s="23"/>
      <c r="B217" s="13"/>
      <c r="C217" s="13"/>
      <c r="D217" s="13"/>
      <c r="E217" s="13"/>
    </row>
    <row r="218" spans="1:5">
      <c r="A218" s="23"/>
      <c r="B218" s="13"/>
      <c r="C218" s="13"/>
      <c r="D218" s="13"/>
      <c r="E218" s="13"/>
    </row>
    <row r="219" spans="1:5">
      <c r="A219" s="23"/>
      <c r="B219" s="13"/>
      <c r="C219" s="13"/>
      <c r="D219" s="13"/>
      <c r="E219" s="13"/>
    </row>
    <row r="220" spans="1:5">
      <c r="A220" s="23"/>
      <c r="B220" s="13"/>
      <c r="C220" s="13"/>
      <c r="D220" s="13"/>
      <c r="E220" s="13"/>
    </row>
    <row r="221" spans="1:5">
      <c r="A221" s="23"/>
      <c r="B221" s="13"/>
      <c r="C221" s="13"/>
      <c r="D221" s="13"/>
      <c r="E221" s="13"/>
    </row>
    <row r="222" spans="1:5">
      <c r="A222" s="23"/>
      <c r="B222" s="13"/>
      <c r="C222" s="13"/>
      <c r="D222" s="13"/>
      <c r="E222" s="13"/>
    </row>
    <row r="223" spans="1:5">
      <c r="A223" s="23"/>
      <c r="B223" s="13"/>
      <c r="C223" s="13"/>
      <c r="D223" s="13"/>
      <c r="E223" s="13"/>
    </row>
    <row r="224" spans="1:5">
      <c r="A224" s="23"/>
      <c r="B224" s="13"/>
      <c r="C224" s="13"/>
      <c r="D224" s="13"/>
      <c r="E224" s="13"/>
    </row>
    <row r="225" spans="1:5">
      <c r="A225" s="23"/>
      <c r="B225" s="13"/>
      <c r="C225" s="13"/>
      <c r="D225" s="13"/>
      <c r="E225" s="13"/>
    </row>
    <row r="226" spans="1:5">
      <c r="A226" s="23"/>
      <c r="B226" s="13"/>
      <c r="C226" s="13"/>
      <c r="D226" s="13"/>
      <c r="E226" s="13"/>
    </row>
    <row r="227" spans="1:5">
      <c r="A227" s="23"/>
      <c r="B227" s="13"/>
      <c r="C227" s="13"/>
      <c r="D227" s="13"/>
      <c r="E227" s="13"/>
    </row>
    <row r="228" spans="1:5">
      <c r="A228" s="23"/>
      <c r="B228" s="13"/>
      <c r="C228" s="13"/>
      <c r="D228" s="13"/>
      <c r="E228" s="13"/>
    </row>
    <row r="229" spans="1:5">
      <c r="A229" s="23"/>
      <c r="B229" s="13"/>
      <c r="C229" s="13"/>
      <c r="D229" s="13"/>
      <c r="E229" s="13"/>
    </row>
    <row r="230" spans="1:5">
      <c r="A230" s="23"/>
      <c r="B230" s="13"/>
      <c r="C230" s="13"/>
      <c r="D230" s="13"/>
      <c r="E230" s="13"/>
    </row>
    <row r="231" spans="1:5">
      <c r="A231" s="23"/>
      <c r="B231" s="13"/>
      <c r="C231" s="13"/>
      <c r="D231" s="13"/>
      <c r="E231" s="13"/>
    </row>
    <row r="232" spans="1:5">
      <c r="A232" s="23"/>
      <c r="B232" s="13"/>
      <c r="C232" s="13"/>
      <c r="D232" s="13"/>
      <c r="E232" s="13"/>
    </row>
    <row r="233" spans="1:5">
      <c r="A233" s="23"/>
      <c r="B233" s="13"/>
      <c r="C233" s="13"/>
      <c r="D233" s="13"/>
      <c r="E233" s="13"/>
    </row>
    <row r="234" spans="1:5">
      <c r="A234" s="23"/>
      <c r="B234" s="13"/>
      <c r="C234" s="13"/>
      <c r="D234" s="13"/>
      <c r="E234" s="13"/>
    </row>
    <row r="235" spans="1:5">
      <c r="A235" s="23"/>
      <c r="B235" s="13"/>
      <c r="C235" s="13"/>
      <c r="D235" s="13"/>
      <c r="E235" s="13"/>
    </row>
    <row r="236" spans="1:5">
      <c r="A236" s="23"/>
      <c r="B236" s="13"/>
      <c r="C236" s="13"/>
      <c r="D236" s="13"/>
      <c r="E236" s="13"/>
    </row>
    <row r="237" spans="1:5">
      <c r="A237" s="23"/>
      <c r="B237" s="13"/>
      <c r="C237" s="13"/>
      <c r="D237" s="13"/>
      <c r="E237" s="13"/>
    </row>
    <row r="238" spans="1:5">
      <c r="A238" s="23"/>
      <c r="B238" s="13"/>
      <c r="C238" s="13"/>
      <c r="D238" s="13"/>
      <c r="E238" s="13"/>
    </row>
    <row r="239" spans="1:5">
      <c r="A239" s="23"/>
      <c r="B239" s="13"/>
      <c r="C239" s="13"/>
      <c r="D239" s="13"/>
      <c r="E239" s="13"/>
    </row>
    <row r="240" spans="1:5">
      <c r="A240" s="23"/>
      <c r="B240" s="13"/>
      <c r="C240" s="13"/>
      <c r="D240" s="13"/>
      <c r="E240" s="13"/>
    </row>
    <row r="241" spans="1:5">
      <c r="A241" s="23"/>
      <c r="B241" s="13"/>
      <c r="C241" s="13"/>
      <c r="D241" s="13"/>
      <c r="E241" s="13"/>
    </row>
    <row r="242" spans="1:5">
      <c r="A242" s="23"/>
      <c r="B242" s="13"/>
      <c r="C242" s="13"/>
      <c r="D242" s="13"/>
      <c r="E242" s="13"/>
    </row>
    <row r="243" spans="1:5">
      <c r="A243" s="23"/>
      <c r="B243" s="13"/>
      <c r="C243" s="13"/>
      <c r="D243" s="13"/>
      <c r="E243" s="13"/>
    </row>
    <row r="244" spans="1:5">
      <c r="A244" s="23"/>
      <c r="B244" s="13"/>
      <c r="C244" s="13"/>
      <c r="D244" s="13"/>
      <c r="E244" s="13"/>
    </row>
    <row r="245" spans="1:5">
      <c r="A245" s="23"/>
      <c r="B245" s="13"/>
      <c r="C245" s="13"/>
      <c r="D245" s="13"/>
      <c r="E245" s="13"/>
    </row>
    <row r="246" spans="1:5">
      <c r="A246" s="23"/>
      <c r="B246" s="13"/>
      <c r="C246" s="13"/>
      <c r="D246" s="13"/>
      <c r="E246" s="13"/>
    </row>
    <row r="247" spans="1:5">
      <c r="A247" s="23"/>
      <c r="B247" s="13"/>
      <c r="C247" s="13"/>
      <c r="D247" s="13"/>
      <c r="E247" s="13"/>
    </row>
    <row r="248" spans="1:5">
      <c r="A248" s="23"/>
      <c r="B248" s="13"/>
      <c r="C248" s="13"/>
      <c r="D248" s="13"/>
      <c r="E248" s="13"/>
    </row>
    <row r="249" spans="1:5">
      <c r="A249" s="23"/>
      <c r="B249" s="13"/>
      <c r="C249" s="13"/>
      <c r="D249" s="13"/>
      <c r="E249" s="13"/>
    </row>
    <row r="250" spans="1:5">
      <c r="A250" s="23"/>
      <c r="B250" s="13"/>
      <c r="C250" s="13"/>
      <c r="D250" s="13"/>
      <c r="E250" s="13"/>
    </row>
    <row r="251" spans="1:5">
      <c r="A251" s="23"/>
      <c r="B251" s="13"/>
      <c r="C251" s="13"/>
      <c r="D251" s="13"/>
      <c r="E251" s="13"/>
    </row>
    <row r="252" spans="1:5">
      <c r="A252" s="23"/>
      <c r="B252" s="13"/>
      <c r="C252" s="13"/>
      <c r="D252" s="13"/>
      <c r="E252" s="13"/>
    </row>
    <row r="253" spans="1:5">
      <c r="A253" s="23"/>
      <c r="B253" s="13"/>
      <c r="C253" s="13"/>
      <c r="D253" s="13"/>
      <c r="E253" s="13"/>
    </row>
    <row r="254" spans="1:5">
      <c r="A254" s="23"/>
      <c r="B254" s="13"/>
      <c r="C254" s="13"/>
      <c r="D254" s="13"/>
      <c r="E254" s="13"/>
    </row>
    <row r="255" spans="1:5">
      <c r="A255" s="23"/>
      <c r="B255" s="13"/>
      <c r="C255" s="13"/>
      <c r="D255" s="13"/>
      <c r="E255" s="13"/>
    </row>
    <row r="256" spans="1:5">
      <c r="A256" s="23"/>
      <c r="B256" s="13"/>
      <c r="C256" s="13"/>
      <c r="D256" s="13"/>
      <c r="E256" s="13"/>
    </row>
    <row r="257" spans="1:5">
      <c r="A257" s="23"/>
      <c r="B257" s="13"/>
      <c r="C257" s="13"/>
      <c r="D257" s="13"/>
      <c r="E257" s="13"/>
    </row>
    <row r="258" spans="1:5">
      <c r="A258" s="23"/>
      <c r="B258" s="13"/>
      <c r="C258" s="13"/>
      <c r="D258" s="13"/>
      <c r="E258" s="13"/>
    </row>
    <row r="259" spans="1:5">
      <c r="A259" s="23"/>
      <c r="B259" s="13"/>
      <c r="C259" s="13"/>
      <c r="D259" s="13"/>
      <c r="E259" s="13"/>
    </row>
    <row r="260" spans="1:5">
      <c r="A260" s="23"/>
      <c r="B260" s="13"/>
      <c r="C260" s="13"/>
      <c r="D260" s="13"/>
      <c r="E260" s="13"/>
    </row>
    <row r="261" spans="1:5">
      <c r="A261" s="23"/>
      <c r="B261" s="13"/>
      <c r="C261" s="13"/>
      <c r="D261" s="13"/>
      <c r="E261" s="13"/>
    </row>
    <row r="262" spans="1:5">
      <c r="A262" s="23"/>
      <c r="B262" s="13"/>
      <c r="C262" s="13"/>
      <c r="D262" s="13"/>
      <c r="E262" s="13"/>
    </row>
    <row r="263" spans="1:5">
      <c r="A263" s="23"/>
      <c r="B263" s="13"/>
      <c r="C263" s="13"/>
      <c r="D263" s="13"/>
      <c r="E263" s="13"/>
    </row>
    <row r="264" spans="1:5">
      <c r="A264" s="23"/>
      <c r="B264" s="13"/>
      <c r="C264" s="13"/>
      <c r="D264" s="13"/>
      <c r="E264" s="13"/>
    </row>
    <row r="265" spans="1:5">
      <c r="A265" s="23"/>
      <c r="B265" s="13"/>
      <c r="C265" s="13"/>
      <c r="D265" s="13"/>
      <c r="E265" s="13"/>
    </row>
    <row r="266" spans="1:5">
      <c r="A266" s="23"/>
      <c r="B266" s="13"/>
      <c r="C266" s="13"/>
      <c r="D266" s="13"/>
      <c r="E266" s="13"/>
    </row>
    <row r="267" spans="1:5">
      <c r="A267" s="23"/>
      <c r="B267" s="13"/>
      <c r="C267" s="13"/>
      <c r="D267" s="13"/>
      <c r="E267" s="13"/>
    </row>
    <row r="268" spans="1:5">
      <c r="A268" s="23"/>
      <c r="B268" s="13"/>
      <c r="C268" s="13"/>
      <c r="D268" s="13"/>
      <c r="E268" s="13"/>
    </row>
    <row r="269" spans="1:5">
      <c r="A269" s="23"/>
      <c r="B269" s="13"/>
      <c r="C269" s="13"/>
      <c r="D269" s="13"/>
      <c r="E269" s="13"/>
    </row>
    <row r="270" spans="1:5">
      <c r="A270" s="23"/>
      <c r="B270" s="13"/>
      <c r="C270" s="13"/>
      <c r="D270" s="13"/>
      <c r="E270" s="13"/>
    </row>
    <row r="271" spans="1:5">
      <c r="A271" s="23"/>
      <c r="B271" s="13"/>
      <c r="C271" s="13"/>
      <c r="D271" s="13"/>
      <c r="E271" s="13"/>
    </row>
    <row r="272" spans="1:5">
      <c r="A272" s="23"/>
      <c r="B272" s="13"/>
      <c r="C272" s="13"/>
      <c r="D272" s="13"/>
      <c r="E272" s="13"/>
    </row>
    <row r="273" spans="1:5">
      <c r="A273" s="23"/>
      <c r="B273" s="13"/>
      <c r="C273" s="13"/>
      <c r="D273" s="13"/>
      <c r="E273" s="13"/>
    </row>
    <row r="274" spans="1:5">
      <c r="A274" s="23"/>
      <c r="B274" s="13"/>
      <c r="C274" s="13"/>
      <c r="D274" s="13"/>
      <c r="E274" s="13"/>
    </row>
    <row r="275" spans="1:5">
      <c r="A275" s="23"/>
      <c r="B275" s="13"/>
      <c r="C275" s="13"/>
      <c r="D275" s="13"/>
      <c r="E275" s="13"/>
    </row>
    <row r="276" spans="1:5">
      <c r="A276" s="23"/>
      <c r="B276" s="13"/>
      <c r="C276" s="13"/>
      <c r="D276" s="13"/>
      <c r="E276" s="13"/>
    </row>
    <row r="277" spans="1:5">
      <c r="A277" s="23"/>
      <c r="B277" s="13"/>
      <c r="C277" s="13"/>
      <c r="D277" s="13"/>
      <c r="E277" s="13"/>
    </row>
    <row r="278" spans="1:5">
      <c r="A278" s="23"/>
      <c r="B278" s="13"/>
      <c r="C278" s="13"/>
      <c r="D278" s="13"/>
      <c r="E278" s="13"/>
    </row>
    <row r="279" spans="1:5">
      <c r="A279" s="23"/>
      <c r="B279" s="13"/>
      <c r="C279" s="13"/>
      <c r="D279" s="13"/>
      <c r="E279" s="13"/>
    </row>
    <row r="280" spans="1:5">
      <c r="A280" s="23"/>
      <c r="B280" s="13"/>
      <c r="C280" s="13"/>
      <c r="D280" s="13"/>
      <c r="E280" s="13"/>
    </row>
    <row r="281" spans="1:5">
      <c r="A281" s="23"/>
      <c r="B281" s="13"/>
      <c r="C281" s="13"/>
      <c r="D281" s="13"/>
      <c r="E281" s="13"/>
    </row>
    <row r="282" spans="1:5">
      <c r="A282" s="23"/>
      <c r="B282" s="13"/>
      <c r="C282" s="13"/>
      <c r="D282" s="13"/>
      <c r="E282" s="13"/>
    </row>
    <row r="283" spans="1:5">
      <c r="A283" s="23"/>
      <c r="B283" s="13"/>
      <c r="C283" s="13"/>
      <c r="D283" s="13"/>
      <c r="E283" s="13"/>
    </row>
    <row r="284" spans="1:5">
      <c r="A284" s="23"/>
      <c r="B284" s="13"/>
      <c r="C284" s="13"/>
      <c r="D284" s="13"/>
      <c r="E284" s="13"/>
    </row>
    <row r="285" spans="1:5">
      <c r="A285" s="23"/>
      <c r="B285" s="13"/>
      <c r="C285" s="13"/>
      <c r="D285" s="13"/>
      <c r="E285" s="13"/>
    </row>
    <row r="286" spans="1:5">
      <c r="A286" s="23"/>
      <c r="B286" s="13"/>
      <c r="C286" s="13"/>
      <c r="D286" s="13"/>
      <c r="E286" s="13"/>
    </row>
    <row r="287" spans="1:5">
      <c r="A287" s="23"/>
      <c r="B287" s="13"/>
      <c r="C287" s="13"/>
      <c r="D287" s="13"/>
      <c r="E287" s="13"/>
    </row>
    <row r="288" spans="1:5">
      <c r="A288" s="23"/>
      <c r="B288" s="13"/>
      <c r="C288" s="13"/>
      <c r="D288" s="13"/>
      <c r="E288" s="13"/>
    </row>
    <row r="289" spans="1:5">
      <c r="A289" s="23"/>
      <c r="B289" s="13"/>
      <c r="C289" s="13"/>
      <c r="D289" s="13"/>
      <c r="E289" s="13"/>
    </row>
    <row r="290" spans="1:5">
      <c r="A290" s="23"/>
      <c r="B290" s="13"/>
      <c r="C290" s="13"/>
      <c r="D290" s="13"/>
      <c r="E290" s="13"/>
    </row>
    <row r="291" spans="1:5">
      <c r="A291" s="23"/>
      <c r="B291" s="13"/>
      <c r="C291" s="13"/>
      <c r="D291" s="13"/>
      <c r="E291" s="13"/>
    </row>
    <row r="292" spans="1:5">
      <c r="A292" s="23"/>
      <c r="B292" s="13"/>
      <c r="C292" s="13"/>
      <c r="D292" s="13"/>
      <c r="E292" s="13"/>
    </row>
    <row r="293" spans="1:5">
      <c r="A293" s="23"/>
      <c r="B293" s="13"/>
      <c r="C293" s="13"/>
      <c r="D293" s="13"/>
      <c r="E293" s="13"/>
    </row>
    <row r="294" spans="1:5">
      <c r="A294" s="23"/>
      <c r="B294" s="13"/>
      <c r="C294" s="13"/>
      <c r="D294" s="13"/>
      <c r="E294" s="13"/>
    </row>
    <row r="295" spans="1:5">
      <c r="A295" s="23"/>
      <c r="B295" s="13"/>
      <c r="C295" s="13"/>
      <c r="D295" s="13"/>
      <c r="E295" s="13"/>
    </row>
    <row r="296" spans="1:5">
      <c r="A296" s="23"/>
      <c r="B296" s="13"/>
      <c r="C296" s="13"/>
      <c r="D296" s="13"/>
      <c r="E296" s="13"/>
    </row>
    <row r="297" spans="1:5">
      <c r="A297" s="23"/>
      <c r="B297" s="13"/>
      <c r="C297" s="13"/>
      <c r="D297" s="13"/>
      <c r="E297" s="13"/>
    </row>
    <row r="298" spans="1:5">
      <c r="A298" s="23"/>
      <c r="B298" s="13"/>
      <c r="C298" s="13"/>
      <c r="D298" s="13"/>
      <c r="E298" s="13"/>
    </row>
    <row r="299" spans="1:5">
      <c r="A299" s="23"/>
      <c r="B299" s="13"/>
      <c r="C299" s="13"/>
      <c r="D299" s="13"/>
      <c r="E299" s="13"/>
    </row>
    <row r="300" spans="1:5">
      <c r="A300" s="23"/>
      <c r="B300" s="13"/>
      <c r="C300" s="13"/>
      <c r="D300" s="13"/>
      <c r="E300" s="13"/>
    </row>
    <row r="301" spans="1:5">
      <c r="A301" s="23"/>
      <c r="B301" s="13"/>
      <c r="C301" s="13"/>
      <c r="D301" s="13"/>
      <c r="E301" s="13"/>
    </row>
    <row r="302" spans="1:5">
      <c r="A302" s="23"/>
      <c r="B302" s="13"/>
      <c r="C302" s="13"/>
      <c r="D302" s="13"/>
      <c r="E302" s="13"/>
    </row>
    <row r="303" spans="1:5">
      <c r="A303" s="23"/>
      <c r="B303" s="13"/>
      <c r="C303" s="13"/>
      <c r="D303" s="13"/>
      <c r="E303" s="13"/>
    </row>
    <row r="304" spans="1:5">
      <c r="A304" s="23"/>
      <c r="B304" s="13"/>
      <c r="C304" s="13"/>
      <c r="D304" s="13"/>
      <c r="E304" s="13"/>
    </row>
    <row r="305" spans="1:5">
      <c r="A305" s="23"/>
      <c r="B305" s="13"/>
      <c r="C305" s="13"/>
      <c r="D305" s="13"/>
      <c r="E305" s="13"/>
    </row>
    <row r="306" spans="1:5">
      <c r="A306" s="23"/>
      <c r="B306" s="13"/>
      <c r="C306" s="13"/>
      <c r="D306" s="13"/>
      <c r="E306" s="13"/>
    </row>
    <row r="307" spans="1:5">
      <c r="A307" s="23"/>
      <c r="B307" s="13"/>
      <c r="C307" s="13"/>
      <c r="D307" s="13"/>
      <c r="E307" s="13"/>
    </row>
    <row r="308" spans="1:5">
      <c r="A308" s="23"/>
      <c r="B308" s="13"/>
      <c r="C308" s="13"/>
      <c r="D308" s="13"/>
      <c r="E308" s="13"/>
    </row>
    <row r="309" spans="1:5">
      <c r="A309" s="23"/>
      <c r="B309" s="13"/>
      <c r="C309" s="13"/>
      <c r="D309" s="13"/>
      <c r="E309" s="13"/>
    </row>
    <row r="310" spans="1:5">
      <c r="A310" s="23"/>
      <c r="B310" s="13"/>
      <c r="C310" s="13"/>
      <c r="D310" s="13"/>
      <c r="E310" s="13"/>
    </row>
    <row r="311" spans="1:5">
      <c r="A311" s="23"/>
      <c r="B311" s="13"/>
      <c r="C311" s="13"/>
      <c r="D311" s="13"/>
      <c r="E311" s="13"/>
    </row>
    <row r="312" spans="1:5">
      <c r="A312" s="23"/>
      <c r="B312" s="13"/>
      <c r="C312" s="13"/>
      <c r="D312" s="13"/>
      <c r="E312" s="13"/>
    </row>
    <row r="313" spans="1:5">
      <c r="A313" s="23"/>
      <c r="B313" s="13"/>
      <c r="C313" s="13"/>
      <c r="D313" s="13"/>
      <c r="E313" s="13"/>
    </row>
    <row r="314" spans="1:5">
      <c r="A314" s="23"/>
      <c r="B314" s="13"/>
      <c r="C314" s="13"/>
      <c r="D314" s="13"/>
      <c r="E314" s="13"/>
    </row>
    <row r="315" spans="1:5">
      <c r="A315" s="23"/>
      <c r="B315" s="13"/>
      <c r="C315" s="13"/>
      <c r="D315" s="13"/>
      <c r="E315" s="13"/>
    </row>
    <row r="316" spans="1:5">
      <c r="A316" s="23"/>
      <c r="B316" s="13"/>
      <c r="C316" s="13"/>
      <c r="D316" s="13"/>
      <c r="E316" s="13"/>
    </row>
    <row r="317" spans="1:5">
      <c r="A317" s="23"/>
      <c r="B317" s="13"/>
      <c r="C317" s="13"/>
      <c r="D317" s="13"/>
      <c r="E317" s="13"/>
    </row>
    <row r="318" spans="1:5">
      <c r="A318" s="23"/>
      <c r="B318" s="13"/>
      <c r="C318" s="13"/>
      <c r="D318" s="13"/>
      <c r="E318" s="13"/>
    </row>
    <row r="319" spans="1:5">
      <c r="A319" s="23"/>
      <c r="B319" s="13"/>
      <c r="C319" s="13"/>
      <c r="D319" s="13"/>
      <c r="E319" s="13"/>
    </row>
    <row r="320" spans="1:5">
      <c r="A320" s="23"/>
      <c r="B320" s="13"/>
      <c r="C320" s="13"/>
      <c r="D320" s="13"/>
      <c r="E320" s="13"/>
    </row>
    <row r="321" spans="1:5">
      <c r="A321" s="23"/>
      <c r="B321" s="13"/>
      <c r="C321" s="13"/>
      <c r="D321" s="13"/>
      <c r="E321" s="13"/>
    </row>
    <row r="322" spans="1:5">
      <c r="A322" s="23"/>
      <c r="B322" s="13"/>
      <c r="C322" s="13"/>
      <c r="D322" s="13"/>
      <c r="E322" s="13"/>
    </row>
    <row r="323" spans="1:5">
      <c r="A323" s="23"/>
      <c r="B323" s="13"/>
      <c r="C323" s="13"/>
      <c r="D323" s="13"/>
      <c r="E323" s="13"/>
    </row>
    <row r="324" spans="1:5">
      <c r="A324" s="23"/>
      <c r="B324" s="13"/>
      <c r="C324" s="13"/>
      <c r="D324" s="13"/>
      <c r="E324" s="13"/>
    </row>
    <row r="325" spans="1:5">
      <c r="A325" s="23"/>
      <c r="B325" s="13"/>
      <c r="C325" s="13"/>
      <c r="D325" s="13"/>
      <c r="E325" s="13"/>
    </row>
    <row r="326" spans="1:5">
      <c r="A326" s="23"/>
      <c r="B326" s="13"/>
      <c r="C326" s="13"/>
      <c r="D326" s="13"/>
      <c r="E326" s="13"/>
    </row>
    <row r="327" spans="1:5">
      <c r="A327" s="23"/>
      <c r="B327" s="13"/>
      <c r="C327" s="13"/>
      <c r="D327" s="13"/>
      <c r="E327" s="13"/>
    </row>
    <row r="328" spans="1:5">
      <c r="A328" s="23"/>
      <c r="B328" s="13"/>
      <c r="C328" s="13"/>
      <c r="D328" s="13"/>
      <c r="E328" s="13"/>
    </row>
    <row r="329" spans="1:5">
      <c r="A329" s="23"/>
      <c r="B329" s="13"/>
      <c r="C329" s="13"/>
      <c r="D329" s="13"/>
      <c r="E329" s="13"/>
    </row>
    <row r="330" spans="1:5">
      <c r="A330" s="23"/>
      <c r="B330" s="13"/>
      <c r="C330" s="13"/>
      <c r="D330" s="13"/>
      <c r="E330" s="13"/>
    </row>
    <row r="331" spans="1:5">
      <c r="A331" s="23"/>
      <c r="B331" s="13"/>
      <c r="C331" s="13"/>
      <c r="D331" s="13"/>
      <c r="E331" s="13"/>
    </row>
    <row r="332" spans="1:5">
      <c r="A332" s="23"/>
      <c r="B332" s="13"/>
      <c r="C332" s="13"/>
      <c r="D332" s="13"/>
      <c r="E332" s="13"/>
    </row>
    <row r="333" spans="1:5">
      <c r="A333" s="23"/>
      <c r="B333" s="13"/>
      <c r="C333" s="13"/>
      <c r="D333" s="13"/>
      <c r="E333" s="13"/>
    </row>
    <row r="334" spans="1:5">
      <c r="A334" s="23"/>
      <c r="B334" s="13"/>
      <c r="C334" s="13"/>
      <c r="D334" s="13"/>
      <c r="E334" s="13"/>
    </row>
    <row r="335" spans="1:5">
      <c r="A335" s="23"/>
      <c r="B335" s="13"/>
      <c r="C335" s="13"/>
      <c r="D335" s="13"/>
      <c r="E335" s="13"/>
    </row>
    <row r="336" spans="1:5">
      <c r="A336" s="23"/>
      <c r="B336" s="13"/>
      <c r="C336" s="13"/>
      <c r="D336" s="13"/>
      <c r="E336" s="13"/>
    </row>
    <row r="337" spans="1:5">
      <c r="A337" s="23"/>
      <c r="B337" s="13"/>
      <c r="C337" s="13"/>
      <c r="D337" s="13"/>
      <c r="E337" s="13"/>
    </row>
    <row r="338" spans="1:5">
      <c r="A338" s="23"/>
      <c r="B338" s="13"/>
      <c r="C338" s="13"/>
      <c r="D338" s="13"/>
      <c r="E338" s="13"/>
    </row>
    <row r="339" spans="1:5">
      <c r="A339" s="23"/>
      <c r="B339" s="13"/>
      <c r="C339" s="13"/>
      <c r="D339" s="13"/>
      <c r="E339" s="13"/>
    </row>
    <row r="340" spans="1:5">
      <c r="A340" s="23"/>
      <c r="B340" s="13"/>
      <c r="C340" s="13"/>
      <c r="D340" s="13"/>
      <c r="E340" s="13"/>
    </row>
    <row r="341" spans="1:5">
      <c r="A341" s="23"/>
      <c r="B341" s="13"/>
      <c r="C341" s="13"/>
      <c r="D341" s="13"/>
      <c r="E341" s="13"/>
    </row>
    <row r="342" spans="1:5">
      <c r="A342" s="23"/>
      <c r="B342" s="13"/>
      <c r="C342" s="13"/>
      <c r="D342" s="13"/>
      <c r="E342" s="13"/>
    </row>
    <row r="343" spans="1:5">
      <c r="A343" s="23"/>
      <c r="B343" s="13"/>
      <c r="C343" s="13"/>
      <c r="D343" s="13"/>
      <c r="E343" s="13"/>
    </row>
    <row r="344" spans="1:5">
      <c r="A344" s="23"/>
      <c r="B344" s="13"/>
      <c r="C344" s="13"/>
      <c r="D344" s="13"/>
      <c r="E344" s="13"/>
    </row>
    <row r="345" spans="1:5">
      <c r="A345" s="23"/>
      <c r="B345" s="13"/>
      <c r="C345" s="13"/>
      <c r="D345" s="13"/>
      <c r="E345" s="13"/>
    </row>
    <row r="346" spans="1:5">
      <c r="A346" s="23"/>
      <c r="B346" s="13"/>
      <c r="C346" s="13"/>
      <c r="D346" s="13"/>
      <c r="E346" s="13"/>
    </row>
    <row r="347" spans="1:5">
      <c r="A347" s="23"/>
      <c r="B347" s="13"/>
      <c r="C347" s="13"/>
      <c r="D347" s="13"/>
      <c r="E347" s="13"/>
    </row>
    <row r="348" spans="1:5">
      <c r="A348" s="23"/>
      <c r="B348" s="13"/>
      <c r="C348" s="13"/>
      <c r="D348" s="13"/>
      <c r="E348" s="13"/>
    </row>
    <row r="349" spans="1:5">
      <c r="A349" s="23"/>
      <c r="B349" s="13"/>
      <c r="C349" s="13"/>
      <c r="D349" s="13"/>
      <c r="E349" s="13"/>
    </row>
    <row r="350" spans="1:5">
      <c r="A350" s="23"/>
      <c r="B350" s="13"/>
      <c r="C350" s="13"/>
      <c r="D350" s="13"/>
      <c r="E350" s="13"/>
    </row>
    <row r="351" spans="1:5">
      <c r="A351" s="23"/>
      <c r="B351" s="13"/>
      <c r="C351" s="13"/>
      <c r="D351" s="13"/>
      <c r="E351" s="13"/>
    </row>
    <row r="352" spans="1:5">
      <c r="A352" s="23"/>
      <c r="B352" s="13"/>
      <c r="C352" s="13"/>
      <c r="D352" s="13"/>
      <c r="E352" s="13"/>
    </row>
    <row r="353" spans="1:5">
      <c r="A353" s="23"/>
      <c r="B353" s="13"/>
      <c r="C353" s="13"/>
      <c r="D353" s="13"/>
      <c r="E353" s="13"/>
    </row>
    <row r="354" spans="1:5">
      <c r="A354" s="23"/>
      <c r="B354" s="13"/>
      <c r="C354" s="13"/>
      <c r="D354" s="13"/>
      <c r="E354" s="13"/>
    </row>
    <row r="355" spans="1:5">
      <c r="A355" s="23"/>
      <c r="B355" s="13"/>
      <c r="C355" s="13"/>
      <c r="D355" s="13"/>
      <c r="E355" s="13"/>
    </row>
    <row r="356" spans="1:5">
      <c r="A356" s="23"/>
      <c r="B356" s="13"/>
      <c r="C356" s="13"/>
      <c r="D356" s="13"/>
      <c r="E356" s="13"/>
    </row>
    <row r="357" spans="1:5">
      <c r="A357" s="23"/>
      <c r="B357" s="13"/>
      <c r="C357" s="13"/>
      <c r="D357" s="13"/>
      <c r="E357" s="13"/>
    </row>
    <row r="358" spans="1:5">
      <c r="A358" s="23"/>
      <c r="B358" s="13"/>
      <c r="C358" s="13"/>
      <c r="D358" s="13"/>
      <c r="E358" s="13"/>
    </row>
    <row r="359" spans="1:5">
      <c r="A359" s="23"/>
      <c r="B359" s="13"/>
      <c r="C359" s="13"/>
      <c r="D359" s="13"/>
      <c r="E359" s="13"/>
    </row>
    <row r="360" spans="1:5">
      <c r="A360" s="23"/>
      <c r="B360" s="13"/>
      <c r="C360" s="13"/>
      <c r="D360" s="13"/>
      <c r="E360" s="13"/>
    </row>
    <row r="361" spans="1:5">
      <c r="A361" s="23"/>
      <c r="B361" s="13"/>
      <c r="C361" s="13"/>
      <c r="D361" s="13"/>
      <c r="E361" s="13"/>
    </row>
    <row r="362" spans="1:5">
      <c r="A362" s="23"/>
      <c r="B362" s="13"/>
      <c r="C362" s="13"/>
      <c r="D362" s="13"/>
      <c r="E362" s="13"/>
    </row>
    <row r="363" spans="1:5">
      <c r="A363" s="23"/>
      <c r="B363" s="13"/>
      <c r="C363" s="13"/>
      <c r="D363" s="13"/>
      <c r="E363" s="13"/>
    </row>
    <row r="364" spans="1:5">
      <c r="A364" s="23"/>
      <c r="B364" s="13"/>
      <c r="C364" s="13"/>
      <c r="D364" s="13"/>
      <c r="E364" s="13"/>
    </row>
    <row r="365" spans="1:5">
      <c r="A365" s="23"/>
      <c r="B365" s="13"/>
      <c r="C365" s="13"/>
      <c r="D365" s="13"/>
      <c r="E365" s="13"/>
    </row>
    <row r="366" spans="1:5">
      <c r="A366" s="23"/>
      <c r="B366" s="13"/>
      <c r="C366" s="13"/>
      <c r="D366" s="13"/>
      <c r="E366" s="13"/>
    </row>
    <row r="367" spans="1:5">
      <c r="A367" s="23"/>
      <c r="B367" s="13"/>
      <c r="C367" s="13"/>
      <c r="D367" s="13"/>
      <c r="E367" s="13"/>
    </row>
    <row r="368" spans="1:5">
      <c r="A368" s="23"/>
      <c r="B368" s="13"/>
      <c r="C368" s="13"/>
      <c r="D368" s="13"/>
      <c r="E368" s="13"/>
    </row>
    <row r="369" spans="1:5">
      <c r="A369" s="23"/>
      <c r="B369" s="13"/>
      <c r="C369" s="13"/>
      <c r="D369" s="13"/>
      <c r="E369" s="13"/>
    </row>
    <row r="370" spans="1:5">
      <c r="A370" s="23"/>
      <c r="B370" s="13"/>
      <c r="C370" s="13"/>
      <c r="D370" s="13"/>
      <c r="E370" s="13"/>
    </row>
    <row r="371" spans="1:5">
      <c r="A371" s="23"/>
      <c r="B371" s="13"/>
      <c r="C371" s="13"/>
      <c r="D371" s="13"/>
      <c r="E371" s="13"/>
    </row>
    <row r="372" spans="1:5">
      <c r="A372" s="23"/>
      <c r="B372" s="13"/>
      <c r="C372" s="13"/>
      <c r="D372" s="13"/>
      <c r="E372" s="13"/>
    </row>
    <row r="373" spans="1:5">
      <c r="A373" s="23"/>
      <c r="B373" s="13"/>
      <c r="C373" s="13"/>
      <c r="D373" s="13"/>
      <c r="E373" s="13"/>
    </row>
    <row r="374" spans="1:5">
      <c r="A374" s="23"/>
      <c r="B374" s="13"/>
      <c r="C374" s="13"/>
      <c r="D374" s="13"/>
      <c r="E374" s="13"/>
    </row>
    <row r="375" spans="1:5">
      <c r="A375" s="23"/>
      <c r="B375" s="13"/>
      <c r="C375" s="13"/>
      <c r="D375" s="13"/>
      <c r="E375" s="13"/>
    </row>
    <row r="376" spans="1:5">
      <c r="A376" s="23"/>
      <c r="B376" s="13"/>
      <c r="C376" s="13"/>
      <c r="D376" s="13"/>
      <c r="E376" s="13"/>
    </row>
    <row r="377" spans="1:5">
      <c r="A377" s="23"/>
      <c r="B377" s="13"/>
      <c r="C377" s="13"/>
      <c r="D377" s="13"/>
      <c r="E377" s="13"/>
    </row>
    <row r="378" spans="1:5">
      <c r="A378" s="23"/>
      <c r="B378" s="13"/>
      <c r="C378" s="13"/>
      <c r="D378" s="13"/>
      <c r="E378" s="13"/>
    </row>
    <row r="379" spans="1:5">
      <c r="A379" s="23"/>
      <c r="B379" s="13"/>
      <c r="C379" s="13"/>
      <c r="D379" s="13"/>
      <c r="E379" s="13"/>
    </row>
    <row r="380" spans="1:5">
      <c r="A380" s="23"/>
      <c r="B380" s="13"/>
      <c r="C380" s="13"/>
      <c r="D380" s="13"/>
      <c r="E380" s="13"/>
    </row>
    <row r="381" spans="1:5">
      <c r="A381" s="23"/>
      <c r="B381" s="13"/>
      <c r="C381" s="13"/>
      <c r="D381" s="13"/>
      <c r="E381" s="13"/>
    </row>
    <row r="382" spans="1:5">
      <c r="A382" s="23"/>
      <c r="B382" s="13"/>
      <c r="C382" s="13"/>
      <c r="D382" s="13"/>
      <c r="E382" s="13"/>
    </row>
    <row r="383" spans="1:5">
      <c r="A383" s="23"/>
      <c r="B383" s="13"/>
      <c r="C383" s="13"/>
      <c r="D383" s="13"/>
      <c r="E383" s="13"/>
    </row>
    <row r="384" spans="1:5">
      <c r="A384" s="23"/>
      <c r="B384" s="13"/>
      <c r="C384" s="13"/>
      <c r="D384" s="13"/>
      <c r="E384" s="13"/>
    </row>
    <row r="385" spans="1:5">
      <c r="A385" s="23"/>
      <c r="B385" s="13"/>
      <c r="C385" s="13"/>
      <c r="D385" s="13"/>
      <c r="E385" s="13"/>
    </row>
    <row r="386" spans="1:5">
      <c r="A386" s="23"/>
      <c r="B386" s="13"/>
      <c r="C386" s="13"/>
      <c r="D386" s="13"/>
      <c r="E386" s="13"/>
    </row>
    <row r="387" spans="1:5">
      <c r="A387" s="23"/>
      <c r="B387" s="13"/>
      <c r="C387" s="13"/>
      <c r="D387" s="13"/>
      <c r="E387" s="13"/>
    </row>
    <row r="388" spans="1:5">
      <c r="A388" s="23"/>
      <c r="B388" s="13"/>
      <c r="C388" s="13"/>
      <c r="D388" s="13"/>
      <c r="E388" s="13"/>
    </row>
    <row r="389" spans="1:5">
      <c r="A389" s="23"/>
      <c r="B389" s="13"/>
      <c r="C389" s="13"/>
      <c r="D389" s="13"/>
      <c r="E389" s="13"/>
    </row>
    <row r="390" spans="1:5">
      <c r="A390" s="23"/>
      <c r="B390" s="13"/>
      <c r="C390" s="13"/>
      <c r="D390" s="13"/>
      <c r="E390" s="13"/>
    </row>
    <row r="391" spans="1:5">
      <c r="A391" s="23"/>
      <c r="B391" s="13"/>
      <c r="C391" s="13"/>
      <c r="D391" s="13"/>
      <c r="E391" s="13"/>
    </row>
    <row r="392" spans="1:5">
      <c r="A392" s="23"/>
      <c r="B392" s="13"/>
      <c r="C392" s="13"/>
      <c r="D392" s="13"/>
      <c r="E392" s="13"/>
    </row>
    <row r="393" spans="1:5">
      <c r="A393" s="23"/>
      <c r="B393" s="13"/>
      <c r="C393" s="13"/>
      <c r="D393" s="13"/>
      <c r="E393" s="13"/>
    </row>
    <row r="394" spans="1:5">
      <c r="A394" s="23"/>
      <c r="B394" s="13"/>
      <c r="C394" s="13"/>
      <c r="D394" s="13"/>
      <c r="E394" s="13"/>
    </row>
    <row r="395" spans="1:5">
      <c r="A395" s="23"/>
      <c r="B395" s="13"/>
      <c r="C395" s="13"/>
      <c r="D395" s="13"/>
      <c r="E395" s="13"/>
    </row>
    <row r="396" spans="1:5">
      <c r="A396" s="23"/>
      <c r="B396" s="13"/>
      <c r="C396" s="13"/>
      <c r="D396" s="13"/>
      <c r="E396" s="13"/>
    </row>
    <row r="397" spans="1:5">
      <c r="A397" s="23"/>
      <c r="B397" s="13"/>
      <c r="C397" s="13"/>
      <c r="D397" s="13"/>
      <c r="E397" s="13"/>
    </row>
    <row r="398" spans="1:5">
      <c r="A398" s="23"/>
      <c r="B398" s="13"/>
      <c r="C398" s="13"/>
      <c r="D398" s="13"/>
      <c r="E398" s="13"/>
    </row>
    <row r="399" spans="1:5">
      <c r="A399" s="23"/>
      <c r="B399" s="13"/>
      <c r="C399" s="13"/>
      <c r="D399" s="13"/>
      <c r="E399" s="13"/>
    </row>
    <row r="400" spans="1:5">
      <c r="A400" s="23"/>
      <c r="B400" s="13"/>
      <c r="C400" s="13"/>
      <c r="D400" s="13"/>
      <c r="E400" s="13"/>
    </row>
    <row r="401" spans="1:5">
      <c r="A401" s="23"/>
      <c r="B401" s="13"/>
      <c r="C401" s="13"/>
      <c r="D401" s="13"/>
      <c r="E401" s="13"/>
    </row>
    <row r="402" spans="1:5">
      <c r="A402" s="23"/>
      <c r="B402" s="13"/>
      <c r="C402" s="13"/>
      <c r="D402" s="13"/>
      <c r="E402" s="13"/>
    </row>
    <row r="403" spans="1:5">
      <c r="A403" s="23"/>
      <c r="B403" s="13"/>
      <c r="C403" s="13"/>
      <c r="D403" s="13"/>
      <c r="E403" s="13"/>
    </row>
    <row r="404" spans="1:5">
      <c r="A404" s="23"/>
      <c r="B404" s="13"/>
      <c r="C404" s="13"/>
      <c r="D404" s="13"/>
      <c r="E404" s="13"/>
    </row>
    <row r="405" spans="1:5">
      <c r="A405" s="23"/>
      <c r="B405" s="13"/>
      <c r="C405" s="13"/>
      <c r="D405" s="13"/>
      <c r="E405" s="13"/>
    </row>
    <row r="406" spans="1:5">
      <c r="A406" s="23"/>
      <c r="B406" s="13"/>
      <c r="C406" s="13"/>
      <c r="D406" s="13"/>
      <c r="E406" s="13"/>
    </row>
    <row r="407" spans="1:5">
      <c r="A407" s="23"/>
      <c r="B407" s="13"/>
      <c r="C407" s="13"/>
      <c r="D407" s="13"/>
      <c r="E407" s="13"/>
    </row>
    <row r="408" spans="1:5">
      <c r="A408" s="23"/>
      <c r="B408" s="13"/>
      <c r="C408" s="13"/>
      <c r="D408" s="13"/>
      <c r="E408" s="13"/>
    </row>
    <row r="409" spans="1:5">
      <c r="A409" s="23"/>
      <c r="B409" s="13"/>
      <c r="C409" s="13"/>
      <c r="D409" s="13"/>
      <c r="E409" s="13"/>
    </row>
    <row r="410" spans="1:5">
      <c r="A410" s="23"/>
      <c r="B410" s="13"/>
      <c r="C410" s="13"/>
      <c r="D410" s="13"/>
      <c r="E410" s="13"/>
    </row>
    <row r="411" spans="1:5">
      <c r="A411" s="23"/>
      <c r="B411" s="13"/>
      <c r="C411" s="13"/>
      <c r="D411" s="13"/>
      <c r="E411" s="13"/>
    </row>
    <row r="412" spans="1:5">
      <c r="A412" s="23"/>
      <c r="B412" s="13"/>
      <c r="C412" s="13"/>
      <c r="D412" s="13"/>
      <c r="E412" s="13"/>
    </row>
    <row r="413" spans="1:5">
      <c r="A413" s="23"/>
      <c r="B413" s="13"/>
      <c r="C413" s="13"/>
      <c r="D413" s="13"/>
      <c r="E413" s="13"/>
    </row>
    <row r="414" spans="1:5">
      <c r="A414" s="23"/>
      <c r="B414" s="13"/>
      <c r="C414" s="13"/>
      <c r="D414" s="13"/>
      <c r="E414" s="13"/>
    </row>
    <row r="415" spans="1:5">
      <c r="A415" s="23"/>
      <c r="B415" s="13"/>
      <c r="C415" s="13"/>
      <c r="D415" s="13"/>
      <c r="E415" s="13"/>
    </row>
    <row r="416" spans="1:5">
      <c r="A416" s="23"/>
      <c r="B416" s="13"/>
      <c r="C416" s="13"/>
      <c r="D416" s="13"/>
      <c r="E416" s="13"/>
    </row>
    <row r="417" spans="1:5">
      <c r="A417" s="23"/>
      <c r="B417" s="13"/>
      <c r="C417" s="13"/>
      <c r="D417" s="13"/>
      <c r="E417" s="13"/>
    </row>
    <row r="418" spans="1:5">
      <c r="A418" s="23"/>
      <c r="B418" s="13"/>
      <c r="C418" s="13"/>
      <c r="D418" s="13"/>
      <c r="E418" s="13"/>
    </row>
    <row r="419" spans="1:5">
      <c r="A419" s="23"/>
      <c r="B419" s="13"/>
      <c r="C419" s="13"/>
      <c r="D419" s="13"/>
      <c r="E419" s="13"/>
    </row>
    <row r="420" spans="1:5">
      <c r="A420" s="23"/>
      <c r="B420" s="13"/>
      <c r="C420" s="13"/>
      <c r="D420" s="13"/>
      <c r="E420" s="13"/>
    </row>
    <row r="421" spans="1:5">
      <c r="A421" s="23"/>
      <c r="B421" s="13"/>
      <c r="C421" s="13"/>
      <c r="D421" s="13"/>
      <c r="E421" s="13"/>
    </row>
    <row r="422" spans="1:5">
      <c r="A422" s="23"/>
      <c r="B422" s="13"/>
      <c r="C422" s="13"/>
      <c r="D422" s="13"/>
      <c r="E422" s="13"/>
    </row>
    <row r="423" spans="1:5">
      <c r="A423" s="23"/>
      <c r="B423" s="13"/>
      <c r="C423" s="13"/>
      <c r="D423" s="13"/>
      <c r="E423" s="13"/>
    </row>
    <row r="424" spans="1:5">
      <c r="A424" s="23"/>
      <c r="B424" s="13"/>
      <c r="C424" s="13"/>
      <c r="D424" s="13"/>
      <c r="E424" s="13"/>
    </row>
    <row r="425" spans="1:5">
      <c r="A425" s="23"/>
      <c r="B425" s="13"/>
      <c r="C425" s="13"/>
      <c r="D425" s="13"/>
      <c r="E425" s="13"/>
    </row>
    <row r="426" spans="1:5">
      <c r="A426" s="23"/>
      <c r="B426" s="13"/>
      <c r="C426" s="13"/>
      <c r="D426" s="13"/>
      <c r="E426" s="13"/>
    </row>
    <row r="427" spans="1:5">
      <c r="A427" s="23"/>
      <c r="B427" s="13"/>
      <c r="C427" s="13"/>
      <c r="D427" s="13"/>
      <c r="E427" s="13"/>
    </row>
    <row r="428" spans="1:5">
      <c r="A428" s="23"/>
      <c r="B428" s="13"/>
      <c r="C428" s="13"/>
      <c r="D428" s="13"/>
      <c r="E428" s="13"/>
    </row>
    <row r="429" spans="1:5">
      <c r="A429" s="23"/>
      <c r="B429" s="13"/>
      <c r="C429" s="13"/>
      <c r="D429" s="13"/>
      <c r="E429" s="13"/>
    </row>
    <row r="430" spans="1:5">
      <c r="A430" s="23"/>
      <c r="B430" s="13"/>
      <c r="C430" s="13"/>
      <c r="D430" s="13"/>
      <c r="E430" s="13"/>
    </row>
    <row r="431" spans="1:5">
      <c r="A431" s="23"/>
      <c r="B431" s="13"/>
      <c r="C431" s="13"/>
      <c r="D431" s="13"/>
      <c r="E431" s="13"/>
    </row>
    <row r="432" spans="1:5">
      <c r="A432" s="23"/>
      <c r="B432" s="13"/>
      <c r="C432" s="13"/>
      <c r="D432" s="13"/>
      <c r="E432" s="13"/>
    </row>
    <row r="433" spans="1:5">
      <c r="A433" s="23"/>
      <c r="B433" s="13"/>
      <c r="C433" s="13"/>
      <c r="D433" s="13"/>
      <c r="E433" s="13"/>
    </row>
    <row r="434" spans="1:5">
      <c r="A434" s="23"/>
      <c r="B434" s="13"/>
      <c r="C434" s="13"/>
      <c r="D434" s="13"/>
      <c r="E434" s="13"/>
    </row>
    <row r="435" spans="1:5">
      <c r="A435" s="23"/>
      <c r="B435" s="13"/>
      <c r="C435" s="13"/>
      <c r="D435" s="13"/>
      <c r="E435" s="13"/>
    </row>
    <row r="436" spans="1:5">
      <c r="A436" s="23"/>
      <c r="B436" s="13"/>
      <c r="C436" s="13"/>
      <c r="D436" s="13"/>
      <c r="E436" s="13"/>
    </row>
    <row r="437" spans="1:5">
      <c r="A437" s="23"/>
      <c r="B437" s="13"/>
      <c r="C437" s="13"/>
      <c r="D437" s="13"/>
      <c r="E437" s="13"/>
    </row>
    <row r="438" spans="1:5">
      <c r="A438" s="23"/>
      <c r="B438" s="13"/>
      <c r="C438" s="13"/>
      <c r="D438" s="13"/>
      <c r="E438" s="13"/>
    </row>
    <row r="439" spans="1:5">
      <c r="A439" s="23"/>
      <c r="B439" s="13"/>
      <c r="C439" s="13"/>
      <c r="D439" s="13"/>
      <c r="E439" s="13"/>
    </row>
    <row r="440" spans="1:5">
      <c r="A440" s="23"/>
      <c r="B440" s="13"/>
      <c r="C440" s="13"/>
      <c r="D440" s="13"/>
      <c r="E440" s="13"/>
    </row>
    <row r="441" spans="1:5">
      <c r="A441" s="23"/>
      <c r="B441" s="13"/>
      <c r="C441" s="13"/>
      <c r="D441" s="13"/>
      <c r="E441" s="13"/>
    </row>
    <row r="442" spans="1:5">
      <c r="A442" s="23"/>
      <c r="B442" s="13"/>
      <c r="C442" s="13"/>
      <c r="D442" s="13"/>
      <c r="E442" s="13"/>
    </row>
    <row r="443" spans="1:5">
      <c r="A443" s="23"/>
      <c r="B443" s="13"/>
      <c r="C443" s="13"/>
      <c r="D443" s="13"/>
      <c r="E443" s="13"/>
    </row>
    <row r="444" spans="1:5">
      <c r="A444" s="23"/>
      <c r="B444" s="13"/>
      <c r="C444" s="13"/>
      <c r="D444" s="13"/>
      <c r="E444" s="13"/>
    </row>
    <row r="445" spans="1:5">
      <c r="A445" s="23"/>
      <c r="B445" s="13"/>
      <c r="C445" s="13"/>
      <c r="D445" s="13"/>
      <c r="E445" s="13"/>
    </row>
    <row r="446" spans="1:5">
      <c r="A446" s="23"/>
      <c r="B446" s="13"/>
      <c r="C446" s="13"/>
      <c r="D446" s="13"/>
      <c r="E446" s="13"/>
    </row>
    <row r="447" spans="1:5">
      <c r="A447" s="23"/>
      <c r="B447" s="13"/>
      <c r="C447" s="13"/>
      <c r="D447" s="13"/>
      <c r="E447" s="13"/>
    </row>
    <row r="448" spans="1:5">
      <c r="A448" s="23"/>
      <c r="B448" s="13"/>
      <c r="C448" s="13"/>
      <c r="D448" s="13"/>
      <c r="E448" s="13"/>
    </row>
    <row r="449" spans="1:5">
      <c r="A449" s="23"/>
      <c r="B449" s="13"/>
      <c r="C449" s="13"/>
      <c r="D449" s="13"/>
      <c r="E449" s="13"/>
    </row>
    <row r="450" spans="1:5">
      <c r="A450" s="23"/>
      <c r="B450" s="13"/>
      <c r="C450" s="13"/>
      <c r="D450" s="13"/>
      <c r="E450" s="13"/>
    </row>
    <row r="451" spans="1:5">
      <c r="A451" s="23"/>
      <c r="B451" s="13"/>
      <c r="C451" s="13"/>
      <c r="D451" s="13"/>
      <c r="E451" s="13"/>
    </row>
    <row r="452" spans="1:5">
      <c r="A452" s="23"/>
      <c r="B452" s="13"/>
      <c r="C452" s="13"/>
      <c r="D452" s="13"/>
      <c r="E452" s="13"/>
    </row>
    <row r="453" spans="1:5">
      <c r="A453" s="23"/>
      <c r="B453" s="13"/>
      <c r="C453" s="13"/>
      <c r="D453" s="13"/>
      <c r="E453" s="13"/>
    </row>
    <row r="454" spans="1:5">
      <c r="A454" s="23"/>
      <c r="B454" s="13"/>
      <c r="C454" s="13"/>
      <c r="D454" s="13"/>
      <c r="E454" s="13"/>
    </row>
    <row r="455" spans="1:5">
      <c r="A455" s="23"/>
      <c r="B455" s="13"/>
      <c r="C455" s="13"/>
      <c r="D455" s="13"/>
      <c r="E455" s="13"/>
    </row>
    <row r="456" spans="1:5">
      <c r="A456" s="23"/>
      <c r="B456" s="13"/>
      <c r="C456" s="13"/>
      <c r="D456" s="13"/>
      <c r="E456" s="13"/>
    </row>
    <row r="457" spans="1:5">
      <c r="A457" s="23"/>
      <c r="B457" s="13"/>
      <c r="C457" s="13"/>
      <c r="D457" s="13"/>
      <c r="E457" s="13"/>
    </row>
    <row r="458" spans="1:5">
      <c r="A458" s="23"/>
      <c r="B458" s="13"/>
      <c r="C458" s="13"/>
      <c r="D458" s="13"/>
      <c r="E458" s="13"/>
    </row>
    <row r="459" spans="1:5">
      <c r="A459" s="23"/>
      <c r="B459" s="13"/>
      <c r="C459" s="13"/>
      <c r="D459" s="13"/>
      <c r="E459" s="13"/>
    </row>
    <row r="460" spans="1:5">
      <c r="A460" s="23"/>
      <c r="B460" s="13"/>
      <c r="C460" s="13"/>
      <c r="D460" s="13"/>
      <c r="E460" s="13"/>
    </row>
    <row r="461" spans="1:5">
      <c r="A461" s="23"/>
      <c r="B461" s="13"/>
      <c r="C461" s="13"/>
      <c r="D461" s="13"/>
      <c r="E461" s="13"/>
    </row>
    <row r="462" spans="1:5">
      <c r="A462" s="23"/>
      <c r="B462" s="13"/>
      <c r="C462" s="13"/>
      <c r="D462" s="13"/>
      <c r="E462" s="13"/>
    </row>
    <row r="463" spans="1:5">
      <c r="A463" s="23"/>
      <c r="B463" s="13"/>
      <c r="C463" s="13"/>
      <c r="D463" s="13"/>
      <c r="E463" s="13"/>
    </row>
    <row r="464" spans="1:5">
      <c r="A464" s="23"/>
      <c r="B464" s="13"/>
      <c r="C464" s="13"/>
      <c r="D464" s="13"/>
      <c r="E464" s="13"/>
    </row>
    <row r="465" spans="1:5">
      <c r="A465" s="23"/>
      <c r="B465" s="13"/>
      <c r="C465" s="13"/>
      <c r="D465" s="13"/>
      <c r="E465" s="13"/>
    </row>
    <row r="466" spans="1:5">
      <c r="A466" s="23"/>
      <c r="B466" s="13"/>
      <c r="C466" s="13"/>
      <c r="D466" s="13"/>
      <c r="E466" s="13"/>
    </row>
    <row r="467" spans="1:5">
      <c r="A467" s="23"/>
      <c r="B467" s="13"/>
      <c r="C467" s="13"/>
      <c r="D467" s="13"/>
      <c r="E467" s="13"/>
    </row>
    <row r="468" spans="1:5">
      <c r="A468" s="23"/>
      <c r="B468" s="13"/>
      <c r="C468" s="13"/>
      <c r="D468" s="13"/>
      <c r="E468" s="13"/>
    </row>
    <row r="469" spans="1:5">
      <c r="A469" s="23"/>
      <c r="B469" s="13"/>
      <c r="C469" s="13"/>
      <c r="D469" s="13"/>
      <c r="E469" s="13"/>
    </row>
    <row r="470" spans="1:5">
      <c r="A470" s="23"/>
      <c r="B470" s="13"/>
      <c r="C470" s="13"/>
      <c r="D470" s="13"/>
      <c r="E470" s="13"/>
    </row>
    <row r="471" spans="1:5">
      <c r="A471" s="23"/>
      <c r="B471" s="13"/>
      <c r="C471" s="13"/>
      <c r="D471" s="13"/>
      <c r="E471" s="13"/>
    </row>
    <row r="472" spans="1:5">
      <c r="A472" s="23"/>
      <c r="B472" s="13"/>
      <c r="C472" s="13"/>
      <c r="D472" s="13"/>
      <c r="E472" s="13"/>
    </row>
    <row r="473" spans="1:5">
      <c r="A473" s="23"/>
      <c r="B473" s="13"/>
      <c r="C473" s="13"/>
      <c r="D473" s="13"/>
      <c r="E473" s="13"/>
    </row>
    <row r="474" spans="1:5">
      <c r="A474" s="23"/>
      <c r="B474" s="13"/>
      <c r="C474" s="13"/>
      <c r="D474" s="13"/>
      <c r="E474" s="13"/>
    </row>
    <row r="475" spans="1:5">
      <c r="A475" s="23"/>
      <c r="B475" s="13"/>
      <c r="C475" s="13"/>
      <c r="D475" s="13"/>
      <c r="E475" s="13"/>
    </row>
    <row r="476" spans="1:5">
      <c r="A476" s="23"/>
      <c r="B476" s="13"/>
      <c r="C476" s="13"/>
      <c r="D476" s="13"/>
      <c r="E476" s="13"/>
    </row>
    <row r="477" spans="1:5">
      <c r="A477" s="23"/>
      <c r="B477" s="13"/>
      <c r="C477" s="13"/>
      <c r="D477" s="13"/>
      <c r="E477" s="13"/>
    </row>
    <row r="478" spans="1:5">
      <c r="A478" s="23"/>
      <c r="B478" s="13"/>
      <c r="C478" s="13"/>
      <c r="D478" s="13"/>
      <c r="E478" s="13"/>
    </row>
    <row r="479" spans="1:5">
      <c r="A479" s="23"/>
      <c r="B479" s="13"/>
      <c r="C479" s="13"/>
      <c r="D479" s="13"/>
      <c r="E479" s="13"/>
    </row>
    <row r="480" spans="1:5">
      <c r="A480" s="23"/>
      <c r="B480" s="13"/>
      <c r="C480" s="13"/>
      <c r="D480" s="13"/>
      <c r="E480" s="13"/>
    </row>
    <row r="481" spans="1:5">
      <c r="A481" s="23"/>
      <c r="B481" s="13"/>
      <c r="C481" s="13"/>
      <c r="D481" s="13"/>
      <c r="E481" s="13"/>
    </row>
    <row r="482" spans="1:5">
      <c r="A482" s="23"/>
      <c r="B482" s="13"/>
      <c r="C482" s="13"/>
      <c r="D482" s="13"/>
      <c r="E482" s="13"/>
    </row>
    <row r="483" spans="1:5">
      <c r="A483" s="23"/>
      <c r="B483" s="13"/>
      <c r="C483" s="13"/>
      <c r="D483" s="13"/>
      <c r="E483" s="13"/>
    </row>
    <row r="484" spans="1:5">
      <c r="A484" s="23"/>
      <c r="B484" s="13"/>
      <c r="C484" s="13"/>
      <c r="D484" s="13"/>
      <c r="E484" s="13"/>
    </row>
    <row r="485" spans="1:5">
      <c r="A485" s="23"/>
      <c r="B485" s="13"/>
      <c r="C485" s="13"/>
      <c r="D485" s="13"/>
      <c r="E485" s="13"/>
    </row>
    <row r="486" spans="1:5">
      <c r="A486" s="23"/>
      <c r="B486" s="13"/>
      <c r="C486" s="13"/>
      <c r="D486" s="13"/>
      <c r="E486" s="13"/>
    </row>
    <row r="487" spans="1:5">
      <c r="A487" s="23"/>
      <c r="B487" s="13"/>
      <c r="C487" s="13"/>
      <c r="D487" s="13"/>
      <c r="E487" s="13"/>
    </row>
    <row r="488" spans="1:5">
      <c r="A488" s="23"/>
      <c r="B488" s="13"/>
      <c r="C488" s="13"/>
      <c r="D488" s="13"/>
      <c r="E488" s="13"/>
    </row>
    <row r="489" spans="1:5">
      <c r="A489" s="23"/>
      <c r="B489" s="13"/>
      <c r="C489" s="13"/>
      <c r="D489" s="13"/>
      <c r="E489" s="13"/>
    </row>
    <row r="490" spans="1:5">
      <c r="A490" s="23"/>
      <c r="B490" s="13"/>
      <c r="C490" s="13"/>
      <c r="D490" s="13"/>
      <c r="E490" s="13"/>
    </row>
    <row r="491" spans="1:5">
      <c r="A491" s="23"/>
      <c r="B491" s="13"/>
      <c r="C491" s="13"/>
      <c r="D491" s="13"/>
      <c r="E491" s="13"/>
    </row>
    <row r="492" spans="1:5">
      <c r="A492" s="23"/>
      <c r="B492" s="13"/>
      <c r="C492" s="13"/>
      <c r="D492" s="13"/>
      <c r="E492" s="13"/>
    </row>
    <row r="493" spans="1:5">
      <c r="A493" s="23"/>
      <c r="B493" s="13"/>
      <c r="C493" s="13"/>
      <c r="D493" s="13"/>
      <c r="E493" s="13"/>
    </row>
    <row r="494" spans="1:5">
      <c r="A494" s="23"/>
      <c r="B494" s="13"/>
      <c r="C494" s="13"/>
      <c r="D494" s="13"/>
      <c r="E494" s="13"/>
    </row>
    <row r="495" spans="1:5">
      <c r="A495" s="23"/>
      <c r="B495" s="13"/>
      <c r="C495" s="13"/>
      <c r="D495" s="13"/>
      <c r="E495" s="13"/>
    </row>
    <row r="496" spans="1:5">
      <c r="A496" s="23"/>
      <c r="B496" s="13"/>
      <c r="C496" s="13"/>
      <c r="D496" s="13"/>
      <c r="E496" s="13"/>
    </row>
    <row r="497" spans="1:5">
      <c r="A497" s="23"/>
      <c r="B497" s="13"/>
      <c r="C497" s="13"/>
      <c r="D497" s="13"/>
      <c r="E497" s="13"/>
    </row>
    <row r="498" spans="1:5">
      <c r="A498" s="23"/>
      <c r="B498" s="13"/>
      <c r="C498" s="13"/>
      <c r="D498" s="13"/>
      <c r="E498" s="13"/>
    </row>
    <row r="499" spans="1:5">
      <c r="A499" s="23"/>
      <c r="B499" s="13"/>
      <c r="C499" s="13"/>
      <c r="D499" s="13"/>
      <c r="E499" s="13"/>
    </row>
    <row r="500" spans="1:5">
      <c r="A500" s="23"/>
      <c r="B500" s="13"/>
      <c r="C500" s="13"/>
      <c r="D500" s="13"/>
      <c r="E500" s="13"/>
    </row>
    <row r="501" spans="1:5">
      <c r="A501" s="23"/>
      <c r="B501" s="13"/>
      <c r="C501" s="13"/>
      <c r="D501" s="13"/>
      <c r="E501" s="13"/>
    </row>
    <row r="502" spans="1:5">
      <c r="A502" s="23"/>
      <c r="B502" s="13"/>
      <c r="C502" s="13"/>
      <c r="D502" s="13"/>
      <c r="E502" s="13"/>
    </row>
    <row r="503" spans="1:5">
      <c r="A503" s="23"/>
      <c r="B503" s="13"/>
      <c r="C503" s="13"/>
      <c r="D503" s="13"/>
      <c r="E503" s="13"/>
    </row>
    <row r="504" spans="1:5">
      <c r="A504" s="23"/>
      <c r="B504" s="13"/>
      <c r="C504" s="13"/>
      <c r="D504" s="13"/>
      <c r="E504" s="13"/>
    </row>
    <row r="505" spans="1:5">
      <c r="A505" s="23"/>
      <c r="B505" s="13"/>
      <c r="C505" s="13"/>
      <c r="D505" s="13"/>
      <c r="E505" s="13"/>
    </row>
    <row r="506" spans="1:5">
      <c r="A506" s="23"/>
      <c r="B506" s="13"/>
      <c r="C506" s="13"/>
      <c r="D506" s="13"/>
      <c r="E506" s="13"/>
    </row>
    <row r="507" spans="1:5">
      <c r="A507" s="23"/>
      <c r="B507" s="13"/>
      <c r="C507" s="13"/>
      <c r="D507" s="13"/>
      <c r="E507" s="13"/>
    </row>
    <row r="508" spans="1:5">
      <c r="A508" s="23"/>
      <c r="B508" s="13"/>
      <c r="C508" s="13"/>
      <c r="D508" s="13"/>
      <c r="E508" s="13"/>
    </row>
    <row r="509" spans="1:5">
      <c r="A509" s="23"/>
      <c r="B509" s="13"/>
      <c r="C509" s="13"/>
      <c r="D509" s="13"/>
      <c r="E509" s="13"/>
    </row>
    <row r="510" spans="1:5">
      <c r="A510" s="23"/>
      <c r="B510" s="13"/>
      <c r="C510" s="13"/>
      <c r="D510" s="13"/>
      <c r="E510" s="13"/>
    </row>
    <row r="511" spans="1:5">
      <c r="A511" s="23"/>
      <c r="B511" s="13"/>
      <c r="C511" s="13"/>
      <c r="D511" s="13"/>
      <c r="E511" s="13"/>
    </row>
    <row r="512" spans="1:5">
      <c r="A512" s="23"/>
      <c r="B512" s="13"/>
      <c r="C512" s="13"/>
      <c r="D512" s="13"/>
      <c r="E512" s="13"/>
    </row>
    <row r="513" spans="1:5">
      <c r="A513" s="23"/>
      <c r="B513" s="13"/>
      <c r="C513" s="13"/>
      <c r="D513" s="13"/>
      <c r="E513" s="13"/>
    </row>
    <row r="514" spans="1:5">
      <c r="A514" s="23"/>
      <c r="B514" s="13"/>
      <c r="C514" s="13"/>
      <c r="D514" s="13"/>
      <c r="E514" s="13"/>
    </row>
    <row r="515" spans="1:5">
      <c r="A515" s="23"/>
      <c r="B515" s="13"/>
      <c r="C515" s="13"/>
      <c r="D515" s="13"/>
      <c r="E515" s="13"/>
    </row>
    <row r="516" spans="1:5">
      <c r="A516" s="23"/>
      <c r="B516" s="13"/>
      <c r="C516" s="13"/>
      <c r="D516" s="13"/>
      <c r="E516" s="13"/>
    </row>
    <row r="517" spans="1:5">
      <c r="A517" s="23"/>
      <c r="B517" s="13"/>
      <c r="C517" s="13"/>
      <c r="D517" s="13"/>
      <c r="E517" s="13"/>
    </row>
    <row r="518" spans="1:5">
      <c r="A518" s="23"/>
      <c r="B518" s="13"/>
      <c r="C518" s="13"/>
      <c r="D518" s="13"/>
      <c r="E518" s="13"/>
    </row>
    <row r="519" spans="1:5">
      <c r="A519" s="23"/>
      <c r="B519" s="13"/>
      <c r="C519" s="13"/>
      <c r="D519" s="13"/>
      <c r="E519" s="13"/>
    </row>
    <row r="520" spans="1:5">
      <c r="A520" s="23"/>
      <c r="B520" s="13"/>
      <c r="C520" s="13"/>
      <c r="D520" s="13"/>
      <c r="E520" s="13"/>
    </row>
    <row r="521" spans="1:5">
      <c r="A521" s="23"/>
      <c r="B521" s="13"/>
      <c r="C521" s="13"/>
      <c r="D521" s="13"/>
      <c r="E521" s="13"/>
    </row>
    <row r="522" spans="1:5">
      <c r="A522" s="23"/>
      <c r="B522" s="13"/>
      <c r="C522" s="13"/>
      <c r="D522" s="13"/>
      <c r="E522" s="13"/>
    </row>
    <row r="523" spans="1:5">
      <c r="A523" s="23"/>
      <c r="B523" s="13"/>
      <c r="C523" s="13"/>
      <c r="D523" s="13"/>
      <c r="E523" s="13"/>
    </row>
    <row r="524" spans="1:5">
      <c r="A524" s="23"/>
      <c r="B524" s="13"/>
      <c r="C524" s="13"/>
      <c r="D524" s="13"/>
      <c r="E524" s="13"/>
    </row>
    <row r="525" spans="1:5">
      <c r="A525" s="23"/>
      <c r="B525" s="13"/>
      <c r="C525" s="13"/>
      <c r="D525" s="13"/>
      <c r="E525" s="13"/>
    </row>
    <row r="526" spans="1:5">
      <c r="A526" s="23"/>
      <c r="B526" s="13"/>
      <c r="C526" s="13"/>
      <c r="D526" s="13"/>
      <c r="E526" s="13"/>
    </row>
    <row r="527" spans="1:5">
      <c r="A527" s="23"/>
      <c r="B527" s="13"/>
      <c r="C527" s="13"/>
      <c r="D527" s="13"/>
      <c r="E527" s="13"/>
    </row>
    <row r="528" spans="1:5">
      <c r="A528" s="23"/>
      <c r="B528" s="13"/>
      <c r="C528" s="13"/>
      <c r="D528" s="13"/>
      <c r="E528" s="13"/>
    </row>
    <row r="529" spans="1:5">
      <c r="A529" s="23"/>
      <c r="B529" s="13"/>
      <c r="C529" s="13"/>
      <c r="D529" s="13"/>
      <c r="E529" s="13"/>
    </row>
    <row r="530" spans="1:5">
      <c r="A530" s="23"/>
      <c r="B530" s="13"/>
      <c r="C530" s="13"/>
      <c r="D530" s="13"/>
      <c r="E530" s="13"/>
    </row>
    <row r="531" spans="1:5">
      <c r="A531" s="23"/>
      <c r="B531" s="13"/>
      <c r="C531" s="13"/>
      <c r="D531" s="13"/>
      <c r="E531" s="13"/>
    </row>
    <row r="532" spans="1:5">
      <c r="A532" s="23"/>
      <c r="B532" s="13"/>
      <c r="C532" s="13"/>
      <c r="D532" s="13"/>
      <c r="E532" s="13"/>
    </row>
    <row r="533" spans="1:5">
      <c r="A533" s="23"/>
      <c r="B533" s="13"/>
      <c r="C533" s="13"/>
      <c r="D533" s="13"/>
      <c r="E533" s="13"/>
    </row>
    <row r="534" spans="1:5">
      <c r="A534" s="23"/>
      <c r="B534" s="13"/>
      <c r="C534" s="13"/>
      <c r="D534" s="13"/>
      <c r="E534" s="13"/>
    </row>
    <row r="535" spans="1:5">
      <c r="A535" s="23"/>
      <c r="B535" s="13"/>
      <c r="C535" s="13"/>
      <c r="D535" s="13"/>
      <c r="E535" s="13"/>
    </row>
    <row r="536" spans="1:5">
      <c r="A536" s="23"/>
      <c r="B536" s="13"/>
      <c r="C536" s="13"/>
      <c r="D536" s="13"/>
      <c r="E536" s="13"/>
    </row>
    <row r="537" spans="1:5">
      <c r="A537" s="23"/>
      <c r="B537" s="13"/>
      <c r="C537" s="13"/>
      <c r="D537" s="13"/>
      <c r="E537" s="13"/>
    </row>
    <row r="538" spans="1:5">
      <c r="A538" s="23"/>
      <c r="B538" s="13"/>
      <c r="C538" s="13"/>
      <c r="D538" s="13"/>
      <c r="E538" s="13"/>
    </row>
    <row r="539" spans="1:5">
      <c r="A539" s="23"/>
      <c r="B539" s="13"/>
      <c r="C539" s="13"/>
      <c r="D539" s="13"/>
      <c r="E539" s="13"/>
    </row>
    <row r="540" spans="1:5">
      <c r="A540" s="23"/>
      <c r="B540" s="13"/>
      <c r="C540" s="13"/>
      <c r="D540" s="13"/>
      <c r="E540" s="13"/>
    </row>
    <row r="541" spans="1:5">
      <c r="A541" s="23"/>
      <c r="B541" s="13"/>
      <c r="C541" s="13"/>
      <c r="D541" s="13"/>
      <c r="E541" s="13"/>
    </row>
    <row r="542" spans="1:5">
      <c r="A542" s="23"/>
      <c r="B542" s="13"/>
      <c r="C542" s="13"/>
      <c r="D542" s="13"/>
      <c r="E542" s="13"/>
    </row>
    <row r="543" spans="1:5">
      <c r="A543" s="23"/>
      <c r="B543" s="13"/>
      <c r="C543" s="13"/>
      <c r="D543" s="13"/>
      <c r="E543" s="13"/>
    </row>
    <row r="544" spans="1:5">
      <c r="A544" s="23"/>
      <c r="B544" s="13"/>
      <c r="C544" s="13"/>
      <c r="D544" s="13"/>
      <c r="E544" s="13"/>
    </row>
    <row r="545" spans="1:5">
      <c r="A545" s="23"/>
      <c r="B545" s="13"/>
      <c r="C545" s="13"/>
      <c r="D545" s="13"/>
      <c r="E545" s="13"/>
    </row>
    <row r="546" spans="1:5">
      <c r="A546" s="23"/>
      <c r="B546" s="13"/>
      <c r="C546" s="13"/>
      <c r="D546" s="13"/>
      <c r="E546" s="13"/>
    </row>
    <row r="547" spans="1:5">
      <c r="A547" s="23"/>
      <c r="B547" s="13"/>
      <c r="C547" s="13"/>
      <c r="D547" s="13"/>
      <c r="E547" s="13"/>
    </row>
    <row r="548" spans="1:5">
      <c r="A548" s="23"/>
      <c r="B548" s="13"/>
      <c r="C548" s="13"/>
      <c r="D548" s="13"/>
      <c r="E548" s="13"/>
    </row>
    <row r="549" spans="1:5">
      <c r="A549" s="23"/>
      <c r="B549" s="13"/>
      <c r="C549" s="13"/>
      <c r="D549" s="13"/>
      <c r="E549" s="13"/>
    </row>
    <row r="550" spans="1:5">
      <c r="A550" s="23"/>
      <c r="B550" s="13"/>
      <c r="C550" s="13"/>
      <c r="D550" s="13"/>
      <c r="E550" s="13"/>
    </row>
    <row r="551" spans="1:5">
      <c r="A551" s="23"/>
      <c r="B551" s="13"/>
      <c r="C551" s="13"/>
      <c r="D551" s="13"/>
      <c r="E551" s="13"/>
    </row>
    <row r="552" spans="1:5">
      <c r="A552" s="23"/>
      <c r="B552" s="13"/>
      <c r="C552" s="13"/>
      <c r="D552" s="13"/>
      <c r="E552" s="13"/>
    </row>
    <row r="553" spans="1:5">
      <c r="A553" s="23"/>
      <c r="B553" s="13"/>
      <c r="C553" s="13"/>
      <c r="D553" s="13"/>
      <c r="E553" s="13"/>
    </row>
    <row r="554" spans="1:5">
      <c r="A554" s="23"/>
      <c r="B554" s="13"/>
      <c r="C554" s="13"/>
      <c r="D554" s="13"/>
      <c r="E554" s="13"/>
    </row>
    <row r="555" spans="1:5">
      <c r="A555" s="23"/>
      <c r="B555" s="13"/>
      <c r="C555" s="13"/>
      <c r="D555" s="13"/>
      <c r="E555" s="13"/>
    </row>
    <row r="556" spans="1:5">
      <c r="A556" s="23"/>
      <c r="B556" s="13"/>
      <c r="C556" s="13"/>
      <c r="D556" s="13"/>
      <c r="E556" s="13"/>
    </row>
    <row r="557" spans="1:5">
      <c r="A557" s="23"/>
      <c r="B557" s="13"/>
      <c r="C557" s="13"/>
      <c r="D557" s="13"/>
      <c r="E557" s="13"/>
    </row>
    <row r="558" spans="1:5">
      <c r="A558" s="23"/>
      <c r="B558" s="13"/>
      <c r="C558" s="13"/>
      <c r="D558" s="13"/>
      <c r="E558" s="13"/>
    </row>
    <row r="559" spans="1:5">
      <c r="A559" s="23"/>
      <c r="B559" s="13"/>
      <c r="C559" s="13"/>
      <c r="D559" s="13"/>
      <c r="E559" s="13"/>
    </row>
    <row r="560" spans="1:5">
      <c r="A560" s="23"/>
      <c r="B560" s="13"/>
      <c r="C560" s="13"/>
      <c r="D560" s="13"/>
      <c r="E560" s="13"/>
    </row>
    <row r="561" spans="1:5">
      <c r="A561" s="23"/>
      <c r="B561" s="13"/>
      <c r="C561" s="13"/>
      <c r="D561" s="13"/>
      <c r="E561" s="13"/>
    </row>
    <row r="562" spans="1:5">
      <c r="A562" s="23"/>
      <c r="B562" s="13"/>
      <c r="C562" s="13"/>
      <c r="D562" s="13"/>
      <c r="E562" s="13"/>
    </row>
    <row r="563" spans="1:5">
      <c r="A563" s="23"/>
      <c r="B563" s="13"/>
      <c r="C563" s="13"/>
      <c r="D563" s="13"/>
      <c r="E563" s="13"/>
    </row>
    <row r="564" spans="1:5">
      <c r="A564" s="23"/>
      <c r="B564" s="13"/>
      <c r="C564" s="13"/>
      <c r="D564" s="13"/>
      <c r="E564" s="13"/>
    </row>
    <row r="565" spans="1:5">
      <c r="A565" s="23"/>
      <c r="B565" s="13"/>
      <c r="C565" s="13"/>
      <c r="D565" s="13"/>
      <c r="E565" s="13"/>
    </row>
    <row r="566" spans="1:5">
      <c r="A566" s="23"/>
      <c r="B566" s="13"/>
      <c r="C566" s="13"/>
      <c r="D566" s="13"/>
      <c r="E566" s="13"/>
    </row>
    <row r="567" spans="1:5">
      <c r="A567" s="23"/>
      <c r="B567" s="13"/>
      <c r="C567" s="13"/>
      <c r="D567" s="13"/>
      <c r="E567" s="13"/>
    </row>
    <row r="568" spans="1:5">
      <c r="A568" s="23"/>
      <c r="B568" s="13"/>
      <c r="C568" s="13"/>
      <c r="D568" s="13"/>
      <c r="E568" s="13"/>
    </row>
    <row r="569" spans="1:5">
      <c r="A569" s="23"/>
      <c r="B569" s="13"/>
      <c r="C569" s="13"/>
      <c r="D569" s="13"/>
      <c r="E569" s="13"/>
    </row>
    <row r="570" spans="1:5">
      <c r="A570" s="23"/>
      <c r="B570" s="13"/>
      <c r="C570" s="13"/>
      <c r="D570" s="13"/>
      <c r="E570" s="13"/>
    </row>
    <row r="571" spans="1:5">
      <c r="A571" s="23"/>
      <c r="B571" s="13"/>
      <c r="C571" s="13"/>
      <c r="D571" s="13"/>
      <c r="E571" s="13"/>
    </row>
    <row r="572" spans="1:5">
      <c r="A572" s="23"/>
      <c r="B572" s="13"/>
      <c r="C572" s="13"/>
      <c r="D572" s="13"/>
      <c r="E572" s="13"/>
    </row>
    <row r="573" spans="1:5">
      <c r="A573" s="23"/>
      <c r="B573" s="13"/>
      <c r="C573" s="13"/>
      <c r="D573" s="13"/>
      <c r="E573" s="13"/>
    </row>
    <row r="574" spans="1:5">
      <c r="A574" s="23"/>
      <c r="B574" s="13"/>
      <c r="C574" s="13"/>
      <c r="D574" s="13"/>
      <c r="E574" s="13"/>
    </row>
    <row r="575" spans="1:5">
      <c r="A575" s="23"/>
      <c r="B575" s="13"/>
      <c r="C575" s="13"/>
      <c r="D575" s="13"/>
      <c r="E575" s="13"/>
    </row>
    <row r="576" spans="1:5">
      <c r="A576" s="23"/>
      <c r="B576" s="13"/>
      <c r="C576" s="13"/>
      <c r="D576" s="13"/>
      <c r="E576" s="13"/>
    </row>
    <row r="577" spans="1:5">
      <c r="A577" s="23"/>
      <c r="B577" s="13"/>
      <c r="C577" s="13"/>
      <c r="D577" s="13"/>
      <c r="E577" s="13"/>
    </row>
    <row r="578" spans="1:5">
      <c r="A578" s="23"/>
      <c r="B578" s="13"/>
      <c r="C578" s="13"/>
      <c r="D578" s="13"/>
      <c r="E578" s="13"/>
    </row>
    <row r="579" spans="1:5">
      <c r="A579" s="23"/>
      <c r="B579" s="13"/>
      <c r="C579" s="13"/>
      <c r="D579" s="13"/>
      <c r="E579" s="13"/>
    </row>
    <row r="580" spans="1:5">
      <c r="A580" s="23"/>
      <c r="B580" s="13"/>
      <c r="C580" s="13"/>
      <c r="D580" s="13"/>
      <c r="E580" s="13"/>
    </row>
    <row r="581" spans="1:5">
      <c r="A581" s="23"/>
      <c r="B581" s="13"/>
      <c r="C581" s="13"/>
      <c r="D581" s="13"/>
      <c r="E581" s="13"/>
    </row>
    <row r="582" spans="1:5">
      <c r="A582" s="23"/>
      <c r="B582" s="13"/>
      <c r="C582" s="13"/>
      <c r="D582" s="13"/>
      <c r="E582" s="13"/>
    </row>
    <row r="583" spans="1:5">
      <c r="A583" s="23"/>
      <c r="B583" s="13"/>
      <c r="C583" s="13"/>
      <c r="D583" s="13"/>
      <c r="E583" s="13"/>
    </row>
    <row r="584" spans="1:5">
      <c r="A584" s="23"/>
      <c r="B584" s="13"/>
      <c r="C584" s="13"/>
      <c r="D584" s="13"/>
      <c r="E584" s="13"/>
    </row>
    <row r="585" spans="1:5">
      <c r="A585" s="23"/>
      <c r="B585" s="13"/>
      <c r="C585" s="13"/>
      <c r="D585" s="13"/>
      <c r="E585" s="13"/>
    </row>
    <row r="586" spans="1:5">
      <c r="A586" s="23"/>
      <c r="B586" s="13"/>
      <c r="C586" s="13"/>
      <c r="D586" s="13"/>
      <c r="E586" s="13"/>
    </row>
    <row r="587" spans="1:5">
      <c r="A587" s="23"/>
      <c r="B587" s="13"/>
      <c r="C587" s="13"/>
      <c r="D587" s="13"/>
      <c r="E587" s="13"/>
    </row>
    <row r="588" spans="1:5">
      <c r="A588" s="23"/>
      <c r="B588" s="13"/>
      <c r="C588" s="13"/>
      <c r="D588" s="13"/>
      <c r="E588" s="13"/>
    </row>
    <row r="589" spans="1:5">
      <c r="A589" s="23"/>
      <c r="B589" s="13"/>
      <c r="C589" s="13"/>
      <c r="D589" s="13"/>
      <c r="E589" s="13"/>
    </row>
    <row r="590" spans="1:5">
      <c r="A590" s="23"/>
      <c r="B590" s="13"/>
      <c r="C590" s="13"/>
      <c r="D590" s="13"/>
      <c r="E590" s="13"/>
    </row>
    <row r="591" spans="1:5">
      <c r="A591" s="23"/>
      <c r="B591" s="13"/>
      <c r="C591" s="13"/>
      <c r="D591" s="13"/>
      <c r="E591" s="13"/>
    </row>
    <row r="592" spans="1:5">
      <c r="A592" s="23"/>
      <c r="B592" s="13"/>
      <c r="C592" s="13"/>
      <c r="D592" s="13"/>
      <c r="E592" s="13"/>
    </row>
    <row r="593" spans="1:5">
      <c r="A593" s="23"/>
      <c r="B593" s="13"/>
      <c r="C593" s="13"/>
      <c r="D593" s="13"/>
      <c r="E593" s="13"/>
    </row>
    <row r="594" spans="1:5">
      <c r="A594" s="23"/>
      <c r="B594" s="13"/>
      <c r="C594" s="13"/>
      <c r="D594" s="13"/>
      <c r="E594" s="13"/>
    </row>
    <row r="595" spans="1:5">
      <c r="A595" s="23"/>
      <c r="B595" s="13"/>
      <c r="C595" s="13"/>
      <c r="D595" s="13"/>
      <c r="E595" s="13"/>
    </row>
    <row r="596" spans="1:5">
      <c r="A596" s="23"/>
      <c r="B596" s="13"/>
      <c r="C596" s="13"/>
      <c r="D596" s="13"/>
      <c r="E596" s="13"/>
    </row>
    <row r="597" spans="1:5">
      <c r="A597" s="23"/>
      <c r="B597" s="13"/>
      <c r="C597" s="13"/>
      <c r="D597" s="13"/>
      <c r="E597" s="13"/>
    </row>
    <row r="598" spans="1:5">
      <c r="A598" s="23"/>
      <c r="B598" s="13"/>
      <c r="C598" s="13"/>
      <c r="D598" s="13"/>
      <c r="E598" s="13"/>
    </row>
    <row r="599" spans="1:5">
      <c r="A599" s="23"/>
      <c r="B599" s="13"/>
      <c r="C599" s="13"/>
      <c r="D599" s="13"/>
      <c r="E599" s="13"/>
    </row>
    <row r="600" spans="1:5">
      <c r="A600" s="23"/>
      <c r="B600" s="13"/>
      <c r="C600" s="13"/>
      <c r="D600" s="13"/>
      <c r="E600" s="13"/>
    </row>
    <row r="601" spans="1:5">
      <c r="A601" s="23"/>
      <c r="B601" s="13"/>
      <c r="C601" s="13"/>
      <c r="D601" s="13"/>
      <c r="E601" s="13"/>
    </row>
    <row r="602" spans="1:5">
      <c r="A602" s="23"/>
      <c r="B602" s="13"/>
      <c r="C602" s="13"/>
      <c r="D602" s="13"/>
      <c r="E602" s="13"/>
    </row>
    <row r="603" spans="1:5">
      <c r="A603" s="23"/>
      <c r="B603" s="13"/>
      <c r="C603" s="13"/>
      <c r="D603" s="13"/>
      <c r="E603" s="13"/>
    </row>
    <row r="604" spans="1:5">
      <c r="A604" s="23"/>
      <c r="B604" s="13"/>
      <c r="C604" s="13"/>
      <c r="D604" s="13"/>
      <c r="E604" s="13"/>
    </row>
    <row r="605" spans="1:5">
      <c r="A605" s="23"/>
      <c r="B605" s="13"/>
      <c r="C605" s="13"/>
      <c r="D605" s="13"/>
      <c r="E605" s="13"/>
    </row>
    <row r="606" spans="1:5">
      <c r="A606" s="23"/>
      <c r="B606" s="13"/>
      <c r="C606" s="13"/>
      <c r="D606" s="13"/>
      <c r="E606" s="13"/>
    </row>
    <row r="607" spans="1:5">
      <c r="A607" s="23"/>
      <c r="B607" s="13"/>
      <c r="C607" s="13"/>
      <c r="D607" s="13"/>
      <c r="E607" s="13"/>
    </row>
    <row r="608" spans="1:5">
      <c r="A608" s="23"/>
      <c r="B608" s="13"/>
      <c r="C608" s="13"/>
      <c r="D608" s="13"/>
      <c r="E608" s="13"/>
    </row>
    <row r="609" spans="1:5">
      <c r="A609" s="23"/>
      <c r="B609" s="13"/>
      <c r="C609" s="13"/>
      <c r="D609" s="13"/>
      <c r="E609" s="13"/>
    </row>
    <row r="610" spans="1:5">
      <c r="A610" s="23"/>
      <c r="B610" s="13"/>
      <c r="C610" s="13"/>
      <c r="D610" s="13"/>
      <c r="E610" s="13"/>
    </row>
    <row r="611" spans="1:5">
      <c r="A611" s="23"/>
      <c r="B611" s="13"/>
      <c r="C611" s="13"/>
      <c r="D611" s="13"/>
      <c r="E611" s="13"/>
    </row>
    <row r="612" spans="1:5">
      <c r="A612" s="23"/>
      <c r="B612" s="13"/>
      <c r="C612" s="13"/>
      <c r="D612" s="13"/>
      <c r="E612" s="13"/>
    </row>
    <row r="613" spans="1:5">
      <c r="A613" s="23"/>
      <c r="B613" s="13"/>
      <c r="C613" s="13"/>
      <c r="D613" s="13"/>
      <c r="E613" s="13"/>
    </row>
    <row r="614" spans="1:5">
      <c r="A614" s="23"/>
      <c r="B614" s="13"/>
      <c r="C614" s="13"/>
      <c r="D614" s="13"/>
      <c r="E614" s="13"/>
    </row>
    <row r="615" spans="1:5">
      <c r="A615" s="23"/>
      <c r="B615" s="13"/>
      <c r="C615" s="13"/>
      <c r="D615" s="13"/>
      <c r="E615" s="13"/>
    </row>
    <row r="616" spans="1:5">
      <c r="A616" s="23"/>
      <c r="B616" s="13"/>
      <c r="C616" s="13"/>
      <c r="D616" s="13"/>
      <c r="E616" s="13"/>
    </row>
    <row r="617" spans="1:5">
      <c r="A617" s="23"/>
      <c r="B617" s="13"/>
      <c r="C617" s="13"/>
      <c r="D617" s="13"/>
      <c r="E617" s="13"/>
    </row>
    <row r="618" spans="1:5">
      <c r="A618" s="23"/>
      <c r="B618" s="13"/>
      <c r="C618" s="13"/>
      <c r="D618" s="13"/>
      <c r="E618" s="13"/>
    </row>
    <row r="619" spans="1:5">
      <c r="A619" s="23"/>
      <c r="B619" s="13"/>
      <c r="C619" s="13"/>
      <c r="D619" s="13"/>
      <c r="E619" s="13"/>
    </row>
    <row r="620" spans="1:5">
      <c r="A620" s="23"/>
      <c r="B620" s="13"/>
      <c r="C620" s="13"/>
      <c r="D620" s="13"/>
      <c r="E620" s="13"/>
    </row>
    <row r="621" spans="1:5">
      <c r="A621" s="23"/>
      <c r="B621" s="13"/>
      <c r="C621" s="13"/>
      <c r="D621" s="13"/>
      <c r="E621" s="13"/>
    </row>
    <row r="622" spans="1:5">
      <c r="A622" s="23"/>
      <c r="B622" s="13"/>
      <c r="C622" s="13"/>
      <c r="D622" s="13"/>
      <c r="E622" s="13"/>
    </row>
    <row r="623" spans="1:5">
      <c r="A623" s="23"/>
      <c r="B623" s="13"/>
      <c r="C623" s="13"/>
      <c r="D623" s="13"/>
      <c r="E623" s="13"/>
    </row>
    <row r="624" spans="1:5">
      <c r="A624" s="23"/>
      <c r="B624" s="13"/>
      <c r="C624" s="13"/>
      <c r="D624" s="13"/>
      <c r="E624" s="13"/>
    </row>
    <row r="625" spans="1:5">
      <c r="A625" s="23"/>
      <c r="B625" s="13"/>
      <c r="C625" s="13"/>
      <c r="D625" s="13"/>
      <c r="E625" s="13"/>
    </row>
    <row r="626" spans="1:5">
      <c r="A626" s="23"/>
      <c r="B626" s="13"/>
      <c r="C626" s="13"/>
      <c r="D626" s="13"/>
      <c r="E626" s="13"/>
    </row>
    <row r="627" spans="1:5">
      <c r="A627" s="23"/>
      <c r="B627" s="13"/>
      <c r="C627" s="13"/>
      <c r="D627" s="13"/>
      <c r="E627" s="13"/>
    </row>
    <row r="628" spans="1:5">
      <c r="A628" s="23"/>
      <c r="B628" s="13"/>
      <c r="C628" s="13"/>
      <c r="D628" s="13"/>
      <c r="E628" s="13"/>
    </row>
    <row r="629" spans="1:5">
      <c r="A629" s="23"/>
      <c r="B629" s="13"/>
      <c r="C629" s="13"/>
      <c r="D629" s="13"/>
      <c r="E629" s="13"/>
    </row>
    <row r="630" spans="1:5">
      <c r="A630" s="23"/>
      <c r="B630" s="13"/>
      <c r="C630" s="13"/>
      <c r="D630" s="13"/>
      <c r="E630" s="13"/>
    </row>
    <row r="631" spans="1:5">
      <c r="A631" s="23"/>
      <c r="B631" s="13"/>
      <c r="C631" s="13"/>
      <c r="D631" s="13"/>
      <c r="E631" s="13"/>
    </row>
    <row r="632" spans="1:5">
      <c r="A632" s="23"/>
      <c r="B632" s="13"/>
      <c r="C632" s="13"/>
      <c r="D632" s="13"/>
      <c r="E632" s="13"/>
    </row>
    <row r="633" spans="1:5">
      <c r="A633" s="23"/>
      <c r="B633" s="13"/>
      <c r="C633" s="13"/>
      <c r="D633" s="13"/>
      <c r="E633" s="13"/>
    </row>
    <row r="634" spans="1:5">
      <c r="A634" s="23"/>
      <c r="B634" s="13"/>
      <c r="C634" s="13"/>
      <c r="D634" s="13"/>
      <c r="E634" s="13"/>
    </row>
    <row r="635" spans="1:5">
      <c r="A635" s="23"/>
      <c r="B635" s="13"/>
      <c r="C635" s="13"/>
      <c r="D635" s="13"/>
      <c r="E635" s="13"/>
    </row>
    <row r="636" spans="1:5">
      <c r="A636" s="23"/>
      <c r="B636" s="13"/>
      <c r="C636" s="13"/>
      <c r="D636" s="13"/>
      <c r="E636" s="13"/>
    </row>
    <row r="637" spans="1:5">
      <c r="A637" s="23"/>
      <c r="B637" s="13"/>
      <c r="C637" s="13"/>
      <c r="D637" s="13"/>
      <c r="E637" s="13"/>
    </row>
    <row r="638" spans="1:5">
      <c r="A638" s="23"/>
      <c r="B638" s="13"/>
      <c r="C638" s="13"/>
      <c r="D638" s="13"/>
      <c r="E638" s="13"/>
    </row>
    <row r="639" spans="1:5">
      <c r="A639" s="23"/>
      <c r="B639" s="13"/>
      <c r="C639" s="13"/>
      <c r="D639" s="13"/>
      <c r="E639" s="13"/>
    </row>
    <row r="640" spans="1:5">
      <c r="A640" s="23"/>
      <c r="B640" s="13"/>
      <c r="C640" s="13"/>
      <c r="D640" s="13"/>
      <c r="E640" s="13"/>
    </row>
    <row r="641" spans="1:5">
      <c r="A641" s="23"/>
      <c r="B641" s="13"/>
      <c r="C641" s="13"/>
      <c r="D641" s="13"/>
      <c r="E641" s="13"/>
    </row>
    <row r="642" spans="1:5">
      <c r="A642" s="23"/>
      <c r="B642" s="13"/>
      <c r="C642" s="13"/>
      <c r="D642" s="13"/>
      <c r="E642" s="13"/>
    </row>
    <row r="643" spans="1:5">
      <c r="A643" s="23"/>
      <c r="B643" s="13"/>
      <c r="C643" s="13"/>
      <c r="D643" s="13"/>
      <c r="E643" s="13"/>
    </row>
    <row r="644" spans="1:5">
      <c r="A644" s="23"/>
      <c r="B644" s="13"/>
      <c r="C644" s="13"/>
      <c r="D644" s="13"/>
      <c r="E644" s="13"/>
    </row>
    <row r="645" spans="1:5">
      <c r="A645" s="23"/>
      <c r="B645" s="13"/>
      <c r="C645" s="13"/>
      <c r="D645" s="13"/>
      <c r="E645" s="13"/>
    </row>
    <row r="646" spans="1:5">
      <c r="A646" s="23"/>
      <c r="B646" s="13"/>
      <c r="C646" s="13"/>
      <c r="D646" s="13"/>
      <c r="E646" s="13"/>
    </row>
    <row r="647" spans="1:5">
      <c r="A647" s="23"/>
      <c r="B647" s="13"/>
      <c r="C647" s="13"/>
      <c r="D647" s="13"/>
      <c r="E647" s="13"/>
    </row>
    <row r="648" spans="1:5">
      <c r="A648" s="23"/>
      <c r="B648" s="13"/>
      <c r="C648" s="13"/>
      <c r="D648" s="13"/>
      <c r="E648" s="13"/>
    </row>
    <row r="649" spans="1:5">
      <c r="A649" s="23"/>
      <c r="B649" s="13"/>
      <c r="C649" s="13"/>
      <c r="D649" s="13"/>
      <c r="E649" s="13"/>
    </row>
    <row r="650" spans="1:5">
      <c r="A650" s="23"/>
      <c r="B650" s="13"/>
      <c r="C650" s="13"/>
      <c r="D650" s="13"/>
      <c r="E650" s="13"/>
    </row>
    <row r="651" spans="1:5">
      <c r="A651" s="23"/>
      <c r="B651" s="13"/>
      <c r="C651" s="13"/>
      <c r="D651" s="13"/>
      <c r="E651" s="13"/>
    </row>
    <row r="652" spans="1:5">
      <c r="A652" s="23"/>
      <c r="B652" s="13"/>
      <c r="C652" s="13"/>
      <c r="D652" s="13"/>
      <c r="E652" s="13"/>
    </row>
    <row r="653" spans="1:5">
      <c r="A653" s="23"/>
      <c r="B653" s="13"/>
      <c r="C653" s="13"/>
      <c r="D653" s="13"/>
      <c r="E653" s="13"/>
    </row>
    <row r="654" spans="1:5">
      <c r="A654" s="23"/>
      <c r="B654" s="13"/>
      <c r="C654" s="13"/>
      <c r="D654" s="13"/>
      <c r="E654" s="13"/>
    </row>
    <row r="655" spans="1:5">
      <c r="A655" s="23"/>
      <c r="B655" s="13"/>
      <c r="C655" s="13"/>
      <c r="D655" s="13"/>
      <c r="E655" s="13"/>
    </row>
    <row r="656" spans="1:5">
      <c r="A656" s="23"/>
      <c r="B656" s="13"/>
      <c r="C656" s="13"/>
      <c r="D656" s="13"/>
      <c r="E656" s="13"/>
    </row>
    <row r="657" spans="1:5">
      <c r="A657" s="23"/>
      <c r="B657" s="13"/>
      <c r="C657" s="13"/>
      <c r="D657" s="13"/>
      <c r="E657" s="13"/>
    </row>
    <row r="658" spans="1:5">
      <c r="A658" s="23"/>
      <c r="B658" s="13"/>
      <c r="C658" s="13"/>
      <c r="D658" s="13"/>
      <c r="E658" s="13"/>
    </row>
    <row r="659" spans="1:5">
      <c r="A659" s="23"/>
      <c r="B659" s="13"/>
      <c r="C659" s="13"/>
      <c r="D659" s="13"/>
      <c r="E659" s="13"/>
    </row>
    <row r="660" spans="1:5">
      <c r="A660" s="23"/>
      <c r="B660" s="13"/>
      <c r="C660" s="13"/>
      <c r="D660" s="13"/>
      <c r="E660" s="13"/>
    </row>
    <row r="661" spans="1:5">
      <c r="A661" s="23"/>
      <c r="B661" s="13"/>
      <c r="C661" s="13"/>
      <c r="D661" s="13"/>
      <c r="E661" s="13"/>
    </row>
    <row r="662" spans="1:5">
      <c r="A662" s="23"/>
      <c r="B662" s="13"/>
      <c r="C662" s="13"/>
      <c r="D662" s="13"/>
      <c r="E662" s="13"/>
    </row>
    <row r="663" spans="1:5">
      <c r="A663" s="23"/>
      <c r="B663" s="13"/>
      <c r="C663" s="13"/>
      <c r="D663" s="13"/>
      <c r="E663" s="13"/>
    </row>
    <row r="664" spans="1:5">
      <c r="A664" s="23"/>
      <c r="B664" s="13"/>
      <c r="C664" s="13"/>
      <c r="D664" s="13"/>
      <c r="E664" s="13"/>
    </row>
    <row r="665" spans="1:5">
      <c r="A665" s="23"/>
      <c r="B665" s="13"/>
      <c r="C665" s="13"/>
      <c r="D665" s="13"/>
      <c r="E665" s="13"/>
    </row>
    <row r="666" spans="1:5">
      <c r="A666" s="23"/>
      <c r="B666" s="13"/>
      <c r="C666" s="13"/>
      <c r="D666" s="13"/>
      <c r="E666" s="13"/>
    </row>
    <row r="667" spans="1:5">
      <c r="A667" s="23"/>
      <c r="B667" s="13"/>
      <c r="C667" s="13"/>
      <c r="D667" s="13"/>
      <c r="E667" s="13"/>
    </row>
    <row r="668" spans="1:5">
      <c r="A668" s="23"/>
      <c r="B668" s="13"/>
      <c r="C668" s="13"/>
      <c r="D668" s="13"/>
      <c r="E668" s="13"/>
    </row>
    <row r="669" spans="1:5">
      <c r="A669" s="23"/>
      <c r="B669" s="13"/>
      <c r="C669" s="13"/>
      <c r="D669" s="13"/>
      <c r="E669" s="13"/>
    </row>
    <row r="670" spans="1:5">
      <c r="A670" s="23"/>
      <c r="B670" s="13"/>
      <c r="C670" s="13"/>
      <c r="D670" s="13"/>
      <c r="E670" s="13"/>
    </row>
    <row r="671" spans="1:5">
      <c r="A671" s="23"/>
      <c r="B671" s="13"/>
      <c r="C671" s="13"/>
      <c r="D671" s="13"/>
      <c r="E671" s="13"/>
    </row>
    <row r="672" spans="1:5">
      <c r="A672" s="23"/>
      <c r="B672" s="13"/>
      <c r="C672" s="13"/>
      <c r="D672" s="13"/>
      <c r="E672" s="13"/>
    </row>
    <row r="673" spans="1:5">
      <c r="A673" s="23"/>
      <c r="B673" s="13"/>
      <c r="C673" s="13"/>
      <c r="D673" s="13"/>
      <c r="E673" s="13"/>
    </row>
    <row r="674" spans="1:5">
      <c r="A674" s="23"/>
      <c r="B674" s="13"/>
      <c r="C674" s="13"/>
      <c r="D674" s="13"/>
      <c r="E674" s="13"/>
    </row>
    <row r="675" spans="1:5">
      <c r="A675" s="23"/>
      <c r="B675" s="13"/>
      <c r="C675" s="13"/>
      <c r="D675" s="13"/>
      <c r="E675" s="13"/>
    </row>
    <row r="676" spans="1:5">
      <c r="A676" s="23"/>
      <c r="B676" s="13"/>
      <c r="C676" s="13"/>
      <c r="D676" s="13"/>
      <c r="E676" s="13"/>
    </row>
    <row r="677" spans="1:5">
      <c r="A677" s="23"/>
      <c r="B677" s="13"/>
      <c r="C677" s="13"/>
      <c r="D677" s="13"/>
      <c r="E677" s="13"/>
    </row>
    <row r="678" spans="1:5">
      <c r="A678" s="23"/>
      <c r="B678" s="13"/>
      <c r="C678" s="13"/>
      <c r="D678" s="13"/>
      <c r="E678" s="13"/>
    </row>
    <row r="679" spans="1:5">
      <c r="A679" s="23"/>
      <c r="B679" s="13"/>
      <c r="C679" s="13"/>
      <c r="D679" s="13"/>
      <c r="E679" s="13"/>
    </row>
    <row r="680" spans="1:5">
      <c r="A680" s="23"/>
      <c r="B680" s="13"/>
      <c r="C680" s="13"/>
      <c r="D680" s="13"/>
      <c r="E680" s="13"/>
    </row>
    <row r="681" spans="1:5">
      <c r="A681" s="23"/>
      <c r="B681" s="13"/>
      <c r="C681" s="13"/>
      <c r="D681" s="13"/>
      <c r="E681" s="13"/>
    </row>
    <row r="682" spans="1:5">
      <c r="A682" s="23"/>
      <c r="B682" s="13"/>
      <c r="C682" s="13"/>
      <c r="D682" s="13"/>
      <c r="E682" s="13"/>
    </row>
    <row r="683" spans="1:5">
      <c r="A683" s="23"/>
      <c r="B683" s="13"/>
      <c r="C683" s="13"/>
      <c r="D683" s="13"/>
      <c r="E683" s="13"/>
    </row>
    <row r="684" spans="1:5">
      <c r="A684" s="23"/>
      <c r="B684" s="13"/>
      <c r="C684" s="13"/>
      <c r="D684" s="13"/>
      <c r="E684" s="13"/>
    </row>
    <row r="685" spans="1:5">
      <c r="A685" s="23"/>
      <c r="B685" s="13"/>
      <c r="C685" s="13"/>
      <c r="D685" s="13"/>
      <c r="E685" s="13"/>
    </row>
    <row r="686" spans="1:5">
      <c r="A686" s="23"/>
      <c r="B686" s="13"/>
      <c r="C686" s="13"/>
      <c r="D686" s="13"/>
      <c r="E686" s="13"/>
    </row>
    <row r="687" spans="1:5">
      <c r="A687" s="23"/>
      <c r="B687" s="13"/>
      <c r="C687" s="13"/>
      <c r="D687" s="13"/>
      <c r="E687" s="13"/>
    </row>
    <row r="688" spans="1:5">
      <c r="A688" s="23"/>
      <c r="B688" s="13"/>
      <c r="C688" s="13"/>
      <c r="D688" s="13"/>
      <c r="E688" s="13"/>
    </row>
    <row r="689" spans="1:5">
      <c r="A689" s="23"/>
      <c r="B689" s="13"/>
      <c r="C689" s="13"/>
      <c r="D689" s="13"/>
      <c r="E689" s="13"/>
    </row>
    <row r="690" spans="1:5">
      <c r="A690" s="23"/>
      <c r="B690" s="13"/>
      <c r="C690" s="13"/>
      <c r="D690" s="13"/>
      <c r="E690" s="13"/>
    </row>
    <row r="691" spans="1:5">
      <c r="A691" s="23"/>
      <c r="B691" s="13"/>
      <c r="C691" s="13"/>
      <c r="D691" s="13"/>
      <c r="E691" s="13"/>
    </row>
    <row r="692" spans="1:5">
      <c r="A692" s="23"/>
      <c r="B692" s="13"/>
      <c r="C692" s="13"/>
      <c r="D692" s="13"/>
      <c r="E692" s="13"/>
    </row>
    <row r="693" spans="1:5">
      <c r="A693" s="23"/>
      <c r="B693" s="13"/>
      <c r="C693" s="13"/>
      <c r="D693" s="13"/>
      <c r="E693" s="13"/>
    </row>
    <row r="694" spans="1:5">
      <c r="A694" s="23"/>
      <c r="B694" s="13"/>
      <c r="C694" s="13"/>
      <c r="D694" s="13"/>
      <c r="E694" s="13"/>
    </row>
    <row r="695" spans="1:5">
      <c r="A695" s="23"/>
      <c r="B695" s="13"/>
      <c r="C695" s="13"/>
      <c r="D695" s="13"/>
      <c r="E695" s="13"/>
    </row>
    <row r="696" spans="1:5">
      <c r="A696" s="23"/>
      <c r="B696" s="13"/>
      <c r="C696" s="13"/>
      <c r="D696" s="13"/>
      <c r="E696" s="13"/>
    </row>
    <row r="697" spans="1:5">
      <c r="A697" s="23"/>
      <c r="B697" s="13"/>
      <c r="C697" s="13"/>
      <c r="D697" s="13"/>
      <c r="E697" s="13"/>
    </row>
    <row r="698" spans="1:5">
      <c r="A698" s="23"/>
      <c r="B698" s="13"/>
      <c r="C698" s="13"/>
      <c r="D698" s="13"/>
      <c r="E698" s="13"/>
    </row>
    <row r="699" spans="1:5">
      <c r="A699" s="23"/>
      <c r="B699" s="13"/>
      <c r="C699" s="13"/>
      <c r="D699" s="13"/>
      <c r="E699" s="13"/>
    </row>
    <row r="700" spans="1:5">
      <c r="A700" s="23"/>
      <c r="B700" s="13"/>
      <c r="C700" s="13"/>
      <c r="D700" s="13"/>
      <c r="E700" s="13"/>
    </row>
    <row r="701" spans="1:5">
      <c r="A701" s="23"/>
      <c r="B701" s="13"/>
      <c r="C701" s="13"/>
      <c r="D701" s="13"/>
      <c r="E701" s="13"/>
    </row>
    <row r="702" spans="1:5">
      <c r="A702" s="23"/>
      <c r="B702" s="13"/>
      <c r="C702" s="13"/>
      <c r="D702" s="13"/>
      <c r="E702" s="13"/>
    </row>
    <row r="703" spans="1:5">
      <c r="A703" s="23"/>
      <c r="B703" s="13"/>
      <c r="C703" s="13"/>
      <c r="D703" s="13"/>
      <c r="E703" s="13"/>
    </row>
    <row r="704" spans="1:5">
      <c r="A704" s="23"/>
      <c r="B704" s="13"/>
      <c r="C704" s="13"/>
      <c r="D704" s="13"/>
      <c r="E704" s="13"/>
    </row>
    <row r="705" spans="1:5">
      <c r="A705" s="23"/>
      <c r="B705" s="13"/>
      <c r="C705" s="13"/>
      <c r="D705" s="13"/>
      <c r="E705" s="13"/>
    </row>
    <row r="706" spans="1:5">
      <c r="A706" s="23"/>
      <c r="B706" s="13"/>
      <c r="C706" s="13"/>
      <c r="D706" s="13"/>
      <c r="E706" s="13"/>
    </row>
    <row r="707" spans="1:5">
      <c r="A707" s="23"/>
      <c r="B707" s="13"/>
      <c r="C707" s="13"/>
      <c r="D707" s="13"/>
      <c r="E707" s="13"/>
    </row>
    <row r="708" spans="1:5">
      <c r="A708" s="23"/>
      <c r="B708" s="13"/>
      <c r="C708" s="13"/>
      <c r="D708" s="13"/>
      <c r="E708" s="13"/>
    </row>
    <row r="709" spans="1:5">
      <c r="A709" s="23"/>
      <c r="B709" s="13"/>
      <c r="C709" s="13"/>
      <c r="D709" s="13"/>
      <c r="E709" s="13"/>
    </row>
    <row r="710" spans="1:5">
      <c r="A710" s="23"/>
      <c r="B710" s="13"/>
      <c r="C710" s="13"/>
      <c r="D710" s="13"/>
      <c r="E710" s="13"/>
    </row>
    <row r="711" spans="1:5">
      <c r="A711" s="23"/>
      <c r="B711" s="13"/>
      <c r="C711" s="13"/>
      <c r="D711" s="13"/>
      <c r="E711" s="13"/>
    </row>
    <row r="712" spans="1:5">
      <c r="A712" s="23"/>
      <c r="B712" s="13"/>
      <c r="C712" s="13"/>
      <c r="D712" s="13"/>
      <c r="E712" s="13"/>
    </row>
    <row r="713" spans="1:5">
      <c r="A713" s="23"/>
      <c r="B713" s="13"/>
      <c r="C713" s="13"/>
      <c r="D713" s="13"/>
      <c r="E713" s="13"/>
    </row>
    <row r="714" spans="1:5">
      <c r="A714" s="23"/>
      <c r="B714" s="13"/>
      <c r="C714" s="13"/>
      <c r="D714" s="13"/>
      <c r="E714" s="13"/>
    </row>
    <row r="715" spans="1:5">
      <c r="A715" s="23"/>
      <c r="B715" s="13"/>
      <c r="C715" s="13"/>
      <c r="D715" s="13"/>
      <c r="E715" s="13"/>
    </row>
    <row r="716" spans="1:5">
      <c r="A716" s="23"/>
      <c r="B716" s="13"/>
      <c r="C716" s="13"/>
      <c r="D716" s="13"/>
      <c r="E716" s="13"/>
    </row>
    <row r="717" spans="1:5">
      <c r="A717" s="23"/>
      <c r="B717" s="13"/>
      <c r="C717" s="13"/>
      <c r="D717" s="13"/>
      <c r="E717" s="13"/>
    </row>
    <row r="718" spans="1:5">
      <c r="A718" s="23"/>
      <c r="B718" s="13"/>
      <c r="C718" s="13"/>
      <c r="D718" s="13"/>
      <c r="E718" s="13"/>
    </row>
    <row r="719" spans="1:5">
      <c r="A719" s="23"/>
      <c r="B719" s="13"/>
      <c r="C719" s="13"/>
      <c r="D719" s="13"/>
      <c r="E719" s="13"/>
    </row>
    <row r="720" spans="1:5">
      <c r="A720" s="23"/>
      <c r="B720" s="13"/>
      <c r="C720" s="13"/>
      <c r="D720" s="13"/>
      <c r="E720" s="13"/>
    </row>
    <row r="721" spans="1:5">
      <c r="A721" s="23"/>
      <c r="B721" s="13"/>
      <c r="C721" s="13"/>
      <c r="D721" s="13"/>
      <c r="E721" s="13"/>
    </row>
    <row r="722" spans="1:5">
      <c r="A722" s="23"/>
      <c r="B722" s="13"/>
      <c r="C722" s="13"/>
      <c r="D722" s="13"/>
      <c r="E722" s="13"/>
    </row>
    <row r="723" spans="1:5">
      <c r="A723" s="23"/>
      <c r="B723" s="13"/>
      <c r="C723" s="13"/>
      <c r="D723" s="13"/>
      <c r="E723" s="13"/>
    </row>
    <row r="724" spans="1:5">
      <c r="A724" s="23"/>
      <c r="B724" s="13"/>
      <c r="C724" s="13"/>
      <c r="D724" s="13"/>
      <c r="E724" s="13"/>
    </row>
    <row r="725" spans="1:5">
      <c r="A725" s="23"/>
      <c r="B725" s="13"/>
      <c r="C725" s="13"/>
      <c r="D725" s="13"/>
      <c r="E725" s="13"/>
    </row>
    <row r="726" spans="1:5">
      <c r="A726" s="23"/>
      <c r="B726" s="13"/>
      <c r="C726" s="13"/>
      <c r="D726" s="13"/>
      <c r="E726" s="13"/>
    </row>
    <row r="727" spans="1:5">
      <c r="A727" s="23"/>
      <c r="B727" s="13"/>
      <c r="C727" s="13"/>
      <c r="D727" s="13"/>
      <c r="E727" s="13"/>
    </row>
    <row r="728" spans="1:5">
      <c r="A728" s="23"/>
      <c r="B728" s="13"/>
      <c r="C728" s="13"/>
      <c r="D728" s="13"/>
      <c r="E728" s="13"/>
    </row>
    <row r="729" spans="1:5">
      <c r="A729" s="23"/>
      <c r="B729" s="13"/>
      <c r="C729" s="13"/>
      <c r="D729" s="13"/>
      <c r="E729" s="13"/>
    </row>
    <row r="730" spans="1:5">
      <c r="A730" s="23"/>
      <c r="B730" s="13"/>
      <c r="C730" s="13"/>
      <c r="D730" s="13"/>
      <c r="E730" s="13"/>
    </row>
    <row r="731" spans="1:5">
      <c r="A731" s="23"/>
      <c r="B731" s="13"/>
      <c r="C731" s="13"/>
      <c r="D731" s="13"/>
      <c r="E731" s="13"/>
    </row>
    <row r="732" spans="1:5">
      <c r="A732" s="23"/>
      <c r="B732" s="13"/>
      <c r="C732" s="13"/>
      <c r="D732" s="13"/>
      <c r="E732" s="13"/>
    </row>
    <row r="733" spans="1:5">
      <c r="A733" s="23"/>
      <c r="B733" s="13"/>
      <c r="C733" s="13"/>
      <c r="D733" s="13"/>
      <c r="E733" s="13"/>
    </row>
    <row r="734" spans="1:5">
      <c r="A734" s="23"/>
      <c r="B734" s="13"/>
      <c r="C734" s="13"/>
      <c r="D734" s="13"/>
      <c r="E734" s="13"/>
    </row>
    <row r="735" spans="1:5">
      <c r="A735" s="23"/>
      <c r="B735" s="13"/>
      <c r="C735" s="13"/>
      <c r="D735" s="13"/>
      <c r="E735" s="13"/>
    </row>
    <row r="736" spans="1:5">
      <c r="A736" s="23"/>
      <c r="B736" s="13"/>
      <c r="C736" s="13"/>
      <c r="D736" s="13"/>
      <c r="E736" s="13"/>
    </row>
    <row r="737" spans="1:5">
      <c r="A737" s="23"/>
      <c r="B737" s="13"/>
      <c r="C737" s="13"/>
      <c r="D737" s="13"/>
      <c r="E737" s="13"/>
    </row>
    <row r="738" spans="1:5">
      <c r="A738" s="23"/>
      <c r="B738" s="13"/>
      <c r="C738" s="13"/>
      <c r="D738" s="13"/>
      <c r="E738" s="13"/>
    </row>
    <row r="739" spans="1:5">
      <c r="A739" s="23"/>
      <c r="B739" s="13"/>
      <c r="C739" s="13"/>
      <c r="D739" s="13"/>
      <c r="E739" s="13"/>
    </row>
    <row r="740" spans="1:5">
      <c r="A740" s="23"/>
      <c r="B740" s="13"/>
      <c r="C740" s="13"/>
      <c r="D740" s="13"/>
      <c r="E740" s="13"/>
    </row>
    <row r="741" spans="1:5">
      <c r="A741" s="23"/>
      <c r="B741" s="13"/>
      <c r="C741" s="13"/>
      <c r="D741" s="13"/>
      <c r="E741" s="13"/>
    </row>
    <row r="742" spans="1:5">
      <c r="A742" s="23"/>
      <c r="B742" s="13"/>
      <c r="C742" s="13"/>
      <c r="D742" s="13"/>
      <c r="E742" s="13"/>
    </row>
    <row r="743" spans="1:5">
      <c r="A743" s="23"/>
      <c r="B743" s="13"/>
      <c r="C743" s="13"/>
      <c r="D743" s="13"/>
      <c r="E743" s="13"/>
    </row>
    <row r="744" spans="1:5">
      <c r="A744" s="23"/>
      <c r="B744" s="13"/>
      <c r="C744" s="13"/>
      <c r="D744" s="13"/>
      <c r="E744" s="13"/>
    </row>
    <row r="745" spans="1:5">
      <c r="A745" s="23"/>
      <c r="B745" s="13"/>
      <c r="C745" s="13"/>
      <c r="D745" s="13"/>
      <c r="E745" s="13"/>
    </row>
    <row r="746" spans="1:5">
      <c r="A746" s="23"/>
      <c r="B746" s="13"/>
      <c r="C746" s="13"/>
      <c r="D746" s="13"/>
      <c r="E746" s="13"/>
    </row>
    <row r="747" spans="1:5">
      <c r="A747" s="23"/>
      <c r="B747" s="13"/>
      <c r="C747" s="13"/>
      <c r="D747" s="13"/>
      <c r="E747" s="13"/>
    </row>
    <row r="748" spans="1:5">
      <c r="A748" s="23"/>
      <c r="B748" s="13"/>
      <c r="C748" s="13"/>
      <c r="D748" s="13"/>
      <c r="E748" s="13"/>
    </row>
    <row r="749" spans="1:5">
      <c r="A749" s="23"/>
      <c r="B749" s="13"/>
      <c r="C749" s="13"/>
      <c r="D749" s="13"/>
      <c r="E749" s="13"/>
    </row>
    <row r="750" spans="1:5">
      <c r="A750" s="23"/>
      <c r="B750" s="13"/>
      <c r="C750" s="13"/>
      <c r="D750" s="13"/>
      <c r="E750" s="13"/>
    </row>
    <row r="751" spans="1:5">
      <c r="A751" s="23"/>
      <c r="B751" s="13"/>
      <c r="C751" s="13"/>
      <c r="D751" s="13"/>
      <c r="E751" s="13"/>
    </row>
    <row r="752" spans="1:5">
      <c r="A752" s="23"/>
      <c r="B752" s="13"/>
      <c r="C752" s="13"/>
      <c r="D752" s="13"/>
      <c r="E752" s="13"/>
    </row>
    <row r="753" spans="1:5">
      <c r="A753" s="23"/>
      <c r="B753" s="13"/>
      <c r="C753" s="13"/>
      <c r="D753" s="13"/>
      <c r="E753" s="13"/>
    </row>
    <row r="754" spans="1:5">
      <c r="A754" s="23"/>
      <c r="B754" s="13"/>
      <c r="C754" s="13"/>
      <c r="D754" s="13"/>
      <c r="E754" s="13"/>
    </row>
    <row r="755" spans="1:5">
      <c r="A755" s="23"/>
      <c r="B755" s="13"/>
      <c r="C755" s="13"/>
      <c r="D755" s="13"/>
      <c r="E755" s="13"/>
    </row>
    <row r="756" spans="1:5">
      <c r="A756" s="23"/>
      <c r="B756" s="13"/>
      <c r="C756" s="13"/>
      <c r="D756" s="13"/>
      <c r="E756" s="13"/>
    </row>
    <row r="757" spans="1:5">
      <c r="A757" s="23"/>
      <c r="B757" s="13"/>
      <c r="C757" s="13"/>
      <c r="D757" s="13"/>
      <c r="E757" s="13"/>
    </row>
    <row r="758" spans="1:5">
      <c r="A758" s="23"/>
      <c r="B758" s="13"/>
      <c r="C758" s="13"/>
      <c r="D758" s="13"/>
      <c r="E758" s="13"/>
    </row>
    <row r="759" spans="1:5">
      <c r="A759" s="23"/>
      <c r="B759" s="13"/>
      <c r="C759" s="13"/>
      <c r="D759" s="13"/>
      <c r="E759" s="13"/>
    </row>
    <row r="760" spans="1:5">
      <c r="A760" s="23"/>
      <c r="B760" s="13"/>
      <c r="C760" s="13"/>
      <c r="D760" s="13"/>
      <c r="E760" s="13"/>
    </row>
    <row r="761" spans="1:5">
      <c r="A761" s="23"/>
      <c r="B761" s="13"/>
      <c r="C761" s="13"/>
      <c r="D761" s="13"/>
      <c r="E761" s="13"/>
    </row>
    <row r="762" spans="1:5">
      <c r="A762" s="23"/>
      <c r="B762" s="13"/>
      <c r="C762" s="13"/>
      <c r="D762" s="13"/>
      <c r="E762" s="13"/>
    </row>
    <row r="763" spans="1:5">
      <c r="A763" s="23"/>
      <c r="B763" s="13"/>
      <c r="C763" s="13"/>
      <c r="D763" s="13"/>
      <c r="E763" s="13"/>
    </row>
    <row r="764" spans="1:5">
      <c r="A764" s="23"/>
      <c r="B764" s="13"/>
      <c r="C764" s="13"/>
      <c r="D764" s="13"/>
      <c r="E764" s="13"/>
    </row>
    <row r="765" spans="1:5">
      <c r="A765" s="23"/>
      <c r="B765" s="13"/>
      <c r="C765" s="13"/>
      <c r="D765" s="13"/>
      <c r="E765" s="13"/>
    </row>
    <row r="766" spans="1:5">
      <c r="A766" s="23"/>
      <c r="B766" s="13"/>
      <c r="C766" s="13"/>
      <c r="D766" s="13"/>
      <c r="E766" s="13"/>
    </row>
    <row r="767" spans="1:5">
      <c r="A767" s="23"/>
      <c r="B767" s="13"/>
      <c r="C767" s="13"/>
      <c r="D767" s="13"/>
      <c r="E767" s="13"/>
    </row>
    <row r="768" spans="1:5">
      <c r="A768" s="23"/>
      <c r="B768" s="13"/>
      <c r="C768" s="13"/>
      <c r="D768" s="13"/>
      <c r="E768" s="13"/>
    </row>
    <row r="769" spans="1:5">
      <c r="A769" s="23"/>
      <c r="B769" s="13"/>
      <c r="C769" s="13"/>
      <c r="D769" s="13"/>
      <c r="E769" s="13"/>
    </row>
    <row r="770" spans="1:5">
      <c r="A770" s="23"/>
      <c r="B770" s="13"/>
      <c r="C770" s="13"/>
      <c r="D770" s="13"/>
      <c r="E770" s="13"/>
    </row>
    <row r="771" spans="1:5">
      <c r="A771" s="23"/>
      <c r="B771" s="13"/>
      <c r="C771" s="13"/>
      <c r="D771" s="13"/>
      <c r="E771" s="13"/>
    </row>
    <row r="772" spans="1:5">
      <c r="A772" s="23"/>
      <c r="B772" s="13"/>
      <c r="C772" s="13"/>
      <c r="D772" s="13"/>
      <c r="E772" s="13"/>
    </row>
    <row r="773" spans="1:5">
      <c r="A773" s="23"/>
      <c r="B773" s="13"/>
      <c r="C773" s="13"/>
      <c r="D773" s="13"/>
      <c r="E773" s="13"/>
    </row>
    <row r="774" spans="1:5">
      <c r="A774" s="23"/>
      <c r="B774" s="13"/>
      <c r="C774" s="13"/>
      <c r="D774" s="13"/>
      <c r="E774" s="13"/>
    </row>
    <row r="775" spans="1:5">
      <c r="A775" s="23"/>
      <c r="B775" s="13"/>
      <c r="C775" s="13"/>
      <c r="D775" s="13"/>
      <c r="E775" s="13"/>
    </row>
    <row r="776" spans="1:5">
      <c r="A776" s="23"/>
      <c r="B776" s="13"/>
      <c r="C776" s="13"/>
      <c r="D776" s="13"/>
      <c r="E776" s="13"/>
    </row>
    <row r="777" spans="1:5">
      <c r="A777" s="23"/>
      <c r="B777" s="13"/>
      <c r="C777" s="13"/>
      <c r="D777" s="13"/>
      <c r="E777" s="13"/>
    </row>
    <row r="778" spans="1:5">
      <c r="A778" s="23"/>
      <c r="B778" s="13"/>
      <c r="C778" s="13"/>
      <c r="D778" s="13"/>
      <c r="E778" s="13"/>
    </row>
    <row r="779" spans="1:5">
      <c r="A779" s="23"/>
      <c r="B779" s="13"/>
      <c r="C779" s="13"/>
      <c r="D779" s="13"/>
      <c r="E779" s="13"/>
    </row>
    <row r="780" spans="1:5">
      <c r="A780" s="23"/>
      <c r="B780" s="13"/>
      <c r="C780" s="13"/>
      <c r="D780" s="13"/>
      <c r="E780" s="13"/>
    </row>
    <row r="781" spans="1:5">
      <c r="A781" s="23"/>
      <c r="B781" s="13"/>
      <c r="C781" s="13"/>
      <c r="D781" s="13"/>
      <c r="E781" s="13"/>
    </row>
    <row r="782" spans="1:5">
      <c r="A782" s="23"/>
      <c r="B782" s="13"/>
      <c r="C782" s="13"/>
      <c r="D782" s="13"/>
      <c r="E782" s="13"/>
    </row>
    <row r="783" spans="1:5">
      <c r="A783" s="23"/>
      <c r="B783" s="13"/>
      <c r="C783" s="13"/>
      <c r="D783" s="13"/>
      <c r="E783" s="13"/>
    </row>
    <row r="784" spans="1:5">
      <c r="A784" s="23"/>
      <c r="B784" s="13"/>
      <c r="C784" s="13"/>
      <c r="D784" s="13"/>
      <c r="E784" s="13"/>
    </row>
    <row r="785" spans="1:5">
      <c r="A785" s="23"/>
      <c r="B785" s="13"/>
      <c r="C785" s="13"/>
      <c r="D785" s="13"/>
      <c r="E785" s="13"/>
    </row>
    <row r="786" spans="1:5">
      <c r="A786" s="23"/>
      <c r="B786" s="13"/>
      <c r="C786" s="13"/>
      <c r="D786" s="13"/>
      <c r="E786" s="13"/>
    </row>
    <row r="787" spans="1:5">
      <c r="A787" s="23"/>
      <c r="B787" s="13"/>
      <c r="C787" s="13"/>
      <c r="D787" s="13"/>
      <c r="E787" s="13"/>
    </row>
    <row r="788" spans="1:5">
      <c r="A788" s="23"/>
      <c r="B788" s="13"/>
      <c r="C788" s="13"/>
      <c r="D788" s="13"/>
      <c r="E788" s="13"/>
    </row>
    <row r="789" spans="1:5">
      <c r="A789" s="23"/>
      <c r="B789" s="13"/>
      <c r="C789" s="13"/>
      <c r="D789" s="13"/>
      <c r="E789" s="13"/>
    </row>
    <row r="790" spans="1:5">
      <c r="A790" s="23"/>
      <c r="B790" s="13"/>
      <c r="C790" s="13"/>
      <c r="D790" s="13"/>
      <c r="E790" s="13"/>
    </row>
    <row r="791" spans="1:5">
      <c r="A791" s="23"/>
      <c r="B791" s="13"/>
      <c r="C791" s="13"/>
      <c r="D791" s="13"/>
      <c r="E791" s="13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18AE7-871A-4B4D-83FC-294876B2D2B3}">
  <dimension ref="A1:AK781"/>
  <sheetViews>
    <sheetView zoomScale="50" workbookViewId="0">
      <selection activeCell="B19" sqref="B19"/>
    </sheetView>
  </sheetViews>
  <sheetFormatPr defaultColWidth="11" defaultRowHeight="14"/>
  <sheetData>
    <row r="1" spans="1:37" ht="20.5" thickBot="1">
      <c r="A1" s="35" t="s">
        <v>368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</row>
    <row r="2" spans="1:37" ht="20.5">
      <c r="A2" s="552"/>
      <c r="B2" s="59" t="s">
        <v>382</v>
      </c>
      <c r="C2" s="60"/>
      <c r="D2" s="60"/>
      <c r="E2" s="60"/>
      <c r="F2" s="60"/>
      <c r="G2" s="61"/>
      <c r="H2" s="61"/>
      <c r="I2" s="61"/>
      <c r="J2" s="61"/>
      <c r="K2" s="61"/>
      <c r="L2" s="61"/>
      <c r="M2" s="61"/>
      <c r="N2" s="59" t="s">
        <v>370</v>
      </c>
      <c r="O2" s="60"/>
      <c r="P2" s="60"/>
      <c r="Q2" s="60"/>
      <c r="R2" s="60"/>
      <c r="S2" s="61"/>
      <c r="T2" s="61"/>
      <c r="U2" s="61"/>
      <c r="V2" s="61"/>
      <c r="W2" s="61"/>
      <c r="X2" s="61"/>
      <c r="Y2" s="61"/>
      <c r="Z2" s="59" t="s">
        <v>372</v>
      </c>
      <c r="AA2" s="60"/>
      <c r="AB2" s="60"/>
      <c r="AC2" s="60"/>
      <c r="AD2" s="60"/>
      <c r="AE2" s="61"/>
      <c r="AF2" s="61"/>
      <c r="AG2" s="61"/>
      <c r="AH2" s="61"/>
      <c r="AI2" s="61"/>
      <c r="AJ2" s="61"/>
      <c r="AK2" s="61"/>
    </row>
    <row r="3" spans="1:37" ht="25">
      <c r="A3" s="553" t="s">
        <v>319</v>
      </c>
      <c r="B3" s="63" t="s">
        <v>400</v>
      </c>
      <c r="C3" s="141" t="s">
        <v>401</v>
      </c>
      <c r="D3" s="141" t="s">
        <v>402</v>
      </c>
      <c r="E3" s="141" t="s">
        <v>403</v>
      </c>
      <c r="F3" s="141" t="s">
        <v>404</v>
      </c>
      <c r="G3" s="38" t="s">
        <v>405</v>
      </c>
      <c r="H3" s="38" t="s">
        <v>406</v>
      </c>
      <c r="I3" s="38" t="s">
        <v>376</v>
      </c>
      <c r="J3" s="38" t="s">
        <v>377</v>
      </c>
      <c r="K3" s="38" t="s">
        <v>375</v>
      </c>
      <c r="L3" s="38" t="s">
        <v>407</v>
      </c>
      <c r="M3" s="38" t="s">
        <v>27</v>
      </c>
      <c r="N3" s="63" t="s">
        <v>400</v>
      </c>
      <c r="O3" s="141" t="s">
        <v>401</v>
      </c>
      <c r="P3" s="141" t="s">
        <v>402</v>
      </c>
      <c r="Q3" s="141" t="s">
        <v>403</v>
      </c>
      <c r="R3" s="141" t="s">
        <v>404</v>
      </c>
      <c r="S3" s="38" t="s">
        <v>405</v>
      </c>
      <c r="T3" s="38" t="s">
        <v>406</v>
      </c>
      <c r="U3" s="38" t="s">
        <v>376</v>
      </c>
      <c r="V3" s="38" t="s">
        <v>377</v>
      </c>
      <c r="W3" s="38" t="s">
        <v>375</v>
      </c>
      <c r="X3" s="38" t="s">
        <v>407</v>
      </c>
      <c r="Y3" s="38" t="s">
        <v>27</v>
      </c>
      <c r="Z3" s="63" t="s">
        <v>400</v>
      </c>
      <c r="AA3" s="141" t="s">
        <v>401</v>
      </c>
      <c r="AB3" s="141" t="s">
        <v>402</v>
      </c>
      <c r="AC3" s="141" t="s">
        <v>403</v>
      </c>
      <c r="AD3" s="141" t="s">
        <v>404</v>
      </c>
      <c r="AE3" s="38" t="s">
        <v>405</v>
      </c>
      <c r="AF3" s="38" t="s">
        <v>406</v>
      </c>
      <c r="AG3" s="38" t="s">
        <v>376</v>
      </c>
      <c r="AH3" s="38" t="s">
        <v>377</v>
      </c>
      <c r="AI3" s="38" t="s">
        <v>375</v>
      </c>
      <c r="AJ3" s="38" t="s">
        <v>407</v>
      </c>
      <c r="AK3" s="38" t="s">
        <v>27</v>
      </c>
    </row>
    <row r="4" spans="1:37" ht="15.5">
      <c r="A4" s="554" t="s">
        <v>364</v>
      </c>
      <c r="B4" s="65"/>
      <c r="C4" s="142"/>
      <c r="D4" s="142"/>
      <c r="E4" s="142"/>
      <c r="F4" s="142"/>
      <c r="G4" s="31"/>
      <c r="H4" s="31"/>
      <c r="I4" s="31"/>
      <c r="J4" s="31"/>
      <c r="K4" s="31"/>
      <c r="L4" s="31"/>
      <c r="M4" s="31"/>
      <c r="N4" s="65"/>
      <c r="O4" s="142"/>
      <c r="P4" s="142"/>
      <c r="Q4" s="142"/>
      <c r="R4" s="142"/>
      <c r="S4" s="31"/>
      <c r="T4" s="31"/>
      <c r="U4" s="31"/>
      <c r="V4" s="31"/>
      <c r="W4" s="31"/>
      <c r="X4" s="31"/>
      <c r="Y4" s="31"/>
      <c r="Z4" s="65"/>
      <c r="AA4" s="142"/>
      <c r="AB4" s="142"/>
      <c r="AC4" s="142"/>
      <c r="AD4" s="142"/>
      <c r="AE4" s="31"/>
      <c r="AF4" s="31"/>
      <c r="AG4" s="31"/>
      <c r="AH4" s="31"/>
      <c r="AI4" s="31"/>
      <c r="AJ4" s="31"/>
      <c r="AK4" s="31"/>
    </row>
    <row r="5" spans="1:37">
      <c r="A5" s="533" t="s">
        <v>381</v>
      </c>
      <c r="B5" s="336"/>
      <c r="C5" s="336"/>
      <c r="D5" s="336"/>
      <c r="E5" s="336"/>
      <c r="F5" s="336"/>
      <c r="G5" s="336"/>
      <c r="H5" s="336"/>
      <c r="I5" s="336"/>
      <c r="J5" s="336"/>
      <c r="K5" s="336"/>
      <c r="L5" s="336"/>
      <c r="M5" s="336"/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6"/>
      <c r="Z5" s="336"/>
      <c r="AA5" s="336"/>
      <c r="AB5" s="336"/>
      <c r="AC5" s="336"/>
      <c r="AD5" s="336"/>
      <c r="AE5" s="336"/>
      <c r="AF5" s="336"/>
      <c r="AG5" s="336"/>
      <c r="AH5" s="336"/>
      <c r="AI5" s="336"/>
      <c r="AJ5" s="336"/>
      <c r="AK5" s="336"/>
    </row>
    <row r="6" spans="1:37">
      <c r="A6" s="533" t="s">
        <v>388</v>
      </c>
      <c r="B6" s="336"/>
      <c r="C6" s="383"/>
      <c r="D6" s="383"/>
      <c r="E6" s="383"/>
      <c r="F6" s="383"/>
      <c r="G6" s="382"/>
      <c r="H6" s="382"/>
      <c r="I6" s="382"/>
      <c r="J6" s="382"/>
      <c r="K6" s="382"/>
      <c r="L6" s="382"/>
      <c r="M6" s="382"/>
      <c r="N6" s="336"/>
      <c r="O6" s="383"/>
      <c r="P6" s="560"/>
      <c r="Q6" s="560"/>
      <c r="R6" s="560"/>
      <c r="S6" s="382"/>
      <c r="T6" s="382"/>
      <c r="U6" s="382"/>
      <c r="V6" s="382"/>
      <c r="W6" s="382"/>
      <c r="X6" s="382"/>
      <c r="Y6" s="382"/>
      <c r="Z6" s="336"/>
      <c r="AA6" s="383"/>
      <c r="AB6" s="560"/>
      <c r="AC6" s="560"/>
      <c r="AD6" s="560"/>
      <c r="AE6" s="382"/>
      <c r="AF6" s="382"/>
      <c r="AG6" s="382"/>
      <c r="AH6" s="382"/>
      <c r="AI6" s="382"/>
      <c r="AJ6" s="382"/>
      <c r="AK6" s="382"/>
    </row>
    <row r="7" spans="1:37">
      <c r="A7" s="533" t="s">
        <v>389</v>
      </c>
      <c r="B7" s="336"/>
      <c r="C7" s="383"/>
      <c r="D7" s="383"/>
      <c r="E7" s="383"/>
      <c r="F7" s="383"/>
      <c r="G7" s="382"/>
      <c r="H7" s="382"/>
      <c r="I7" s="382"/>
      <c r="J7" s="382"/>
      <c r="K7" s="382"/>
      <c r="L7" s="382"/>
      <c r="M7" s="382"/>
      <c r="N7" s="336"/>
      <c r="O7" s="383"/>
      <c r="P7" s="383"/>
      <c r="Q7" s="383"/>
      <c r="R7" s="383"/>
      <c r="S7" s="382"/>
      <c r="T7" s="382"/>
      <c r="U7" s="382"/>
      <c r="V7" s="382"/>
      <c r="W7" s="382"/>
      <c r="X7" s="382"/>
      <c r="Y7" s="382"/>
      <c r="Z7" s="336"/>
      <c r="AA7" s="383"/>
      <c r="AB7" s="383"/>
      <c r="AC7" s="383"/>
      <c r="AD7" s="383"/>
      <c r="AE7" s="382"/>
      <c r="AF7" s="382"/>
      <c r="AG7" s="382"/>
      <c r="AH7" s="382"/>
      <c r="AI7" s="382"/>
      <c r="AJ7" s="382"/>
      <c r="AK7" s="382"/>
    </row>
    <row r="8" spans="1:37">
      <c r="A8" s="533" t="s">
        <v>390</v>
      </c>
      <c r="B8" s="336"/>
      <c r="C8" s="383"/>
      <c r="D8" s="560"/>
      <c r="E8" s="560"/>
      <c r="F8" s="560"/>
      <c r="G8" s="382"/>
      <c r="H8" s="382"/>
      <c r="I8" s="382"/>
      <c r="J8" s="382"/>
      <c r="K8" s="382"/>
      <c r="L8" s="382"/>
      <c r="M8" s="382"/>
      <c r="N8" s="561"/>
      <c r="O8" s="383"/>
      <c r="P8" s="560"/>
      <c r="Q8" s="560"/>
      <c r="R8" s="560"/>
      <c r="S8" s="382"/>
      <c r="T8" s="382"/>
      <c r="U8" s="382"/>
      <c r="V8" s="562"/>
      <c r="W8" s="562"/>
      <c r="X8" s="382"/>
      <c r="Y8" s="562"/>
      <c r="Z8" s="336"/>
      <c r="AA8" s="383"/>
      <c r="AB8" s="560"/>
      <c r="AC8" s="560"/>
      <c r="AD8" s="560"/>
      <c r="AE8" s="382"/>
      <c r="AF8" s="382"/>
      <c r="AG8" s="382"/>
      <c r="AH8" s="382"/>
      <c r="AI8" s="382"/>
      <c r="AJ8" s="382"/>
      <c r="AK8" s="382"/>
    </row>
    <row r="9" spans="1:37">
      <c r="A9" s="533" t="s">
        <v>391</v>
      </c>
      <c r="B9" s="563"/>
      <c r="C9" s="564"/>
      <c r="D9" s="564"/>
      <c r="E9" s="564"/>
      <c r="F9" s="564"/>
      <c r="G9" s="565"/>
      <c r="H9" s="565"/>
      <c r="I9" s="565"/>
      <c r="J9" s="565"/>
      <c r="K9" s="565"/>
      <c r="L9" s="565"/>
      <c r="M9" s="565"/>
      <c r="N9" s="336"/>
      <c r="O9" s="383"/>
      <c r="P9" s="560"/>
      <c r="Q9" s="560"/>
      <c r="R9" s="560"/>
      <c r="S9" s="562"/>
      <c r="T9" s="562"/>
      <c r="U9" s="382"/>
      <c r="V9" s="382"/>
      <c r="W9" s="382"/>
      <c r="X9" s="382"/>
      <c r="Y9" s="562"/>
      <c r="Z9" s="561"/>
      <c r="AA9" s="383"/>
      <c r="AB9" s="383"/>
      <c r="AC9" s="383"/>
      <c r="AD9" s="383"/>
      <c r="AE9" s="566"/>
      <c r="AF9" s="382"/>
      <c r="AG9" s="382"/>
      <c r="AH9" s="382"/>
      <c r="AI9" s="382"/>
      <c r="AJ9" s="382"/>
      <c r="AK9" s="382"/>
    </row>
    <row r="10" spans="1:37">
      <c r="A10" s="534" t="s">
        <v>392</v>
      </c>
      <c r="B10" s="336"/>
      <c r="C10" s="383"/>
      <c r="D10" s="383"/>
      <c r="E10" s="383"/>
      <c r="F10" s="383"/>
      <c r="G10" s="382"/>
      <c r="H10" s="382"/>
      <c r="I10" s="382"/>
      <c r="J10" s="382"/>
      <c r="K10" s="382"/>
      <c r="L10" s="382"/>
      <c r="M10" s="382"/>
      <c r="N10" s="336"/>
      <c r="O10" s="383"/>
      <c r="P10" s="383"/>
      <c r="Q10" s="383"/>
      <c r="R10" s="383"/>
      <c r="S10" s="382"/>
      <c r="T10" s="382"/>
      <c r="U10" s="382"/>
      <c r="V10" s="382"/>
      <c r="W10" s="382"/>
      <c r="X10" s="382"/>
      <c r="Y10" s="382"/>
      <c r="Z10" s="336"/>
      <c r="AA10" s="383"/>
      <c r="AB10" s="564"/>
      <c r="AC10" s="564"/>
      <c r="AD10" s="564"/>
      <c r="AE10" s="382"/>
      <c r="AF10" s="382"/>
      <c r="AG10" s="382"/>
      <c r="AH10" s="382"/>
      <c r="AI10" s="382"/>
      <c r="AJ10" s="382"/>
      <c r="AK10" s="382"/>
    </row>
    <row r="11" spans="1:37">
      <c r="A11" s="534" t="s">
        <v>393</v>
      </c>
      <c r="B11" s="336"/>
      <c r="C11" s="383"/>
      <c r="D11" s="383"/>
      <c r="E11" s="383"/>
      <c r="F11" s="383"/>
      <c r="G11" s="382"/>
      <c r="H11" s="382"/>
      <c r="I11" s="382"/>
      <c r="J11" s="382"/>
      <c r="K11" s="382"/>
      <c r="L11" s="382"/>
      <c r="M11" s="382"/>
      <c r="N11" s="336"/>
      <c r="O11" s="383"/>
      <c r="P11" s="383"/>
      <c r="Q11" s="383"/>
      <c r="R11" s="383"/>
      <c r="S11" s="382"/>
      <c r="T11" s="382"/>
      <c r="U11" s="382"/>
      <c r="V11" s="382"/>
      <c r="W11" s="382"/>
      <c r="X11" s="382"/>
      <c r="Y11" s="382"/>
      <c r="Z11" s="336"/>
      <c r="AA11" s="383"/>
      <c r="AB11" s="383"/>
      <c r="AC11" s="383"/>
      <c r="AD11" s="383"/>
      <c r="AE11" s="382"/>
      <c r="AF11" s="382"/>
      <c r="AG11" s="382"/>
      <c r="AH11" s="382"/>
      <c r="AI11" s="382"/>
      <c r="AJ11" s="382"/>
      <c r="AK11" s="382"/>
    </row>
    <row r="12" spans="1:37">
      <c r="A12" s="534" t="s">
        <v>394</v>
      </c>
      <c r="B12" s="336"/>
      <c r="C12" s="383"/>
      <c r="D12" s="383"/>
      <c r="E12" s="383"/>
      <c r="F12" s="383"/>
      <c r="G12" s="382"/>
      <c r="H12" s="382"/>
      <c r="I12" s="382"/>
      <c r="J12" s="382"/>
      <c r="K12" s="382"/>
      <c r="L12" s="382"/>
      <c r="M12" s="382"/>
      <c r="N12" s="336"/>
      <c r="O12" s="383"/>
      <c r="P12" s="383"/>
      <c r="Q12" s="383"/>
      <c r="R12" s="383"/>
      <c r="S12" s="382"/>
      <c r="T12" s="382"/>
      <c r="U12" s="382"/>
      <c r="V12" s="382"/>
      <c r="W12" s="382"/>
      <c r="X12" s="382"/>
      <c r="Y12" s="382"/>
      <c r="Z12" s="336"/>
      <c r="AA12" s="383"/>
      <c r="AB12" s="383"/>
      <c r="AC12" s="383"/>
      <c r="AD12" s="383"/>
      <c r="AE12" s="382"/>
      <c r="AF12" s="382"/>
      <c r="AG12" s="382"/>
      <c r="AH12" s="382"/>
      <c r="AI12" s="382"/>
      <c r="AJ12" s="382"/>
      <c r="AK12" s="382"/>
    </row>
    <row r="13" spans="1:37">
      <c r="A13" s="534" t="s">
        <v>395</v>
      </c>
      <c r="B13" s="336"/>
      <c r="C13" s="383"/>
      <c r="D13" s="383"/>
      <c r="E13" s="383"/>
      <c r="F13" s="383"/>
      <c r="G13" s="382"/>
      <c r="H13" s="382"/>
      <c r="I13" s="382"/>
      <c r="J13" s="382"/>
      <c r="K13" s="382"/>
      <c r="L13" s="382"/>
      <c r="M13" s="382"/>
      <c r="N13" s="336"/>
      <c r="O13" s="383"/>
      <c r="P13" s="383"/>
      <c r="Q13" s="383"/>
      <c r="R13" s="383"/>
      <c r="S13" s="382"/>
      <c r="T13" s="382"/>
      <c r="U13" s="382"/>
      <c r="V13" s="382"/>
      <c r="W13" s="382"/>
      <c r="X13" s="382"/>
      <c r="Y13" s="382"/>
      <c r="Z13" s="336"/>
      <c r="AA13" s="383"/>
      <c r="AB13" s="383"/>
      <c r="AC13" s="383"/>
      <c r="AD13" s="383"/>
      <c r="AE13" s="382"/>
      <c r="AF13" s="382"/>
      <c r="AG13" s="382"/>
      <c r="AH13" s="382"/>
      <c r="AI13" s="382"/>
      <c r="AJ13" s="382"/>
      <c r="AK13" s="382"/>
    </row>
    <row r="14" spans="1:37">
      <c r="A14" s="534" t="s">
        <v>396</v>
      </c>
      <c r="B14" s="336" t="s">
        <v>408</v>
      </c>
      <c r="C14" s="383" t="s">
        <v>408</v>
      </c>
      <c r="D14" s="383" t="s">
        <v>408</v>
      </c>
      <c r="E14" s="383">
        <v>0</v>
      </c>
      <c r="F14" s="383">
        <v>4</v>
      </c>
      <c r="G14" s="382">
        <v>1</v>
      </c>
      <c r="H14" s="382">
        <v>18</v>
      </c>
      <c r="I14" s="382">
        <v>27</v>
      </c>
      <c r="J14" s="382">
        <v>17</v>
      </c>
      <c r="K14" s="382">
        <v>34</v>
      </c>
      <c r="L14" s="382" t="s">
        <v>408</v>
      </c>
      <c r="M14" s="382">
        <v>10</v>
      </c>
      <c r="N14" s="336" t="s">
        <v>408</v>
      </c>
      <c r="O14" s="383" t="s">
        <v>408</v>
      </c>
      <c r="P14" s="383" t="s">
        <v>408</v>
      </c>
      <c r="Q14" s="383"/>
      <c r="R14" s="383"/>
      <c r="S14" s="382">
        <v>6</v>
      </c>
      <c r="T14" s="382">
        <v>5</v>
      </c>
      <c r="U14" s="382">
        <f>1017+166+9</f>
        <v>1192</v>
      </c>
      <c r="V14" s="382">
        <v>2570</v>
      </c>
      <c r="W14" s="382">
        <f>216+72+12+9+4+6+4</f>
        <v>323</v>
      </c>
      <c r="X14" s="382" t="s">
        <v>408</v>
      </c>
      <c r="Y14" s="382">
        <v>1187</v>
      </c>
      <c r="Z14" s="336" t="s">
        <v>408</v>
      </c>
      <c r="AA14" s="383" t="s">
        <v>408</v>
      </c>
      <c r="AB14" s="383" t="s">
        <v>408</v>
      </c>
      <c r="AC14" s="383"/>
      <c r="AD14" s="383"/>
      <c r="AE14" s="382">
        <v>5</v>
      </c>
      <c r="AF14" s="382">
        <v>5</v>
      </c>
      <c r="AG14" s="382">
        <f>216+1175+12</f>
        <v>1403</v>
      </c>
      <c r="AH14" s="382">
        <v>2705</v>
      </c>
      <c r="AI14" s="382">
        <f>268+85+15+9+5+6+4</f>
        <v>392</v>
      </c>
      <c r="AJ14" s="382" t="s">
        <v>408</v>
      </c>
      <c r="AK14" s="567">
        <v>1216</v>
      </c>
    </row>
    <row r="15" spans="1:37">
      <c r="A15" s="534" t="s">
        <v>397</v>
      </c>
      <c r="B15" s="336" t="s">
        <v>408</v>
      </c>
      <c r="C15" s="383" t="s">
        <v>408</v>
      </c>
      <c r="D15" s="383" t="s">
        <v>408</v>
      </c>
      <c r="E15" s="383">
        <v>0</v>
      </c>
      <c r="F15" s="383">
        <v>67</v>
      </c>
      <c r="G15" s="382">
        <v>17</v>
      </c>
      <c r="H15" s="382">
        <v>0</v>
      </c>
      <c r="I15" s="382">
        <v>35</v>
      </c>
      <c r="J15" s="382">
        <v>35</v>
      </c>
      <c r="K15" s="382">
        <v>53</v>
      </c>
      <c r="L15" s="382" t="s">
        <v>408</v>
      </c>
      <c r="M15" s="382">
        <v>9</v>
      </c>
      <c r="N15" s="336" t="s">
        <v>408</v>
      </c>
      <c r="O15" s="383" t="s">
        <v>408</v>
      </c>
      <c r="P15" s="383" t="s">
        <v>408</v>
      </c>
      <c r="Q15" s="383">
        <v>7</v>
      </c>
      <c r="R15" s="383">
        <v>4</v>
      </c>
      <c r="S15" s="382">
        <v>8</v>
      </c>
      <c r="T15" s="382">
        <v>6</v>
      </c>
      <c r="U15" s="382">
        <f>1738+267+36+17+8+8</f>
        <v>2074</v>
      </c>
      <c r="V15" s="382">
        <v>5370</v>
      </c>
      <c r="W15" s="382">
        <f>263+81+13+13+6</f>
        <v>376</v>
      </c>
      <c r="X15" s="382" t="s">
        <v>408</v>
      </c>
      <c r="Y15" s="382">
        <v>3005</v>
      </c>
      <c r="Z15" s="336" t="s">
        <v>408</v>
      </c>
      <c r="AA15" s="383" t="s">
        <v>408</v>
      </c>
      <c r="AB15" s="383" t="s">
        <v>408</v>
      </c>
      <c r="AC15" s="383">
        <v>7</v>
      </c>
      <c r="AD15" s="383">
        <v>4</v>
      </c>
      <c r="AE15" s="382">
        <v>9</v>
      </c>
      <c r="AF15" s="382">
        <v>6</v>
      </c>
      <c r="AG15" s="382">
        <f>1942+327+40+37+19+18+18</f>
        <v>2401</v>
      </c>
      <c r="AH15" s="382">
        <v>5414</v>
      </c>
      <c r="AI15" s="382">
        <f>294+87+87+15+12</f>
        <v>495</v>
      </c>
      <c r="AJ15" s="382" t="s">
        <v>408</v>
      </c>
      <c r="AK15" s="382">
        <v>3032</v>
      </c>
    </row>
    <row r="16" spans="1:37">
      <c r="A16" s="534" t="s">
        <v>398</v>
      </c>
      <c r="B16" s="336" t="s">
        <v>408</v>
      </c>
      <c r="C16" s="383" t="s">
        <v>408</v>
      </c>
      <c r="D16" s="383" t="s">
        <v>408</v>
      </c>
      <c r="E16" s="383">
        <v>0</v>
      </c>
      <c r="F16" s="383">
        <v>41</v>
      </c>
      <c r="G16" s="382">
        <v>0</v>
      </c>
      <c r="H16" s="382">
        <v>12</v>
      </c>
      <c r="I16" s="382">
        <v>27</v>
      </c>
      <c r="J16" s="382">
        <v>421</v>
      </c>
      <c r="K16" s="382">
        <v>102</v>
      </c>
      <c r="L16" s="382" t="s">
        <v>408</v>
      </c>
      <c r="M16" s="382">
        <v>12</v>
      </c>
      <c r="N16" s="336" t="s">
        <v>408</v>
      </c>
      <c r="O16" s="383" t="s">
        <v>408</v>
      </c>
      <c r="P16" s="383" t="s">
        <v>408</v>
      </c>
      <c r="Q16" s="383">
        <v>1</v>
      </c>
      <c r="R16" s="383">
        <v>4</v>
      </c>
      <c r="S16" s="382">
        <v>6</v>
      </c>
      <c r="T16" s="382">
        <v>4</v>
      </c>
      <c r="U16" s="382">
        <v>3340</v>
      </c>
      <c r="V16" s="382">
        <v>4626</v>
      </c>
      <c r="W16" s="382">
        <f>278+169+33</f>
        <v>480</v>
      </c>
      <c r="X16" s="382"/>
      <c r="Y16" s="382">
        <v>932</v>
      </c>
      <c r="Z16" s="336" t="s">
        <v>408</v>
      </c>
      <c r="AA16" s="383" t="s">
        <v>408</v>
      </c>
      <c r="AB16" s="383" t="s">
        <v>408</v>
      </c>
      <c r="AC16" s="383">
        <v>1</v>
      </c>
      <c r="AD16" s="383">
        <v>4</v>
      </c>
      <c r="AE16" s="382">
        <v>6</v>
      </c>
      <c r="AF16" s="382">
        <v>4</v>
      </c>
      <c r="AG16" s="382">
        <v>3982</v>
      </c>
      <c r="AH16" s="382">
        <v>5017</v>
      </c>
      <c r="AI16" s="382">
        <f>406+214+41</f>
        <v>661</v>
      </c>
      <c r="AJ16" s="382" t="s">
        <v>408</v>
      </c>
      <c r="AK16" s="382">
        <v>1032</v>
      </c>
    </row>
    <row r="17" spans="1:37">
      <c r="A17" s="534" t="s">
        <v>399</v>
      </c>
      <c r="B17" s="336" t="s">
        <v>408</v>
      </c>
      <c r="C17" s="383" t="s">
        <v>408</v>
      </c>
      <c r="D17" s="383" t="s">
        <v>408</v>
      </c>
      <c r="E17" s="383">
        <v>0</v>
      </c>
      <c r="F17" s="383">
        <v>2</v>
      </c>
      <c r="G17" s="382">
        <v>10</v>
      </c>
      <c r="H17" s="382">
        <v>0</v>
      </c>
      <c r="I17" s="382">
        <v>36</v>
      </c>
      <c r="J17" s="382">
        <v>16</v>
      </c>
      <c r="K17" s="382">
        <v>45</v>
      </c>
      <c r="L17" s="382" t="s">
        <v>408</v>
      </c>
      <c r="M17" s="382">
        <v>16</v>
      </c>
      <c r="N17" s="336" t="s">
        <v>408</v>
      </c>
      <c r="O17" s="383" t="s">
        <v>408</v>
      </c>
      <c r="P17" s="383" t="s">
        <v>408</v>
      </c>
      <c r="Q17" s="383">
        <v>3</v>
      </c>
      <c r="R17" s="383">
        <v>5</v>
      </c>
      <c r="S17" s="382">
        <v>6</v>
      </c>
      <c r="T17" s="382">
        <v>15</v>
      </c>
      <c r="U17" s="382">
        <f>1186+168+17</f>
        <v>1371</v>
      </c>
      <c r="V17" s="382">
        <v>1439</v>
      </c>
      <c r="W17" s="382">
        <f>165+166</f>
        <v>331</v>
      </c>
      <c r="X17" s="382" t="s">
        <v>408</v>
      </c>
      <c r="Y17" s="382">
        <v>727</v>
      </c>
      <c r="Z17" s="336" t="s">
        <v>408</v>
      </c>
      <c r="AA17" s="383" t="s">
        <v>408</v>
      </c>
      <c r="AB17" s="383"/>
      <c r="AC17" s="383">
        <v>3</v>
      </c>
      <c r="AD17" s="383">
        <v>5</v>
      </c>
      <c r="AE17" s="382">
        <v>8</v>
      </c>
      <c r="AF17" s="382">
        <v>15</v>
      </c>
      <c r="AG17" s="382">
        <f>1574+241+19</f>
        <v>1834</v>
      </c>
      <c r="AH17" s="382">
        <v>1674</v>
      </c>
      <c r="AI17" s="382">
        <f>226+190</f>
        <v>416</v>
      </c>
      <c r="AJ17" s="382" t="s">
        <v>408</v>
      </c>
      <c r="AK17" s="382">
        <v>775</v>
      </c>
    </row>
    <row r="18" spans="1:37">
      <c r="A18" s="534" t="s">
        <v>388</v>
      </c>
      <c r="B18" s="336">
        <v>0</v>
      </c>
      <c r="C18" s="383">
        <v>3</v>
      </c>
      <c r="D18" s="383">
        <v>33</v>
      </c>
      <c r="E18" s="383">
        <v>0</v>
      </c>
      <c r="F18" s="383">
        <v>2</v>
      </c>
      <c r="G18" s="382">
        <v>29</v>
      </c>
      <c r="H18" s="382">
        <v>155</v>
      </c>
      <c r="I18" s="382">
        <v>40</v>
      </c>
      <c r="J18" s="382">
        <v>43</v>
      </c>
      <c r="K18" s="382">
        <v>79</v>
      </c>
      <c r="L18" s="382">
        <v>0</v>
      </c>
      <c r="M18" s="382">
        <v>20</v>
      </c>
      <c r="N18" s="336">
        <v>276</v>
      </c>
      <c r="O18" s="383">
        <v>345</v>
      </c>
      <c r="P18" s="383">
        <f>156+46</f>
        <v>202</v>
      </c>
      <c r="Q18" s="383">
        <v>1</v>
      </c>
      <c r="R18" s="383">
        <v>4</v>
      </c>
      <c r="S18" s="382">
        <v>10</v>
      </c>
      <c r="T18" s="382">
        <v>11</v>
      </c>
      <c r="U18" s="382">
        <f>2623+292</f>
        <v>2915</v>
      </c>
      <c r="V18" s="382">
        <v>2486</v>
      </c>
      <c r="W18" s="382">
        <f>263+273+177</f>
        <v>713</v>
      </c>
      <c r="X18" s="382">
        <v>17</v>
      </c>
      <c r="Y18" s="382">
        <f>3414+143</f>
        <v>3557</v>
      </c>
      <c r="Z18" s="336">
        <v>277</v>
      </c>
      <c r="AA18" s="383">
        <v>345</v>
      </c>
      <c r="AB18" s="383">
        <f>158+46</f>
        <v>204</v>
      </c>
      <c r="AC18" s="383">
        <v>1</v>
      </c>
      <c r="AD18" s="383">
        <v>4</v>
      </c>
      <c r="AE18" s="382">
        <v>10</v>
      </c>
      <c r="AF18" s="382">
        <v>11</v>
      </c>
      <c r="AG18" s="382">
        <f>2965+373</f>
        <v>3338</v>
      </c>
      <c r="AH18" s="382">
        <v>2596</v>
      </c>
      <c r="AI18" s="382">
        <f>304+285+179</f>
        <v>768</v>
      </c>
      <c r="AJ18" s="382">
        <v>17</v>
      </c>
      <c r="AK18" s="382">
        <f>3457+143</f>
        <v>3600</v>
      </c>
    </row>
    <row r="19" spans="1:37">
      <c r="A19" s="534" t="s">
        <v>389</v>
      </c>
      <c r="B19" s="336"/>
      <c r="C19" s="383"/>
      <c r="D19" s="383"/>
      <c r="E19" s="383"/>
      <c r="F19" s="383"/>
      <c r="G19" s="382"/>
      <c r="H19" s="382"/>
      <c r="I19" s="382"/>
      <c r="J19" s="382"/>
      <c r="K19" s="382"/>
      <c r="L19" s="382"/>
      <c r="M19" s="382"/>
      <c r="N19" s="336">
        <v>832</v>
      </c>
      <c r="O19" s="383">
        <v>1045</v>
      </c>
      <c r="P19" s="383">
        <f>1055+695</f>
        <v>1750</v>
      </c>
      <c r="Q19" s="383">
        <v>4</v>
      </c>
      <c r="R19" s="383">
        <v>18</v>
      </c>
      <c r="S19" s="382">
        <v>9</v>
      </c>
      <c r="T19" s="382">
        <v>5</v>
      </c>
      <c r="U19" s="382">
        <f>2110+385+47</f>
        <v>2542</v>
      </c>
      <c r="V19" s="382">
        <v>3563</v>
      </c>
      <c r="W19" s="382">
        <v>743</v>
      </c>
      <c r="X19" s="382">
        <v>36</v>
      </c>
      <c r="Y19" s="382">
        <v>3892</v>
      </c>
      <c r="Z19" s="336">
        <v>842</v>
      </c>
      <c r="AA19" s="383">
        <v>1057</v>
      </c>
      <c r="AB19" s="383">
        <v>1969</v>
      </c>
      <c r="AC19" s="383">
        <v>4</v>
      </c>
      <c r="AD19" s="383">
        <v>19</v>
      </c>
      <c r="AE19" s="382">
        <v>13</v>
      </c>
      <c r="AF19" s="382">
        <v>28</v>
      </c>
      <c r="AG19" s="382">
        <v>3752</v>
      </c>
      <c r="AH19" s="382">
        <v>4086</v>
      </c>
      <c r="AI19" s="382">
        <v>1379</v>
      </c>
      <c r="AJ19" s="382">
        <v>36</v>
      </c>
      <c r="AK19" s="382">
        <v>4123</v>
      </c>
    </row>
    <row r="20" spans="1:37">
      <c r="A20" s="534"/>
      <c r="B20" s="336"/>
      <c r="C20" s="383"/>
      <c r="D20" s="383"/>
      <c r="E20" s="383"/>
      <c r="F20" s="383"/>
      <c r="G20" s="382"/>
      <c r="H20" s="382"/>
      <c r="I20" s="382"/>
      <c r="J20" s="382"/>
      <c r="K20" s="382"/>
      <c r="L20" s="382"/>
      <c r="M20" s="382"/>
      <c r="N20" s="336"/>
      <c r="O20" s="383"/>
      <c r="P20" s="383"/>
      <c r="Q20" s="383"/>
      <c r="R20" s="383"/>
      <c r="S20" s="382"/>
      <c r="T20" s="382"/>
      <c r="U20" s="382"/>
      <c r="V20" s="382"/>
      <c r="W20" s="382"/>
      <c r="X20" s="382"/>
      <c r="Y20" s="382"/>
      <c r="Z20" s="336"/>
      <c r="AA20" s="383"/>
      <c r="AB20" s="383"/>
      <c r="AC20" s="383"/>
      <c r="AD20" s="383"/>
      <c r="AE20" s="382"/>
      <c r="AF20" s="382"/>
      <c r="AG20" s="382"/>
      <c r="AH20" s="382"/>
      <c r="AI20" s="382"/>
      <c r="AJ20" s="382"/>
      <c r="AK20" s="382"/>
    </row>
    <row r="21" spans="1:37">
      <c r="A21" s="534"/>
      <c r="B21" s="336"/>
      <c r="C21" s="383"/>
      <c r="D21" s="383"/>
      <c r="E21" s="383"/>
      <c r="F21" s="383"/>
      <c r="G21" s="382"/>
      <c r="H21" s="382"/>
      <c r="I21" s="382"/>
      <c r="J21" s="382"/>
      <c r="K21" s="382"/>
      <c r="L21" s="382"/>
      <c r="M21" s="382"/>
      <c r="N21" s="336"/>
      <c r="O21" s="383"/>
      <c r="P21" s="383"/>
      <c r="Q21" s="383"/>
      <c r="R21" s="383"/>
      <c r="S21" s="382"/>
      <c r="T21" s="382"/>
      <c r="U21" s="382"/>
      <c r="V21" s="382"/>
      <c r="W21" s="382"/>
      <c r="X21" s="382"/>
      <c r="Y21" s="382"/>
      <c r="Z21" s="336"/>
      <c r="AA21" s="383"/>
      <c r="AB21" s="383"/>
      <c r="AC21" s="383"/>
      <c r="AD21" s="383"/>
      <c r="AE21" s="382"/>
      <c r="AF21" s="382"/>
      <c r="AG21" s="382"/>
      <c r="AH21" s="382"/>
      <c r="AI21" s="382"/>
      <c r="AJ21" s="382"/>
      <c r="AK21" s="382"/>
    </row>
    <row r="22" spans="1:37">
      <c r="A22" s="534"/>
      <c r="B22" s="336"/>
      <c r="C22" s="383"/>
      <c r="D22" s="383"/>
      <c r="E22" s="383"/>
      <c r="F22" s="383"/>
      <c r="G22" s="382"/>
      <c r="H22" s="382"/>
      <c r="I22" s="382"/>
      <c r="J22" s="382"/>
      <c r="K22" s="382"/>
      <c r="L22" s="382"/>
      <c r="M22" s="382"/>
      <c r="N22" s="336"/>
      <c r="O22" s="383"/>
      <c r="P22" s="383"/>
      <c r="Q22" s="383"/>
      <c r="R22" s="383"/>
      <c r="S22" s="382"/>
      <c r="T22" s="382"/>
      <c r="U22" s="382"/>
      <c r="V22" s="382"/>
      <c r="W22" s="382"/>
      <c r="X22" s="382"/>
      <c r="Y22" s="382"/>
      <c r="Z22" s="336"/>
      <c r="AA22" s="383"/>
      <c r="AB22" s="383"/>
      <c r="AC22" s="383"/>
      <c r="AD22" s="383"/>
      <c r="AE22" s="382"/>
      <c r="AF22" s="382"/>
      <c r="AG22" s="382"/>
      <c r="AH22" s="382"/>
      <c r="AI22" s="382"/>
      <c r="AJ22" s="382"/>
      <c r="AK22" s="382"/>
    </row>
    <row r="23" spans="1:37">
      <c r="A23" s="534"/>
      <c r="B23" s="336"/>
      <c r="C23" s="383"/>
      <c r="D23" s="383"/>
      <c r="E23" s="383"/>
      <c r="F23" s="383"/>
      <c r="G23" s="382"/>
      <c r="H23" s="382"/>
      <c r="I23" s="382"/>
      <c r="J23" s="382"/>
      <c r="K23" s="382"/>
      <c r="L23" s="382"/>
      <c r="M23" s="382"/>
      <c r="N23" s="336"/>
      <c r="O23" s="383"/>
      <c r="P23" s="383"/>
      <c r="Q23" s="383"/>
      <c r="R23" s="383"/>
      <c r="S23" s="382"/>
      <c r="T23" s="382"/>
      <c r="U23" s="382"/>
      <c r="V23" s="382"/>
      <c r="W23" s="382"/>
      <c r="X23" s="382"/>
      <c r="Y23" s="382"/>
      <c r="Z23" s="336"/>
      <c r="AA23" s="383"/>
      <c r="AB23" s="383"/>
      <c r="AC23" s="383"/>
      <c r="AD23" s="383"/>
      <c r="AE23" s="382"/>
      <c r="AF23" s="382"/>
      <c r="AG23" s="382"/>
      <c r="AH23" s="382"/>
      <c r="AI23" s="382"/>
      <c r="AJ23" s="382"/>
      <c r="AK23" s="382"/>
    </row>
    <row r="24" spans="1:37">
      <c r="A24" s="534"/>
      <c r="B24" s="336"/>
      <c r="C24" s="383"/>
      <c r="D24" s="383"/>
      <c r="E24" s="383"/>
      <c r="F24" s="383"/>
      <c r="G24" s="382"/>
      <c r="H24" s="382"/>
      <c r="I24" s="382"/>
      <c r="J24" s="382"/>
      <c r="K24" s="382"/>
      <c r="L24" s="382"/>
      <c r="M24" s="382"/>
      <c r="N24" s="336"/>
      <c r="O24" s="383"/>
      <c r="P24" s="383"/>
      <c r="Q24" s="383"/>
      <c r="R24" s="383"/>
      <c r="S24" s="382"/>
      <c r="T24" s="382"/>
      <c r="U24" s="382"/>
      <c r="V24" s="382"/>
      <c r="W24" s="382"/>
      <c r="X24" s="382"/>
      <c r="Y24" s="382"/>
      <c r="Z24" s="336"/>
      <c r="AA24" s="383"/>
      <c r="AB24" s="383"/>
      <c r="AC24" s="383"/>
      <c r="AD24" s="383"/>
      <c r="AE24" s="382"/>
      <c r="AF24" s="382"/>
      <c r="AG24" s="382"/>
      <c r="AH24" s="382"/>
      <c r="AI24" s="382"/>
      <c r="AJ24" s="382"/>
      <c r="AK24" s="382"/>
    </row>
    <row r="25" spans="1:37">
      <c r="A25" s="534"/>
      <c r="B25" s="336"/>
      <c r="C25" s="383"/>
      <c r="D25" s="383"/>
      <c r="E25" s="383"/>
      <c r="F25" s="383"/>
      <c r="G25" s="382"/>
      <c r="H25" s="382"/>
      <c r="I25" s="382"/>
      <c r="J25" s="382"/>
      <c r="K25" s="382"/>
      <c r="L25" s="382"/>
      <c r="M25" s="382"/>
      <c r="N25" s="336"/>
      <c r="O25" s="383"/>
      <c r="P25" s="383"/>
      <c r="Q25" s="383"/>
      <c r="R25" s="383"/>
      <c r="S25" s="382"/>
      <c r="T25" s="382"/>
      <c r="U25" s="382"/>
      <c r="V25" s="382"/>
      <c r="W25" s="382"/>
      <c r="X25" s="382"/>
      <c r="Y25" s="382"/>
      <c r="Z25" s="336"/>
      <c r="AA25" s="383"/>
      <c r="AB25" s="383"/>
      <c r="AC25" s="383"/>
      <c r="AD25" s="383"/>
      <c r="AE25" s="382"/>
      <c r="AF25" s="382"/>
      <c r="AG25" s="382"/>
      <c r="AH25" s="382"/>
      <c r="AI25" s="382"/>
      <c r="AJ25" s="382"/>
      <c r="AK25" s="382"/>
    </row>
    <row r="26" spans="1:37">
      <c r="A26" s="534"/>
      <c r="B26" s="336"/>
      <c r="C26" s="383"/>
      <c r="D26" s="383"/>
      <c r="E26" s="383"/>
      <c r="F26" s="383"/>
      <c r="G26" s="382"/>
      <c r="H26" s="382"/>
      <c r="I26" s="382"/>
      <c r="J26" s="382"/>
      <c r="K26" s="382"/>
      <c r="L26" s="382"/>
      <c r="M26" s="382"/>
      <c r="N26" s="336"/>
      <c r="O26" s="383"/>
      <c r="P26" s="383"/>
      <c r="Q26" s="383"/>
      <c r="R26" s="383"/>
      <c r="S26" s="382"/>
      <c r="T26" s="382"/>
      <c r="U26" s="382"/>
      <c r="V26" s="382"/>
      <c r="W26" s="382"/>
      <c r="X26" s="382"/>
      <c r="Y26" s="382"/>
      <c r="Z26" s="336"/>
      <c r="AA26" s="383"/>
      <c r="AB26" s="383"/>
      <c r="AC26" s="383"/>
      <c r="AD26" s="383"/>
      <c r="AE26" s="382"/>
      <c r="AF26" s="382"/>
      <c r="AG26" s="382"/>
      <c r="AH26" s="382"/>
      <c r="AI26" s="382"/>
      <c r="AJ26" s="382"/>
      <c r="AK26" s="382"/>
    </row>
    <row r="27" spans="1:37">
      <c r="A27" s="534"/>
      <c r="B27" s="336"/>
      <c r="C27" s="383"/>
      <c r="D27" s="383"/>
      <c r="E27" s="383"/>
      <c r="F27" s="383"/>
      <c r="G27" s="382"/>
      <c r="H27" s="382"/>
      <c r="I27" s="382"/>
      <c r="J27" s="382"/>
      <c r="K27" s="382"/>
      <c r="L27" s="382"/>
      <c r="M27" s="382"/>
      <c r="N27" s="336"/>
      <c r="O27" s="383"/>
      <c r="P27" s="383"/>
      <c r="Q27" s="383"/>
      <c r="R27" s="383"/>
      <c r="S27" s="382"/>
      <c r="T27" s="382"/>
      <c r="U27" s="382"/>
      <c r="V27" s="382"/>
      <c r="W27" s="382"/>
      <c r="X27" s="382"/>
      <c r="Y27" s="382"/>
      <c r="Z27" s="336"/>
      <c r="AA27" s="383"/>
      <c r="AB27" s="383"/>
      <c r="AC27" s="383"/>
      <c r="AD27" s="383"/>
      <c r="AE27" s="382"/>
      <c r="AF27" s="382"/>
      <c r="AG27" s="382"/>
      <c r="AH27" s="382"/>
      <c r="AI27" s="382"/>
      <c r="AJ27" s="382"/>
      <c r="AK27" s="382"/>
    </row>
    <row r="28" spans="1:37">
      <c r="A28" s="534"/>
      <c r="B28" s="336"/>
      <c r="C28" s="383"/>
      <c r="D28" s="383"/>
      <c r="E28" s="383"/>
      <c r="F28" s="383"/>
      <c r="G28" s="382"/>
      <c r="H28" s="382"/>
      <c r="I28" s="382"/>
      <c r="J28" s="382"/>
      <c r="K28" s="382"/>
      <c r="L28" s="382"/>
      <c r="M28" s="382"/>
      <c r="N28" s="336"/>
      <c r="O28" s="383"/>
      <c r="P28" s="383"/>
      <c r="Q28" s="383"/>
      <c r="R28" s="383"/>
      <c r="S28" s="382"/>
      <c r="T28" s="382"/>
      <c r="U28" s="382"/>
      <c r="V28" s="382"/>
      <c r="W28" s="382"/>
      <c r="X28" s="382"/>
      <c r="Y28" s="382"/>
      <c r="Z28" s="336"/>
      <c r="AA28" s="383"/>
      <c r="AB28" s="383"/>
      <c r="AC28" s="383"/>
      <c r="AD28" s="383"/>
      <c r="AE28" s="382"/>
      <c r="AF28" s="382"/>
      <c r="AG28" s="382"/>
      <c r="AH28" s="382"/>
      <c r="AI28" s="382"/>
      <c r="AJ28" s="382"/>
      <c r="AK28" s="382"/>
    </row>
    <row r="29" spans="1:37">
      <c r="A29" s="534"/>
      <c r="B29" s="336"/>
      <c r="C29" s="383"/>
      <c r="D29" s="383"/>
      <c r="E29" s="383"/>
      <c r="F29" s="383"/>
      <c r="G29" s="382"/>
      <c r="H29" s="382"/>
      <c r="I29" s="382"/>
      <c r="J29" s="382"/>
      <c r="K29" s="382"/>
      <c r="L29" s="382"/>
      <c r="M29" s="382"/>
      <c r="N29" s="336"/>
      <c r="O29" s="383"/>
      <c r="P29" s="383"/>
      <c r="Q29" s="383"/>
      <c r="R29" s="383"/>
      <c r="S29" s="382"/>
      <c r="T29" s="382"/>
      <c r="U29" s="382"/>
      <c r="V29" s="382"/>
      <c r="W29" s="382"/>
      <c r="X29" s="382"/>
      <c r="Y29" s="382"/>
      <c r="Z29" s="336"/>
      <c r="AA29" s="383"/>
      <c r="AB29" s="383"/>
      <c r="AC29" s="383"/>
      <c r="AD29" s="383"/>
      <c r="AE29" s="382"/>
      <c r="AF29" s="382"/>
      <c r="AG29" s="382"/>
      <c r="AH29" s="382"/>
      <c r="AI29" s="382"/>
      <c r="AJ29" s="382"/>
      <c r="AK29" s="382"/>
    </row>
    <row r="30" spans="1:37">
      <c r="A30" s="534"/>
      <c r="B30" s="336"/>
      <c r="C30" s="383"/>
      <c r="D30" s="383"/>
      <c r="E30" s="383"/>
      <c r="F30" s="383"/>
      <c r="G30" s="382"/>
      <c r="H30" s="382"/>
      <c r="I30" s="382"/>
      <c r="J30" s="382"/>
      <c r="K30" s="382"/>
      <c r="L30" s="382"/>
      <c r="M30" s="382"/>
      <c r="N30" s="336"/>
      <c r="O30" s="383"/>
      <c r="P30" s="383"/>
      <c r="Q30" s="383"/>
      <c r="R30" s="383"/>
      <c r="S30" s="382"/>
      <c r="T30" s="382"/>
      <c r="U30" s="382"/>
      <c r="V30" s="382"/>
      <c r="W30" s="382"/>
      <c r="X30" s="382"/>
      <c r="Y30" s="382"/>
      <c r="Z30" s="336"/>
      <c r="AA30" s="383"/>
      <c r="AB30" s="383"/>
      <c r="AC30" s="383"/>
      <c r="AD30" s="383"/>
      <c r="AE30" s="382"/>
      <c r="AF30" s="382"/>
      <c r="AG30" s="382"/>
      <c r="AH30" s="382"/>
      <c r="AI30" s="382"/>
      <c r="AJ30" s="382"/>
      <c r="AK30" s="382"/>
    </row>
    <row r="31" spans="1:37">
      <c r="A31" s="534"/>
      <c r="B31" s="336"/>
      <c r="C31" s="383"/>
      <c r="D31" s="383"/>
      <c r="E31" s="383"/>
      <c r="F31" s="383"/>
      <c r="G31" s="382"/>
      <c r="H31" s="382"/>
      <c r="I31" s="382"/>
      <c r="J31" s="382"/>
      <c r="K31" s="382"/>
      <c r="L31" s="382"/>
      <c r="M31" s="382"/>
      <c r="N31" s="336"/>
      <c r="O31" s="383"/>
      <c r="P31" s="383"/>
      <c r="Q31" s="383"/>
      <c r="R31" s="383"/>
      <c r="S31" s="382"/>
      <c r="T31" s="382"/>
      <c r="U31" s="382"/>
      <c r="V31" s="382"/>
      <c r="W31" s="382"/>
      <c r="X31" s="382"/>
      <c r="Y31" s="382"/>
      <c r="Z31" s="336"/>
      <c r="AA31" s="383"/>
      <c r="AB31" s="383"/>
      <c r="AC31" s="383"/>
      <c r="AD31" s="383"/>
      <c r="AE31" s="382"/>
      <c r="AF31" s="382"/>
      <c r="AG31" s="382"/>
      <c r="AH31" s="382"/>
      <c r="AI31" s="382"/>
      <c r="AJ31" s="382"/>
      <c r="AK31" s="382"/>
    </row>
    <row r="32" spans="1:37">
      <c r="A32" s="534"/>
      <c r="B32" s="336"/>
      <c r="C32" s="383"/>
      <c r="D32" s="383"/>
      <c r="E32" s="383"/>
      <c r="F32" s="383"/>
      <c r="G32" s="382"/>
      <c r="H32" s="382"/>
      <c r="I32" s="382"/>
      <c r="J32" s="382"/>
      <c r="K32" s="382"/>
      <c r="L32" s="382"/>
      <c r="M32" s="382"/>
      <c r="N32" s="336"/>
      <c r="O32" s="383"/>
      <c r="P32" s="383"/>
      <c r="Q32" s="383"/>
      <c r="R32" s="383"/>
      <c r="S32" s="382"/>
      <c r="T32" s="382"/>
      <c r="U32" s="382"/>
      <c r="V32" s="382"/>
      <c r="W32" s="382"/>
      <c r="X32" s="382"/>
      <c r="Y32" s="382"/>
      <c r="Z32" s="336"/>
      <c r="AA32" s="383"/>
      <c r="AB32" s="383"/>
      <c r="AC32" s="383"/>
      <c r="AD32" s="383"/>
      <c r="AE32" s="382"/>
      <c r="AF32" s="382"/>
      <c r="AG32" s="382"/>
      <c r="AH32" s="382"/>
      <c r="AI32" s="382"/>
      <c r="AJ32" s="382"/>
      <c r="AK32" s="382"/>
    </row>
    <row r="33" spans="1:37">
      <c r="A33" s="534"/>
      <c r="B33" s="336"/>
      <c r="C33" s="383"/>
      <c r="D33" s="383"/>
      <c r="E33" s="383"/>
      <c r="F33" s="383"/>
      <c r="G33" s="382"/>
      <c r="H33" s="382"/>
      <c r="I33" s="382"/>
      <c r="J33" s="382"/>
      <c r="K33" s="382"/>
      <c r="L33" s="382"/>
      <c r="M33" s="382"/>
      <c r="N33" s="336"/>
      <c r="O33" s="383"/>
      <c r="P33" s="383"/>
      <c r="Q33" s="383"/>
      <c r="R33" s="383"/>
      <c r="S33" s="382"/>
      <c r="T33" s="382"/>
      <c r="U33" s="382"/>
      <c r="V33" s="382"/>
      <c r="W33" s="382"/>
      <c r="X33" s="382"/>
      <c r="Y33" s="382"/>
      <c r="Z33" s="336"/>
      <c r="AA33" s="383"/>
      <c r="AB33" s="383"/>
      <c r="AC33" s="383"/>
      <c r="AD33" s="383"/>
      <c r="AE33" s="382"/>
      <c r="AF33" s="382"/>
      <c r="AG33" s="382"/>
      <c r="AH33" s="382"/>
      <c r="AI33" s="382"/>
      <c r="AJ33" s="382"/>
      <c r="AK33" s="382"/>
    </row>
    <row r="34" spans="1:37">
      <c r="A34" s="534"/>
      <c r="B34" s="336"/>
      <c r="C34" s="383"/>
      <c r="D34" s="383"/>
      <c r="E34" s="383"/>
      <c r="F34" s="383"/>
      <c r="G34" s="382"/>
      <c r="H34" s="382"/>
      <c r="I34" s="382"/>
      <c r="J34" s="382"/>
      <c r="K34" s="382"/>
      <c r="L34" s="382"/>
      <c r="M34" s="382"/>
      <c r="N34" s="336"/>
      <c r="O34" s="383"/>
      <c r="P34" s="383"/>
      <c r="Q34" s="383"/>
      <c r="R34" s="383"/>
      <c r="S34" s="382"/>
      <c r="T34" s="382"/>
      <c r="U34" s="382"/>
      <c r="V34" s="382"/>
      <c r="W34" s="382"/>
      <c r="X34" s="382"/>
      <c r="Y34" s="382"/>
      <c r="Z34" s="336"/>
      <c r="AA34" s="383"/>
      <c r="AB34" s="383"/>
      <c r="AC34" s="383"/>
      <c r="AD34" s="383"/>
      <c r="AE34" s="382"/>
      <c r="AF34" s="382"/>
      <c r="AG34" s="382"/>
      <c r="AH34" s="382"/>
      <c r="AI34" s="382"/>
      <c r="AJ34" s="382"/>
      <c r="AK34" s="382"/>
    </row>
    <row r="35" spans="1:37">
      <c r="A35" s="534"/>
      <c r="B35" s="336"/>
      <c r="C35" s="383"/>
      <c r="D35" s="383"/>
      <c r="E35" s="383"/>
      <c r="F35" s="383"/>
      <c r="G35" s="382"/>
      <c r="H35" s="382"/>
      <c r="I35" s="382"/>
      <c r="J35" s="382"/>
      <c r="K35" s="382"/>
      <c r="L35" s="382"/>
      <c r="M35" s="382"/>
      <c r="N35" s="336"/>
      <c r="O35" s="383"/>
      <c r="P35" s="383"/>
      <c r="Q35" s="383"/>
      <c r="R35" s="383"/>
      <c r="S35" s="382"/>
      <c r="T35" s="382"/>
      <c r="U35" s="382"/>
      <c r="V35" s="382"/>
      <c r="W35" s="382"/>
      <c r="X35" s="382"/>
      <c r="Y35" s="382"/>
      <c r="Z35" s="336"/>
      <c r="AA35" s="383"/>
      <c r="AB35" s="383"/>
      <c r="AC35" s="383"/>
      <c r="AD35" s="383"/>
      <c r="AE35" s="382"/>
      <c r="AF35" s="382"/>
      <c r="AG35" s="382"/>
      <c r="AH35" s="382"/>
      <c r="AI35" s="382"/>
      <c r="AJ35" s="382"/>
      <c r="AK35" s="382"/>
    </row>
    <row r="36" spans="1:37">
      <c r="A36" s="534"/>
      <c r="B36" s="336"/>
      <c r="C36" s="383"/>
      <c r="D36" s="383"/>
      <c r="E36" s="383"/>
      <c r="F36" s="383"/>
      <c r="G36" s="382"/>
      <c r="H36" s="382"/>
      <c r="I36" s="382"/>
      <c r="J36" s="382"/>
      <c r="K36" s="382"/>
      <c r="L36" s="382"/>
      <c r="M36" s="382"/>
      <c r="N36" s="336"/>
      <c r="O36" s="383"/>
      <c r="P36" s="383"/>
      <c r="Q36" s="383"/>
      <c r="R36" s="383"/>
      <c r="S36" s="382"/>
      <c r="T36" s="382"/>
      <c r="U36" s="382"/>
      <c r="V36" s="382"/>
      <c r="W36" s="382"/>
      <c r="X36" s="382"/>
      <c r="Y36" s="382"/>
      <c r="Z36" s="336"/>
      <c r="AA36" s="383"/>
      <c r="AB36" s="383"/>
      <c r="AC36" s="383"/>
      <c r="AD36" s="383"/>
      <c r="AE36" s="382"/>
      <c r="AF36" s="382"/>
      <c r="AG36" s="382"/>
      <c r="AH36" s="382"/>
      <c r="AI36" s="382"/>
      <c r="AJ36" s="382"/>
      <c r="AK36" s="382"/>
    </row>
    <row r="37" spans="1:37">
      <c r="A37" s="534"/>
      <c r="B37" s="336"/>
      <c r="C37" s="383"/>
      <c r="D37" s="383"/>
      <c r="E37" s="383"/>
      <c r="F37" s="383"/>
      <c r="G37" s="382"/>
      <c r="H37" s="382"/>
      <c r="I37" s="382"/>
      <c r="J37" s="382"/>
      <c r="K37" s="382"/>
      <c r="L37" s="382"/>
      <c r="M37" s="382"/>
      <c r="N37" s="336"/>
      <c r="O37" s="383"/>
      <c r="P37" s="383"/>
      <c r="Q37" s="383"/>
      <c r="R37" s="383"/>
      <c r="S37" s="382"/>
      <c r="T37" s="382"/>
      <c r="U37" s="382"/>
      <c r="V37" s="382"/>
      <c r="W37" s="382"/>
      <c r="X37" s="382"/>
      <c r="Y37" s="382"/>
      <c r="Z37" s="336"/>
      <c r="AA37" s="383"/>
      <c r="AB37" s="383"/>
      <c r="AC37" s="383"/>
      <c r="AD37" s="383"/>
      <c r="AE37" s="382"/>
      <c r="AF37" s="382"/>
      <c r="AG37" s="382"/>
      <c r="AH37" s="382"/>
      <c r="AI37" s="382"/>
      <c r="AJ37" s="382"/>
      <c r="AK37" s="382"/>
    </row>
    <row r="38" spans="1:37">
      <c r="A38" s="534"/>
      <c r="B38" s="336"/>
      <c r="C38" s="383"/>
      <c r="D38" s="383"/>
      <c r="E38" s="383"/>
      <c r="F38" s="383"/>
      <c r="G38" s="382"/>
      <c r="H38" s="382"/>
      <c r="I38" s="382"/>
      <c r="J38" s="382"/>
      <c r="K38" s="382"/>
      <c r="L38" s="382"/>
      <c r="M38" s="382"/>
      <c r="N38" s="336"/>
      <c r="O38" s="383"/>
      <c r="P38" s="383"/>
      <c r="Q38" s="383"/>
      <c r="R38" s="383"/>
      <c r="S38" s="382"/>
      <c r="T38" s="382"/>
      <c r="U38" s="382"/>
      <c r="V38" s="382"/>
      <c r="W38" s="382"/>
      <c r="X38" s="382"/>
      <c r="Y38" s="382"/>
      <c r="Z38" s="336"/>
      <c r="AA38" s="383"/>
      <c r="AB38" s="383"/>
      <c r="AC38" s="383"/>
      <c r="AD38" s="383"/>
      <c r="AE38" s="382"/>
      <c r="AF38" s="382"/>
      <c r="AG38" s="382"/>
      <c r="AH38" s="382"/>
      <c r="AI38" s="382"/>
      <c r="AJ38" s="382"/>
      <c r="AK38" s="382"/>
    </row>
    <row r="39" spans="1:37">
      <c r="A39" s="534"/>
      <c r="B39" s="336"/>
      <c r="C39" s="383"/>
      <c r="D39" s="383"/>
      <c r="E39" s="383"/>
      <c r="F39" s="383"/>
      <c r="G39" s="382"/>
      <c r="H39" s="382"/>
      <c r="I39" s="382"/>
      <c r="J39" s="382"/>
      <c r="K39" s="382"/>
      <c r="L39" s="382"/>
      <c r="M39" s="382"/>
      <c r="N39" s="336"/>
      <c r="O39" s="383"/>
      <c r="P39" s="383"/>
      <c r="Q39" s="383"/>
      <c r="R39" s="383"/>
      <c r="S39" s="382"/>
      <c r="T39" s="382"/>
      <c r="U39" s="382"/>
      <c r="V39" s="382"/>
      <c r="W39" s="382"/>
      <c r="X39" s="382"/>
      <c r="Y39" s="382"/>
      <c r="Z39" s="336"/>
      <c r="AA39" s="383"/>
      <c r="AB39" s="383"/>
      <c r="AC39" s="383"/>
      <c r="AD39" s="383"/>
      <c r="AE39" s="382"/>
      <c r="AF39" s="382"/>
      <c r="AG39" s="382"/>
      <c r="AH39" s="382"/>
      <c r="AI39" s="382"/>
      <c r="AJ39" s="382"/>
      <c r="AK39" s="382"/>
    </row>
    <row r="40" spans="1:37">
      <c r="A40" s="534"/>
      <c r="B40" s="336"/>
      <c r="C40" s="383"/>
      <c r="D40" s="383"/>
      <c r="E40" s="383"/>
      <c r="F40" s="383"/>
      <c r="G40" s="382"/>
      <c r="H40" s="382"/>
      <c r="I40" s="382"/>
      <c r="J40" s="382"/>
      <c r="K40" s="382"/>
      <c r="L40" s="382"/>
      <c r="M40" s="382"/>
      <c r="N40" s="336"/>
      <c r="O40" s="383"/>
      <c r="P40" s="383"/>
      <c r="Q40" s="383"/>
      <c r="R40" s="383"/>
      <c r="S40" s="382"/>
      <c r="T40" s="382"/>
      <c r="U40" s="382"/>
      <c r="V40" s="382"/>
      <c r="W40" s="382"/>
      <c r="X40" s="382"/>
      <c r="Y40" s="382"/>
      <c r="Z40" s="336"/>
      <c r="AA40" s="383"/>
      <c r="AB40" s="383"/>
      <c r="AC40" s="383"/>
      <c r="AD40" s="383"/>
      <c r="AE40" s="382"/>
      <c r="AF40" s="382"/>
      <c r="AG40" s="382"/>
      <c r="AH40" s="382"/>
      <c r="AI40" s="382"/>
      <c r="AJ40" s="382"/>
      <c r="AK40" s="382"/>
    </row>
    <row r="41" spans="1:37">
      <c r="A41" s="534"/>
      <c r="B41" s="336"/>
      <c r="C41" s="383"/>
      <c r="D41" s="383"/>
      <c r="E41" s="383"/>
      <c r="F41" s="383"/>
      <c r="G41" s="382"/>
      <c r="H41" s="382"/>
      <c r="I41" s="382"/>
      <c r="J41" s="382"/>
      <c r="K41" s="382"/>
      <c r="L41" s="382"/>
      <c r="M41" s="382"/>
      <c r="N41" s="336"/>
      <c r="O41" s="383"/>
      <c r="P41" s="383"/>
      <c r="Q41" s="383"/>
      <c r="R41" s="383"/>
      <c r="S41" s="382"/>
      <c r="T41" s="382"/>
      <c r="U41" s="382"/>
      <c r="V41" s="382"/>
      <c r="W41" s="382"/>
      <c r="X41" s="382"/>
      <c r="Y41" s="382"/>
      <c r="Z41" s="336"/>
      <c r="AA41" s="383"/>
      <c r="AB41" s="383"/>
      <c r="AC41" s="383"/>
      <c r="AD41" s="383"/>
      <c r="AE41" s="382"/>
      <c r="AF41" s="382"/>
      <c r="AG41" s="382"/>
      <c r="AH41" s="382"/>
      <c r="AI41" s="382"/>
      <c r="AJ41" s="382"/>
      <c r="AK41" s="382"/>
    </row>
    <row r="42" spans="1:37">
      <c r="A42" s="534"/>
      <c r="B42" s="336"/>
      <c r="C42" s="383"/>
      <c r="D42" s="383"/>
      <c r="E42" s="383"/>
      <c r="F42" s="383"/>
      <c r="G42" s="382"/>
      <c r="H42" s="382"/>
      <c r="I42" s="382"/>
      <c r="J42" s="382"/>
      <c r="K42" s="382"/>
      <c r="L42" s="382"/>
      <c r="M42" s="382"/>
      <c r="N42" s="336"/>
      <c r="O42" s="383"/>
      <c r="P42" s="383"/>
      <c r="Q42" s="383"/>
      <c r="R42" s="383"/>
      <c r="S42" s="382"/>
      <c r="T42" s="382"/>
      <c r="U42" s="382"/>
      <c r="V42" s="382"/>
      <c r="W42" s="382"/>
      <c r="X42" s="382"/>
      <c r="Y42" s="382"/>
      <c r="Z42" s="336"/>
      <c r="AA42" s="383"/>
      <c r="AB42" s="383"/>
      <c r="AC42" s="383"/>
      <c r="AD42" s="383"/>
      <c r="AE42" s="382"/>
      <c r="AF42" s="382"/>
      <c r="AG42" s="382"/>
      <c r="AH42" s="382"/>
      <c r="AI42" s="382"/>
      <c r="AJ42" s="382"/>
      <c r="AK42" s="382"/>
    </row>
    <row r="43" spans="1:37">
      <c r="A43" s="534"/>
      <c r="B43" s="336"/>
      <c r="C43" s="383"/>
      <c r="D43" s="383"/>
      <c r="E43" s="383"/>
      <c r="F43" s="383"/>
      <c r="G43" s="382"/>
      <c r="H43" s="382"/>
      <c r="I43" s="382"/>
      <c r="J43" s="382"/>
      <c r="K43" s="382"/>
      <c r="L43" s="382"/>
      <c r="M43" s="382"/>
      <c r="N43" s="336"/>
      <c r="O43" s="383"/>
      <c r="P43" s="383"/>
      <c r="Q43" s="383"/>
      <c r="R43" s="383"/>
      <c r="S43" s="382"/>
      <c r="T43" s="382"/>
      <c r="U43" s="382"/>
      <c r="V43" s="382"/>
      <c r="W43" s="382"/>
      <c r="X43" s="382"/>
      <c r="Y43" s="382"/>
      <c r="Z43" s="336"/>
      <c r="AA43" s="383"/>
      <c r="AB43" s="383"/>
      <c r="AC43" s="383"/>
      <c r="AD43" s="383"/>
      <c r="AE43" s="382"/>
      <c r="AF43" s="382"/>
      <c r="AG43" s="382"/>
      <c r="AH43" s="382"/>
      <c r="AI43" s="382"/>
      <c r="AJ43" s="382"/>
      <c r="AK43" s="382"/>
    </row>
    <row r="44" spans="1:37">
      <c r="A44" s="534"/>
      <c r="B44" s="336"/>
      <c r="C44" s="383"/>
      <c r="D44" s="383"/>
      <c r="E44" s="383"/>
      <c r="F44" s="383"/>
      <c r="G44" s="382"/>
      <c r="H44" s="382"/>
      <c r="I44" s="382"/>
      <c r="J44" s="382"/>
      <c r="K44" s="382"/>
      <c r="L44" s="382"/>
      <c r="M44" s="382"/>
      <c r="N44" s="336"/>
      <c r="O44" s="383"/>
      <c r="P44" s="383"/>
      <c r="Q44" s="383"/>
      <c r="R44" s="383"/>
      <c r="S44" s="382"/>
      <c r="T44" s="382"/>
      <c r="U44" s="382"/>
      <c r="V44" s="382"/>
      <c r="W44" s="382"/>
      <c r="X44" s="382"/>
      <c r="Y44" s="382"/>
      <c r="Z44" s="336"/>
      <c r="AA44" s="383"/>
      <c r="AB44" s="383"/>
      <c r="AC44" s="383"/>
      <c r="AD44" s="383"/>
      <c r="AE44" s="382"/>
      <c r="AF44" s="382"/>
      <c r="AG44" s="382"/>
      <c r="AH44" s="382"/>
      <c r="AI44" s="382"/>
      <c r="AJ44" s="382"/>
      <c r="AK44" s="382"/>
    </row>
    <row r="45" spans="1:37">
      <c r="A45" s="534"/>
      <c r="B45" s="336"/>
      <c r="C45" s="383"/>
      <c r="D45" s="383"/>
      <c r="E45" s="383"/>
      <c r="F45" s="383"/>
      <c r="G45" s="382"/>
      <c r="H45" s="382"/>
      <c r="I45" s="382"/>
      <c r="J45" s="382"/>
      <c r="K45" s="382"/>
      <c r="L45" s="382"/>
      <c r="M45" s="382"/>
      <c r="N45" s="336"/>
      <c r="O45" s="383"/>
      <c r="P45" s="383"/>
      <c r="Q45" s="383"/>
      <c r="R45" s="383"/>
      <c r="S45" s="382"/>
      <c r="T45" s="382"/>
      <c r="U45" s="382"/>
      <c r="V45" s="382"/>
      <c r="W45" s="382"/>
      <c r="X45" s="382"/>
      <c r="Y45" s="382"/>
      <c r="Z45" s="336"/>
      <c r="AA45" s="383"/>
      <c r="AB45" s="383"/>
      <c r="AC45" s="383"/>
      <c r="AD45" s="383"/>
      <c r="AE45" s="382"/>
      <c r="AF45" s="382"/>
      <c r="AG45" s="382"/>
      <c r="AH45" s="382"/>
      <c r="AI45" s="382"/>
      <c r="AJ45" s="382"/>
      <c r="AK45" s="382"/>
    </row>
    <row r="46" spans="1:37">
      <c r="A46" s="534"/>
      <c r="B46" s="336"/>
      <c r="C46" s="383"/>
      <c r="D46" s="383"/>
      <c r="E46" s="383"/>
      <c r="F46" s="383"/>
      <c r="G46" s="382"/>
      <c r="H46" s="382"/>
      <c r="I46" s="382"/>
      <c r="J46" s="382"/>
      <c r="K46" s="382"/>
      <c r="L46" s="382"/>
      <c r="M46" s="382"/>
      <c r="N46" s="336"/>
      <c r="O46" s="383"/>
      <c r="P46" s="383"/>
      <c r="Q46" s="383"/>
      <c r="R46" s="383"/>
      <c r="S46" s="382"/>
      <c r="T46" s="382"/>
      <c r="U46" s="382"/>
      <c r="V46" s="382"/>
      <c r="W46" s="382"/>
      <c r="X46" s="382"/>
      <c r="Y46" s="382"/>
      <c r="Z46" s="336"/>
      <c r="AA46" s="383"/>
      <c r="AB46" s="383"/>
      <c r="AC46" s="383"/>
      <c r="AD46" s="383"/>
      <c r="AE46" s="382"/>
      <c r="AF46" s="382"/>
      <c r="AG46" s="382"/>
      <c r="AH46" s="382"/>
      <c r="AI46" s="382"/>
      <c r="AJ46" s="382"/>
      <c r="AK46" s="382"/>
    </row>
    <row r="47" spans="1:37" ht="14.5" thickBot="1">
      <c r="A47" s="534"/>
      <c r="B47" s="559"/>
      <c r="C47" s="383"/>
      <c r="D47" s="568"/>
      <c r="E47" s="568"/>
      <c r="F47" s="568"/>
      <c r="G47" s="569"/>
      <c r="H47" s="569"/>
      <c r="I47" s="569"/>
      <c r="J47" s="569"/>
      <c r="K47" s="569"/>
      <c r="L47" s="569"/>
      <c r="M47" s="569"/>
      <c r="N47" s="559"/>
      <c r="O47" s="383"/>
      <c r="P47" s="568"/>
      <c r="Q47" s="568"/>
      <c r="R47" s="568"/>
      <c r="S47" s="569"/>
      <c r="T47" s="569"/>
      <c r="U47" s="569"/>
      <c r="V47" s="569"/>
      <c r="W47" s="569"/>
      <c r="X47" s="569"/>
      <c r="Y47" s="569"/>
      <c r="Z47" s="559"/>
      <c r="AA47" s="383"/>
      <c r="AB47" s="568"/>
      <c r="AC47" s="568"/>
      <c r="AD47" s="568"/>
      <c r="AE47" s="569"/>
      <c r="AF47" s="569"/>
      <c r="AG47" s="569"/>
      <c r="AH47" s="569"/>
      <c r="AI47" s="569"/>
      <c r="AJ47" s="569"/>
      <c r="AK47" s="569"/>
    </row>
    <row r="48" spans="1:37">
      <c r="A48" s="23"/>
      <c r="B48" s="13"/>
      <c r="C48" s="13"/>
      <c r="D48" s="13"/>
      <c r="E48" s="13"/>
      <c r="F48" s="13"/>
      <c r="G48" s="14"/>
      <c r="H48" s="14"/>
      <c r="I48" s="14"/>
      <c r="J48" s="14"/>
      <c r="K48" s="14"/>
      <c r="L48" s="14"/>
      <c r="M48" s="14"/>
      <c r="N48" s="13"/>
      <c r="O48" s="13"/>
      <c r="P48" s="13"/>
      <c r="Q48" s="13"/>
      <c r="R48" s="13"/>
      <c r="S48" s="14"/>
      <c r="T48" s="14"/>
      <c r="U48" s="14"/>
      <c r="V48" s="14"/>
      <c r="W48" s="14"/>
      <c r="X48" s="14"/>
      <c r="Y48" s="14"/>
      <c r="Z48" s="13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</row>
    <row r="49" spans="1:37">
      <c r="A49" s="23"/>
      <c r="B49" s="13"/>
      <c r="C49" s="13"/>
      <c r="D49" s="13"/>
      <c r="E49" s="13"/>
      <c r="F49" s="13"/>
      <c r="G49" s="14"/>
      <c r="H49" s="14"/>
      <c r="I49" s="14"/>
      <c r="J49" s="14"/>
      <c r="K49" s="14"/>
      <c r="L49" s="14"/>
      <c r="M49" s="14"/>
      <c r="N49" s="13"/>
      <c r="O49" s="13"/>
      <c r="P49" s="13"/>
      <c r="Q49" s="13"/>
      <c r="R49" s="13"/>
      <c r="S49" s="14"/>
      <c r="T49" s="14"/>
      <c r="U49" s="14"/>
      <c r="V49" s="14"/>
      <c r="W49" s="14"/>
      <c r="X49" s="14"/>
      <c r="Y49" s="14"/>
      <c r="Z49" s="13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</row>
    <row r="50" spans="1:37">
      <c r="A50" s="23"/>
      <c r="B50" s="13"/>
      <c r="C50" s="13"/>
      <c r="D50" s="13"/>
      <c r="E50" s="13"/>
      <c r="F50" s="13"/>
      <c r="G50" s="14"/>
      <c r="H50" s="14"/>
      <c r="I50" s="14"/>
      <c r="J50" s="14"/>
      <c r="K50" s="14"/>
      <c r="L50" s="14"/>
      <c r="M50" s="14"/>
      <c r="N50" s="13"/>
      <c r="O50" s="13"/>
      <c r="P50" s="13"/>
      <c r="Q50" s="13"/>
      <c r="R50" s="13"/>
      <c r="S50" s="14"/>
      <c r="T50" s="14"/>
      <c r="U50" s="14"/>
      <c r="V50" s="14"/>
      <c r="W50" s="14"/>
      <c r="X50" s="14"/>
      <c r="Y50" s="14"/>
      <c r="Z50" s="13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</row>
    <row r="51" spans="1:37">
      <c r="A51" s="23"/>
      <c r="B51" s="13"/>
      <c r="C51" s="13"/>
      <c r="D51" s="13"/>
      <c r="E51" s="13"/>
      <c r="F51" s="13"/>
      <c r="G51" s="14"/>
      <c r="H51" s="14"/>
      <c r="I51" s="14"/>
      <c r="J51" s="14"/>
      <c r="K51" s="14"/>
      <c r="L51" s="14"/>
      <c r="M51" s="14"/>
      <c r="N51" s="13"/>
      <c r="O51" s="13"/>
      <c r="P51" s="13"/>
      <c r="Q51" s="13"/>
      <c r="R51" s="13"/>
      <c r="S51" s="14"/>
      <c r="T51" s="14"/>
      <c r="U51" s="14"/>
      <c r="V51" s="14"/>
      <c r="W51" s="14"/>
      <c r="X51" s="14"/>
      <c r="Y51" s="14"/>
      <c r="Z51" s="13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</row>
    <row r="52" spans="1:37">
      <c r="A52" s="23"/>
      <c r="B52" s="13"/>
      <c r="C52" s="13"/>
      <c r="D52" s="13"/>
      <c r="E52" s="13"/>
      <c r="F52" s="13"/>
      <c r="G52" s="14"/>
      <c r="H52" s="14"/>
      <c r="I52" s="14"/>
      <c r="J52" s="14"/>
      <c r="K52" s="14"/>
      <c r="L52" s="14"/>
      <c r="M52" s="14"/>
      <c r="N52" s="13"/>
      <c r="O52" s="13"/>
      <c r="P52" s="13"/>
      <c r="Q52" s="13"/>
      <c r="R52" s="13"/>
      <c r="S52" s="14"/>
      <c r="T52" s="14"/>
      <c r="U52" s="14"/>
      <c r="V52" s="14"/>
      <c r="W52" s="14"/>
      <c r="X52" s="14"/>
      <c r="Y52" s="14"/>
      <c r="Z52" s="13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</row>
    <row r="53" spans="1:37">
      <c r="A53" s="23"/>
      <c r="B53" s="13"/>
      <c r="C53" s="13"/>
      <c r="D53" s="13"/>
      <c r="E53" s="13"/>
      <c r="F53" s="13"/>
      <c r="G53" s="14"/>
      <c r="H53" s="14"/>
      <c r="I53" s="14"/>
      <c r="J53" s="14"/>
      <c r="K53" s="14"/>
      <c r="L53" s="14"/>
      <c r="M53" s="14"/>
      <c r="N53" s="13"/>
      <c r="O53" s="13"/>
      <c r="P53" s="13"/>
      <c r="Q53" s="13"/>
      <c r="R53" s="13"/>
      <c r="S53" s="14"/>
      <c r="T53" s="14"/>
      <c r="U53" s="14"/>
      <c r="V53" s="14"/>
      <c r="W53" s="14"/>
      <c r="X53" s="14"/>
      <c r="Y53" s="14"/>
      <c r="Z53" s="13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</row>
    <row r="54" spans="1:37">
      <c r="A54" s="23"/>
      <c r="B54" s="13"/>
      <c r="C54" s="13"/>
      <c r="D54" s="13"/>
      <c r="E54" s="13"/>
      <c r="F54" s="13"/>
      <c r="G54" s="14"/>
      <c r="H54" s="14"/>
      <c r="I54" s="14"/>
      <c r="J54" s="14"/>
      <c r="K54" s="14"/>
      <c r="L54" s="14"/>
      <c r="M54" s="14"/>
      <c r="N54" s="13"/>
      <c r="O54" s="13"/>
      <c r="P54" s="13"/>
      <c r="Q54" s="13"/>
      <c r="R54" s="13"/>
      <c r="S54" s="14"/>
      <c r="T54" s="14"/>
      <c r="U54" s="14"/>
      <c r="V54" s="14"/>
      <c r="W54" s="14"/>
      <c r="X54" s="14"/>
      <c r="Y54" s="14"/>
      <c r="Z54" s="13"/>
      <c r="AA54" s="13"/>
      <c r="AB54" s="13"/>
      <c r="AC54" s="13"/>
      <c r="AD54" s="13"/>
      <c r="AE54" s="14"/>
      <c r="AF54" s="14"/>
      <c r="AG54" s="14"/>
      <c r="AH54" s="14"/>
      <c r="AI54" s="14"/>
      <c r="AJ54" s="14"/>
      <c r="AK54" s="14"/>
    </row>
    <row r="55" spans="1:37">
      <c r="A55" s="23"/>
      <c r="B55" s="13"/>
      <c r="C55" s="13"/>
      <c r="D55" s="13"/>
      <c r="E55" s="13"/>
      <c r="F55" s="13"/>
      <c r="G55" s="14"/>
      <c r="H55" s="14"/>
      <c r="I55" s="14"/>
      <c r="J55" s="14"/>
      <c r="K55" s="14"/>
      <c r="L55" s="14"/>
      <c r="M55" s="14"/>
      <c r="N55" s="13"/>
      <c r="O55" s="13"/>
      <c r="P55" s="13"/>
      <c r="Q55" s="13"/>
      <c r="R55" s="13"/>
      <c r="S55" s="14"/>
      <c r="T55" s="14"/>
      <c r="U55" s="14"/>
      <c r="V55" s="14"/>
      <c r="W55" s="14"/>
      <c r="X55" s="14"/>
      <c r="Y55" s="14"/>
      <c r="Z55" s="13"/>
      <c r="AA55" s="13"/>
      <c r="AB55" s="13"/>
      <c r="AC55" s="13"/>
      <c r="AD55" s="13"/>
      <c r="AE55" s="14"/>
      <c r="AF55" s="14"/>
      <c r="AG55" s="14"/>
      <c r="AH55" s="14"/>
      <c r="AI55" s="14"/>
      <c r="AJ55" s="14"/>
      <c r="AK55" s="14"/>
    </row>
    <row r="56" spans="1:37">
      <c r="A56" s="23"/>
      <c r="B56" s="13"/>
      <c r="C56" s="13"/>
      <c r="D56" s="13"/>
      <c r="E56" s="13"/>
      <c r="F56" s="13"/>
      <c r="G56" s="14"/>
      <c r="H56" s="14"/>
      <c r="I56" s="14"/>
      <c r="J56" s="14"/>
      <c r="K56" s="14"/>
      <c r="L56" s="14"/>
      <c r="M56" s="14"/>
      <c r="N56" s="13"/>
      <c r="O56" s="13"/>
      <c r="P56" s="13"/>
      <c r="Q56" s="13"/>
      <c r="R56" s="13"/>
      <c r="S56" s="14"/>
      <c r="T56" s="14"/>
      <c r="U56" s="14"/>
      <c r="V56" s="14"/>
      <c r="W56" s="14"/>
      <c r="X56" s="14"/>
      <c r="Y56" s="14"/>
      <c r="Z56" s="13"/>
      <c r="AA56" s="13"/>
      <c r="AB56" s="13"/>
      <c r="AC56" s="13"/>
      <c r="AD56" s="13"/>
      <c r="AE56" s="14"/>
      <c r="AF56" s="14"/>
      <c r="AG56" s="14"/>
      <c r="AH56" s="14"/>
      <c r="AI56" s="14"/>
      <c r="AJ56" s="14"/>
      <c r="AK56" s="14"/>
    </row>
    <row r="57" spans="1:37">
      <c r="A57" s="23"/>
      <c r="B57" s="13"/>
      <c r="C57" s="13"/>
      <c r="D57" s="13"/>
      <c r="E57" s="13"/>
      <c r="F57" s="13"/>
      <c r="G57" s="14"/>
      <c r="H57" s="14"/>
      <c r="I57" s="14"/>
      <c r="J57" s="14"/>
      <c r="K57" s="14"/>
      <c r="L57" s="14"/>
      <c r="M57" s="14"/>
      <c r="N57" s="13"/>
      <c r="O57" s="13"/>
      <c r="P57" s="13"/>
      <c r="Q57" s="13"/>
      <c r="R57" s="13"/>
      <c r="S57" s="14"/>
      <c r="T57" s="14"/>
      <c r="U57" s="14"/>
      <c r="V57" s="14"/>
      <c r="W57" s="14"/>
      <c r="X57" s="14"/>
      <c r="Y57" s="14"/>
      <c r="Z57" s="13"/>
      <c r="AA57" s="13"/>
      <c r="AB57" s="13"/>
      <c r="AC57" s="13"/>
      <c r="AD57" s="13"/>
      <c r="AE57" s="14"/>
      <c r="AF57" s="14"/>
      <c r="AG57" s="14"/>
      <c r="AH57" s="14"/>
      <c r="AI57" s="14"/>
      <c r="AJ57" s="14"/>
      <c r="AK57" s="14"/>
    </row>
    <row r="58" spans="1:37">
      <c r="A58" s="23"/>
      <c r="B58" s="13"/>
      <c r="C58" s="13"/>
      <c r="D58" s="13"/>
      <c r="E58" s="13"/>
      <c r="F58" s="13"/>
      <c r="G58" s="14"/>
      <c r="H58" s="14"/>
      <c r="I58" s="14"/>
      <c r="J58" s="14"/>
      <c r="K58" s="14"/>
      <c r="L58" s="14"/>
      <c r="M58" s="14"/>
      <c r="N58" s="13"/>
      <c r="O58" s="13"/>
      <c r="P58" s="13"/>
      <c r="Q58" s="13"/>
      <c r="R58" s="13"/>
      <c r="S58" s="14"/>
      <c r="T58" s="14"/>
      <c r="U58" s="14"/>
      <c r="V58" s="14"/>
      <c r="W58" s="14"/>
      <c r="X58" s="14"/>
      <c r="Y58" s="14"/>
      <c r="Z58" s="13"/>
      <c r="AA58" s="13"/>
      <c r="AB58" s="13"/>
      <c r="AC58" s="13"/>
      <c r="AD58" s="13"/>
      <c r="AE58" s="14"/>
      <c r="AF58" s="14"/>
      <c r="AG58" s="14"/>
      <c r="AH58" s="14"/>
      <c r="AI58" s="14"/>
      <c r="AJ58" s="14"/>
      <c r="AK58" s="14"/>
    </row>
    <row r="59" spans="1:37">
      <c r="A59" s="23"/>
      <c r="B59" s="13"/>
      <c r="C59" s="13"/>
      <c r="D59" s="13"/>
      <c r="E59" s="13"/>
      <c r="F59" s="13"/>
      <c r="G59" s="14"/>
      <c r="H59" s="14"/>
      <c r="I59" s="14"/>
      <c r="J59" s="14"/>
      <c r="K59" s="14"/>
      <c r="L59" s="14"/>
      <c r="M59" s="14"/>
      <c r="N59" s="13"/>
      <c r="O59" s="13"/>
      <c r="P59" s="13"/>
      <c r="Q59" s="13"/>
      <c r="R59" s="13"/>
      <c r="S59" s="14"/>
      <c r="T59" s="14"/>
      <c r="U59" s="14"/>
      <c r="V59" s="14"/>
      <c r="W59" s="14"/>
      <c r="X59" s="14"/>
      <c r="Y59" s="14"/>
      <c r="Z59" s="13"/>
      <c r="AA59" s="13"/>
      <c r="AB59" s="13"/>
      <c r="AC59" s="13"/>
      <c r="AD59" s="13"/>
      <c r="AE59" s="14"/>
      <c r="AF59" s="14"/>
      <c r="AG59" s="14"/>
      <c r="AH59" s="14"/>
      <c r="AI59" s="14"/>
      <c r="AJ59" s="14"/>
      <c r="AK59" s="14"/>
    </row>
    <row r="60" spans="1:37">
      <c r="A60" s="23"/>
      <c r="B60" s="13"/>
      <c r="C60" s="13"/>
      <c r="D60" s="13"/>
      <c r="E60" s="13"/>
      <c r="F60" s="13"/>
      <c r="G60" s="14"/>
      <c r="H60" s="14"/>
      <c r="I60" s="14"/>
      <c r="J60" s="14"/>
      <c r="K60" s="14"/>
      <c r="L60" s="14"/>
      <c r="M60" s="14"/>
      <c r="N60" s="13"/>
      <c r="O60" s="13"/>
      <c r="P60" s="13"/>
      <c r="Q60" s="13"/>
      <c r="R60" s="13"/>
      <c r="S60" s="14"/>
      <c r="T60" s="14"/>
      <c r="U60" s="14"/>
      <c r="V60" s="14"/>
      <c r="W60" s="14"/>
      <c r="X60" s="14"/>
      <c r="Y60" s="14"/>
      <c r="Z60" s="13"/>
      <c r="AA60" s="13"/>
      <c r="AB60" s="13"/>
      <c r="AC60" s="13"/>
      <c r="AD60" s="13"/>
      <c r="AE60" s="14"/>
      <c r="AF60" s="14"/>
      <c r="AG60" s="14"/>
      <c r="AH60" s="14"/>
      <c r="AI60" s="14"/>
      <c r="AJ60" s="14"/>
      <c r="AK60" s="14"/>
    </row>
    <row r="61" spans="1:37">
      <c r="A61" s="23"/>
      <c r="B61" s="13"/>
      <c r="C61" s="13"/>
      <c r="D61" s="13"/>
      <c r="E61" s="13"/>
      <c r="F61" s="13"/>
      <c r="G61" s="14"/>
      <c r="H61" s="14"/>
      <c r="I61" s="14"/>
      <c r="J61" s="14"/>
      <c r="K61" s="14"/>
      <c r="L61" s="14"/>
      <c r="M61" s="14"/>
      <c r="N61" s="13"/>
      <c r="O61" s="13"/>
      <c r="P61" s="13"/>
      <c r="Q61" s="13"/>
      <c r="R61" s="13"/>
      <c r="S61" s="14"/>
      <c r="T61" s="14"/>
      <c r="U61" s="14"/>
      <c r="V61" s="14"/>
      <c r="W61" s="14"/>
      <c r="X61" s="14"/>
      <c r="Y61" s="14"/>
      <c r="Z61" s="13"/>
      <c r="AA61" s="13"/>
      <c r="AB61" s="13"/>
      <c r="AC61" s="13"/>
      <c r="AD61" s="13"/>
      <c r="AE61" s="14"/>
      <c r="AF61" s="14"/>
      <c r="AG61" s="14"/>
      <c r="AH61" s="14"/>
      <c r="AI61" s="14"/>
      <c r="AJ61" s="14"/>
      <c r="AK61" s="14"/>
    </row>
    <row r="62" spans="1:37">
      <c r="A62" s="23"/>
      <c r="B62" s="13"/>
      <c r="C62" s="13"/>
      <c r="D62" s="13"/>
      <c r="E62" s="13"/>
      <c r="F62" s="13"/>
      <c r="G62" s="14"/>
      <c r="H62" s="14"/>
      <c r="I62" s="14"/>
      <c r="J62" s="14"/>
      <c r="K62" s="14"/>
      <c r="L62" s="14"/>
      <c r="M62" s="14"/>
      <c r="N62" s="13"/>
      <c r="O62" s="13"/>
      <c r="P62" s="13"/>
      <c r="Q62" s="13"/>
      <c r="R62" s="13"/>
      <c r="S62" s="14"/>
      <c r="T62" s="14"/>
      <c r="U62" s="14"/>
      <c r="V62" s="14"/>
      <c r="W62" s="14"/>
      <c r="X62" s="14"/>
      <c r="Y62" s="14"/>
      <c r="Z62" s="13"/>
      <c r="AA62" s="13"/>
      <c r="AB62" s="13"/>
      <c r="AC62" s="13"/>
      <c r="AD62" s="13"/>
      <c r="AE62" s="14"/>
      <c r="AF62" s="14"/>
      <c r="AG62" s="14"/>
      <c r="AH62" s="14"/>
      <c r="AI62" s="14"/>
      <c r="AJ62" s="14"/>
      <c r="AK62" s="14"/>
    </row>
    <row r="63" spans="1:37">
      <c r="A63" s="23"/>
      <c r="B63" s="13"/>
      <c r="C63" s="13"/>
      <c r="D63" s="13"/>
      <c r="E63" s="13"/>
      <c r="F63" s="13"/>
      <c r="G63" s="14"/>
      <c r="H63" s="14"/>
      <c r="I63" s="14"/>
      <c r="J63" s="14"/>
      <c r="K63" s="14"/>
      <c r="L63" s="14"/>
      <c r="M63" s="14"/>
      <c r="N63" s="13"/>
      <c r="O63" s="13"/>
      <c r="P63" s="13"/>
      <c r="Q63" s="13"/>
      <c r="R63" s="13"/>
      <c r="S63" s="14"/>
      <c r="T63" s="14"/>
      <c r="U63" s="14"/>
      <c r="V63" s="14"/>
      <c r="W63" s="14"/>
      <c r="X63" s="14"/>
      <c r="Y63" s="14"/>
      <c r="Z63" s="13"/>
      <c r="AA63" s="13"/>
      <c r="AB63" s="13"/>
      <c r="AC63" s="13"/>
      <c r="AD63" s="13"/>
      <c r="AE63" s="14"/>
      <c r="AF63" s="14"/>
      <c r="AG63" s="14"/>
      <c r="AH63" s="14"/>
      <c r="AI63" s="14"/>
      <c r="AJ63" s="14"/>
      <c r="AK63" s="14"/>
    </row>
    <row r="64" spans="1:37">
      <c r="A64" s="23"/>
      <c r="B64" s="13"/>
      <c r="C64" s="13"/>
      <c r="D64" s="13"/>
      <c r="E64" s="13"/>
      <c r="F64" s="13"/>
      <c r="G64" s="14"/>
      <c r="H64" s="14"/>
      <c r="I64" s="14"/>
      <c r="J64" s="14"/>
      <c r="K64" s="14"/>
      <c r="L64" s="14"/>
      <c r="M64" s="14"/>
      <c r="N64" s="13"/>
      <c r="O64" s="13"/>
      <c r="P64" s="13"/>
      <c r="Q64" s="13"/>
      <c r="R64" s="13"/>
      <c r="S64" s="14"/>
      <c r="T64" s="14"/>
      <c r="U64" s="14"/>
      <c r="V64" s="14"/>
      <c r="W64" s="14"/>
      <c r="X64" s="14"/>
      <c r="Y64" s="14"/>
      <c r="Z64" s="13"/>
      <c r="AA64" s="13"/>
      <c r="AB64" s="13"/>
      <c r="AC64" s="13"/>
      <c r="AD64" s="13"/>
      <c r="AE64" s="14"/>
      <c r="AF64" s="14"/>
      <c r="AG64" s="14"/>
      <c r="AH64" s="14"/>
      <c r="AI64" s="14"/>
      <c r="AJ64" s="14"/>
      <c r="AK64" s="14"/>
    </row>
    <row r="65" spans="1:37">
      <c r="A65" s="23"/>
      <c r="B65" s="13"/>
      <c r="C65" s="13"/>
      <c r="D65" s="13"/>
      <c r="E65" s="13"/>
      <c r="F65" s="13"/>
      <c r="G65" s="14"/>
      <c r="H65" s="14"/>
      <c r="I65" s="14"/>
      <c r="J65" s="14"/>
      <c r="K65" s="14"/>
      <c r="L65" s="14"/>
      <c r="M65" s="14"/>
      <c r="N65" s="13"/>
      <c r="O65" s="13"/>
      <c r="P65" s="13"/>
      <c r="Q65" s="13"/>
      <c r="R65" s="13"/>
      <c r="S65" s="14"/>
      <c r="T65" s="14"/>
      <c r="U65" s="14"/>
      <c r="V65" s="14"/>
      <c r="W65" s="14"/>
      <c r="X65" s="14"/>
      <c r="Y65" s="14"/>
      <c r="Z65" s="13"/>
      <c r="AA65" s="13"/>
      <c r="AB65" s="13"/>
      <c r="AC65" s="13"/>
      <c r="AD65" s="13"/>
      <c r="AE65" s="14"/>
      <c r="AF65" s="14"/>
      <c r="AG65" s="14"/>
      <c r="AH65" s="14"/>
      <c r="AI65" s="14"/>
      <c r="AJ65" s="14"/>
      <c r="AK65" s="14"/>
    </row>
    <row r="66" spans="1:37">
      <c r="A66" s="23"/>
      <c r="B66" s="13"/>
      <c r="C66" s="13"/>
      <c r="D66" s="13"/>
      <c r="E66" s="13"/>
      <c r="F66" s="13"/>
      <c r="G66" s="14"/>
      <c r="H66" s="14"/>
      <c r="I66" s="14"/>
      <c r="J66" s="14"/>
      <c r="K66" s="14"/>
      <c r="L66" s="14"/>
      <c r="M66" s="14"/>
      <c r="N66" s="13"/>
      <c r="O66" s="13"/>
      <c r="P66" s="13"/>
      <c r="Q66" s="13"/>
      <c r="R66" s="13"/>
      <c r="S66" s="14"/>
      <c r="T66" s="14"/>
      <c r="U66" s="14"/>
      <c r="V66" s="14"/>
      <c r="W66" s="14"/>
      <c r="X66" s="14"/>
      <c r="Y66" s="14"/>
      <c r="Z66" s="13"/>
      <c r="AA66" s="13"/>
      <c r="AB66" s="13"/>
      <c r="AC66" s="13"/>
      <c r="AD66" s="13"/>
      <c r="AE66" s="14"/>
      <c r="AF66" s="14"/>
      <c r="AG66" s="14"/>
      <c r="AH66" s="14"/>
      <c r="AI66" s="14"/>
      <c r="AJ66" s="14"/>
      <c r="AK66" s="14"/>
    </row>
    <row r="67" spans="1:37">
      <c r="A67" s="23"/>
      <c r="B67" s="13"/>
      <c r="C67" s="13"/>
      <c r="D67" s="13"/>
      <c r="E67" s="13"/>
      <c r="F67" s="13"/>
      <c r="G67" s="14"/>
      <c r="H67" s="14"/>
      <c r="I67" s="14"/>
      <c r="J67" s="14"/>
      <c r="K67" s="14"/>
      <c r="L67" s="14"/>
      <c r="M67" s="14"/>
      <c r="N67" s="13"/>
      <c r="O67" s="13"/>
      <c r="P67" s="13"/>
      <c r="Q67" s="13"/>
      <c r="R67" s="13"/>
      <c r="S67" s="14"/>
      <c r="T67" s="14"/>
      <c r="U67" s="14"/>
      <c r="V67" s="14"/>
      <c r="W67" s="14"/>
      <c r="X67" s="14"/>
      <c r="Y67" s="14"/>
      <c r="Z67" s="13"/>
      <c r="AA67" s="13"/>
      <c r="AB67" s="13"/>
      <c r="AC67" s="13"/>
      <c r="AD67" s="13"/>
      <c r="AE67" s="14"/>
      <c r="AF67" s="14"/>
      <c r="AG67" s="14"/>
      <c r="AH67" s="14"/>
      <c r="AI67" s="14"/>
      <c r="AJ67" s="14"/>
      <c r="AK67" s="14"/>
    </row>
    <row r="68" spans="1:37">
      <c r="A68" s="23"/>
      <c r="B68" s="13"/>
      <c r="C68" s="13"/>
      <c r="D68" s="13"/>
      <c r="E68" s="13"/>
      <c r="F68" s="13"/>
      <c r="G68" s="14"/>
      <c r="H68" s="14"/>
      <c r="I68" s="14"/>
      <c r="J68" s="14"/>
      <c r="K68" s="14"/>
      <c r="L68" s="14"/>
      <c r="M68" s="14"/>
      <c r="N68" s="13"/>
      <c r="O68" s="13"/>
      <c r="P68" s="13"/>
      <c r="Q68" s="13"/>
      <c r="R68" s="13"/>
      <c r="S68" s="14"/>
      <c r="T68" s="14"/>
      <c r="U68" s="14"/>
      <c r="V68" s="14"/>
      <c r="W68" s="14"/>
      <c r="X68" s="14"/>
      <c r="Y68" s="14"/>
      <c r="Z68" s="13"/>
      <c r="AA68" s="13"/>
      <c r="AB68" s="13"/>
      <c r="AC68" s="13"/>
      <c r="AD68" s="13"/>
      <c r="AE68" s="14"/>
      <c r="AF68" s="14"/>
      <c r="AG68" s="14"/>
      <c r="AH68" s="14"/>
      <c r="AI68" s="14"/>
      <c r="AJ68" s="14"/>
      <c r="AK68" s="14"/>
    </row>
    <row r="69" spans="1:37">
      <c r="A69" s="23"/>
      <c r="B69" s="13"/>
      <c r="C69" s="13"/>
      <c r="D69" s="13"/>
      <c r="E69" s="13"/>
      <c r="F69" s="13"/>
      <c r="G69" s="14"/>
      <c r="H69" s="14"/>
      <c r="I69" s="14"/>
      <c r="J69" s="14"/>
      <c r="K69" s="14"/>
      <c r="L69" s="14"/>
      <c r="M69" s="14"/>
      <c r="N69" s="13"/>
      <c r="O69" s="13"/>
      <c r="P69" s="13"/>
      <c r="Q69" s="13"/>
      <c r="R69" s="13"/>
      <c r="S69" s="14"/>
      <c r="T69" s="14"/>
      <c r="U69" s="14"/>
      <c r="V69" s="14"/>
      <c r="W69" s="14"/>
      <c r="X69" s="14"/>
      <c r="Y69" s="14"/>
      <c r="Z69" s="13"/>
      <c r="AA69" s="13"/>
      <c r="AB69" s="13"/>
      <c r="AC69" s="13"/>
      <c r="AD69" s="13"/>
      <c r="AE69" s="14"/>
      <c r="AF69" s="14"/>
      <c r="AG69" s="14"/>
      <c r="AH69" s="14"/>
      <c r="AI69" s="14"/>
      <c r="AJ69" s="14"/>
      <c r="AK69" s="14"/>
    </row>
    <row r="70" spans="1:37">
      <c r="A70" s="23"/>
      <c r="B70" s="13"/>
      <c r="C70" s="13"/>
      <c r="D70" s="13"/>
      <c r="E70" s="13"/>
      <c r="F70" s="13"/>
      <c r="G70" s="14"/>
      <c r="H70" s="14"/>
      <c r="I70" s="14"/>
      <c r="J70" s="14"/>
      <c r="K70" s="14"/>
      <c r="L70" s="14"/>
      <c r="M70" s="14"/>
      <c r="N70" s="13"/>
      <c r="O70" s="13"/>
      <c r="P70" s="13"/>
      <c r="Q70" s="13"/>
      <c r="R70" s="13"/>
      <c r="S70" s="14"/>
      <c r="T70" s="14"/>
      <c r="U70" s="14"/>
      <c r="V70" s="14"/>
      <c r="W70" s="14"/>
      <c r="X70" s="14"/>
      <c r="Y70" s="14"/>
      <c r="Z70" s="13"/>
      <c r="AA70" s="13"/>
      <c r="AB70" s="13"/>
      <c r="AC70" s="13"/>
      <c r="AD70" s="13"/>
      <c r="AE70" s="14"/>
      <c r="AF70" s="14"/>
      <c r="AG70" s="14"/>
      <c r="AH70" s="14"/>
      <c r="AI70" s="14"/>
      <c r="AJ70" s="14"/>
      <c r="AK70" s="14"/>
    </row>
    <row r="71" spans="1:37">
      <c r="A71" s="23"/>
      <c r="B71" s="13"/>
      <c r="C71" s="13"/>
      <c r="D71" s="13"/>
      <c r="E71" s="13"/>
      <c r="F71" s="13"/>
      <c r="G71" s="14"/>
      <c r="H71" s="14"/>
      <c r="I71" s="14"/>
      <c r="J71" s="14"/>
      <c r="K71" s="14"/>
      <c r="L71" s="14"/>
      <c r="M71" s="14"/>
      <c r="N71" s="13"/>
      <c r="O71" s="13"/>
      <c r="P71" s="13"/>
      <c r="Q71" s="13"/>
      <c r="R71" s="13"/>
      <c r="S71" s="14"/>
      <c r="T71" s="14"/>
      <c r="U71" s="14"/>
      <c r="V71" s="14"/>
      <c r="W71" s="14"/>
      <c r="X71" s="14"/>
      <c r="Y71" s="14"/>
      <c r="Z71" s="13"/>
      <c r="AA71" s="13"/>
      <c r="AB71" s="13"/>
      <c r="AC71" s="13"/>
      <c r="AD71" s="13"/>
      <c r="AE71" s="14"/>
      <c r="AF71" s="14"/>
      <c r="AG71" s="14"/>
      <c r="AH71" s="14"/>
      <c r="AI71" s="14"/>
      <c r="AJ71" s="14"/>
      <c r="AK71" s="14"/>
    </row>
    <row r="72" spans="1:37">
      <c r="A72" s="23"/>
      <c r="B72" s="13"/>
      <c r="C72" s="13"/>
      <c r="D72" s="13"/>
      <c r="E72" s="13"/>
      <c r="F72" s="13"/>
      <c r="G72" s="14"/>
      <c r="H72" s="14"/>
      <c r="I72" s="14"/>
      <c r="J72" s="14"/>
      <c r="K72" s="14"/>
      <c r="L72" s="14"/>
      <c r="M72" s="14"/>
      <c r="N72" s="13"/>
      <c r="O72" s="13"/>
      <c r="P72" s="13"/>
      <c r="Q72" s="13"/>
      <c r="R72" s="13"/>
      <c r="S72" s="14"/>
      <c r="T72" s="14"/>
      <c r="U72" s="14"/>
      <c r="V72" s="14"/>
      <c r="W72" s="14"/>
      <c r="X72" s="14"/>
      <c r="Y72" s="14"/>
      <c r="Z72" s="13"/>
      <c r="AA72" s="13"/>
      <c r="AB72" s="13"/>
      <c r="AC72" s="13"/>
      <c r="AD72" s="13"/>
      <c r="AE72" s="14"/>
      <c r="AF72" s="14"/>
      <c r="AG72" s="14"/>
      <c r="AH72" s="14"/>
      <c r="AI72" s="14"/>
      <c r="AJ72" s="14"/>
      <c r="AK72" s="14"/>
    </row>
    <row r="73" spans="1:37">
      <c r="A73" s="23"/>
      <c r="B73" s="13"/>
      <c r="C73" s="13"/>
      <c r="D73" s="13"/>
      <c r="E73" s="13"/>
      <c r="F73" s="13"/>
      <c r="G73" s="14"/>
      <c r="H73" s="14"/>
      <c r="I73" s="14"/>
      <c r="J73" s="14"/>
      <c r="K73" s="14"/>
      <c r="L73" s="14"/>
      <c r="M73" s="14"/>
      <c r="N73" s="13"/>
      <c r="O73" s="13"/>
      <c r="P73" s="13"/>
      <c r="Q73" s="13"/>
      <c r="R73" s="13"/>
      <c r="S73" s="14"/>
      <c r="T73" s="14"/>
      <c r="U73" s="14"/>
      <c r="V73" s="14"/>
      <c r="W73" s="14"/>
      <c r="X73" s="14"/>
      <c r="Y73" s="14"/>
      <c r="Z73" s="13"/>
      <c r="AA73" s="13"/>
      <c r="AB73" s="13"/>
      <c r="AC73" s="13"/>
      <c r="AD73" s="13"/>
      <c r="AE73" s="14"/>
      <c r="AF73" s="14"/>
      <c r="AG73" s="14"/>
      <c r="AH73" s="14"/>
      <c r="AI73" s="14"/>
      <c r="AJ73" s="14"/>
      <c r="AK73" s="14"/>
    </row>
    <row r="74" spans="1:37">
      <c r="A74" s="23"/>
      <c r="B74" s="13"/>
      <c r="C74" s="13"/>
      <c r="D74" s="13"/>
      <c r="E74" s="13"/>
      <c r="F74" s="13"/>
      <c r="G74" s="14"/>
      <c r="H74" s="14"/>
      <c r="I74" s="14"/>
      <c r="J74" s="14"/>
      <c r="K74" s="14"/>
      <c r="L74" s="14"/>
      <c r="M74" s="14"/>
      <c r="N74" s="13"/>
      <c r="O74" s="13"/>
      <c r="P74" s="13"/>
      <c r="Q74" s="13"/>
      <c r="R74" s="13"/>
      <c r="S74" s="14"/>
      <c r="T74" s="14"/>
      <c r="U74" s="14"/>
      <c r="V74" s="14"/>
      <c r="W74" s="14"/>
      <c r="X74" s="14"/>
      <c r="Y74" s="14"/>
      <c r="Z74" s="13"/>
      <c r="AA74" s="13"/>
      <c r="AB74" s="13"/>
      <c r="AC74" s="13"/>
      <c r="AD74" s="13"/>
      <c r="AE74" s="14"/>
      <c r="AF74" s="14"/>
      <c r="AG74" s="14"/>
      <c r="AH74" s="14"/>
      <c r="AI74" s="14"/>
      <c r="AJ74" s="14"/>
      <c r="AK74" s="14"/>
    </row>
    <row r="75" spans="1:37">
      <c r="A75" s="23"/>
      <c r="B75" s="13"/>
      <c r="C75" s="13"/>
      <c r="D75" s="13"/>
      <c r="E75" s="13"/>
      <c r="F75" s="13"/>
      <c r="G75" s="14"/>
      <c r="H75" s="14"/>
      <c r="I75" s="14"/>
      <c r="J75" s="14"/>
      <c r="K75" s="14"/>
      <c r="L75" s="14"/>
      <c r="M75" s="14"/>
      <c r="N75" s="13"/>
      <c r="O75" s="13"/>
      <c r="P75" s="13"/>
      <c r="Q75" s="13"/>
      <c r="R75" s="13"/>
      <c r="S75" s="14"/>
      <c r="T75" s="14"/>
      <c r="U75" s="14"/>
      <c r="V75" s="14"/>
      <c r="W75" s="14"/>
      <c r="X75" s="14"/>
      <c r="Y75" s="14"/>
      <c r="Z75" s="13"/>
      <c r="AA75" s="13"/>
      <c r="AB75" s="13"/>
      <c r="AC75" s="13"/>
      <c r="AD75" s="13"/>
      <c r="AE75" s="14"/>
      <c r="AF75" s="14"/>
      <c r="AG75" s="14"/>
      <c r="AH75" s="14"/>
      <c r="AI75" s="14"/>
      <c r="AJ75" s="14"/>
      <c r="AK75" s="14"/>
    </row>
    <row r="76" spans="1:37">
      <c r="A76" s="23"/>
      <c r="B76" s="13"/>
      <c r="C76" s="13"/>
      <c r="D76" s="13"/>
      <c r="E76" s="13"/>
      <c r="F76" s="13"/>
      <c r="G76" s="14"/>
      <c r="H76" s="14"/>
      <c r="I76" s="14"/>
      <c r="J76" s="14"/>
      <c r="K76" s="14"/>
      <c r="L76" s="14"/>
      <c r="M76" s="14"/>
      <c r="N76" s="13"/>
      <c r="O76" s="13"/>
      <c r="P76" s="13"/>
      <c r="Q76" s="13"/>
      <c r="R76" s="13"/>
      <c r="S76" s="14"/>
      <c r="T76" s="14"/>
      <c r="U76" s="14"/>
      <c r="V76" s="14"/>
      <c r="W76" s="14"/>
      <c r="X76" s="14"/>
      <c r="Y76" s="14"/>
      <c r="Z76" s="13"/>
      <c r="AA76" s="13"/>
      <c r="AB76" s="13"/>
      <c r="AC76" s="13"/>
      <c r="AD76" s="13"/>
      <c r="AE76" s="14"/>
      <c r="AF76" s="14"/>
      <c r="AG76" s="14"/>
      <c r="AH76" s="14"/>
      <c r="AI76" s="14"/>
      <c r="AJ76" s="14"/>
      <c r="AK76" s="14"/>
    </row>
    <row r="77" spans="1:37">
      <c r="A77" s="23"/>
      <c r="B77" s="13"/>
      <c r="C77" s="13"/>
      <c r="D77" s="13"/>
      <c r="E77" s="13"/>
      <c r="F77" s="13"/>
      <c r="G77" s="14"/>
      <c r="H77" s="14"/>
      <c r="I77" s="14"/>
      <c r="J77" s="14"/>
      <c r="K77" s="14"/>
      <c r="L77" s="14"/>
      <c r="M77" s="14"/>
      <c r="N77" s="13"/>
      <c r="O77" s="13"/>
      <c r="P77" s="13"/>
      <c r="Q77" s="13"/>
      <c r="R77" s="13"/>
      <c r="S77" s="14"/>
      <c r="T77" s="14"/>
      <c r="U77" s="14"/>
      <c r="V77" s="14"/>
      <c r="W77" s="14"/>
      <c r="X77" s="14"/>
      <c r="Y77" s="14"/>
      <c r="Z77" s="13"/>
      <c r="AA77" s="13"/>
      <c r="AB77" s="13"/>
      <c r="AC77" s="13"/>
      <c r="AD77" s="13"/>
      <c r="AE77" s="14"/>
      <c r="AF77" s="14"/>
      <c r="AG77" s="14"/>
      <c r="AH77" s="14"/>
      <c r="AI77" s="14"/>
      <c r="AJ77" s="14"/>
      <c r="AK77" s="14"/>
    </row>
    <row r="78" spans="1:37">
      <c r="A78" s="23"/>
      <c r="B78" s="13"/>
      <c r="C78" s="13"/>
      <c r="D78" s="13"/>
      <c r="E78" s="13"/>
      <c r="F78" s="13"/>
      <c r="G78" s="14"/>
      <c r="H78" s="14"/>
      <c r="I78" s="14"/>
      <c r="J78" s="14"/>
      <c r="K78" s="14"/>
      <c r="L78" s="14"/>
      <c r="M78" s="14"/>
      <c r="N78" s="13"/>
      <c r="O78" s="13"/>
      <c r="P78" s="13"/>
      <c r="Q78" s="13"/>
      <c r="R78" s="13"/>
      <c r="S78" s="14"/>
      <c r="T78" s="14"/>
      <c r="U78" s="14"/>
      <c r="V78" s="14"/>
      <c r="W78" s="14"/>
      <c r="X78" s="14"/>
      <c r="Y78" s="14"/>
      <c r="Z78" s="13"/>
      <c r="AA78" s="13"/>
      <c r="AB78" s="13"/>
      <c r="AC78" s="13"/>
      <c r="AD78" s="13"/>
      <c r="AE78" s="14"/>
      <c r="AF78" s="14"/>
      <c r="AG78" s="14"/>
      <c r="AH78" s="14"/>
      <c r="AI78" s="14"/>
      <c r="AJ78" s="14"/>
      <c r="AK78" s="14"/>
    </row>
    <row r="79" spans="1:37">
      <c r="A79" s="23"/>
      <c r="B79" s="13"/>
      <c r="C79" s="13"/>
      <c r="D79" s="13"/>
      <c r="E79" s="13"/>
      <c r="F79" s="13"/>
      <c r="G79" s="14"/>
      <c r="H79" s="14"/>
      <c r="I79" s="14"/>
      <c r="J79" s="14"/>
      <c r="K79" s="14"/>
      <c r="L79" s="14"/>
      <c r="M79" s="14"/>
      <c r="N79" s="13"/>
      <c r="O79" s="13"/>
      <c r="P79" s="13"/>
      <c r="Q79" s="13"/>
      <c r="R79" s="13"/>
      <c r="S79" s="14"/>
      <c r="T79" s="14"/>
      <c r="U79" s="14"/>
      <c r="V79" s="14"/>
      <c r="W79" s="14"/>
      <c r="X79" s="14"/>
      <c r="Y79" s="14"/>
      <c r="Z79" s="13"/>
      <c r="AA79" s="13"/>
      <c r="AB79" s="13"/>
      <c r="AC79" s="13"/>
      <c r="AD79" s="13"/>
      <c r="AE79" s="14"/>
      <c r="AF79" s="14"/>
      <c r="AG79" s="14"/>
      <c r="AH79" s="14"/>
      <c r="AI79" s="14"/>
      <c r="AJ79" s="14"/>
      <c r="AK79" s="14"/>
    </row>
    <row r="80" spans="1:37">
      <c r="A80" s="23"/>
      <c r="B80" s="13"/>
      <c r="C80" s="13"/>
      <c r="D80" s="13"/>
      <c r="E80" s="13"/>
      <c r="F80" s="13"/>
      <c r="G80" s="14"/>
      <c r="H80" s="14"/>
      <c r="I80" s="14"/>
      <c r="J80" s="14"/>
      <c r="K80" s="14"/>
      <c r="L80" s="14"/>
      <c r="M80" s="14"/>
      <c r="N80" s="13"/>
      <c r="O80" s="13"/>
      <c r="P80" s="13"/>
      <c r="Q80" s="13"/>
      <c r="R80" s="13"/>
      <c r="S80" s="14"/>
      <c r="T80" s="14"/>
      <c r="U80" s="14"/>
      <c r="V80" s="14"/>
      <c r="W80" s="14"/>
      <c r="X80" s="14"/>
      <c r="Y80" s="14"/>
      <c r="Z80" s="13"/>
      <c r="AA80" s="13"/>
      <c r="AB80" s="13"/>
      <c r="AC80" s="13"/>
      <c r="AD80" s="13"/>
      <c r="AE80" s="14"/>
      <c r="AF80" s="14"/>
      <c r="AG80" s="14"/>
      <c r="AH80" s="14"/>
      <c r="AI80" s="14"/>
      <c r="AJ80" s="14"/>
      <c r="AK80" s="14"/>
    </row>
    <row r="81" spans="1:37">
      <c r="A81" s="23"/>
      <c r="B81" s="13"/>
      <c r="C81" s="13"/>
      <c r="D81" s="13"/>
      <c r="E81" s="13"/>
      <c r="F81" s="13"/>
      <c r="G81" s="14"/>
      <c r="H81" s="14"/>
      <c r="I81" s="14"/>
      <c r="J81" s="14"/>
      <c r="K81" s="14"/>
      <c r="L81" s="14"/>
      <c r="M81" s="14"/>
      <c r="N81" s="13"/>
      <c r="O81" s="13"/>
      <c r="P81" s="13"/>
      <c r="Q81" s="13"/>
      <c r="R81" s="13"/>
      <c r="S81" s="14"/>
      <c r="T81" s="14"/>
      <c r="U81" s="14"/>
      <c r="V81" s="14"/>
      <c r="W81" s="14"/>
      <c r="X81" s="14"/>
      <c r="Y81" s="14"/>
      <c r="Z81" s="13"/>
      <c r="AA81" s="13"/>
      <c r="AB81" s="13"/>
      <c r="AC81" s="13"/>
      <c r="AD81" s="13"/>
      <c r="AE81" s="14"/>
      <c r="AF81" s="14"/>
      <c r="AG81" s="14"/>
      <c r="AH81" s="14"/>
      <c r="AI81" s="14"/>
      <c r="AJ81" s="14"/>
      <c r="AK81" s="14"/>
    </row>
    <row r="82" spans="1:37">
      <c r="A82" s="23"/>
      <c r="B82" s="13"/>
      <c r="C82" s="13"/>
      <c r="D82" s="13"/>
      <c r="E82" s="13"/>
      <c r="F82" s="13"/>
      <c r="G82" s="14"/>
      <c r="H82" s="14"/>
      <c r="I82" s="14"/>
      <c r="J82" s="14"/>
      <c r="K82" s="14"/>
      <c r="L82" s="14"/>
      <c r="M82" s="14"/>
      <c r="N82" s="13"/>
      <c r="O82" s="13"/>
      <c r="P82" s="13"/>
      <c r="Q82" s="13"/>
      <c r="R82" s="13"/>
      <c r="S82" s="14"/>
      <c r="T82" s="14"/>
      <c r="U82" s="14"/>
      <c r="V82" s="14"/>
      <c r="W82" s="14"/>
      <c r="X82" s="14"/>
      <c r="Y82" s="14"/>
      <c r="Z82" s="13"/>
      <c r="AA82" s="13"/>
      <c r="AB82" s="13"/>
      <c r="AC82" s="13"/>
      <c r="AD82" s="13"/>
      <c r="AE82" s="14"/>
      <c r="AF82" s="14"/>
      <c r="AG82" s="14"/>
      <c r="AH82" s="14"/>
      <c r="AI82" s="14"/>
      <c r="AJ82" s="14"/>
      <c r="AK82" s="14"/>
    </row>
    <row r="83" spans="1:37">
      <c r="A83" s="23"/>
      <c r="B83" s="13"/>
      <c r="C83" s="13"/>
      <c r="D83" s="13"/>
      <c r="E83" s="13"/>
      <c r="F83" s="13"/>
      <c r="G83" s="14"/>
      <c r="H83" s="14"/>
      <c r="I83" s="14"/>
      <c r="J83" s="14"/>
      <c r="K83" s="14"/>
      <c r="L83" s="14"/>
      <c r="M83" s="14"/>
      <c r="N83" s="13"/>
      <c r="O83" s="13"/>
      <c r="P83" s="13"/>
      <c r="Q83" s="13"/>
      <c r="R83" s="13"/>
      <c r="S83" s="14"/>
      <c r="T83" s="14"/>
      <c r="U83" s="14"/>
      <c r="V83" s="14"/>
      <c r="W83" s="14"/>
      <c r="X83" s="14"/>
      <c r="Y83" s="14"/>
      <c r="Z83" s="13"/>
      <c r="AA83" s="13"/>
      <c r="AB83" s="13"/>
      <c r="AC83" s="13"/>
      <c r="AD83" s="13"/>
      <c r="AE83" s="14"/>
      <c r="AF83" s="14"/>
      <c r="AG83" s="14"/>
      <c r="AH83" s="14"/>
      <c r="AI83" s="14"/>
      <c r="AJ83" s="14"/>
      <c r="AK83" s="14"/>
    </row>
    <row r="84" spans="1:37">
      <c r="A84" s="23"/>
      <c r="B84" s="13"/>
      <c r="C84" s="13"/>
      <c r="D84" s="13"/>
      <c r="E84" s="13"/>
      <c r="F84" s="13"/>
      <c r="G84" s="14"/>
      <c r="H84" s="14"/>
      <c r="I84" s="14"/>
      <c r="J84" s="14"/>
      <c r="K84" s="14"/>
      <c r="L84" s="14"/>
      <c r="M84" s="14"/>
      <c r="N84" s="13"/>
      <c r="O84" s="13"/>
      <c r="P84" s="13"/>
      <c r="Q84" s="13"/>
      <c r="R84" s="13"/>
      <c r="S84" s="14"/>
      <c r="T84" s="14"/>
      <c r="U84" s="14"/>
      <c r="V84" s="14"/>
      <c r="W84" s="14"/>
      <c r="X84" s="14"/>
      <c r="Y84" s="14"/>
      <c r="Z84" s="13"/>
      <c r="AA84" s="13"/>
      <c r="AB84" s="13"/>
      <c r="AC84" s="13"/>
      <c r="AD84" s="13"/>
      <c r="AE84" s="14"/>
      <c r="AF84" s="14"/>
      <c r="AG84" s="14"/>
      <c r="AH84" s="14"/>
      <c r="AI84" s="14"/>
      <c r="AJ84" s="14"/>
      <c r="AK84" s="14"/>
    </row>
    <row r="85" spans="1:37">
      <c r="A85" s="23"/>
      <c r="B85" s="13"/>
      <c r="C85" s="13"/>
      <c r="D85" s="13"/>
      <c r="E85" s="13"/>
      <c r="F85" s="13"/>
      <c r="G85" s="14"/>
      <c r="H85" s="14"/>
      <c r="I85" s="14"/>
      <c r="J85" s="14"/>
      <c r="K85" s="14"/>
      <c r="L85" s="14"/>
      <c r="M85" s="14"/>
      <c r="N85" s="13"/>
      <c r="O85" s="13"/>
      <c r="P85" s="13"/>
      <c r="Q85" s="13"/>
      <c r="R85" s="13"/>
      <c r="S85" s="14"/>
      <c r="T85" s="14"/>
      <c r="U85" s="14"/>
      <c r="V85" s="14"/>
      <c r="W85" s="14"/>
      <c r="X85" s="14"/>
      <c r="Y85" s="14"/>
      <c r="Z85" s="13"/>
      <c r="AA85" s="13"/>
      <c r="AB85" s="13"/>
      <c r="AC85" s="13"/>
      <c r="AD85" s="13"/>
      <c r="AE85" s="14"/>
      <c r="AF85" s="14"/>
      <c r="AG85" s="14"/>
      <c r="AH85" s="14"/>
      <c r="AI85" s="14"/>
      <c r="AJ85" s="14"/>
      <c r="AK85" s="14"/>
    </row>
    <row r="86" spans="1:37">
      <c r="A86" s="23"/>
      <c r="B86" s="13"/>
      <c r="C86" s="13"/>
      <c r="D86" s="13"/>
      <c r="E86" s="13"/>
      <c r="F86" s="13"/>
      <c r="G86" s="14"/>
      <c r="H86" s="14"/>
      <c r="I86" s="14"/>
      <c r="J86" s="14"/>
      <c r="K86" s="14"/>
      <c r="L86" s="14"/>
      <c r="M86" s="14"/>
      <c r="N86" s="13"/>
      <c r="O86" s="13"/>
      <c r="P86" s="13"/>
      <c r="Q86" s="13"/>
      <c r="R86" s="13"/>
      <c r="S86" s="14"/>
      <c r="T86" s="14"/>
      <c r="U86" s="14"/>
      <c r="V86" s="14"/>
      <c r="W86" s="14"/>
      <c r="X86" s="14"/>
      <c r="Y86" s="14"/>
      <c r="Z86" s="13"/>
      <c r="AA86" s="13"/>
      <c r="AB86" s="13"/>
      <c r="AC86" s="13"/>
      <c r="AD86" s="13"/>
      <c r="AE86" s="14"/>
      <c r="AF86" s="14"/>
      <c r="AG86" s="14"/>
      <c r="AH86" s="14"/>
      <c r="AI86" s="14"/>
      <c r="AJ86" s="14"/>
      <c r="AK86" s="14"/>
    </row>
    <row r="87" spans="1:37">
      <c r="A87" s="23"/>
      <c r="B87" s="13"/>
      <c r="C87" s="13"/>
      <c r="D87" s="13"/>
      <c r="E87" s="13"/>
      <c r="F87" s="13"/>
      <c r="G87" s="14"/>
      <c r="H87" s="14"/>
      <c r="I87" s="14"/>
      <c r="J87" s="14"/>
      <c r="K87" s="14"/>
      <c r="L87" s="14"/>
      <c r="M87" s="14"/>
      <c r="N87" s="13"/>
      <c r="O87" s="13"/>
      <c r="P87" s="13"/>
      <c r="Q87" s="13"/>
      <c r="R87" s="13"/>
      <c r="S87" s="14"/>
      <c r="T87" s="14"/>
      <c r="U87" s="14"/>
      <c r="V87" s="14"/>
      <c r="W87" s="14"/>
      <c r="X87" s="14"/>
      <c r="Y87" s="14"/>
      <c r="Z87" s="13"/>
      <c r="AA87" s="13"/>
      <c r="AB87" s="13"/>
      <c r="AC87" s="13"/>
      <c r="AD87" s="13"/>
      <c r="AE87" s="14"/>
      <c r="AF87" s="14"/>
      <c r="AG87" s="14"/>
      <c r="AH87" s="14"/>
      <c r="AI87" s="14"/>
      <c r="AJ87" s="14"/>
      <c r="AK87" s="14"/>
    </row>
    <row r="88" spans="1:37">
      <c r="A88" s="23"/>
      <c r="B88" s="13"/>
      <c r="C88" s="13"/>
      <c r="D88" s="13"/>
      <c r="E88" s="13"/>
      <c r="F88" s="13"/>
      <c r="G88" s="14"/>
      <c r="H88" s="14"/>
      <c r="I88" s="14"/>
      <c r="J88" s="14"/>
      <c r="K88" s="14"/>
      <c r="L88" s="14"/>
      <c r="M88" s="14"/>
      <c r="N88" s="13"/>
      <c r="O88" s="13"/>
      <c r="P88" s="13"/>
      <c r="Q88" s="13"/>
      <c r="R88" s="13"/>
      <c r="S88" s="14"/>
      <c r="T88" s="14"/>
      <c r="U88" s="14"/>
      <c r="V88" s="14"/>
      <c r="W88" s="14"/>
      <c r="X88" s="14"/>
      <c r="Y88" s="14"/>
      <c r="Z88" s="13"/>
      <c r="AA88" s="13"/>
      <c r="AB88" s="13"/>
      <c r="AC88" s="13"/>
      <c r="AD88" s="13"/>
      <c r="AE88" s="14"/>
      <c r="AF88" s="14"/>
      <c r="AG88" s="14"/>
      <c r="AH88" s="14"/>
      <c r="AI88" s="14"/>
      <c r="AJ88" s="14"/>
      <c r="AK88" s="14"/>
    </row>
    <row r="89" spans="1:37">
      <c r="A89" s="23"/>
      <c r="B89" s="13"/>
      <c r="C89" s="13"/>
      <c r="D89" s="13"/>
      <c r="E89" s="13"/>
      <c r="F89" s="13"/>
      <c r="G89" s="14"/>
      <c r="H89" s="14"/>
      <c r="I89" s="14"/>
      <c r="J89" s="14"/>
      <c r="K89" s="14"/>
      <c r="L89" s="14"/>
      <c r="M89" s="14"/>
      <c r="N89" s="13"/>
      <c r="O89" s="13"/>
      <c r="P89" s="13"/>
      <c r="Q89" s="13"/>
      <c r="R89" s="13"/>
      <c r="S89" s="14"/>
      <c r="T89" s="14"/>
      <c r="U89" s="14"/>
      <c r="V89" s="14"/>
      <c r="W89" s="14"/>
      <c r="X89" s="14"/>
      <c r="Y89" s="14"/>
      <c r="Z89" s="13"/>
      <c r="AA89" s="13"/>
      <c r="AB89" s="13"/>
      <c r="AC89" s="13"/>
      <c r="AD89" s="13"/>
      <c r="AE89" s="14"/>
      <c r="AF89" s="14"/>
      <c r="AG89" s="14"/>
      <c r="AH89" s="14"/>
      <c r="AI89" s="14"/>
      <c r="AJ89" s="14"/>
      <c r="AK89" s="14"/>
    </row>
    <row r="90" spans="1:37">
      <c r="A90" s="23"/>
      <c r="B90" s="13"/>
      <c r="C90" s="13"/>
      <c r="D90" s="13"/>
      <c r="E90" s="13"/>
      <c r="F90" s="13"/>
      <c r="G90" s="14"/>
      <c r="H90" s="14"/>
      <c r="I90" s="14"/>
      <c r="J90" s="14"/>
      <c r="K90" s="14"/>
      <c r="L90" s="14"/>
      <c r="M90" s="14"/>
      <c r="N90" s="13"/>
      <c r="O90" s="13"/>
      <c r="P90" s="13"/>
      <c r="Q90" s="13"/>
      <c r="R90" s="13"/>
      <c r="S90" s="14"/>
      <c r="T90" s="14"/>
      <c r="U90" s="14"/>
      <c r="V90" s="14"/>
      <c r="W90" s="14"/>
      <c r="X90" s="14"/>
      <c r="Y90" s="14"/>
      <c r="Z90" s="13"/>
      <c r="AA90" s="13"/>
      <c r="AB90" s="13"/>
      <c r="AC90" s="13"/>
      <c r="AD90" s="13"/>
      <c r="AE90" s="14"/>
      <c r="AF90" s="14"/>
      <c r="AG90" s="14"/>
      <c r="AH90" s="14"/>
      <c r="AI90" s="14"/>
      <c r="AJ90" s="14"/>
      <c r="AK90" s="14"/>
    </row>
    <row r="91" spans="1:37">
      <c r="A91" s="23"/>
      <c r="B91" s="13"/>
      <c r="C91" s="13"/>
      <c r="D91" s="13"/>
      <c r="E91" s="13"/>
      <c r="F91" s="13"/>
      <c r="G91" s="14"/>
      <c r="H91" s="14"/>
      <c r="I91" s="14"/>
      <c r="J91" s="14"/>
      <c r="K91" s="14"/>
      <c r="L91" s="14"/>
      <c r="M91" s="14"/>
      <c r="N91" s="13"/>
      <c r="O91" s="13"/>
      <c r="P91" s="13"/>
      <c r="Q91" s="13"/>
      <c r="R91" s="13"/>
      <c r="S91" s="14"/>
      <c r="T91" s="14"/>
      <c r="U91" s="14"/>
      <c r="V91" s="14"/>
      <c r="W91" s="14"/>
      <c r="X91" s="14"/>
      <c r="Y91" s="14"/>
      <c r="Z91" s="13"/>
      <c r="AA91" s="13"/>
      <c r="AB91" s="13"/>
      <c r="AC91" s="13"/>
      <c r="AD91" s="13"/>
      <c r="AE91" s="14"/>
      <c r="AF91" s="14"/>
      <c r="AG91" s="14"/>
      <c r="AH91" s="14"/>
      <c r="AI91" s="14"/>
      <c r="AJ91" s="14"/>
      <c r="AK91" s="14"/>
    </row>
    <row r="92" spans="1:37">
      <c r="A92" s="23"/>
      <c r="B92" s="13"/>
      <c r="C92" s="13"/>
      <c r="D92" s="13"/>
      <c r="E92" s="13"/>
      <c r="F92" s="13"/>
      <c r="G92" s="14"/>
      <c r="H92" s="14"/>
      <c r="I92" s="14"/>
      <c r="J92" s="14"/>
      <c r="K92" s="14"/>
      <c r="L92" s="14"/>
      <c r="M92" s="14"/>
      <c r="N92" s="13"/>
      <c r="O92" s="13"/>
      <c r="P92" s="13"/>
      <c r="Q92" s="13"/>
      <c r="R92" s="13"/>
      <c r="S92" s="14"/>
      <c r="T92" s="14"/>
      <c r="U92" s="14"/>
      <c r="V92" s="14"/>
      <c r="W92" s="14"/>
      <c r="X92" s="14"/>
      <c r="Y92" s="14"/>
      <c r="Z92" s="13"/>
      <c r="AA92" s="13"/>
      <c r="AB92" s="13"/>
      <c r="AC92" s="13"/>
      <c r="AD92" s="13"/>
      <c r="AE92" s="14"/>
      <c r="AF92" s="14"/>
      <c r="AG92" s="14"/>
      <c r="AH92" s="14"/>
      <c r="AI92" s="14"/>
      <c r="AJ92" s="14"/>
      <c r="AK92" s="14"/>
    </row>
    <row r="93" spans="1:37">
      <c r="A93" s="23"/>
      <c r="B93" s="13"/>
      <c r="C93" s="13"/>
      <c r="D93" s="13"/>
      <c r="E93" s="13"/>
      <c r="F93" s="13"/>
      <c r="G93" s="14"/>
      <c r="H93" s="14"/>
      <c r="I93" s="14"/>
      <c r="J93" s="14"/>
      <c r="K93" s="14"/>
      <c r="L93" s="14"/>
      <c r="M93" s="14"/>
      <c r="N93" s="13"/>
      <c r="O93" s="13"/>
      <c r="P93" s="13"/>
      <c r="Q93" s="13"/>
      <c r="R93" s="13"/>
      <c r="S93" s="14"/>
      <c r="T93" s="14"/>
      <c r="U93" s="14"/>
      <c r="V93" s="14"/>
      <c r="W93" s="14"/>
      <c r="X93" s="14"/>
      <c r="Y93" s="14"/>
      <c r="Z93" s="13"/>
      <c r="AA93" s="13"/>
      <c r="AB93" s="13"/>
      <c r="AC93" s="13"/>
      <c r="AD93" s="13"/>
      <c r="AE93" s="14"/>
      <c r="AF93" s="14"/>
      <c r="AG93" s="14"/>
      <c r="AH93" s="14"/>
      <c r="AI93" s="14"/>
      <c r="AJ93" s="14"/>
      <c r="AK93" s="14"/>
    </row>
    <row r="94" spans="1:37">
      <c r="A94" s="23"/>
      <c r="B94" s="13"/>
      <c r="C94" s="13"/>
      <c r="D94" s="13"/>
      <c r="E94" s="13"/>
      <c r="F94" s="13"/>
      <c r="G94" s="14"/>
      <c r="H94" s="14"/>
      <c r="I94" s="14"/>
      <c r="J94" s="14"/>
      <c r="K94" s="14"/>
      <c r="L94" s="14"/>
      <c r="M94" s="14"/>
      <c r="N94" s="13"/>
      <c r="O94" s="13"/>
      <c r="P94" s="13"/>
      <c r="Q94" s="13"/>
      <c r="R94" s="13"/>
      <c r="S94" s="14"/>
      <c r="T94" s="14"/>
      <c r="U94" s="14"/>
      <c r="V94" s="14"/>
      <c r="W94" s="14"/>
      <c r="X94" s="14"/>
      <c r="Y94" s="14"/>
      <c r="Z94" s="13"/>
      <c r="AA94" s="13"/>
      <c r="AB94" s="13"/>
      <c r="AC94" s="13"/>
      <c r="AD94" s="13"/>
      <c r="AE94" s="14"/>
      <c r="AF94" s="14"/>
      <c r="AG94" s="14"/>
      <c r="AH94" s="14"/>
      <c r="AI94" s="14"/>
      <c r="AJ94" s="14"/>
      <c r="AK94" s="14"/>
    </row>
    <row r="95" spans="1:37">
      <c r="A95" s="23"/>
      <c r="B95" s="13"/>
      <c r="C95" s="13"/>
      <c r="D95" s="13"/>
      <c r="E95" s="13"/>
      <c r="F95" s="13"/>
      <c r="G95" s="14"/>
      <c r="H95" s="14"/>
      <c r="I95" s="14"/>
      <c r="J95" s="14"/>
      <c r="K95" s="14"/>
      <c r="L95" s="14"/>
      <c r="M95" s="14"/>
      <c r="N95" s="13"/>
      <c r="O95" s="13"/>
      <c r="P95" s="13"/>
      <c r="Q95" s="13"/>
      <c r="R95" s="13"/>
      <c r="S95" s="14"/>
      <c r="T95" s="14"/>
      <c r="U95" s="14"/>
      <c r="V95" s="14"/>
      <c r="W95" s="14"/>
      <c r="X95" s="14"/>
      <c r="Y95" s="14"/>
      <c r="Z95" s="13"/>
      <c r="AA95" s="13"/>
      <c r="AB95" s="13"/>
      <c r="AC95" s="13"/>
      <c r="AD95" s="13"/>
      <c r="AE95" s="14"/>
      <c r="AF95" s="14"/>
      <c r="AG95" s="14"/>
      <c r="AH95" s="14"/>
      <c r="AI95" s="14"/>
      <c r="AJ95" s="14"/>
      <c r="AK95" s="14"/>
    </row>
    <row r="96" spans="1:37">
      <c r="A96" s="23"/>
      <c r="B96" s="13"/>
      <c r="C96" s="13"/>
      <c r="D96" s="13"/>
      <c r="E96" s="13"/>
      <c r="F96" s="13"/>
      <c r="G96" s="14"/>
      <c r="H96" s="14"/>
      <c r="I96" s="14"/>
      <c r="J96" s="14"/>
      <c r="K96" s="14"/>
      <c r="L96" s="14"/>
      <c r="M96" s="14"/>
      <c r="N96" s="13"/>
      <c r="O96" s="13"/>
      <c r="P96" s="13"/>
      <c r="Q96" s="13"/>
      <c r="R96" s="13"/>
      <c r="S96" s="14"/>
      <c r="T96" s="14"/>
      <c r="U96" s="14"/>
      <c r="V96" s="14"/>
      <c r="W96" s="14"/>
      <c r="X96" s="14"/>
      <c r="Y96" s="14"/>
      <c r="Z96" s="13"/>
      <c r="AA96" s="13"/>
      <c r="AB96" s="13"/>
      <c r="AC96" s="13"/>
      <c r="AD96" s="13"/>
      <c r="AE96" s="14"/>
      <c r="AF96" s="14"/>
      <c r="AG96" s="14"/>
      <c r="AH96" s="14"/>
      <c r="AI96" s="14"/>
      <c r="AJ96" s="14"/>
      <c r="AK96" s="14"/>
    </row>
    <row r="97" spans="1:37">
      <c r="A97" s="23"/>
      <c r="B97" s="13"/>
      <c r="C97" s="13"/>
      <c r="D97" s="13"/>
      <c r="E97" s="13"/>
      <c r="F97" s="13"/>
      <c r="G97" s="14"/>
      <c r="H97" s="14"/>
      <c r="I97" s="14"/>
      <c r="J97" s="14"/>
      <c r="K97" s="14"/>
      <c r="L97" s="14"/>
      <c r="M97" s="14"/>
      <c r="N97" s="13"/>
      <c r="O97" s="13"/>
      <c r="P97" s="13"/>
      <c r="Q97" s="13"/>
      <c r="R97" s="13"/>
      <c r="S97" s="14"/>
      <c r="T97" s="14"/>
      <c r="U97" s="14"/>
      <c r="V97" s="14"/>
      <c r="W97" s="14"/>
      <c r="X97" s="14"/>
      <c r="Y97" s="14"/>
      <c r="Z97" s="13"/>
      <c r="AA97" s="13"/>
      <c r="AB97" s="13"/>
      <c r="AC97" s="13"/>
      <c r="AD97" s="13"/>
      <c r="AE97" s="14"/>
      <c r="AF97" s="14"/>
      <c r="AG97" s="14"/>
      <c r="AH97" s="14"/>
      <c r="AI97" s="14"/>
      <c r="AJ97" s="14"/>
      <c r="AK97" s="14"/>
    </row>
    <row r="98" spans="1:37">
      <c r="A98" s="23"/>
      <c r="B98" s="13"/>
      <c r="C98" s="13"/>
      <c r="D98" s="13"/>
      <c r="E98" s="13"/>
      <c r="F98" s="13"/>
      <c r="G98" s="14"/>
      <c r="H98" s="14"/>
      <c r="I98" s="14"/>
      <c r="J98" s="14"/>
      <c r="K98" s="14"/>
      <c r="L98" s="14"/>
      <c r="M98" s="14"/>
      <c r="N98" s="13"/>
      <c r="O98" s="13"/>
      <c r="P98" s="13"/>
      <c r="Q98" s="13"/>
      <c r="R98" s="13"/>
      <c r="S98" s="14"/>
      <c r="T98" s="14"/>
      <c r="U98" s="14"/>
      <c r="V98" s="14"/>
      <c r="W98" s="14"/>
      <c r="X98" s="14"/>
      <c r="Y98" s="14"/>
      <c r="Z98" s="13"/>
      <c r="AA98" s="13"/>
      <c r="AB98" s="13"/>
      <c r="AC98" s="13"/>
      <c r="AD98" s="13"/>
      <c r="AE98" s="14"/>
      <c r="AF98" s="14"/>
      <c r="AG98" s="14"/>
      <c r="AH98" s="14"/>
      <c r="AI98" s="14"/>
      <c r="AJ98" s="14"/>
      <c r="AK98" s="14"/>
    </row>
    <row r="99" spans="1:37">
      <c r="A99" s="23"/>
      <c r="B99" s="13"/>
      <c r="C99" s="13"/>
      <c r="D99" s="13"/>
      <c r="E99" s="13"/>
      <c r="F99" s="13"/>
      <c r="G99" s="14"/>
      <c r="H99" s="14"/>
      <c r="I99" s="14"/>
      <c r="J99" s="14"/>
      <c r="K99" s="14"/>
      <c r="L99" s="14"/>
      <c r="M99" s="14"/>
      <c r="N99" s="13"/>
      <c r="O99" s="13"/>
      <c r="P99" s="13"/>
      <c r="Q99" s="13"/>
      <c r="R99" s="13"/>
      <c r="S99" s="14"/>
      <c r="T99" s="14"/>
      <c r="U99" s="14"/>
      <c r="V99" s="14"/>
      <c r="W99" s="14"/>
      <c r="X99" s="14"/>
      <c r="Y99" s="14"/>
      <c r="Z99" s="13"/>
      <c r="AA99" s="13"/>
      <c r="AB99" s="13"/>
      <c r="AC99" s="13"/>
      <c r="AD99" s="13"/>
      <c r="AE99" s="14"/>
      <c r="AF99" s="14"/>
      <c r="AG99" s="14"/>
      <c r="AH99" s="14"/>
      <c r="AI99" s="14"/>
      <c r="AJ99" s="14"/>
      <c r="AK99" s="14"/>
    </row>
    <row r="100" spans="1:37">
      <c r="A100" s="23"/>
      <c r="B100" s="13"/>
      <c r="C100" s="13"/>
      <c r="D100" s="13"/>
      <c r="E100" s="13"/>
      <c r="F100" s="13"/>
      <c r="G100" s="14"/>
      <c r="H100" s="14"/>
      <c r="I100" s="14"/>
      <c r="J100" s="14"/>
      <c r="K100" s="14"/>
      <c r="L100" s="14"/>
      <c r="M100" s="14"/>
      <c r="N100" s="13"/>
      <c r="O100" s="13"/>
      <c r="P100" s="13"/>
      <c r="Q100" s="13"/>
      <c r="R100" s="13"/>
      <c r="S100" s="14"/>
      <c r="T100" s="14"/>
      <c r="U100" s="14"/>
      <c r="V100" s="14"/>
      <c r="W100" s="14"/>
      <c r="X100" s="14"/>
      <c r="Y100" s="14"/>
      <c r="Z100" s="13"/>
      <c r="AA100" s="13"/>
      <c r="AB100" s="13"/>
      <c r="AC100" s="13"/>
      <c r="AD100" s="13"/>
      <c r="AE100" s="14"/>
      <c r="AF100" s="14"/>
      <c r="AG100" s="14"/>
      <c r="AH100" s="14"/>
      <c r="AI100" s="14"/>
      <c r="AJ100" s="14"/>
      <c r="AK100" s="14"/>
    </row>
    <row r="101" spans="1:37">
      <c r="A101" s="23"/>
      <c r="B101" s="13"/>
      <c r="C101" s="13"/>
      <c r="D101" s="13"/>
      <c r="E101" s="13"/>
      <c r="F101" s="13"/>
      <c r="G101" s="14"/>
      <c r="H101" s="14"/>
      <c r="I101" s="14"/>
      <c r="J101" s="14"/>
      <c r="K101" s="14"/>
      <c r="L101" s="14"/>
      <c r="M101" s="14"/>
      <c r="N101" s="13"/>
      <c r="O101" s="13"/>
      <c r="P101" s="13"/>
      <c r="Q101" s="13"/>
      <c r="R101" s="13"/>
      <c r="S101" s="14"/>
      <c r="T101" s="14"/>
      <c r="U101" s="14"/>
      <c r="V101" s="14"/>
      <c r="W101" s="14"/>
      <c r="X101" s="14"/>
      <c r="Y101" s="14"/>
      <c r="Z101" s="13"/>
      <c r="AA101" s="13"/>
      <c r="AB101" s="13"/>
      <c r="AC101" s="13"/>
      <c r="AD101" s="13"/>
      <c r="AE101" s="14"/>
      <c r="AF101" s="14"/>
      <c r="AG101" s="14"/>
      <c r="AH101" s="14"/>
      <c r="AI101" s="14"/>
      <c r="AJ101" s="14"/>
      <c r="AK101" s="14"/>
    </row>
    <row r="102" spans="1:37">
      <c r="A102" s="23"/>
      <c r="B102" s="13"/>
      <c r="C102" s="13"/>
      <c r="D102" s="13"/>
      <c r="E102" s="13"/>
      <c r="F102" s="13"/>
      <c r="G102" s="14"/>
      <c r="H102" s="14"/>
      <c r="I102" s="14"/>
      <c r="J102" s="14"/>
      <c r="K102" s="14"/>
      <c r="L102" s="14"/>
      <c r="M102" s="14"/>
      <c r="N102" s="13"/>
      <c r="O102" s="13"/>
      <c r="P102" s="13"/>
      <c r="Q102" s="13"/>
      <c r="R102" s="13"/>
      <c r="S102" s="14"/>
      <c r="T102" s="14"/>
      <c r="U102" s="14"/>
      <c r="V102" s="14"/>
      <c r="W102" s="14"/>
      <c r="X102" s="14"/>
      <c r="Y102" s="14"/>
      <c r="Z102" s="13"/>
      <c r="AA102" s="13"/>
      <c r="AB102" s="13"/>
      <c r="AC102" s="13"/>
      <c r="AD102" s="13"/>
      <c r="AE102" s="14"/>
      <c r="AF102" s="14"/>
      <c r="AG102" s="14"/>
      <c r="AH102" s="14"/>
      <c r="AI102" s="14"/>
      <c r="AJ102" s="14"/>
      <c r="AK102" s="14"/>
    </row>
    <row r="103" spans="1:37">
      <c r="A103" s="23"/>
      <c r="B103" s="13"/>
      <c r="C103" s="13"/>
      <c r="D103" s="13"/>
      <c r="E103" s="13"/>
      <c r="F103" s="13"/>
      <c r="G103" s="14"/>
      <c r="H103" s="14"/>
      <c r="I103" s="14"/>
      <c r="J103" s="14"/>
      <c r="K103" s="14"/>
      <c r="L103" s="14"/>
      <c r="M103" s="14"/>
      <c r="N103" s="13"/>
      <c r="O103" s="13"/>
      <c r="P103" s="13"/>
      <c r="Q103" s="13"/>
      <c r="R103" s="13"/>
      <c r="S103" s="14"/>
      <c r="T103" s="14"/>
      <c r="U103" s="14"/>
      <c r="V103" s="14"/>
      <c r="W103" s="14"/>
      <c r="X103" s="14"/>
      <c r="Y103" s="14"/>
      <c r="Z103" s="13"/>
      <c r="AA103" s="13"/>
      <c r="AB103" s="13"/>
      <c r="AC103" s="13"/>
      <c r="AD103" s="13"/>
      <c r="AE103" s="14"/>
      <c r="AF103" s="14"/>
      <c r="AG103" s="14"/>
      <c r="AH103" s="14"/>
      <c r="AI103" s="14"/>
      <c r="AJ103" s="14"/>
      <c r="AK103" s="14"/>
    </row>
    <row r="104" spans="1:37">
      <c r="A104" s="23"/>
      <c r="B104" s="13"/>
      <c r="C104" s="13"/>
      <c r="D104" s="13"/>
      <c r="E104" s="13"/>
      <c r="F104" s="13"/>
      <c r="G104" s="14"/>
      <c r="H104" s="14"/>
      <c r="I104" s="14"/>
      <c r="J104" s="14"/>
      <c r="K104" s="14"/>
      <c r="L104" s="14"/>
      <c r="M104" s="14"/>
      <c r="N104" s="13"/>
      <c r="O104" s="13"/>
      <c r="P104" s="13"/>
      <c r="Q104" s="13"/>
      <c r="R104" s="13"/>
      <c r="S104" s="14"/>
      <c r="T104" s="14"/>
      <c r="U104" s="14"/>
      <c r="V104" s="14"/>
      <c r="W104" s="14"/>
      <c r="X104" s="14"/>
      <c r="Y104" s="14"/>
      <c r="Z104" s="13"/>
      <c r="AA104" s="13"/>
      <c r="AB104" s="13"/>
      <c r="AC104" s="13"/>
      <c r="AD104" s="13"/>
      <c r="AE104" s="14"/>
      <c r="AF104" s="14"/>
      <c r="AG104" s="14"/>
      <c r="AH104" s="14"/>
      <c r="AI104" s="14"/>
      <c r="AJ104" s="14"/>
      <c r="AK104" s="14"/>
    </row>
    <row r="105" spans="1:37">
      <c r="A105" s="23"/>
      <c r="B105" s="13"/>
      <c r="C105" s="13"/>
      <c r="D105" s="13"/>
      <c r="E105" s="13"/>
      <c r="F105" s="13"/>
      <c r="G105" s="14"/>
      <c r="H105" s="14"/>
      <c r="I105" s="14"/>
      <c r="J105" s="14"/>
      <c r="K105" s="14"/>
      <c r="L105" s="14"/>
      <c r="M105" s="14"/>
      <c r="N105" s="13"/>
      <c r="O105" s="13"/>
      <c r="P105" s="13"/>
      <c r="Q105" s="13"/>
      <c r="R105" s="13"/>
      <c r="S105" s="14"/>
      <c r="T105" s="14"/>
      <c r="U105" s="14"/>
      <c r="V105" s="14"/>
      <c r="W105" s="14"/>
      <c r="X105" s="14"/>
      <c r="Y105" s="14"/>
      <c r="Z105" s="13"/>
      <c r="AA105" s="13"/>
      <c r="AB105" s="13"/>
      <c r="AC105" s="13"/>
      <c r="AD105" s="13"/>
      <c r="AE105" s="14"/>
      <c r="AF105" s="14"/>
      <c r="AG105" s="14"/>
      <c r="AH105" s="14"/>
      <c r="AI105" s="14"/>
      <c r="AJ105" s="14"/>
      <c r="AK105" s="14"/>
    </row>
    <row r="106" spans="1:37">
      <c r="A106" s="23"/>
      <c r="B106" s="13"/>
      <c r="C106" s="13"/>
      <c r="D106" s="13"/>
      <c r="E106" s="13"/>
      <c r="F106" s="13"/>
      <c r="G106" s="14"/>
      <c r="H106" s="14"/>
      <c r="I106" s="14"/>
      <c r="J106" s="14"/>
      <c r="K106" s="14"/>
      <c r="L106" s="14"/>
      <c r="M106" s="14"/>
      <c r="N106" s="13"/>
      <c r="O106" s="13"/>
      <c r="P106" s="13"/>
      <c r="Q106" s="13"/>
      <c r="R106" s="13"/>
      <c r="S106" s="14"/>
      <c r="T106" s="14"/>
      <c r="U106" s="14"/>
      <c r="V106" s="14"/>
      <c r="W106" s="14"/>
      <c r="X106" s="14"/>
      <c r="Y106" s="14"/>
      <c r="Z106" s="13"/>
      <c r="AA106" s="13"/>
      <c r="AB106" s="13"/>
      <c r="AC106" s="13"/>
      <c r="AD106" s="13"/>
      <c r="AE106" s="14"/>
      <c r="AF106" s="14"/>
      <c r="AG106" s="14"/>
      <c r="AH106" s="14"/>
      <c r="AI106" s="14"/>
      <c r="AJ106" s="14"/>
      <c r="AK106" s="14"/>
    </row>
    <row r="107" spans="1:37">
      <c r="A107" s="23"/>
      <c r="B107" s="13"/>
      <c r="C107" s="13"/>
      <c r="D107" s="13"/>
      <c r="E107" s="13"/>
      <c r="F107" s="13"/>
      <c r="G107" s="14"/>
      <c r="H107" s="14"/>
      <c r="I107" s="14"/>
      <c r="J107" s="14"/>
      <c r="K107" s="14"/>
      <c r="L107" s="14"/>
      <c r="M107" s="14"/>
      <c r="N107" s="13"/>
      <c r="O107" s="13"/>
      <c r="P107" s="13"/>
      <c r="Q107" s="13"/>
      <c r="R107" s="13"/>
      <c r="S107" s="14"/>
      <c r="T107" s="14"/>
      <c r="U107" s="14"/>
      <c r="V107" s="14"/>
      <c r="W107" s="14"/>
      <c r="X107" s="14"/>
      <c r="Y107" s="14"/>
      <c r="Z107" s="13"/>
      <c r="AA107" s="13"/>
      <c r="AB107" s="13"/>
      <c r="AC107" s="13"/>
      <c r="AD107" s="13"/>
      <c r="AE107" s="14"/>
      <c r="AF107" s="14"/>
      <c r="AG107" s="14"/>
      <c r="AH107" s="14"/>
      <c r="AI107" s="14"/>
      <c r="AJ107" s="14"/>
      <c r="AK107" s="14"/>
    </row>
    <row r="108" spans="1:37">
      <c r="A108" s="23"/>
      <c r="B108" s="13"/>
      <c r="C108" s="13"/>
      <c r="D108" s="13"/>
      <c r="E108" s="13"/>
      <c r="F108" s="13"/>
      <c r="G108" s="14"/>
      <c r="H108" s="14"/>
      <c r="I108" s="14"/>
      <c r="J108" s="14"/>
      <c r="K108" s="14"/>
      <c r="L108" s="14"/>
      <c r="M108" s="14"/>
      <c r="N108" s="13"/>
      <c r="O108" s="13"/>
      <c r="P108" s="13"/>
      <c r="Q108" s="13"/>
      <c r="R108" s="13"/>
      <c r="S108" s="14"/>
      <c r="T108" s="14"/>
      <c r="U108" s="14"/>
      <c r="V108" s="14"/>
      <c r="W108" s="14"/>
      <c r="X108" s="14"/>
      <c r="Y108" s="14"/>
      <c r="Z108" s="13"/>
      <c r="AA108" s="13"/>
      <c r="AB108" s="13"/>
      <c r="AC108" s="13"/>
      <c r="AD108" s="13"/>
      <c r="AE108" s="14"/>
      <c r="AF108" s="14"/>
      <c r="AG108" s="14"/>
      <c r="AH108" s="14"/>
      <c r="AI108" s="14"/>
      <c r="AJ108" s="14"/>
      <c r="AK108" s="14"/>
    </row>
    <row r="109" spans="1:37">
      <c r="A109" s="23"/>
      <c r="B109" s="13"/>
      <c r="C109" s="13"/>
      <c r="D109" s="13"/>
      <c r="E109" s="13"/>
      <c r="F109" s="13"/>
      <c r="G109" s="14"/>
      <c r="H109" s="14"/>
      <c r="I109" s="14"/>
      <c r="J109" s="14"/>
      <c r="K109" s="14"/>
      <c r="L109" s="14"/>
      <c r="M109" s="14"/>
      <c r="N109" s="13"/>
      <c r="O109" s="13"/>
      <c r="P109" s="13"/>
      <c r="Q109" s="13"/>
      <c r="R109" s="13"/>
      <c r="S109" s="14"/>
      <c r="T109" s="14"/>
      <c r="U109" s="14"/>
      <c r="V109" s="14"/>
      <c r="W109" s="14"/>
      <c r="X109" s="14"/>
      <c r="Y109" s="14"/>
      <c r="Z109" s="13"/>
      <c r="AA109" s="13"/>
      <c r="AB109" s="13"/>
      <c r="AC109" s="13"/>
      <c r="AD109" s="13"/>
      <c r="AE109" s="14"/>
      <c r="AF109" s="14"/>
      <c r="AG109" s="14"/>
      <c r="AH109" s="14"/>
      <c r="AI109" s="14"/>
      <c r="AJ109" s="14"/>
      <c r="AK109" s="14"/>
    </row>
    <row r="110" spans="1:37">
      <c r="A110" s="23"/>
      <c r="B110" s="13"/>
      <c r="C110" s="13"/>
      <c r="D110" s="13"/>
      <c r="E110" s="13"/>
      <c r="F110" s="13"/>
      <c r="G110" s="14"/>
      <c r="H110" s="14"/>
      <c r="I110" s="14"/>
      <c r="J110" s="14"/>
      <c r="K110" s="14"/>
      <c r="L110" s="14"/>
      <c r="M110" s="14"/>
      <c r="N110" s="13"/>
      <c r="O110" s="13"/>
      <c r="P110" s="13"/>
      <c r="Q110" s="13"/>
      <c r="R110" s="13"/>
      <c r="S110" s="14"/>
      <c r="T110" s="14"/>
      <c r="U110" s="14"/>
      <c r="V110" s="14"/>
      <c r="W110" s="14"/>
      <c r="X110" s="14"/>
      <c r="Y110" s="14"/>
      <c r="Z110" s="13"/>
      <c r="AA110" s="13"/>
      <c r="AB110" s="13"/>
      <c r="AC110" s="13"/>
      <c r="AD110" s="13"/>
      <c r="AE110" s="14"/>
      <c r="AF110" s="14"/>
      <c r="AG110" s="14"/>
      <c r="AH110" s="14"/>
      <c r="AI110" s="14"/>
      <c r="AJ110" s="14"/>
      <c r="AK110" s="14"/>
    </row>
    <row r="111" spans="1:37">
      <c r="A111" s="23"/>
      <c r="B111" s="13"/>
      <c r="C111" s="13"/>
      <c r="D111" s="13"/>
      <c r="E111" s="13"/>
      <c r="F111" s="13"/>
      <c r="G111" s="14"/>
      <c r="H111" s="14"/>
      <c r="I111" s="14"/>
      <c r="J111" s="14"/>
      <c r="K111" s="14"/>
      <c r="L111" s="14"/>
      <c r="M111" s="14"/>
      <c r="N111" s="13"/>
      <c r="O111" s="13"/>
      <c r="P111" s="13"/>
      <c r="Q111" s="13"/>
      <c r="R111" s="13"/>
      <c r="S111" s="14"/>
      <c r="T111" s="14"/>
      <c r="U111" s="14"/>
      <c r="V111" s="14"/>
      <c r="W111" s="14"/>
      <c r="X111" s="14"/>
      <c r="Y111" s="14"/>
      <c r="Z111" s="13"/>
      <c r="AA111" s="13"/>
      <c r="AB111" s="13"/>
      <c r="AC111" s="13"/>
      <c r="AD111" s="13"/>
      <c r="AE111" s="14"/>
      <c r="AF111" s="14"/>
      <c r="AG111" s="14"/>
      <c r="AH111" s="14"/>
      <c r="AI111" s="14"/>
      <c r="AJ111" s="14"/>
      <c r="AK111" s="14"/>
    </row>
    <row r="112" spans="1:37">
      <c r="A112" s="23"/>
      <c r="B112" s="13"/>
      <c r="C112" s="13"/>
      <c r="D112" s="13"/>
      <c r="E112" s="13"/>
      <c r="F112" s="13"/>
      <c r="G112" s="14"/>
      <c r="H112" s="14"/>
      <c r="I112" s="14"/>
      <c r="J112" s="14"/>
      <c r="K112" s="14"/>
      <c r="L112" s="14"/>
      <c r="M112" s="14"/>
      <c r="N112" s="13"/>
      <c r="O112" s="13"/>
      <c r="P112" s="13"/>
      <c r="Q112" s="13"/>
      <c r="R112" s="13"/>
      <c r="S112" s="14"/>
      <c r="T112" s="14"/>
      <c r="U112" s="14"/>
      <c r="V112" s="14"/>
      <c r="W112" s="14"/>
      <c r="X112" s="14"/>
      <c r="Y112" s="14"/>
      <c r="Z112" s="13"/>
      <c r="AA112" s="13"/>
      <c r="AB112" s="13"/>
      <c r="AC112" s="13"/>
      <c r="AD112" s="13"/>
      <c r="AE112" s="14"/>
      <c r="AF112" s="14"/>
      <c r="AG112" s="14"/>
      <c r="AH112" s="14"/>
      <c r="AI112" s="14"/>
      <c r="AJ112" s="14"/>
      <c r="AK112" s="14"/>
    </row>
    <row r="113" spans="1:37">
      <c r="A113" s="23"/>
      <c r="B113" s="13"/>
      <c r="C113" s="13"/>
      <c r="D113" s="13"/>
      <c r="E113" s="13"/>
      <c r="F113" s="13"/>
      <c r="G113" s="14"/>
      <c r="H113" s="14"/>
      <c r="I113" s="14"/>
      <c r="J113" s="14"/>
      <c r="K113" s="14"/>
      <c r="L113" s="14"/>
      <c r="M113" s="14"/>
      <c r="N113" s="13"/>
      <c r="O113" s="13"/>
      <c r="P113" s="13"/>
      <c r="Q113" s="13"/>
      <c r="R113" s="13"/>
      <c r="S113" s="14"/>
      <c r="T113" s="14"/>
      <c r="U113" s="14"/>
      <c r="V113" s="14"/>
      <c r="W113" s="14"/>
      <c r="X113" s="14"/>
      <c r="Y113" s="14"/>
      <c r="Z113" s="13"/>
      <c r="AA113" s="13"/>
      <c r="AB113" s="13"/>
      <c r="AC113" s="13"/>
      <c r="AD113" s="13"/>
      <c r="AE113" s="14"/>
      <c r="AF113" s="14"/>
      <c r="AG113" s="14"/>
      <c r="AH113" s="14"/>
      <c r="AI113" s="14"/>
      <c r="AJ113" s="14"/>
      <c r="AK113" s="14"/>
    </row>
    <row r="114" spans="1:37">
      <c r="A114" s="23"/>
      <c r="B114" s="13"/>
      <c r="C114" s="13"/>
      <c r="D114" s="13"/>
      <c r="E114" s="13"/>
      <c r="F114" s="13"/>
      <c r="G114" s="14"/>
      <c r="H114" s="14"/>
      <c r="I114" s="14"/>
      <c r="J114" s="14"/>
      <c r="K114" s="14"/>
      <c r="L114" s="14"/>
      <c r="M114" s="14"/>
      <c r="N114" s="13"/>
      <c r="O114" s="13"/>
      <c r="P114" s="13"/>
      <c r="Q114" s="13"/>
      <c r="R114" s="13"/>
      <c r="S114" s="14"/>
      <c r="T114" s="14"/>
      <c r="U114" s="14"/>
      <c r="V114" s="14"/>
      <c r="W114" s="14"/>
      <c r="X114" s="14"/>
      <c r="Y114" s="14"/>
      <c r="Z114" s="13"/>
      <c r="AA114" s="13"/>
      <c r="AB114" s="13"/>
      <c r="AC114" s="13"/>
      <c r="AD114" s="13"/>
      <c r="AE114" s="14"/>
      <c r="AF114" s="14"/>
      <c r="AG114" s="14"/>
      <c r="AH114" s="14"/>
      <c r="AI114" s="14"/>
      <c r="AJ114" s="14"/>
      <c r="AK114" s="14"/>
    </row>
    <row r="115" spans="1:37">
      <c r="A115" s="23"/>
      <c r="B115" s="13"/>
      <c r="C115" s="13"/>
      <c r="D115" s="13"/>
      <c r="E115" s="13"/>
      <c r="F115" s="13"/>
      <c r="G115" s="14"/>
      <c r="H115" s="14"/>
      <c r="I115" s="14"/>
      <c r="J115" s="14"/>
      <c r="K115" s="14"/>
      <c r="L115" s="14"/>
      <c r="M115" s="14"/>
      <c r="N115" s="13"/>
      <c r="O115" s="13"/>
      <c r="P115" s="13"/>
      <c r="Q115" s="13"/>
      <c r="R115" s="13"/>
      <c r="S115" s="14"/>
      <c r="T115" s="14"/>
      <c r="U115" s="14"/>
      <c r="V115" s="14"/>
      <c r="W115" s="14"/>
      <c r="X115" s="14"/>
      <c r="Y115" s="14"/>
      <c r="Z115" s="13"/>
      <c r="AA115" s="13"/>
      <c r="AB115" s="13"/>
      <c r="AC115" s="13"/>
      <c r="AD115" s="13"/>
      <c r="AE115" s="14"/>
      <c r="AF115" s="14"/>
      <c r="AG115" s="14"/>
      <c r="AH115" s="14"/>
      <c r="AI115" s="14"/>
      <c r="AJ115" s="14"/>
      <c r="AK115" s="14"/>
    </row>
    <row r="116" spans="1:37">
      <c r="A116" s="23"/>
      <c r="B116" s="13"/>
      <c r="C116" s="13"/>
      <c r="D116" s="13"/>
      <c r="E116" s="13"/>
      <c r="F116" s="13"/>
      <c r="G116" s="14"/>
      <c r="H116" s="14"/>
      <c r="I116" s="14"/>
      <c r="J116" s="14"/>
      <c r="K116" s="14"/>
      <c r="L116" s="14"/>
      <c r="M116" s="14"/>
      <c r="N116" s="13"/>
      <c r="O116" s="13"/>
      <c r="P116" s="13"/>
      <c r="Q116" s="13"/>
      <c r="R116" s="13"/>
      <c r="S116" s="14"/>
      <c r="T116" s="14"/>
      <c r="U116" s="14"/>
      <c r="V116" s="14"/>
      <c r="W116" s="14"/>
      <c r="X116" s="14"/>
      <c r="Y116" s="14"/>
      <c r="Z116" s="13"/>
      <c r="AA116" s="13"/>
      <c r="AB116" s="13"/>
      <c r="AC116" s="13"/>
      <c r="AD116" s="13"/>
      <c r="AE116" s="14"/>
      <c r="AF116" s="14"/>
      <c r="AG116" s="14"/>
      <c r="AH116" s="14"/>
      <c r="AI116" s="14"/>
      <c r="AJ116" s="14"/>
      <c r="AK116" s="14"/>
    </row>
    <row r="117" spans="1:37">
      <c r="A117" s="23"/>
      <c r="B117" s="13"/>
      <c r="C117" s="13"/>
      <c r="D117" s="13"/>
      <c r="E117" s="13"/>
      <c r="F117" s="13"/>
      <c r="G117" s="14"/>
      <c r="H117" s="14"/>
      <c r="I117" s="14"/>
      <c r="J117" s="14"/>
      <c r="K117" s="14"/>
      <c r="L117" s="14"/>
      <c r="M117" s="14"/>
      <c r="N117" s="13"/>
      <c r="O117" s="13"/>
      <c r="P117" s="13"/>
      <c r="Q117" s="13"/>
      <c r="R117" s="13"/>
      <c r="S117" s="14"/>
      <c r="T117" s="14"/>
      <c r="U117" s="14"/>
      <c r="V117" s="14"/>
      <c r="W117" s="14"/>
      <c r="X117" s="14"/>
      <c r="Y117" s="14"/>
      <c r="Z117" s="13"/>
      <c r="AA117" s="13"/>
      <c r="AB117" s="13"/>
      <c r="AC117" s="13"/>
      <c r="AD117" s="13"/>
      <c r="AE117" s="14"/>
      <c r="AF117" s="14"/>
      <c r="AG117" s="14"/>
      <c r="AH117" s="14"/>
      <c r="AI117" s="14"/>
      <c r="AJ117" s="14"/>
      <c r="AK117" s="14"/>
    </row>
    <row r="118" spans="1:37">
      <c r="A118" s="23"/>
      <c r="B118" s="13"/>
      <c r="C118" s="13"/>
      <c r="D118" s="13"/>
      <c r="E118" s="13"/>
      <c r="F118" s="13"/>
      <c r="G118" s="14"/>
      <c r="H118" s="14"/>
      <c r="I118" s="14"/>
      <c r="J118" s="14"/>
      <c r="K118" s="14"/>
      <c r="L118" s="14"/>
      <c r="M118" s="14"/>
      <c r="N118" s="13"/>
      <c r="O118" s="13"/>
      <c r="P118" s="13"/>
      <c r="Q118" s="13"/>
      <c r="R118" s="13"/>
      <c r="S118" s="14"/>
      <c r="T118" s="14"/>
      <c r="U118" s="14"/>
      <c r="V118" s="14"/>
      <c r="W118" s="14"/>
      <c r="X118" s="14"/>
      <c r="Y118" s="14"/>
      <c r="Z118" s="13"/>
      <c r="AA118" s="13"/>
      <c r="AB118" s="13"/>
      <c r="AC118" s="13"/>
      <c r="AD118" s="13"/>
      <c r="AE118" s="14"/>
      <c r="AF118" s="14"/>
      <c r="AG118" s="14"/>
      <c r="AH118" s="14"/>
      <c r="AI118" s="14"/>
      <c r="AJ118" s="14"/>
      <c r="AK118" s="14"/>
    </row>
    <row r="119" spans="1:37">
      <c r="A119" s="23"/>
      <c r="B119" s="13"/>
      <c r="C119" s="13"/>
      <c r="D119" s="13"/>
      <c r="E119" s="13"/>
      <c r="F119" s="13"/>
      <c r="G119" s="14"/>
      <c r="H119" s="14"/>
      <c r="I119" s="14"/>
      <c r="J119" s="14"/>
      <c r="K119" s="14"/>
      <c r="L119" s="14"/>
      <c r="M119" s="14"/>
      <c r="N119" s="13"/>
      <c r="O119" s="13"/>
      <c r="P119" s="13"/>
      <c r="Q119" s="13"/>
      <c r="R119" s="13"/>
      <c r="S119" s="14"/>
      <c r="T119" s="14"/>
      <c r="U119" s="14"/>
      <c r="V119" s="14"/>
      <c r="W119" s="14"/>
      <c r="X119" s="14"/>
      <c r="Y119" s="14"/>
      <c r="Z119" s="13"/>
      <c r="AA119" s="13"/>
      <c r="AB119" s="13"/>
      <c r="AC119" s="13"/>
      <c r="AD119" s="13"/>
      <c r="AE119" s="14"/>
      <c r="AF119" s="14"/>
      <c r="AG119" s="14"/>
      <c r="AH119" s="14"/>
      <c r="AI119" s="14"/>
      <c r="AJ119" s="14"/>
      <c r="AK119" s="14"/>
    </row>
    <row r="120" spans="1:37">
      <c r="A120" s="23"/>
      <c r="B120" s="13"/>
      <c r="C120" s="13"/>
      <c r="D120" s="13"/>
      <c r="E120" s="13"/>
      <c r="F120" s="13"/>
      <c r="G120" s="14"/>
      <c r="H120" s="14"/>
      <c r="I120" s="14"/>
      <c r="J120" s="14"/>
      <c r="K120" s="14"/>
      <c r="L120" s="14"/>
      <c r="M120" s="14"/>
      <c r="N120" s="13"/>
      <c r="O120" s="13"/>
      <c r="P120" s="13"/>
      <c r="Q120" s="13"/>
      <c r="R120" s="13"/>
      <c r="S120" s="14"/>
      <c r="T120" s="14"/>
      <c r="U120" s="14"/>
      <c r="V120" s="14"/>
      <c r="W120" s="14"/>
      <c r="X120" s="14"/>
      <c r="Y120" s="14"/>
      <c r="Z120" s="13"/>
      <c r="AA120" s="13"/>
      <c r="AB120" s="13"/>
      <c r="AC120" s="13"/>
      <c r="AD120" s="13"/>
      <c r="AE120" s="14"/>
      <c r="AF120" s="14"/>
      <c r="AG120" s="14"/>
      <c r="AH120" s="14"/>
      <c r="AI120" s="14"/>
      <c r="AJ120" s="14"/>
      <c r="AK120" s="14"/>
    </row>
    <row r="121" spans="1:37">
      <c r="A121" s="23"/>
      <c r="B121" s="13"/>
      <c r="C121" s="13"/>
      <c r="D121" s="13"/>
      <c r="E121" s="13"/>
      <c r="F121" s="13"/>
      <c r="G121" s="14"/>
      <c r="H121" s="14"/>
      <c r="I121" s="14"/>
      <c r="J121" s="14"/>
      <c r="K121" s="14"/>
      <c r="L121" s="14"/>
      <c r="M121" s="14"/>
      <c r="N121" s="13"/>
      <c r="O121" s="13"/>
      <c r="P121" s="13"/>
      <c r="Q121" s="13"/>
      <c r="R121" s="13"/>
      <c r="S121" s="14"/>
      <c r="T121" s="14"/>
      <c r="U121" s="14"/>
      <c r="V121" s="14"/>
      <c r="W121" s="14"/>
      <c r="X121" s="14"/>
      <c r="Y121" s="14"/>
      <c r="Z121" s="13"/>
      <c r="AA121" s="13"/>
      <c r="AB121" s="13"/>
      <c r="AC121" s="13"/>
      <c r="AD121" s="13"/>
      <c r="AE121" s="14"/>
      <c r="AF121" s="14"/>
      <c r="AG121" s="14"/>
      <c r="AH121" s="14"/>
      <c r="AI121" s="14"/>
      <c r="AJ121" s="14"/>
      <c r="AK121" s="14"/>
    </row>
    <row r="122" spans="1:37">
      <c r="A122" s="23"/>
      <c r="B122" s="13"/>
      <c r="C122" s="13"/>
      <c r="D122" s="13"/>
      <c r="E122" s="13"/>
      <c r="F122" s="13"/>
      <c r="G122" s="14"/>
      <c r="H122" s="14"/>
      <c r="I122" s="14"/>
      <c r="J122" s="14"/>
      <c r="K122" s="14"/>
      <c r="L122" s="14"/>
      <c r="M122" s="14"/>
      <c r="N122" s="13"/>
      <c r="O122" s="13"/>
      <c r="P122" s="13"/>
      <c r="Q122" s="13"/>
      <c r="R122" s="13"/>
      <c r="S122" s="14"/>
      <c r="T122" s="14"/>
      <c r="U122" s="14"/>
      <c r="V122" s="14"/>
      <c r="W122" s="14"/>
      <c r="X122" s="14"/>
      <c r="Y122" s="14"/>
      <c r="Z122" s="13"/>
      <c r="AA122" s="13"/>
      <c r="AB122" s="13"/>
      <c r="AC122" s="13"/>
      <c r="AD122" s="13"/>
      <c r="AE122" s="14"/>
      <c r="AF122" s="14"/>
      <c r="AG122" s="14"/>
      <c r="AH122" s="14"/>
      <c r="AI122" s="14"/>
      <c r="AJ122" s="14"/>
      <c r="AK122" s="14"/>
    </row>
    <row r="123" spans="1:37">
      <c r="A123" s="23"/>
      <c r="B123" s="13"/>
      <c r="C123" s="13"/>
      <c r="D123" s="13"/>
      <c r="E123" s="13"/>
      <c r="F123" s="13"/>
      <c r="G123" s="14"/>
      <c r="H123" s="14"/>
      <c r="I123" s="14"/>
      <c r="J123" s="14"/>
      <c r="K123" s="14"/>
      <c r="L123" s="14"/>
      <c r="M123" s="14"/>
      <c r="N123" s="13"/>
      <c r="O123" s="13"/>
      <c r="P123" s="13"/>
      <c r="Q123" s="13"/>
      <c r="R123" s="13"/>
      <c r="S123" s="14"/>
      <c r="T123" s="14"/>
      <c r="U123" s="14"/>
      <c r="V123" s="14"/>
      <c r="W123" s="14"/>
      <c r="X123" s="14"/>
      <c r="Y123" s="14"/>
      <c r="Z123" s="13"/>
      <c r="AA123" s="13"/>
      <c r="AB123" s="13"/>
      <c r="AC123" s="13"/>
      <c r="AD123" s="13"/>
      <c r="AE123" s="14"/>
      <c r="AF123" s="14"/>
      <c r="AG123" s="14"/>
      <c r="AH123" s="14"/>
      <c r="AI123" s="14"/>
      <c r="AJ123" s="14"/>
      <c r="AK123" s="14"/>
    </row>
    <row r="124" spans="1:37">
      <c r="A124" s="23"/>
      <c r="B124" s="13"/>
      <c r="C124" s="13"/>
      <c r="D124" s="13"/>
      <c r="E124" s="13"/>
      <c r="F124" s="13"/>
      <c r="G124" s="14"/>
      <c r="H124" s="14"/>
      <c r="I124" s="14"/>
      <c r="J124" s="14"/>
      <c r="K124" s="14"/>
      <c r="L124" s="14"/>
      <c r="M124" s="14"/>
      <c r="N124" s="13"/>
      <c r="O124" s="13"/>
      <c r="P124" s="13"/>
      <c r="Q124" s="13"/>
      <c r="R124" s="13"/>
      <c r="S124" s="14"/>
      <c r="T124" s="14"/>
      <c r="U124" s="14"/>
      <c r="V124" s="14"/>
      <c r="W124" s="14"/>
      <c r="X124" s="14"/>
      <c r="Y124" s="14"/>
      <c r="Z124" s="13"/>
      <c r="AA124" s="13"/>
      <c r="AB124" s="13"/>
      <c r="AC124" s="13"/>
      <c r="AD124" s="13"/>
      <c r="AE124" s="14"/>
      <c r="AF124" s="14"/>
      <c r="AG124" s="14"/>
      <c r="AH124" s="14"/>
      <c r="AI124" s="14"/>
      <c r="AJ124" s="14"/>
      <c r="AK124" s="14"/>
    </row>
    <row r="125" spans="1:37">
      <c r="A125" s="23"/>
      <c r="B125" s="13"/>
      <c r="C125" s="13"/>
      <c r="D125" s="13"/>
      <c r="E125" s="13"/>
      <c r="F125" s="13"/>
      <c r="G125" s="14"/>
      <c r="H125" s="14"/>
      <c r="I125" s="14"/>
      <c r="J125" s="14"/>
      <c r="K125" s="14"/>
      <c r="L125" s="14"/>
      <c r="M125" s="14"/>
      <c r="N125" s="13"/>
      <c r="O125" s="13"/>
      <c r="P125" s="13"/>
      <c r="Q125" s="13"/>
      <c r="R125" s="13"/>
      <c r="S125" s="14"/>
      <c r="T125" s="14"/>
      <c r="U125" s="14"/>
      <c r="V125" s="14"/>
      <c r="W125" s="14"/>
      <c r="X125" s="14"/>
      <c r="Y125" s="14"/>
      <c r="Z125" s="13"/>
      <c r="AA125" s="13"/>
      <c r="AB125" s="13"/>
      <c r="AC125" s="13"/>
      <c r="AD125" s="13"/>
      <c r="AE125" s="14"/>
      <c r="AF125" s="14"/>
      <c r="AG125" s="14"/>
      <c r="AH125" s="14"/>
      <c r="AI125" s="14"/>
      <c r="AJ125" s="14"/>
      <c r="AK125" s="14"/>
    </row>
    <row r="126" spans="1:37">
      <c r="A126" s="23"/>
      <c r="B126" s="13"/>
      <c r="C126" s="13"/>
      <c r="D126" s="13"/>
      <c r="E126" s="13"/>
      <c r="F126" s="13"/>
      <c r="G126" s="14"/>
      <c r="H126" s="14"/>
      <c r="I126" s="14"/>
      <c r="J126" s="14"/>
      <c r="K126" s="14"/>
      <c r="L126" s="14"/>
      <c r="M126" s="14"/>
      <c r="N126" s="13"/>
      <c r="O126" s="13"/>
      <c r="P126" s="13"/>
      <c r="Q126" s="13"/>
      <c r="R126" s="13"/>
      <c r="S126" s="14"/>
      <c r="T126" s="14"/>
      <c r="U126" s="14"/>
      <c r="V126" s="14"/>
      <c r="W126" s="14"/>
      <c r="X126" s="14"/>
      <c r="Y126" s="14"/>
      <c r="Z126" s="13"/>
      <c r="AA126" s="13"/>
      <c r="AB126" s="13"/>
      <c r="AC126" s="13"/>
      <c r="AD126" s="13"/>
      <c r="AE126" s="14"/>
      <c r="AF126" s="14"/>
      <c r="AG126" s="14"/>
      <c r="AH126" s="14"/>
      <c r="AI126" s="14"/>
      <c r="AJ126" s="14"/>
      <c r="AK126" s="14"/>
    </row>
    <row r="127" spans="1:37">
      <c r="A127" s="23"/>
      <c r="B127" s="13"/>
      <c r="C127" s="13"/>
      <c r="D127" s="13"/>
      <c r="E127" s="13"/>
      <c r="F127" s="13"/>
      <c r="G127" s="14"/>
      <c r="H127" s="14"/>
      <c r="I127" s="14"/>
      <c r="J127" s="14"/>
      <c r="K127" s="14"/>
      <c r="L127" s="14"/>
      <c r="M127" s="14"/>
      <c r="N127" s="13"/>
      <c r="O127" s="13"/>
      <c r="P127" s="13"/>
      <c r="Q127" s="13"/>
      <c r="R127" s="13"/>
      <c r="S127" s="14"/>
      <c r="T127" s="14"/>
      <c r="U127" s="14"/>
      <c r="V127" s="14"/>
      <c r="W127" s="14"/>
      <c r="X127" s="14"/>
      <c r="Y127" s="14"/>
      <c r="Z127" s="13"/>
      <c r="AA127" s="13"/>
      <c r="AB127" s="13"/>
      <c r="AC127" s="13"/>
      <c r="AD127" s="13"/>
      <c r="AE127" s="14"/>
      <c r="AF127" s="14"/>
      <c r="AG127" s="14"/>
      <c r="AH127" s="14"/>
      <c r="AI127" s="14"/>
      <c r="AJ127" s="14"/>
      <c r="AK127" s="14"/>
    </row>
    <row r="128" spans="1:37">
      <c r="A128" s="23"/>
      <c r="B128" s="13"/>
      <c r="C128" s="13"/>
      <c r="D128" s="13"/>
      <c r="E128" s="13"/>
      <c r="F128" s="13"/>
      <c r="G128" s="14"/>
      <c r="H128" s="14"/>
      <c r="I128" s="14"/>
      <c r="J128" s="14"/>
      <c r="K128" s="14"/>
      <c r="L128" s="14"/>
      <c r="M128" s="14"/>
      <c r="N128" s="13"/>
      <c r="O128" s="13"/>
      <c r="P128" s="13"/>
      <c r="Q128" s="13"/>
      <c r="R128" s="13"/>
      <c r="S128" s="14"/>
      <c r="T128" s="14"/>
      <c r="U128" s="14"/>
      <c r="V128" s="14"/>
      <c r="W128" s="14"/>
      <c r="X128" s="14"/>
      <c r="Y128" s="14"/>
      <c r="Z128" s="13"/>
      <c r="AA128" s="13"/>
      <c r="AB128" s="13"/>
      <c r="AC128" s="13"/>
      <c r="AD128" s="13"/>
      <c r="AE128" s="14"/>
      <c r="AF128" s="14"/>
      <c r="AG128" s="14"/>
      <c r="AH128" s="14"/>
      <c r="AI128" s="14"/>
      <c r="AJ128" s="14"/>
      <c r="AK128" s="14"/>
    </row>
    <row r="129" spans="1:37">
      <c r="A129" s="23"/>
      <c r="B129" s="13"/>
      <c r="C129" s="13"/>
      <c r="D129" s="13"/>
      <c r="E129" s="13"/>
      <c r="F129" s="13"/>
      <c r="G129" s="14"/>
      <c r="H129" s="14"/>
      <c r="I129" s="14"/>
      <c r="J129" s="14"/>
      <c r="K129" s="14"/>
      <c r="L129" s="14"/>
      <c r="M129" s="14"/>
      <c r="N129" s="13"/>
      <c r="O129" s="13"/>
      <c r="P129" s="13"/>
      <c r="Q129" s="13"/>
      <c r="R129" s="13"/>
      <c r="S129" s="14"/>
      <c r="T129" s="14"/>
      <c r="U129" s="14"/>
      <c r="V129" s="14"/>
      <c r="W129" s="14"/>
      <c r="X129" s="14"/>
      <c r="Y129" s="14"/>
      <c r="Z129" s="13"/>
      <c r="AA129" s="13"/>
      <c r="AB129" s="13"/>
      <c r="AC129" s="13"/>
      <c r="AD129" s="13"/>
      <c r="AE129" s="14"/>
      <c r="AF129" s="14"/>
      <c r="AG129" s="14"/>
      <c r="AH129" s="14"/>
      <c r="AI129" s="14"/>
      <c r="AJ129" s="14"/>
      <c r="AK129" s="14"/>
    </row>
    <row r="130" spans="1:37">
      <c r="A130" s="23"/>
      <c r="B130" s="13"/>
      <c r="C130" s="13"/>
      <c r="D130" s="13"/>
      <c r="E130" s="13"/>
      <c r="F130" s="13"/>
      <c r="G130" s="14"/>
      <c r="H130" s="14"/>
      <c r="I130" s="14"/>
      <c r="J130" s="14"/>
      <c r="K130" s="14"/>
      <c r="L130" s="14"/>
      <c r="M130" s="14"/>
      <c r="N130" s="13"/>
      <c r="O130" s="13"/>
      <c r="P130" s="13"/>
      <c r="Q130" s="13"/>
      <c r="R130" s="13"/>
      <c r="S130" s="14"/>
      <c r="T130" s="14"/>
      <c r="U130" s="14"/>
      <c r="V130" s="14"/>
      <c r="W130" s="14"/>
      <c r="X130" s="14"/>
      <c r="Y130" s="14"/>
      <c r="Z130" s="13"/>
      <c r="AA130" s="13"/>
      <c r="AB130" s="13"/>
      <c r="AC130" s="13"/>
      <c r="AD130" s="13"/>
      <c r="AE130" s="14"/>
      <c r="AF130" s="14"/>
      <c r="AG130" s="14"/>
      <c r="AH130" s="14"/>
      <c r="AI130" s="14"/>
      <c r="AJ130" s="14"/>
      <c r="AK130" s="14"/>
    </row>
    <row r="131" spans="1:37">
      <c r="A131" s="23"/>
      <c r="B131" s="13"/>
      <c r="C131" s="13"/>
      <c r="D131" s="13"/>
      <c r="E131" s="13"/>
      <c r="F131" s="13"/>
      <c r="G131" s="14"/>
      <c r="H131" s="14"/>
      <c r="I131" s="14"/>
      <c r="J131" s="14"/>
      <c r="K131" s="14"/>
      <c r="L131" s="14"/>
      <c r="M131" s="14"/>
      <c r="N131" s="13"/>
      <c r="O131" s="13"/>
      <c r="P131" s="13"/>
      <c r="Q131" s="13"/>
      <c r="R131" s="13"/>
      <c r="S131" s="14"/>
      <c r="T131" s="14"/>
      <c r="U131" s="14"/>
      <c r="V131" s="14"/>
      <c r="W131" s="14"/>
      <c r="X131" s="14"/>
      <c r="Y131" s="14"/>
      <c r="Z131" s="13"/>
      <c r="AA131" s="13"/>
      <c r="AB131" s="13"/>
      <c r="AC131" s="13"/>
      <c r="AD131" s="13"/>
      <c r="AE131" s="14"/>
      <c r="AF131" s="14"/>
      <c r="AG131" s="14"/>
      <c r="AH131" s="14"/>
      <c r="AI131" s="14"/>
      <c r="AJ131" s="14"/>
      <c r="AK131" s="14"/>
    </row>
    <row r="132" spans="1:37">
      <c r="A132" s="23"/>
      <c r="B132" s="13"/>
      <c r="C132" s="13"/>
      <c r="D132" s="13"/>
      <c r="E132" s="13"/>
      <c r="F132" s="13"/>
      <c r="G132" s="14"/>
      <c r="H132" s="14"/>
      <c r="I132" s="14"/>
      <c r="J132" s="14"/>
      <c r="K132" s="14"/>
      <c r="L132" s="14"/>
      <c r="M132" s="14"/>
      <c r="N132" s="13"/>
      <c r="O132" s="13"/>
      <c r="P132" s="13"/>
      <c r="Q132" s="13"/>
      <c r="R132" s="13"/>
      <c r="S132" s="14"/>
      <c r="T132" s="14"/>
      <c r="U132" s="14"/>
      <c r="V132" s="14"/>
      <c r="W132" s="14"/>
      <c r="X132" s="14"/>
      <c r="Y132" s="14"/>
      <c r="Z132" s="13"/>
      <c r="AA132" s="13"/>
      <c r="AB132" s="13"/>
      <c r="AC132" s="13"/>
      <c r="AD132" s="13"/>
      <c r="AE132" s="14"/>
      <c r="AF132" s="14"/>
      <c r="AG132" s="14"/>
      <c r="AH132" s="14"/>
      <c r="AI132" s="14"/>
      <c r="AJ132" s="14"/>
      <c r="AK132" s="14"/>
    </row>
    <row r="133" spans="1:37">
      <c r="A133" s="23"/>
      <c r="B133" s="13"/>
      <c r="C133" s="13"/>
      <c r="D133" s="13"/>
      <c r="E133" s="13"/>
      <c r="F133" s="13"/>
      <c r="G133" s="14"/>
      <c r="H133" s="14"/>
      <c r="I133" s="14"/>
      <c r="J133" s="14"/>
      <c r="K133" s="14"/>
      <c r="L133" s="14"/>
      <c r="M133" s="14"/>
      <c r="N133" s="13"/>
      <c r="O133" s="13"/>
      <c r="P133" s="13"/>
      <c r="Q133" s="13"/>
      <c r="R133" s="13"/>
      <c r="S133" s="14"/>
      <c r="T133" s="14"/>
      <c r="U133" s="14"/>
      <c r="V133" s="14"/>
      <c r="W133" s="14"/>
      <c r="X133" s="14"/>
      <c r="Y133" s="14"/>
      <c r="Z133" s="13"/>
      <c r="AA133" s="13"/>
      <c r="AB133" s="13"/>
      <c r="AC133" s="13"/>
      <c r="AD133" s="13"/>
      <c r="AE133" s="14"/>
      <c r="AF133" s="14"/>
      <c r="AG133" s="14"/>
      <c r="AH133" s="14"/>
      <c r="AI133" s="14"/>
      <c r="AJ133" s="14"/>
      <c r="AK133" s="14"/>
    </row>
    <row r="134" spans="1:37">
      <c r="A134" s="23"/>
      <c r="B134" s="13"/>
      <c r="C134" s="13"/>
      <c r="D134" s="13"/>
      <c r="E134" s="13"/>
      <c r="F134" s="13"/>
      <c r="G134" s="14"/>
      <c r="H134" s="14"/>
      <c r="I134" s="14"/>
      <c r="J134" s="14"/>
      <c r="K134" s="14"/>
      <c r="L134" s="14"/>
      <c r="M134" s="14"/>
      <c r="N134" s="13"/>
      <c r="O134" s="13"/>
      <c r="P134" s="13"/>
      <c r="Q134" s="13"/>
      <c r="R134" s="13"/>
      <c r="S134" s="14"/>
      <c r="T134" s="14"/>
      <c r="U134" s="14"/>
      <c r="V134" s="14"/>
      <c r="W134" s="14"/>
      <c r="X134" s="14"/>
      <c r="Y134" s="14"/>
      <c r="Z134" s="13"/>
      <c r="AA134" s="13"/>
      <c r="AB134" s="13"/>
      <c r="AC134" s="13"/>
      <c r="AD134" s="13"/>
      <c r="AE134" s="14"/>
      <c r="AF134" s="14"/>
      <c r="AG134" s="14"/>
      <c r="AH134" s="14"/>
      <c r="AI134" s="14"/>
      <c r="AJ134" s="14"/>
      <c r="AK134" s="14"/>
    </row>
    <row r="135" spans="1:37">
      <c r="A135" s="23"/>
      <c r="B135" s="13"/>
      <c r="C135" s="13"/>
      <c r="D135" s="13"/>
      <c r="E135" s="13"/>
      <c r="F135" s="13"/>
      <c r="G135" s="14"/>
      <c r="H135" s="14"/>
      <c r="I135" s="14"/>
      <c r="J135" s="14"/>
      <c r="K135" s="14"/>
      <c r="L135" s="14"/>
      <c r="M135" s="14"/>
      <c r="N135" s="13"/>
      <c r="O135" s="13"/>
      <c r="P135" s="13"/>
      <c r="Q135" s="13"/>
      <c r="R135" s="13"/>
      <c r="S135" s="14"/>
      <c r="T135" s="14"/>
      <c r="U135" s="14"/>
      <c r="V135" s="14"/>
      <c r="W135" s="14"/>
      <c r="X135" s="14"/>
      <c r="Y135" s="14"/>
      <c r="Z135" s="13"/>
      <c r="AA135" s="13"/>
      <c r="AB135" s="13"/>
      <c r="AC135" s="13"/>
      <c r="AD135" s="13"/>
      <c r="AE135" s="14"/>
      <c r="AF135" s="14"/>
      <c r="AG135" s="14"/>
      <c r="AH135" s="14"/>
      <c r="AI135" s="14"/>
      <c r="AJ135" s="14"/>
      <c r="AK135" s="14"/>
    </row>
    <row r="136" spans="1:37">
      <c r="A136" s="23"/>
      <c r="B136" s="13"/>
      <c r="C136" s="13"/>
      <c r="D136" s="13"/>
      <c r="E136" s="13"/>
      <c r="F136" s="13"/>
      <c r="G136" s="14"/>
      <c r="H136" s="14"/>
      <c r="I136" s="14"/>
      <c r="J136" s="14"/>
      <c r="K136" s="14"/>
      <c r="L136" s="14"/>
      <c r="M136" s="14"/>
      <c r="N136" s="13"/>
      <c r="O136" s="13"/>
      <c r="P136" s="13"/>
      <c r="Q136" s="13"/>
      <c r="R136" s="13"/>
      <c r="S136" s="14"/>
      <c r="T136" s="14"/>
      <c r="U136" s="14"/>
      <c r="V136" s="14"/>
      <c r="W136" s="14"/>
      <c r="X136" s="14"/>
      <c r="Y136" s="14"/>
      <c r="Z136" s="13"/>
      <c r="AA136" s="13"/>
      <c r="AB136" s="13"/>
      <c r="AC136" s="13"/>
      <c r="AD136" s="13"/>
      <c r="AE136" s="14"/>
      <c r="AF136" s="14"/>
      <c r="AG136" s="14"/>
      <c r="AH136" s="14"/>
      <c r="AI136" s="14"/>
      <c r="AJ136" s="14"/>
      <c r="AK136" s="14"/>
    </row>
    <row r="137" spans="1:37">
      <c r="A137" s="23"/>
      <c r="B137" s="13"/>
      <c r="C137" s="13"/>
      <c r="D137" s="13"/>
      <c r="E137" s="13"/>
      <c r="F137" s="13"/>
      <c r="G137" s="14"/>
      <c r="H137" s="14"/>
      <c r="I137" s="14"/>
      <c r="J137" s="14"/>
      <c r="K137" s="14"/>
      <c r="L137" s="14"/>
      <c r="M137" s="14"/>
      <c r="N137" s="13"/>
      <c r="O137" s="13"/>
      <c r="P137" s="13"/>
      <c r="Q137" s="13"/>
      <c r="R137" s="13"/>
      <c r="S137" s="14"/>
      <c r="T137" s="14"/>
      <c r="U137" s="14"/>
      <c r="V137" s="14"/>
      <c r="W137" s="14"/>
      <c r="X137" s="14"/>
      <c r="Y137" s="14"/>
      <c r="Z137" s="13"/>
      <c r="AA137" s="13"/>
      <c r="AB137" s="13"/>
      <c r="AC137" s="13"/>
      <c r="AD137" s="13"/>
      <c r="AE137" s="14"/>
      <c r="AF137" s="14"/>
      <c r="AG137" s="14"/>
      <c r="AH137" s="14"/>
      <c r="AI137" s="14"/>
      <c r="AJ137" s="14"/>
      <c r="AK137" s="14"/>
    </row>
    <row r="138" spans="1:37">
      <c r="A138" s="23"/>
      <c r="B138" s="13"/>
      <c r="C138" s="13"/>
      <c r="D138" s="13"/>
      <c r="E138" s="13"/>
      <c r="F138" s="13"/>
      <c r="G138" s="14"/>
      <c r="H138" s="14"/>
      <c r="I138" s="14"/>
      <c r="J138" s="14"/>
      <c r="K138" s="14"/>
      <c r="L138" s="14"/>
      <c r="M138" s="14"/>
      <c r="N138" s="13"/>
      <c r="O138" s="13"/>
      <c r="P138" s="13"/>
      <c r="Q138" s="13"/>
      <c r="R138" s="13"/>
      <c r="S138" s="14"/>
      <c r="T138" s="14"/>
      <c r="U138" s="14"/>
      <c r="V138" s="14"/>
      <c r="W138" s="14"/>
      <c r="X138" s="14"/>
      <c r="Y138" s="14"/>
      <c r="Z138" s="13"/>
      <c r="AA138" s="13"/>
      <c r="AB138" s="13"/>
      <c r="AC138" s="13"/>
      <c r="AD138" s="13"/>
      <c r="AE138" s="14"/>
      <c r="AF138" s="14"/>
      <c r="AG138" s="14"/>
      <c r="AH138" s="14"/>
      <c r="AI138" s="14"/>
      <c r="AJ138" s="14"/>
      <c r="AK138" s="14"/>
    </row>
    <row r="139" spans="1:37">
      <c r="A139" s="23"/>
      <c r="B139" s="13"/>
      <c r="C139" s="13"/>
      <c r="D139" s="13"/>
      <c r="E139" s="13"/>
      <c r="F139" s="13"/>
      <c r="G139" s="14"/>
      <c r="H139" s="14"/>
      <c r="I139" s="14"/>
      <c r="J139" s="14"/>
      <c r="K139" s="14"/>
      <c r="L139" s="14"/>
      <c r="M139" s="14"/>
      <c r="N139" s="13"/>
      <c r="O139" s="13"/>
      <c r="P139" s="13"/>
      <c r="Q139" s="13"/>
      <c r="R139" s="13"/>
      <c r="S139" s="14"/>
      <c r="T139" s="14"/>
      <c r="U139" s="14"/>
      <c r="V139" s="14"/>
      <c r="W139" s="14"/>
      <c r="X139" s="14"/>
      <c r="Y139" s="14"/>
      <c r="Z139" s="13"/>
      <c r="AA139" s="13"/>
      <c r="AB139" s="13"/>
      <c r="AC139" s="13"/>
      <c r="AD139" s="13"/>
      <c r="AE139" s="14"/>
      <c r="AF139" s="14"/>
      <c r="AG139" s="14"/>
      <c r="AH139" s="14"/>
      <c r="AI139" s="14"/>
      <c r="AJ139" s="14"/>
      <c r="AK139" s="14"/>
    </row>
    <row r="140" spans="1:37">
      <c r="A140" s="23"/>
      <c r="B140" s="13"/>
      <c r="C140" s="13"/>
      <c r="D140" s="13"/>
      <c r="E140" s="13"/>
      <c r="F140" s="13"/>
      <c r="G140" s="14"/>
      <c r="H140" s="14"/>
      <c r="I140" s="14"/>
      <c r="J140" s="14"/>
      <c r="K140" s="14"/>
      <c r="L140" s="14"/>
      <c r="M140" s="14"/>
      <c r="N140" s="13"/>
      <c r="O140" s="13"/>
      <c r="P140" s="13"/>
      <c r="Q140" s="13"/>
      <c r="R140" s="13"/>
      <c r="S140" s="14"/>
      <c r="T140" s="14"/>
      <c r="U140" s="14"/>
      <c r="V140" s="14"/>
      <c r="W140" s="14"/>
      <c r="X140" s="14"/>
      <c r="Y140" s="14"/>
      <c r="Z140" s="13"/>
      <c r="AA140" s="13"/>
      <c r="AB140" s="13"/>
      <c r="AC140" s="13"/>
      <c r="AD140" s="13"/>
      <c r="AE140" s="14"/>
      <c r="AF140" s="14"/>
      <c r="AG140" s="14"/>
      <c r="AH140" s="14"/>
      <c r="AI140" s="14"/>
      <c r="AJ140" s="14"/>
      <c r="AK140" s="14"/>
    </row>
    <row r="141" spans="1:37">
      <c r="A141" s="23"/>
      <c r="B141" s="13"/>
      <c r="C141" s="13"/>
      <c r="D141" s="13"/>
      <c r="E141" s="13"/>
      <c r="F141" s="13"/>
      <c r="G141" s="14"/>
      <c r="H141" s="14"/>
      <c r="I141" s="14"/>
      <c r="J141" s="14"/>
      <c r="K141" s="14"/>
      <c r="L141" s="14"/>
      <c r="M141" s="14"/>
      <c r="N141" s="13"/>
      <c r="O141" s="13"/>
      <c r="P141" s="13"/>
      <c r="Q141" s="13"/>
      <c r="R141" s="13"/>
      <c r="S141" s="14"/>
      <c r="T141" s="14"/>
      <c r="U141" s="14"/>
      <c r="V141" s="14"/>
      <c r="W141" s="14"/>
      <c r="X141" s="14"/>
      <c r="Y141" s="14"/>
      <c r="Z141" s="13"/>
      <c r="AA141" s="13"/>
      <c r="AB141" s="13"/>
      <c r="AC141" s="13"/>
      <c r="AD141" s="13"/>
      <c r="AE141" s="14"/>
      <c r="AF141" s="14"/>
      <c r="AG141" s="14"/>
      <c r="AH141" s="14"/>
      <c r="AI141" s="14"/>
      <c r="AJ141" s="14"/>
      <c r="AK141" s="14"/>
    </row>
    <row r="142" spans="1:37">
      <c r="A142" s="23"/>
      <c r="B142" s="13"/>
      <c r="C142" s="13"/>
      <c r="D142" s="13"/>
      <c r="E142" s="13"/>
      <c r="F142" s="13"/>
      <c r="G142" s="14"/>
      <c r="H142" s="14"/>
      <c r="I142" s="14"/>
      <c r="J142" s="14"/>
      <c r="K142" s="14"/>
      <c r="L142" s="14"/>
      <c r="M142" s="14"/>
      <c r="N142" s="13"/>
      <c r="O142" s="13"/>
      <c r="P142" s="13"/>
      <c r="Q142" s="13"/>
      <c r="R142" s="13"/>
      <c r="S142" s="14"/>
      <c r="T142" s="14"/>
      <c r="U142" s="14"/>
      <c r="V142" s="14"/>
      <c r="W142" s="14"/>
      <c r="X142" s="14"/>
      <c r="Y142" s="14"/>
      <c r="Z142" s="13"/>
      <c r="AA142" s="13"/>
      <c r="AB142" s="13"/>
      <c r="AC142" s="13"/>
      <c r="AD142" s="13"/>
      <c r="AE142" s="14"/>
      <c r="AF142" s="14"/>
      <c r="AG142" s="14"/>
      <c r="AH142" s="14"/>
      <c r="AI142" s="14"/>
      <c r="AJ142" s="14"/>
      <c r="AK142" s="14"/>
    </row>
    <row r="143" spans="1:37">
      <c r="A143" s="23"/>
      <c r="B143" s="13"/>
      <c r="C143" s="13"/>
      <c r="D143" s="13"/>
      <c r="E143" s="13"/>
      <c r="F143" s="13"/>
      <c r="G143" s="14"/>
      <c r="H143" s="14"/>
      <c r="I143" s="14"/>
      <c r="J143" s="14"/>
      <c r="K143" s="14"/>
      <c r="L143" s="14"/>
      <c r="M143" s="14"/>
      <c r="N143" s="13"/>
      <c r="O143" s="13"/>
      <c r="P143" s="13"/>
      <c r="Q143" s="13"/>
      <c r="R143" s="13"/>
      <c r="S143" s="14"/>
      <c r="T143" s="14"/>
      <c r="U143" s="14"/>
      <c r="V143" s="14"/>
      <c r="W143" s="14"/>
      <c r="X143" s="14"/>
      <c r="Y143" s="14"/>
      <c r="Z143" s="13"/>
      <c r="AA143" s="13"/>
      <c r="AB143" s="13"/>
      <c r="AC143" s="13"/>
      <c r="AD143" s="13"/>
      <c r="AE143" s="14"/>
      <c r="AF143" s="14"/>
      <c r="AG143" s="14"/>
      <c r="AH143" s="14"/>
      <c r="AI143" s="14"/>
      <c r="AJ143" s="14"/>
      <c r="AK143" s="14"/>
    </row>
    <row r="144" spans="1:37">
      <c r="A144" s="23"/>
      <c r="B144" s="13"/>
      <c r="C144" s="13"/>
      <c r="D144" s="13"/>
      <c r="E144" s="13"/>
      <c r="F144" s="13"/>
      <c r="G144" s="14"/>
      <c r="H144" s="14"/>
      <c r="I144" s="14"/>
      <c r="J144" s="14"/>
      <c r="K144" s="14"/>
      <c r="L144" s="14"/>
      <c r="M144" s="14"/>
      <c r="N144" s="13"/>
      <c r="O144" s="13"/>
      <c r="P144" s="13"/>
      <c r="Q144" s="13"/>
      <c r="R144" s="13"/>
      <c r="S144" s="14"/>
      <c r="T144" s="14"/>
      <c r="U144" s="14"/>
      <c r="V144" s="14"/>
      <c r="W144" s="14"/>
      <c r="X144" s="14"/>
      <c r="Y144" s="14"/>
      <c r="Z144" s="13"/>
      <c r="AA144" s="13"/>
      <c r="AB144" s="13"/>
      <c r="AC144" s="13"/>
      <c r="AD144" s="13"/>
      <c r="AE144" s="14"/>
      <c r="AF144" s="14"/>
      <c r="AG144" s="14"/>
      <c r="AH144" s="14"/>
      <c r="AI144" s="14"/>
      <c r="AJ144" s="14"/>
      <c r="AK144" s="14"/>
    </row>
    <row r="145" spans="1:37">
      <c r="A145" s="23"/>
      <c r="B145" s="13"/>
      <c r="C145" s="13"/>
      <c r="D145" s="13"/>
      <c r="E145" s="13"/>
      <c r="F145" s="13"/>
      <c r="G145" s="14"/>
      <c r="H145" s="14"/>
      <c r="I145" s="14"/>
      <c r="J145" s="14"/>
      <c r="K145" s="14"/>
      <c r="L145" s="14"/>
      <c r="M145" s="14"/>
      <c r="N145" s="13"/>
      <c r="O145" s="13"/>
      <c r="P145" s="13"/>
      <c r="Q145" s="13"/>
      <c r="R145" s="13"/>
      <c r="S145" s="14"/>
      <c r="T145" s="14"/>
      <c r="U145" s="14"/>
      <c r="V145" s="14"/>
      <c r="W145" s="14"/>
      <c r="X145" s="14"/>
      <c r="Y145" s="14"/>
      <c r="Z145" s="13"/>
      <c r="AA145" s="13"/>
      <c r="AB145" s="13"/>
      <c r="AC145" s="13"/>
      <c r="AD145" s="13"/>
      <c r="AE145" s="14"/>
      <c r="AF145" s="14"/>
      <c r="AG145" s="14"/>
      <c r="AH145" s="14"/>
      <c r="AI145" s="14"/>
      <c r="AJ145" s="14"/>
      <c r="AK145" s="14"/>
    </row>
    <row r="146" spans="1:37">
      <c r="A146" s="23"/>
      <c r="B146" s="13"/>
      <c r="C146" s="13"/>
      <c r="D146" s="13"/>
      <c r="E146" s="13"/>
      <c r="F146" s="13"/>
      <c r="G146" s="14"/>
      <c r="H146" s="14"/>
      <c r="I146" s="14"/>
      <c r="J146" s="14"/>
      <c r="K146" s="14"/>
      <c r="L146" s="14"/>
      <c r="M146" s="14"/>
      <c r="N146" s="13"/>
      <c r="O146" s="13"/>
      <c r="P146" s="13"/>
      <c r="Q146" s="13"/>
      <c r="R146" s="13"/>
      <c r="S146" s="14"/>
      <c r="T146" s="14"/>
      <c r="U146" s="14"/>
      <c r="V146" s="14"/>
      <c r="W146" s="14"/>
      <c r="X146" s="14"/>
      <c r="Y146" s="14"/>
      <c r="Z146" s="13"/>
      <c r="AA146" s="13"/>
      <c r="AB146" s="13"/>
      <c r="AC146" s="13"/>
      <c r="AD146" s="13"/>
      <c r="AE146" s="14"/>
      <c r="AF146" s="14"/>
      <c r="AG146" s="14"/>
      <c r="AH146" s="14"/>
      <c r="AI146" s="14"/>
      <c r="AJ146" s="14"/>
      <c r="AK146" s="14"/>
    </row>
    <row r="147" spans="1:37">
      <c r="A147" s="23"/>
      <c r="B147" s="13"/>
      <c r="C147" s="13"/>
      <c r="D147" s="13"/>
      <c r="E147" s="13"/>
      <c r="F147" s="13"/>
      <c r="G147" s="14"/>
      <c r="H147" s="14"/>
      <c r="I147" s="14"/>
      <c r="J147" s="14"/>
      <c r="K147" s="14"/>
      <c r="L147" s="14"/>
      <c r="M147" s="14"/>
      <c r="N147" s="13"/>
      <c r="O147" s="13"/>
      <c r="P147" s="13"/>
      <c r="Q147" s="13"/>
      <c r="R147" s="13"/>
      <c r="S147" s="14"/>
      <c r="T147" s="14"/>
      <c r="U147" s="14"/>
      <c r="V147" s="14"/>
      <c r="W147" s="14"/>
      <c r="X147" s="14"/>
      <c r="Y147" s="14"/>
      <c r="Z147" s="13"/>
      <c r="AA147" s="13"/>
      <c r="AB147" s="13"/>
      <c r="AC147" s="13"/>
      <c r="AD147" s="13"/>
      <c r="AE147" s="14"/>
      <c r="AF147" s="14"/>
      <c r="AG147" s="14"/>
      <c r="AH147" s="14"/>
      <c r="AI147" s="14"/>
      <c r="AJ147" s="14"/>
      <c r="AK147" s="14"/>
    </row>
    <row r="148" spans="1:37">
      <c r="A148" s="23"/>
      <c r="B148" s="13"/>
      <c r="C148" s="13"/>
      <c r="D148" s="13"/>
      <c r="E148" s="13"/>
      <c r="F148" s="13"/>
      <c r="G148" s="14"/>
      <c r="H148" s="14"/>
      <c r="I148" s="14"/>
      <c r="J148" s="14"/>
      <c r="K148" s="14"/>
      <c r="L148" s="14"/>
      <c r="M148" s="14"/>
      <c r="N148" s="13"/>
      <c r="O148" s="13"/>
      <c r="P148" s="13"/>
      <c r="Q148" s="13"/>
      <c r="R148" s="13"/>
      <c r="S148" s="14"/>
      <c r="T148" s="14"/>
      <c r="U148" s="14"/>
      <c r="V148" s="14"/>
      <c r="W148" s="14"/>
      <c r="X148" s="14"/>
      <c r="Y148" s="14"/>
      <c r="Z148" s="13"/>
      <c r="AA148" s="13"/>
      <c r="AB148" s="13"/>
      <c r="AC148" s="13"/>
      <c r="AD148" s="13"/>
      <c r="AE148" s="14"/>
      <c r="AF148" s="14"/>
      <c r="AG148" s="14"/>
      <c r="AH148" s="14"/>
      <c r="AI148" s="14"/>
      <c r="AJ148" s="14"/>
      <c r="AK148" s="14"/>
    </row>
    <row r="149" spans="1:37">
      <c r="A149" s="23"/>
      <c r="B149" s="13"/>
      <c r="C149" s="13"/>
      <c r="D149" s="13"/>
      <c r="E149" s="13"/>
      <c r="F149" s="13"/>
      <c r="G149" s="14"/>
      <c r="H149" s="14"/>
      <c r="I149" s="14"/>
      <c r="J149" s="14"/>
      <c r="K149" s="14"/>
      <c r="L149" s="14"/>
      <c r="M149" s="14"/>
      <c r="N149" s="13"/>
      <c r="O149" s="13"/>
      <c r="P149" s="13"/>
      <c r="Q149" s="13"/>
      <c r="R149" s="13"/>
      <c r="S149" s="14"/>
      <c r="T149" s="14"/>
      <c r="U149" s="14"/>
      <c r="V149" s="14"/>
      <c r="W149" s="14"/>
      <c r="X149" s="14"/>
      <c r="Y149" s="14"/>
      <c r="Z149" s="13"/>
      <c r="AA149" s="13"/>
      <c r="AB149" s="13"/>
      <c r="AC149" s="13"/>
      <c r="AD149" s="13"/>
      <c r="AE149" s="14"/>
      <c r="AF149" s="14"/>
      <c r="AG149" s="14"/>
      <c r="AH149" s="14"/>
      <c r="AI149" s="14"/>
      <c r="AJ149" s="14"/>
      <c r="AK149" s="14"/>
    </row>
    <row r="150" spans="1:37">
      <c r="A150" s="23"/>
      <c r="B150" s="13"/>
      <c r="C150" s="13"/>
      <c r="D150" s="13"/>
      <c r="E150" s="13"/>
      <c r="F150" s="13"/>
      <c r="G150" s="14"/>
      <c r="H150" s="14"/>
      <c r="I150" s="14"/>
      <c r="J150" s="14"/>
      <c r="K150" s="14"/>
      <c r="L150" s="14"/>
      <c r="M150" s="14"/>
      <c r="N150" s="13"/>
      <c r="O150" s="13"/>
      <c r="P150" s="13"/>
      <c r="Q150" s="13"/>
      <c r="R150" s="13"/>
      <c r="S150" s="14"/>
      <c r="T150" s="14"/>
      <c r="U150" s="14"/>
      <c r="V150" s="14"/>
      <c r="W150" s="14"/>
      <c r="X150" s="14"/>
      <c r="Y150" s="14"/>
      <c r="Z150" s="13"/>
      <c r="AA150" s="13"/>
      <c r="AB150" s="13"/>
      <c r="AC150" s="13"/>
      <c r="AD150" s="13"/>
      <c r="AE150" s="14"/>
      <c r="AF150" s="14"/>
      <c r="AG150" s="14"/>
      <c r="AH150" s="14"/>
      <c r="AI150" s="14"/>
      <c r="AJ150" s="14"/>
      <c r="AK150" s="14"/>
    </row>
    <row r="151" spans="1:37">
      <c r="A151" s="23"/>
      <c r="B151" s="13"/>
      <c r="C151" s="13"/>
      <c r="D151" s="13"/>
      <c r="E151" s="13"/>
      <c r="F151" s="13"/>
      <c r="G151" s="14"/>
      <c r="H151" s="14"/>
      <c r="I151" s="14"/>
      <c r="J151" s="14"/>
      <c r="K151" s="14"/>
      <c r="L151" s="14"/>
      <c r="M151" s="14"/>
      <c r="N151" s="13"/>
      <c r="O151" s="13"/>
      <c r="P151" s="13"/>
      <c r="Q151" s="13"/>
      <c r="R151" s="13"/>
      <c r="S151" s="14"/>
      <c r="T151" s="14"/>
      <c r="U151" s="14"/>
      <c r="V151" s="14"/>
      <c r="W151" s="14"/>
      <c r="X151" s="14"/>
      <c r="Y151" s="14"/>
      <c r="Z151" s="13"/>
      <c r="AA151" s="13"/>
      <c r="AB151" s="13"/>
      <c r="AC151" s="13"/>
      <c r="AD151" s="13"/>
      <c r="AE151" s="14"/>
      <c r="AF151" s="14"/>
      <c r="AG151" s="14"/>
      <c r="AH151" s="14"/>
      <c r="AI151" s="14"/>
      <c r="AJ151" s="14"/>
      <c r="AK151" s="14"/>
    </row>
    <row r="152" spans="1:37">
      <c r="A152" s="23"/>
      <c r="B152" s="13"/>
      <c r="C152" s="13"/>
      <c r="D152" s="13"/>
      <c r="E152" s="13"/>
      <c r="F152" s="13"/>
      <c r="G152" s="14"/>
      <c r="H152" s="14"/>
      <c r="I152" s="14"/>
      <c r="J152" s="14"/>
      <c r="K152" s="14"/>
      <c r="L152" s="14"/>
      <c r="M152" s="14"/>
      <c r="N152" s="13"/>
      <c r="O152" s="13"/>
      <c r="P152" s="13"/>
      <c r="Q152" s="13"/>
      <c r="R152" s="13"/>
      <c r="S152" s="14"/>
      <c r="T152" s="14"/>
      <c r="U152" s="14"/>
      <c r="V152" s="14"/>
      <c r="W152" s="14"/>
      <c r="X152" s="14"/>
      <c r="Y152" s="14"/>
      <c r="Z152" s="13"/>
      <c r="AA152" s="13"/>
      <c r="AB152" s="13"/>
      <c r="AC152" s="13"/>
      <c r="AD152" s="13"/>
      <c r="AE152" s="14"/>
      <c r="AF152" s="14"/>
      <c r="AG152" s="14"/>
      <c r="AH152" s="14"/>
      <c r="AI152" s="14"/>
      <c r="AJ152" s="14"/>
      <c r="AK152" s="14"/>
    </row>
    <row r="153" spans="1:37">
      <c r="A153" s="23"/>
      <c r="B153" s="13"/>
      <c r="C153" s="13"/>
      <c r="D153" s="13"/>
      <c r="E153" s="13"/>
      <c r="F153" s="13"/>
      <c r="G153" s="14"/>
      <c r="H153" s="14"/>
      <c r="I153" s="14"/>
      <c r="J153" s="14"/>
      <c r="K153" s="14"/>
      <c r="L153" s="14"/>
      <c r="M153" s="14"/>
      <c r="N153" s="13"/>
      <c r="O153" s="13"/>
      <c r="P153" s="13"/>
      <c r="Q153" s="13"/>
      <c r="R153" s="13"/>
      <c r="S153" s="14"/>
      <c r="T153" s="14"/>
      <c r="U153" s="14"/>
      <c r="V153" s="14"/>
      <c r="W153" s="14"/>
      <c r="X153" s="14"/>
      <c r="Y153" s="14"/>
      <c r="Z153" s="13"/>
      <c r="AA153" s="13"/>
      <c r="AB153" s="13"/>
      <c r="AC153" s="13"/>
      <c r="AD153" s="13"/>
      <c r="AE153" s="14"/>
      <c r="AF153" s="14"/>
      <c r="AG153" s="14"/>
      <c r="AH153" s="14"/>
      <c r="AI153" s="14"/>
      <c r="AJ153" s="14"/>
      <c r="AK153" s="14"/>
    </row>
    <row r="154" spans="1:37">
      <c r="A154" s="23"/>
      <c r="B154" s="13"/>
      <c r="C154" s="13"/>
      <c r="D154" s="13"/>
      <c r="E154" s="13"/>
      <c r="F154" s="13"/>
      <c r="G154" s="14"/>
      <c r="H154" s="14"/>
      <c r="I154" s="14"/>
      <c r="J154" s="14"/>
      <c r="K154" s="14"/>
      <c r="L154" s="14"/>
      <c r="M154" s="14"/>
      <c r="N154" s="13"/>
      <c r="O154" s="13"/>
      <c r="P154" s="13"/>
      <c r="Q154" s="13"/>
      <c r="R154" s="13"/>
      <c r="S154" s="14"/>
      <c r="T154" s="14"/>
      <c r="U154" s="14"/>
      <c r="V154" s="14"/>
      <c r="W154" s="14"/>
      <c r="X154" s="14"/>
      <c r="Y154" s="14"/>
      <c r="Z154" s="13"/>
      <c r="AA154" s="13"/>
      <c r="AB154" s="13"/>
      <c r="AC154" s="13"/>
      <c r="AD154" s="13"/>
      <c r="AE154" s="14"/>
      <c r="AF154" s="14"/>
      <c r="AG154" s="14"/>
      <c r="AH154" s="14"/>
      <c r="AI154" s="14"/>
      <c r="AJ154" s="14"/>
      <c r="AK154" s="14"/>
    </row>
    <row r="155" spans="1:37">
      <c r="A155" s="23"/>
      <c r="B155" s="13"/>
      <c r="C155" s="13"/>
      <c r="D155" s="13"/>
      <c r="E155" s="13"/>
      <c r="F155" s="13"/>
      <c r="G155" s="14"/>
      <c r="H155" s="14"/>
      <c r="I155" s="14"/>
      <c r="J155" s="14"/>
      <c r="K155" s="14"/>
      <c r="L155" s="14"/>
      <c r="M155" s="14"/>
      <c r="N155" s="13"/>
      <c r="O155" s="13"/>
      <c r="P155" s="13"/>
      <c r="Q155" s="13"/>
      <c r="R155" s="13"/>
      <c r="S155" s="14"/>
      <c r="T155" s="14"/>
      <c r="U155" s="14"/>
      <c r="V155" s="14"/>
      <c r="W155" s="14"/>
      <c r="X155" s="14"/>
      <c r="Y155" s="14"/>
      <c r="Z155" s="13"/>
      <c r="AA155" s="13"/>
      <c r="AB155" s="13"/>
      <c r="AC155" s="13"/>
      <c r="AD155" s="13"/>
      <c r="AE155" s="14"/>
      <c r="AF155" s="14"/>
      <c r="AG155" s="14"/>
      <c r="AH155" s="14"/>
      <c r="AI155" s="14"/>
      <c r="AJ155" s="14"/>
      <c r="AK155" s="14"/>
    </row>
    <row r="156" spans="1:37">
      <c r="A156" s="23"/>
      <c r="B156" s="13"/>
      <c r="C156" s="13"/>
      <c r="D156" s="13"/>
      <c r="E156" s="13"/>
      <c r="F156" s="13"/>
      <c r="G156" s="14"/>
      <c r="H156" s="14"/>
      <c r="I156" s="14"/>
      <c r="J156" s="14"/>
      <c r="K156" s="14"/>
      <c r="L156" s="14"/>
      <c r="M156" s="14"/>
      <c r="N156" s="13"/>
      <c r="O156" s="13"/>
      <c r="P156" s="13"/>
      <c r="Q156" s="13"/>
      <c r="R156" s="13"/>
      <c r="S156" s="14"/>
      <c r="T156" s="14"/>
      <c r="U156" s="14"/>
      <c r="V156" s="14"/>
      <c r="W156" s="14"/>
      <c r="X156" s="14"/>
      <c r="Y156" s="14"/>
      <c r="Z156" s="13"/>
      <c r="AA156" s="13"/>
      <c r="AB156" s="13"/>
      <c r="AC156" s="13"/>
      <c r="AD156" s="13"/>
      <c r="AE156" s="14"/>
      <c r="AF156" s="14"/>
      <c r="AG156" s="14"/>
      <c r="AH156" s="14"/>
      <c r="AI156" s="14"/>
      <c r="AJ156" s="14"/>
      <c r="AK156" s="14"/>
    </row>
    <row r="157" spans="1:37">
      <c r="A157" s="23"/>
      <c r="B157" s="13"/>
      <c r="C157" s="13"/>
      <c r="D157" s="13"/>
      <c r="E157" s="13"/>
      <c r="F157" s="13"/>
      <c r="G157" s="14"/>
      <c r="H157" s="14"/>
      <c r="I157" s="14"/>
      <c r="J157" s="14"/>
      <c r="K157" s="14"/>
      <c r="L157" s="14"/>
      <c r="M157" s="14"/>
      <c r="N157" s="13"/>
      <c r="O157" s="13"/>
      <c r="P157" s="13"/>
      <c r="Q157" s="13"/>
      <c r="R157" s="13"/>
      <c r="S157" s="14"/>
      <c r="T157" s="14"/>
      <c r="U157" s="14"/>
      <c r="V157" s="14"/>
      <c r="W157" s="14"/>
      <c r="X157" s="14"/>
      <c r="Y157" s="14"/>
      <c r="Z157" s="13"/>
      <c r="AA157" s="13"/>
      <c r="AB157" s="13"/>
      <c r="AC157" s="13"/>
      <c r="AD157" s="13"/>
      <c r="AE157" s="14"/>
      <c r="AF157" s="14"/>
      <c r="AG157" s="14"/>
      <c r="AH157" s="14"/>
      <c r="AI157" s="14"/>
      <c r="AJ157" s="14"/>
      <c r="AK157" s="14"/>
    </row>
    <row r="158" spans="1:37">
      <c r="A158" s="23"/>
      <c r="B158" s="13"/>
      <c r="C158" s="13"/>
      <c r="D158" s="13"/>
      <c r="E158" s="13"/>
      <c r="F158" s="13"/>
      <c r="G158" s="14"/>
      <c r="H158" s="14"/>
      <c r="I158" s="14"/>
      <c r="J158" s="14"/>
      <c r="K158" s="14"/>
      <c r="L158" s="14"/>
      <c r="M158" s="14"/>
      <c r="N158" s="13"/>
      <c r="O158" s="13"/>
      <c r="P158" s="13"/>
      <c r="Q158" s="13"/>
      <c r="R158" s="13"/>
      <c r="S158" s="14"/>
      <c r="T158" s="14"/>
      <c r="U158" s="14"/>
      <c r="V158" s="14"/>
      <c r="W158" s="14"/>
      <c r="X158" s="14"/>
      <c r="Y158" s="14"/>
      <c r="Z158" s="13"/>
      <c r="AA158" s="13"/>
      <c r="AB158" s="13"/>
      <c r="AC158" s="13"/>
      <c r="AD158" s="13"/>
      <c r="AE158" s="14"/>
      <c r="AF158" s="14"/>
      <c r="AG158" s="14"/>
      <c r="AH158" s="14"/>
      <c r="AI158" s="14"/>
      <c r="AJ158" s="14"/>
      <c r="AK158" s="14"/>
    </row>
    <row r="159" spans="1:37">
      <c r="A159" s="23"/>
      <c r="B159" s="13"/>
      <c r="C159" s="13"/>
      <c r="D159" s="13"/>
      <c r="E159" s="13"/>
      <c r="F159" s="13"/>
      <c r="G159" s="14"/>
      <c r="H159" s="14"/>
      <c r="I159" s="14"/>
      <c r="J159" s="14"/>
      <c r="K159" s="14"/>
      <c r="L159" s="14"/>
      <c r="M159" s="14"/>
      <c r="N159" s="13"/>
      <c r="O159" s="13"/>
      <c r="P159" s="13"/>
      <c r="Q159" s="13"/>
      <c r="R159" s="13"/>
      <c r="S159" s="14"/>
      <c r="T159" s="14"/>
      <c r="U159" s="14"/>
      <c r="V159" s="14"/>
      <c r="W159" s="14"/>
      <c r="X159" s="14"/>
      <c r="Y159" s="14"/>
      <c r="Z159" s="13"/>
      <c r="AA159" s="13"/>
      <c r="AB159" s="13"/>
      <c r="AC159" s="13"/>
      <c r="AD159" s="13"/>
      <c r="AE159" s="14"/>
      <c r="AF159" s="14"/>
      <c r="AG159" s="14"/>
      <c r="AH159" s="14"/>
      <c r="AI159" s="14"/>
      <c r="AJ159" s="14"/>
      <c r="AK159" s="14"/>
    </row>
    <row r="160" spans="1:37">
      <c r="A160" s="23"/>
      <c r="B160" s="13"/>
      <c r="C160" s="13"/>
      <c r="D160" s="13"/>
      <c r="E160" s="13"/>
      <c r="F160" s="13"/>
      <c r="G160" s="14"/>
      <c r="H160" s="14"/>
      <c r="I160" s="14"/>
      <c r="J160" s="14"/>
      <c r="K160" s="14"/>
      <c r="L160" s="14"/>
      <c r="M160" s="14"/>
      <c r="N160" s="13"/>
      <c r="O160" s="13"/>
      <c r="P160" s="13"/>
      <c r="Q160" s="13"/>
      <c r="R160" s="13"/>
      <c r="S160" s="14"/>
      <c r="T160" s="14"/>
      <c r="U160" s="14"/>
      <c r="V160" s="14"/>
      <c r="W160" s="14"/>
      <c r="X160" s="14"/>
      <c r="Y160" s="14"/>
      <c r="Z160" s="13"/>
      <c r="AA160" s="13"/>
      <c r="AB160" s="13"/>
      <c r="AC160" s="13"/>
      <c r="AD160" s="13"/>
      <c r="AE160" s="14"/>
      <c r="AF160" s="14"/>
      <c r="AG160" s="14"/>
      <c r="AH160" s="14"/>
      <c r="AI160" s="14"/>
      <c r="AJ160" s="14"/>
      <c r="AK160" s="14"/>
    </row>
    <row r="161" spans="1:37">
      <c r="A161" s="23"/>
      <c r="B161" s="13"/>
      <c r="C161" s="13"/>
      <c r="D161" s="13"/>
      <c r="E161" s="13"/>
      <c r="F161" s="13"/>
      <c r="G161" s="14"/>
      <c r="H161" s="14"/>
      <c r="I161" s="14"/>
      <c r="J161" s="14"/>
      <c r="K161" s="14"/>
      <c r="L161" s="14"/>
      <c r="M161" s="14"/>
      <c r="N161" s="13"/>
      <c r="O161" s="13"/>
      <c r="P161" s="13"/>
      <c r="Q161" s="13"/>
      <c r="R161" s="13"/>
      <c r="S161" s="14"/>
      <c r="T161" s="14"/>
      <c r="U161" s="14"/>
      <c r="V161" s="14"/>
      <c r="W161" s="14"/>
      <c r="X161" s="14"/>
      <c r="Y161" s="14"/>
      <c r="Z161" s="13"/>
      <c r="AA161" s="13"/>
      <c r="AB161" s="13"/>
      <c r="AC161" s="13"/>
      <c r="AD161" s="13"/>
      <c r="AE161" s="14"/>
      <c r="AF161" s="14"/>
      <c r="AG161" s="14"/>
      <c r="AH161" s="14"/>
      <c r="AI161" s="14"/>
      <c r="AJ161" s="14"/>
      <c r="AK161" s="14"/>
    </row>
    <row r="162" spans="1:37">
      <c r="A162" s="23"/>
      <c r="B162" s="13"/>
      <c r="C162" s="13"/>
      <c r="D162" s="13"/>
      <c r="E162" s="13"/>
      <c r="F162" s="13"/>
      <c r="G162" s="14"/>
      <c r="H162" s="14"/>
      <c r="I162" s="14"/>
      <c r="J162" s="14"/>
      <c r="K162" s="14"/>
      <c r="L162" s="14"/>
      <c r="M162" s="14"/>
      <c r="N162" s="13"/>
      <c r="O162" s="13"/>
      <c r="P162" s="13"/>
      <c r="Q162" s="13"/>
      <c r="R162" s="13"/>
      <c r="S162" s="14"/>
      <c r="T162" s="14"/>
      <c r="U162" s="14"/>
      <c r="V162" s="14"/>
      <c r="W162" s="14"/>
      <c r="X162" s="14"/>
      <c r="Y162" s="14"/>
      <c r="Z162" s="13"/>
      <c r="AA162" s="13"/>
      <c r="AB162" s="13"/>
      <c r="AC162" s="13"/>
      <c r="AD162" s="13"/>
      <c r="AE162" s="14"/>
      <c r="AF162" s="14"/>
      <c r="AG162" s="14"/>
      <c r="AH162" s="14"/>
      <c r="AI162" s="14"/>
      <c r="AJ162" s="14"/>
      <c r="AK162" s="14"/>
    </row>
    <row r="163" spans="1:37">
      <c r="A163" s="23"/>
      <c r="B163" s="13"/>
      <c r="C163" s="13"/>
      <c r="D163" s="13"/>
      <c r="E163" s="13"/>
      <c r="F163" s="13"/>
      <c r="G163" s="14"/>
      <c r="H163" s="14"/>
      <c r="I163" s="14"/>
      <c r="J163" s="14"/>
      <c r="K163" s="14"/>
      <c r="L163" s="14"/>
      <c r="M163" s="14"/>
      <c r="N163" s="13"/>
      <c r="O163" s="13"/>
      <c r="P163" s="13"/>
      <c r="Q163" s="13"/>
      <c r="R163" s="13"/>
      <c r="S163" s="14"/>
      <c r="T163" s="14"/>
      <c r="U163" s="14"/>
      <c r="V163" s="14"/>
      <c r="W163" s="14"/>
      <c r="X163" s="14"/>
      <c r="Y163" s="14"/>
      <c r="Z163" s="13"/>
      <c r="AA163" s="13"/>
      <c r="AB163" s="13"/>
      <c r="AC163" s="13"/>
      <c r="AD163" s="13"/>
      <c r="AE163" s="14"/>
      <c r="AF163" s="14"/>
      <c r="AG163" s="14"/>
      <c r="AH163" s="14"/>
      <c r="AI163" s="14"/>
      <c r="AJ163" s="14"/>
      <c r="AK163" s="14"/>
    </row>
    <row r="164" spans="1:37">
      <c r="A164" s="23"/>
      <c r="B164" s="13"/>
      <c r="C164" s="13"/>
      <c r="D164" s="13"/>
      <c r="E164" s="13"/>
      <c r="F164" s="13"/>
      <c r="G164" s="14"/>
      <c r="H164" s="14"/>
      <c r="I164" s="14"/>
      <c r="J164" s="14"/>
      <c r="K164" s="14"/>
      <c r="L164" s="14"/>
      <c r="M164" s="14"/>
      <c r="N164" s="13"/>
      <c r="O164" s="13"/>
      <c r="P164" s="13"/>
      <c r="Q164" s="13"/>
      <c r="R164" s="13"/>
      <c r="S164" s="14"/>
      <c r="T164" s="14"/>
      <c r="U164" s="14"/>
      <c r="V164" s="14"/>
      <c r="W164" s="14"/>
      <c r="X164" s="14"/>
      <c r="Y164" s="14"/>
      <c r="Z164" s="13"/>
      <c r="AA164" s="13"/>
      <c r="AB164" s="13"/>
      <c r="AC164" s="13"/>
      <c r="AD164" s="13"/>
      <c r="AE164" s="14"/>
      <c r="AF164" s="14"/>
      <c r="AG164" s="14"/>
      <c r="AH164" s="14"/>
      <c r="AI164" s="14"/>
      <c r="AJ164" s="14"/>
      <c r="AK164" s="14"/>
    </row>
    <row r="165" spans="1:37">
      <c r="A165" s="23"/>
      <c r="B165" s="13"/>
      <c r="C165" s="13"/>
      <c r="D165" s="13"/>
      <c r="E165" s="13"/>
      <c r="F165" s="13"/>
      <c r="G165" s="14"/>
      <c r="H165" s="14"/>
      <c r="I165" s="14"/>
      <c r="J165" s="14"/>
      <c r="K165" s="14"/>
      <c r="L165" s="14"/>
      <c r="M165" s="14"/>
      <c r="N165" s="13"/>
      <c r="O165" s="13"/>
      <c r="P165" s="13"/>
      <c r="Q165" s="13"/>
      <c r="R165" s="13"/>
      <c r="S165" s="14"/>
      <c r="T165" s="14"/>
      <c r="U165" s="14"/>
      <c r="V165" s="14"/>
      <c r="W165" s="14"/>
      <c r="X165" s="14"/>
      <c r="Y165" s="14"/>
      <c r="Z165" s="13"/>
      <c r="AA165" s="13"/>
      <c r="AB165" s="13"/>
      <c r="AC165" s="13"/>
      <c r="AD165" s="13"/>
      <c r="AE165" s="14"/>
      <c r="AF165" s="14"/>
      <c r="AG165" s="14"/>
      <c r="AH165" s="14"/>
      <c r="AI165" s="14"/>
      <c r="AJ165" s="14"/>
      <c r="AK165" s="14"/>
    </row>
    <row r="166" spans="1:37">
      <c r="A166" s="23"/>
      <c r="B166" s="13"/>
      <c r="C166" s="13"/>
      <c r="D166" s="13"/>
      <c r="E166" s="13"/>
      <c r="F166" s="13"/>
      <c r="G166" s="14"/>
      <c r="H166" s="14"/>
      <c r="I166" s="14"/>
      <c r="J166" s="14"/>
      <c r="K166" s="14"/>
      <c r="L166" s="14"/>
      <c r="M166" s="14"/>
      <c r="N166" s="13"/>
      <c r="O166" s="13"/>
      <c r="P166" s="13"/>
      <c r="Q166" s="13"/>
      <c r="R166" s="13"/>
      <c r="S166" s="14"/>
      <c r="T166" s="14"/>
      <c r="U166" s="14"/>
      <c r="V166" s="14"/>
      <c r="W166" s="14"/>
      <c r="X166" s="14"/>
      <c r="Y166" s="14"/>
      <c r="Z166" s="13"/>
      <c r="AA166" s="13"/>
      <c r="AB166" s="13"/>
      <c r="AC166" s="13"/>
      <c r="AD166" s="13"/>
      <c r="AE166" s="14"/>
      <c r="AF166" s="14"/>
      <c r="AG166" s="14"/>
      <c r="AH166" s="14"/>
      <c r="AI166" s="14"/>
      <c r="AJ166" s="14"/>
      <c r="AK166" s="14"/>
    </row>
    <row r="167" spans="1:37">
      <c r="A167" s="23"/>
      <c r="B167" s="13"/>
      <c r="C167" s="13"/>
      <c r="D167" s="13"/>
      <c r="E167" s="13"/>
      <c r="F167" s="13"/>
      <c r="G167" s="14"/>
      <c r="H167" s="14"/>
      <c r="I167" s="14"/>
      <c r="J167" s="14"/>
      <c r="K167" s="14"/>
      <c r="L167" s="14"/>
      <c r="M167" s="14"/>
      <c r="N167" s="13"/>
      <c r="O167" s="13"/>
      <c r="P167" s="13"/>
      <c r="Q167" s="13"/>
      <c r="R167" s="13"/>
      <c r="S167" s="14"/>
      <c r="T167" s="14"/>
      <c r="U167" s="14"/>
      <c r="V167" s="14"/>
      <c r="W167" s="14"/>
      <c r="X167" s="14"/>
      <c r="Y167" s="14"/>
      <c r="Z167" s="13"/>
      <c r="AA167" s="13"/>
      <c r="AB167" s="13"/>
      <c r="AC167" s="13"/>
      <c r="AD167" s="13"/>
      <c r="AE167" s="14"/>
      <c r="AF167" s="14"/>
      <c r="AG167" s="14"/>
      <c r="AH167" s="14"/>
      <c r="AI167" s="14"/>
      <c r="AJ167" s="14"/>
      <c r="AK167" s="14"/>
    </row>
    <row r="168" spans="1:37">
      <c r="A168" s="23"/>
      <c r="B168" s="13"/>
      <c r="C168" s="13"/>
      <c r="D168" s="13"/>
      <c r="E168" s="13"/>
      <c r="F168" s="13"/>
      <c r="G168" s="14"/>
      <c r="H168" s="14"/>
      <c r="I168" s="14"/>
      <c r="J168" s="14"/>
      <c r="K168" s="14"/>
      <c r="L168" s="14"/>
      <c r="M168" s="14"/>
      <c r="N168" s="13"/>
      <c r="O168" s="13"/>
      <c r="P168" s="13"/>
      <c r="Q168" s="13"/>
      <c r="R168" s="13"/>
      <c r="S168" s="14"/>
      <c r="T168" s="14"/>
      <c r="U168" s="14"/>
      <c r="V168" s="14"/>
      <c r="W168" s="14"/>
      <c r="X168" s="14"/>
      <c r="Y168" s="14"/>
      <c r="Z168" s="13"/>
      <c r="AA168" s="13"/>
      <c r="AB168" s="13"/>
      <c r="AC168" s="13"/>
      <c r="AD168" s="13"/>
      <c r="AE168" s="14"/>
      <c r="AF168" s="14"/>
      <c r="AG168" s="14"/>
      <c r="AH168" s="14"/>
      <c r="AI168" s="14"/>
      <c r="AJ168" s="14"/>
      <c r="AK168" s="14"/>
    </row>
    <row r="169" spans="1:37">
      <c r="A169" s="23"/>
      <c r="B169" s="13"/>
      <c r="C169" s="13"/>
      <c r="D169" s="13"/>
      <c r="E169" s="13"/>
      <c r="F169" s="13"/>
      <c r="G169" s="14"/>
      <c r="H169" s="14"/>
      <c r="I169" s="14"/>
      <c r="J169" s="14"/>
      <c r="K169" s="14"/>
      <c r="L169" s="14"/>
      <c r="M169" s="14"/>
      <c r="N169" s="13"/>
      <c r="O169" s="13"/>
      <c r="P169" s="13"/>
      <c r="Q169" s="13"/>
      <c r="R169" s="13"/>
      <c r="S169" s="14"/>
      <c r="T169" s="14"/>
      <c r="U169" s="14"/>
      <c r="V169" s="14"/>
      <c r="W169" s="14"/>
      <c r="X169" s="14"/>
      <c r="Y169" s="14"/>
      <c r="Z169" s="13"/>
      <c r="AA169" s="13"/>
      <c r="AB169" s="13"/>
      <c r="AC169" s="13"/>
      <c r="AD169" s="13"/>
      <c r="AE169" s="14"/>
      <c r="AF169" s="14"/>
      <c r="AG169" s="14"/>
      <c r="AH169" s="14"/>
      <c r="AI169" s="14"/>
      <c r="AJ169" s="14"/>
      <c r="AK169" s="14"/>
    </row>
    <row r="170" spans="1:37">
      <c r="A170" s="23"/>
      <c r="B170" s="13"/>
      <c r="C170" s="13"/>
      <c r="D170" s="13"/>
      <c r="E170" s="13"/>
      <c r="F170" s="13"/>
      <c r="G170" s="14"/>
      <c r="H170" s="14"/>
      <c r="I170" s="14"/>
      <c r="J170" s="14"/>
      <c r="K170" s="14"/>
      <c r="L170" s="14"/>
      <c r="M170" s="14"/>
      <c r="N170" s="13"/>
      <c r="O170" s="13"/>
      <c r="P170" s="13"/>
      <c r="Q170" s="13"/>
      <c r="R170" s="13"/>
      <c r="S170" s="14"/>
      <c r="T170" s="14"/>
      <c r="U170" s="14"/>
      <c r="V170" s="14"/>
      <c r="W170" s="14"/>
      <c r="X170" s="14"/>
      <c r="Y170" s="14"/>
      <c r="Z170" s="13"/>
      <c r="AA170" s="13"/>
      <c r="AB170" s="13"/>
      <c r="AC170" s="13"/>
      <c r="AD170" s="13"/>
      <c r="AE170" s="14"/>
      <c r="AF170" s="14"/>
      <c r="AG170" s="14"/>
      <c r="AH170" s="14"/>
      <c r="AI170" s="14"/>
      <c r="AJ170" s="14"/>
      <c r="AK170" s="14"/>
    </row>
    <row r="171" spans="1:37">
      <c r="A171" s="23"/>
      <c r="B171" s="13"/>
      <c r="C171" s="13"/>
      <c r="D171" s="13"/>
      <c r="E171" s="13"/>
      <c r="F171" s="13"/>
      <c r="G171" s="14"/>
      <c r="H171" s="14"/>
      <c r="I171" s="14"/>
      <c r="J171" s="14"/>
      <c r="K171" s="14"/>
      <c r="L171" s="14"/>
      <c r="M171" s="14"/>
      <c r="N171" s="13"/>
      <c r="O171" s="13"/>
      <c r="P171" s="13"/>
      <c r="Q171" s="13"/>
      <c r="R171" s="13"/>
      <c r="S171" s="14"/>
      <c r="T171" s="14"/>
      <c r="U171" s="14"/>
      <c r="V171" s="14"/>
      <c r="W171" s="14"/>
      <c r="X171" s="14"/>
      <c r="Y171" s="14"/>
      <c r="Z171" s="13"/>
      <c r="AA171" s="13"/>
      <c r="AB171" s="13"/>
      <c r="AC171" s="13"/>
      <c r="AD171" s="13"/>
      <c r="AE171" s="14"/>
      <c r="AF171" s="14"/>
      <c r="AG171" s="14"/>
      <c r="AH171" s="14"/>
      <c r="AI171" s="14"/>
      <c r="AJ171" s="14"/>
      <c r="AK171" s="14"/>
    </row>
    <row r="172" spans="1:37">
      <c r="A172" s="23"/>
      <c r="B172" s="13"/>
      <c r="C172" s="13"/>
      <c r="D172" s="13"/>
      <c r="E172" s="13"/>
      <c r="F172" s="13"/>
      <c r="G172" s="14"/>
      <c r="H172" s="14"/>
      <c r="I172" s="14"/>
      <c r="J172" s="14"/>
      <c r="K172" s="14"/>
      <c r="L172" s="14"/>
      <c r="M172" s="14"/>
      <c r="N172" s="13"/>
      <c r="O172" s="13"/>
      <c r="P172" s="13"/>
      <c r="Q172" s="13"/>
      <c r="R172" s="13"/>
      <c r="S172" s="14"/>
      <c r="T172" s="14"/>
      <c r="U172" s="14"/>
      <c r="V172" s="14"/>
      <c r="W172" s="14"/>
      <c r="X172" s="14"/>
      <c r="Y172" s="14"/>
      <c r="Z172" s="13"/>
      <c r="AA172" s="13"/>
      <c r="AB172" s="13"/>
      <c r="AC172" s="13"/>
      <c r="AD172" s="13"/>
      <c r="AE172" s="14"/>
      <c r="AF172" s="14"/>
      <c r="AG172" s="14"/>
      <c r="AH172" s="14"/>
      <c r="AI172" s="14"/>
      <c r="AJ172" s="14"/>
      <c r="AK172" s="14"/>
    </row>
    <row r="173" spans="1:37">
      <c r="A173" s="23"/>
      <c r="B173" s="13"/>
      <c r="C173" s="13"/>
      <c r="D173" s="13"/>
      <c r="E173" s="13"/>
      <c r="F173" s="13"/>
      <c r="G173" s="14"/>
      <c r="H173" s="14"/>
      <c r="I173" s="14"/>
      <c r="J173" s="14"/>
      <c r="K173" s="14"/>
      <c r="L173" s="14"/>
      <c r="M173" s="14"/>
      <c r="N173" s="13"/>
      <c r="O173" s="13"/>
      <c r="P173" s="13"/>
      <c r="Q173" s="13"/>
      <c r="R173" s="13"/>
      <c r="S173" s="14"/>
      <c r="T173" s="14"/>
      <c r="U173" s="14"/>
      <c r="V173" s="14"/>
      <c r="W173" s="14"/>
      <c r="X173" s="14"/>
      <c r="Y173" s="14"/>
      <c r="Z173" s="13"/>
      <c r="AA173" s="13"/>
      <c r="AB173" s="13"/>
      <c r="AC173" s="13"/>
      <c r="AD173" s="13"/>
      <c r="AE173" s="14"/>
      <c r="AF173" s="14"/>
      <c r="AG173" s="14"/>
      <c r="AH173" s="14"/>
      <c r="AI173" s="14"/>
      <c r="AJ173" s="14"/>
      <c r="AK173" s="14"/>
    </row>
    <row r="174" spans="1:37">
      <c r="A174" s="23"/>
      <c r="B174" s="13"/>
      <c r="C174" s="13"/>
      <c r="D174" s="13"/>
      <c r="E174" s="13"/>
      <c r="F174" s="13"/>
      <c r="G174" s="14"/>
      <c r="H174" s="14"/>
      <c r="I174" s="14"/>
      <c r="J174" s="14"/>
      <c r="K174" s="14"/>
      <c r="L174" s="14"/>
      <c r="M174" s="14"/>
      <c r="N174" s="13"/>
      <c r="O174" s="13"/>
      <c r="P174" s="13"/>
      <c r="Q174" s="13"/>
      <c r="R174" s="13"/>
      <c r="S174" s="14"/>
      <c r="T174" s="14"/>
      <c r="U174" s="14"/>
      <c r="V174" s="14"/>
      <c r="W174" s="14"/>
      <c r="X174" s="14"/>
      <c r="Y174" s="14"/>
      <c r="Z174" s="13"/>
      <c r="AA174" s="13"/>
      <c r="AB174" s="13"/>
      <c r="AC174" s="13"/>
      <c r="AD174" s="13"/>
      <c r="AE174" s="14"/>
      <c r="AF174" s="14"/>
      <c r="AG174" s="14"/>
      <c r="AH174" s="14"/>
      <c r="AI174" s="14"/>
      <c r="AJ174" s="14"/>
      <c r="AK174" s="14"/>
    </row>
    <row r="175" spans="1:37">
      <c r="A175" s="23"/>
      <c r="B175" s="13"/>
      <c r="C175" s="13"/>
      <c r="D175" s="13"/>
      <c r="E175" s="13"/>
      <c r="F175" s="13"/>
      <c r="G175" s="14"/>
      <c r="H175" s="14"/>
      <c r="I175" s="14"/>
      <c r="J175" s="14"/>
      <c r="K175" s="14"/>
      <c r="L175" s="14"/>
      <c r="M175" s="14"/>
      <c r="N175" s="13"/>
      <c r="O175" s="13"/>
      <c r="P175" s="13"/>
      <c r="Q175" s="13"/>
      <c r="R175" s="13"/>
      <c r="S175" s="14"/>
      <c r="T175" s="14"/>
      <c r="U175" s="14"/>
      <c r="V175" s="14"/>
      <c r="W175" s="14"/>
      <c r="X175" s="14"/>
      <c r="Y175" s="14"/>
      <c r="Z175" s="13"/>
      <c r="AA175" s="13"/>
      <c r="AB175" s="13"/>
      <c r="AC175" s="13"/>
      <c r="AD175" s="13"/>
      <c r="AE175" s="14"/>
      <c r="AF175" s="14"/>
      <c r="AG175" s="14"/>
      <c r="AH175" s="14"/>
      <c r="AI175" s="14"/>
      <c r="AJ175" s="14"/>
      <c r="AK175" s="14"/>
    </row>
    <row r="176" spans="1:37">
      <c r="A176" s="23"/>
      <c r="B176" s="13"/>
      <c r="C176" s="13"/>
      <c r="D176" s="13"/>
      <c r="E176" s="13"/>
      <c r="F176" s="13"/>
      <c r="G176" s="14"/>
      <c r="H176" s="14"/>
      <c r="I176" s="14"/>
      <c r="J176" s="14"/>
      <c r="K176" s="14"/>
      <c r="L176" s="14"/>
      <c r="M176" s="14"/>
      <c r="N176" s="13"/>
      <c r="O176" s="13"/>
      <c r="P176" s="13"/>
      <c r="Q176" s="13"/>
      <c r="R176" s="13"/>
      <c r="S176" s="14"/>
      <c r="T176" s="14"/>
      <c r="U176" s="14"/>
      <c r="V176" s="14"/>
      <c r="W176" s="14"/>
      <c r="X176" s="14"/>
      <c r="Y176" s="14"/>
      <c r="Z176" s="13"/>
      <c r="AA176" s="13"/>
      <c r="AB176" s="13"/>
      <c r="AC176" s="13"/>
      <c r="AD176" s="13"/>
      <c r="AE176" s="14"/>
      <c r="AF176" s="14"/>
      <c r="AG176" s="14"/>
      <c r="AH176" s="14"/>
      <c r="AI176" s="14"/>
      <c r="AJ176" s="14"/>
      <c r="AK176" s="14"/>
    </row>
    <row r="177" spans="1:37">
      <c r="A177" s="23"/>
      <c r="B177" s="13"/>
      <c r="C177" s="13"/>
      <c r="D177" s="13"/>
      <c r="E177" s="13"/>
      <c r="F177" s="13"/>
      <c r="G177" s="14"/>
      <c r="H177" s="14"/>
      <c r="I177" s="14"/>
      <c r="J177" s="14"/>
      <c r="K177" s="14"/>
      <c r="L177" s="14"/>
      <c r="M177" s="14"/>
      <c r="N177" s="13"/>
      <c r="O177" s="13"/>
      <c r="P177" s="13"/>
      <c r="Q177" s="13"/>
      <c r="R177" s="13"/>
      <c r="S177" s="14"/>
      <c r="T177" s="14"/>
      <c r="U177" s="14"/>
      <c r="V177" s="14"/>
      <c r="W177" s="14"/>
      <c r="X177" s="14"/>
      <c r="Y177" s="14"/>
      <c r="Z177" s="13"/>
      <c r="AA177" s="13"/>
      <c r="AB177" s="13"/>
      <c r="AC177" s="13"/>
      <c r="AD177" s="13"/>
      <c r="AE177" s="14"/>
      <c r="AF177" s="14"/>
      <c r="AG177" s="14"/>
      <c r="AH177" s="14"/>
      <c r="AI177" s="14"/>
      <c r="AJ177" s="14"/>
      <c r="AK177" s="14"/>
    </row>
    <row r="178" spans="1:37">
      <c r="A178" s="23"/>
      <c r="B178" s="13"/>
      <c r="C178" s="13"/>
      <c r="D178" s="13"/>
      <c r="E178" s="13"/>
      <c r="F178" s="13"/>
      <c r="G178" s="14"/>
      <c r="H178" s="14"/>
      <c r="I178" s="14"/>
      <c r="J178" s="14"/>
      <c r="K178" s="14"/>
      <c r="L178" s="14"/>
      <c r="M178" s="14"/>
      <c r="N178" s="13"/>
      <c r="O178" s="13"/>
      <c r="P178" s="13"/>
      <c r="Q178" s="13"/>
      <c r="R178" s="13"/>
      <c r="S178" s="14"/>
      <c r="T178" s="14"/>
      <c r="U178" s="14"/>
      <c r="V178" s="14"/>
      <c r="W178" s="14"/>
      <c r="X178" s="14"/>
      <c r="Y178" s="14"/>
      <c r="Z178" s="13"/>
      <c r="AA178" s="13"/>
      <c r="AB178" s="13"/>
      <c r="AC178" s="13"/>
      <c r="AD178" s="13"/>
      <c r="AE178" s="14"/>
      <c r="AF178" s="14"/>
      <c r="AG178" s="14"/>
      <c r="AH178" s="14"/>
      <c r="AI178" s="14"/>
      <c r="AJ178" s="14"/>
      <c r="AK178" s="14"/>
    </row>
    <row r="179" spans="1:37">
      <c r="A179" s="23"/>
      <c r="B179" s="13"/>
      <c r="C179" s="13"/>
      <c r="D179" s="13"/>
      <c r="E179" s="13"/>
      <c r="F179" s="13"/>
      <c r="G179" s="14"/>
      <c r="H179" s="14"/>
      <c r="I179" s="14"/>
      <c r="J179" s="14"/>
      <c r="K179" s="14"/>
      <c r="L179" s="14"/>
      <c r="M179" s="14"/>
      <c r="N179" s="13"/>
      <c r="O179" s="13"/>
      <c r="P179" s="13"/>
      <c r="Q179" s="13"/>
      <c r="R179" s="13"/>
      <c r="S179" s="14"/>
      <c r="T179" s="14"/>
      <c r="U179" s="14"/>
      <c r="V179" s="14"/>
      <c r="W179" s="14"/>
      <c r="X179" s="14"/>
      <c r="Y179" s="14"/>
      <c r="Z179" s="13"/>
      <c r="AA179" s="13"/>
      <c r="AB179" s="13"/>
      <c r="AC179" s="13"/>
      <c r="AD179" s="13"/>
      <c r="AE179" s="14"/>
      <c r="AF179" s="14"/>
      <c r="AG179" s="14"/>
      <c r="AH179" s="14"/>
      <c r="AI179" s="14"/>
      <c r="AJ179" s="14"/>
      <c r="AK179" s="14"/>
    </row>
    <row r="180" spans="1:37">
      <c r="A180" s="23"/>
      <c r="B180" s="13"/>
      <c r="C180" s="13"/>
      <c r="D180" s="13"/>
      <c r="E180" s="13"/>
      <c r="F180" s="13"/>
      <c r="G180" s="14"/>
      <c r="H180" s="14"/>
      <c r="I180" s="14"/>
      <c r="J180" s="14"/>
      <c r="K180" s="14"/>
      <c r="L180" s="14"/>
      <c r="M180" s="14"/>
      <c r="N180" s="13"/>
      <c r="O180" s="13"/>
      <c r="P180" s="13"/>
      <c r="Q180" s="13"/>
      <c r="R180" s="13"/>
      <c r="S180" s="14"/>
      <c r="T180" s="14"/>
      <c r="U180" s="14"/>
      <c r="V180" s="14"/>
      <c r="W180" s="14"/>
      <c r="X180" s="14"/>
      <c r="Y180" s="14"/>
      <c r="Z180" s="13"/>
      <c r="AA180" s="13"/>
      <c r="AB180" s="13"/>
      <c r="AC180" s="13"/>
      <c r="AD180" s="13"/>
      <c r="AE180" s="14"/>
      <c r="AF180" s="14"/>
      <c r="AG180" s="14"/>
      <c r="AH180" s="14"/>
      <c r="AI180" s="14"/>
      <c r="AJ180" s="14"/>
      <c r="AK180" s="14"/>
    </row>
    <row r="181" spans="1:37">
      <c r="A181" s="23"/>
      <c r="B181" s="13"/>
      <c r="C181" s="13"/>
      <c r="D181" s="13"/>
      <c r="E181" s="13"/>
      <c r="F181" s="13"/>
      <c r="G181" s="14"/>
      <c r="H181" s="14"/>
      <c r="I181" s="14"/>
      <c r="J181" s="14"/>
      <c r="K181" s="14"/>
      <c r="L181" s="14"/>
      <c r="M181" s="14"/>
      <c r="N181" s="13"/>
      <c r="O181" s="13"/>
      <c r="P181" s="13"/>
      <c r="Q181" s="13"/>
      <c r="R181" s="13"/>
      <c r="S181" s="14"/>
      <c r="T181" s="14"/>
      <c r="U181" s="14"/>
      <c r="V181" s="14"/>
      <c r="W181" s="14"/>
      <c r="X181" s="14"/>
      <c r="Y181" s="14"/>
      <c r="Z181" s="13"/>
      <c r="AA181" s="13"/>
      <c r="AB181" s="13"/>
      <c r="AC181" s="13"/>
      <c r="AD181" s="13"/>
      <c r="AE181" s="14"/>
      <c r="AF181" s="14"/>
      <c r="AG181" s="14"/>
      <c r="AH181" s="14"/>
      <c r="AI181" s="14"/>
      <c r="AJ181" s="14"/>
      <c r="AK181" s="14"/>
    </row>
    <row r="182" spans="1:37">
      <c r="A182" s="23"/>
      <c r="B182" s="13"/>
      <c r="C182" s="13"/>
      <c r="D182" s="13"/>
      <c r="E182" s="13"/>
      <c r="F182" s="13"/>
      <c r="G182" s="14"/>
      <c r="H182" s="14"/>
      <c r="I182" s="14"/>
      <c r="J182" s="14"/>
      <c r="K182" s="14"/>
      <c r="L182" s="14"/>
      <c r="M182" s="14"/>
      <c r="N182" s="13"/>
      <c r="O182" s="13"/>
      <c r="P182" s="13"/>
      <c r="Q182" s="13"/>
      <c r="R182" s="13"/>
      <c r="S182" s="14"/>
      <c r="T182" s="14"/>
      <c r="U182" s="14"/>
      <c r="V182" s="14"/>
      <c r="W182" s="14"/>
      <c r="X182" s="14"/>
      <c r="Y182" s="14"/>
      <c r="Z182" s="13"/>
      <c r="AA182" s="13"/>
      <c r="AB182" s="13"/>
      <c r="AC182" s="13"/>
      <c r="AD182" s="13"/>
      <c r="AE182" s="14"/>
      <c r="AF182" s="14"/>
      <c r="AG182" s="14"/>
      <c r="AH182" s="14"/>
      <c r="AI182" s="14"/>
      <c r="AJ182" s="14"/>
      <c r="AK182" s="14"/>
    </row>
    <row r="183" spans="1:37">
      <c r="A183" s="23"/>
      <c r="B183" s="13"/>
      <c r="C183" s="13"/>
      <c r="D183" s="13"/>
      <c r="E183" s="13"/>
      <c r="F183" s="13"/>
      <c r="G183" s="14"/>
      <c r="H183" s="14"/>
      <c r="I183" s="14"/>
      <c r="J183" s="14"/>
      <c r="K183" s="14"/>
      <c r="L183" s="14"/>
      <c r="M183" s="14"/>
      <c r="N183" s="13"/>
      <c r="O183" s="13"/>
      <c r="P183" s="13"/>
      <c r="Q183" s="13"/>
      <c r="R183" s="13"/>
      <c r="S183" s="14"/>
      <c r="T183" s="14"/>
      <c r="U183" s="14"/>
      <c r="V183" s="14"/>
      <c r="W183" s="14"/>
      <c r="X183" s="14"/>
      <c r="Y183" s="14"/>
      <c r="Z183" s="13"/>
      <c r="AA183" s="13"/>
      <c r="AB183" s="13"/>
      <c r="AC183" s="13"/>
      <c r="AD183" s="13"/>
      <c r="AE183" s="14"/>
      <c r="AF183" s="14"/>
      <c r="AG183" s="14"/>
      <c r="AH183" s="14"/>
      <c r="AI183" s="14"/>
      <c r="AJ183" s="14"/>
      <c r="AK183" s="14"/>
    </row>
    <row r="184" spans="1:37">
      <c r="A184" s="23"/>
      <c r="B184" s="13"/>
      <c r="C184" s="13"/>
      <c r="D184" s="13"/>
      <c r="E184" s="13"/>
      <c r="F184" s="13"/>
      <c r="G184" s="14"/>
      <c r="H184" s="14"/>
      <c r="I184" s="14"/>
      <c r="J184" s="14"/>
      <c r="K184" s="14"/>
      <c r="L184" s="14"/>
      <c r="M184" s="14"/>
      <c r="N184" s="13"/>
      <c r="O184" s="13"/>
      <c r="P184" s="13"/>
      <c r="Q184" s="13"/>
      <c r="R184" s="13"/>
      <c r="S184" s="14"/>
      <c r="T184" s="14"/>
      <c r="U184" s="14"/>
      <c r="V184" s="14"/>
      <c r="W184" s="14"/>
      <c r="X184" s="14"/>
      <c r="Y184" s="14"/>
      <c r="Z184" s="13"/>
      <c r="AA184" s="13"/>
      <c r="AB184" s="13"/>
      <c r="AC184" s="13"/>
      <c r="AD184" s="13"/>
      <c r="AE184" s="14"/>
      <c r="AF184" s="14"/>
      <c r="AG184" s="14"/>
      <c r="AH184" s="14"/>
      <c r="AI184" s="14"/>
      <c r="AJ184" s="14"/>
      <c r="AK184" s="14"/>
    </row>
    <row r="185" spans="1:37">
      <c r="A185" s="23"/>
      <c r="B185" s="13"/>
      <c r="C185" s="13"/>
      <c r="D185" s="13"/>
      <c r="E185" s="13"/>
      <c r="F185" s="13"/>
      <c r="G185" s="14"/>
      <c r="H185" s="14"/>
      <c r="I185" s="14"/>
      <c r="J185" s="14"/>
      <c r="K185" s="14"/>
      <c r="L185" s="14"/>
      <c r="M185" s="14"/>
      <c r="N185" s="13"/>
      <c r="O185" s="13"/>
      <c r="P185" s="13"/>
      <c r="Q185" s="13"/>
      <c r="R185" s="13"/>
      <c r="S185" s="14"/>
      <c r="T185" s="14"/>
      <c r="U185" s="14"/>
      <c r="V185" s="14"/>
      <c r="W185" s="14"/>
      <c r="X185" s="14"/>
      <c r="Y185" s="14"/>
      <c r="Z185" s="13"/>
      <c r="AA185" s="13"/>
      <c r="AB185" s="13"/>
      <c r="AC185" s="13"/>
      <c r="AD185" s="13"/>
      <c r="AE185" s="14"/>
      <c r="AF185" s="14"/>
      <c r="AG185" s="14"/>
      <c r="AH185" s="14"/>
      <c r="AI185" s="14"/>
      <c r="AJ185" s="14"/>
      <c r="AK185" s="14"/>
    </row>
    <row r="186" spans="1:37">
      <c r="A186" s="23"/>
      <c r="B186" s="13"/>
      <c r="C186" s="13"/>
      <c r="D186" s="13"/>
      <c r="E186" s="13"/>
      <c r="F186" s="13"/>
      <c r="G186" s="14"/>
      <c r="H186" s="14"/>
      <c r="I186" s="14"/>
      <c r="J186" s="14"/>
      <c r="K186" s="14"/>
      <c r="L186" s="14"/>
      <c r="M186" s="14"/>
      <c r="N186" s="13"/>
      <c r="O186" s="13"/>
      <c r="P186" s="13"/>
      <c r="Q186" s="13"/>
      <c r="R186" s="13"/>
      <c r="S186" s="14"/>
      <c r="T186" s="14"/>
      <c r="U186" s="14"/>
      <c r="V186" s="14"/>
      <c r="W186" s="14"/>
      <c r="X186" s="14"/>
      <c r="Y186" s="14"/>
      <c r="Z186" s="13"/>
      <c r="AA186" s="13"/>
      <c r="AB186" s="13"/>
      <c r="AC186" s="13"/>
      <c r="AD186" s="13"/>
      <c r="AE186" s="14"/>
      <c r="AF186" s="14"/>
      <c r="AG186" s="14"/>
      <c r="AH186" s="14"/>
      <c r="AI186" s="14"/>
      <c r="AJ186" s="14"/>
      <c r="AK186" s="14"/>
    </row>
    <row r="187" spans="1:37">
      <c r="A187" s="23"/>
      <c r="B187" s="13"/>
      <c r="C187" s="13"/>
      <c r="D187" s="13"/>
      <c r="E187" s="13"/>
      <c r="F187" s="13"/>
      <c r="G187" s="14"/>
      <c r="H187" s="14"/>
      <c r="I187" s="14"/>
      <c r="J187" s="14"/>
      <c r="K187" s="14"/>
      <c r="L187" s="14"/>
      <c r="M187" s="14"/>
      <c r="N187" s="13"/>
      <c r="O187" s="13"/>
      <c r="P187" s="13"/>
      <c r="Q187" s="13"/>
      <c r="R187" s="13"/>
      <c r="S187" s="14"/>
      <c r="T187" s="14"/>
      <c r="U187" s="14"/>
      <c r="V187" s="14"/>
      <c r="W187" s="14"/>
      <c r="X187" s="14"/>
      <c r="Y187" s="14"/>
      <c r="Z187" s="13"/>
      <c r="AA187" s="13"/>
      <c r="AB187" s="13"/>
      <c r="AC187" s="13"/>
      <c r="AD187" s="13"/>
      <c r="AE187" s="14"/>
      <c r="AF187" s="14"/>
      <c r="AG187" s="14"/>
      <c r="AH187" s="14"/>
      <c r="AI187" s="14"/>
      <c r="AJ187" s="14"/>
      <c r="AK187" s="14"/>
    </row>
    <row r="188" spans="1:37">
      <c r="A188" s="23"/>
      <c r="B188" s="13"/>
      <c r="C188" s="13"/>
      <c r="D188" s="13"/>
      <c r="E188" s="13"/>
      <c r="F188" s="13"/>
      <c r="G188" s="14"/>
      <c r="H188" s="14"/>
      <c r="I188" s="14"/>
      <c r="J188" s="14"/>
      <c r="K188" s="14"/>
      <c r="L188" s="14"/>
      <c r="M188" s="14"/>
      <c r="N188" s="13"/>
      <c r="O188" s="13"/>
      <c r="P188" s="13"/>
      <c r="Q188" s="13"/>
      <c r="R188" s="13"/>
      <c r="S188" s="14"/>
      <c r="T188" s="14"/>
      <c r="U188" s="14"/>
      <c r="V188" s="14"/>
      <c r="W188" s="14"/>
      <c r="X188" s="14"/>
      <c r="Y188" s="14"/>
      <c r="Z188" s="13"/>
      <c r="AA188" s="13"/>
      <c r="AB188" s="13"/>
      <c r="AC188" s="13"/>
      <c r="AD188" s="13"/>
      <c r="AE188" s="14"/>
      <c r="AF188" s="14"/>
      <c r="AG188" s="14"/>
      <c r="AH188" s="14"/>
      <c r="AI188" s="14"/>
      <c r="AJ188" s="14"/>
      <c r="AK188" s="14"/>
    </row>
    <row r="189" spans="1:37">
      <c r="A189" s="23"/>
      <c r="B189" s="13"/>
      <c r="C189" s="13"/>
      <c r="D189" s="13"/>
      <c r="E189" s="13"/>
      <c r="F189" s="13"/>
      <c r="G189" s="14"/>
      <c r="H189" s="14"/>
      <c r="I189" s="14"/>
      <c r="J189" s="14"/>
      <c r="K189" s="14"/>
      <c r="L189" s="14"/>
      <c r="M189" s="14"/>
      <c r="N189" s="13"/>
      <c r="O189" s="13"/>
      <c r="P189" s="13"/>
      <c r="Q189" s="13"/>
      <c r="R189" s="13"/>
      <c r="S189" s="14"/>
      <c r="T189" s="14"/>
      <c r="U189" s="14"/>
      <c r="V189" s="14"/>
      <c r="W189" s="14"/>
      <c r="X189" s="14"/>
      <c r="Y189" s="14"/>
      <c r="Z189" s="13"/>
      <c r="AA189" s="13"/>
      <c r="AB189" s="13"/>
      <c r="AC189" s="13"/>
      <c r="AD189" s="13"/>
      <c r="AE189" s="14"/>
      <c r="AF189" s="14"/>
      <c r="AG189" s="14"/>
      <c r="AH189" s="14"/>
      <c r="AI189" s="14"/>
      <c r="AJ189" s="14"/>
      <c r="AK189" s="14"/>
    </row>
    <row r="190" spans="1:37">
      <c r="A190" s="23"/>
      <c r="B190" s="13"/>
      <c r="C190" s="13"/>
      <c r="D190" s="13"/>
      <c r="E190" s="13"/>
      <c r="F190" s="13"/>
      <c r="G190" s="14"/>
      <c r="H190" s="14"/>
      <c r="I190" s="14"/>
      <c r="J190" s="14"/>
      <c r="K190" s="14"/>
      <c r="L190" s="14"/>
      <c r="M190" s="14"/>
      <c r="N190" s="13"/>
      <c r="O190" s="13"/>
      <c r="P190" s="13"/>
      <c r="Q190" s="13"/>
      <c r="R190" s="13"/>
      <c r="S190" s="14"/>
      <c r="T190" s="14"/>
      <c r="U190" s="14"/>
      <c r="V190" s="14"/>
      <c r="W190" s="14"/>
      <c r="X190" s="14"/>
      <c r="Y190" s="14"/>
      <c r="Z190" s="13"/>
      <c r="AA190" s="13"/>
      <c r="AB190" s="13"/>
      <c r="AC190" s="13"/>
      <c r="AD190" s="13"/>
      <c r="AE190" s="14"/>
      <c r="AF190" s="14"/>
      <c r="AG190" s="14"/>
      <c r="AH190" s="14"/>
      <c r="AI190" s="14"/>
      <c r="AJ190" s="14"/>
      <c r="AK190" s="14"/>
    </row>
    <row r="191" spans="1:37">
      <c r="A191" s="23"/>
      <c r="B191" s="13"/>
      <c r="C191" s="13"/>
      <c r="D191" s="13"/>
      <c r="E191" s="13"/>
      <c r="F191" s="13"/>
      <c r="G191" s="14"/>
      <c r="H191" s="14"/>
      <c r="I191" s="14"/>
      <c r="J191" s="14"/>
      <c r="K191" s="14"/>
      <c r="L191" s="14"/>
      <c r="M191" s="14"/>
      <c r="N191" s="13"/>
      <c r="O191" s="13"/>
      <c r="P191" s="13"/>
      <c r="Q191" s="13"/>
      <c r="R191" s="13"/>
      <c r="S191" s="14"/>
      <c r="T191" s="14"/>
      <c r="U191" s="14"/>
      <c r="V191" s="14"/>
      <c r="W191" s="14"/>
      <c r="X191" s="14"/>
      <c r="Y191" s="14"/>
      <c r="Z191" s="13"/>
      <c r="AA191" s="13"/>
      <c r="AB191" s="13"/>
      <c r="AC191" s="13"/>
      <c r="AD191" s="13"/>
      <c r="AE191" s="14"/>
      <c r="AF191" s="14"/>
      <c r="AG191" s="14"/>
      <c r="AH191" s="14"/>
      <c r="AI191" s="14"/>
      <c r="AJ191" s="14"/>
      <c r="AK191" s="14"/>
    </row>
    <row r="192" spans="1:37">
      <c r="A192" s="23"/>
      <c r="B192" s="13"/>
      <c r="C192" s="13"/>
      <c r="D192" s="13"/>
      <c r="E192" s="13"/>
      <c r="F192" s="13"/>
      <c r="G192" s="14"/>
      <c r="H192" s="14"/>
      <c r="I192" s="14"/>
      <c r="J192" s="14"/>
      <c r="K192" s="14"/>
      <c r="L192" s="14"/>
      <c r="M192" s="14"/>
      <c r="N192" s="13"/>
      <c r="O192" s="13"/>
      <c r="P192" s="13"/>
      <c r="Q192" s="13"/>
      <c r="R192" s="13"/>
      <c r="S192" s="14"/>
      <c r="T192" s="14"/>
      <c r="U192" s="14"/>
      <c r="V192" s="14"/>
      <c r="W192" s="14"/>
      <c r="X192" s="14"/>
      <c r="Y192" s="14"/>
      <c r="Z192" s="13"/>
      <c r="AA192" s="13"/>
      <c r="AB192" s="13"/>
      <c r="AC192" s="13"/>
      <c r="AD192" s="13"/>
      <c r="AE192" s="14"/>
      <c r="AF192" s="14"/>
      <c r="AG192" s="14"/>
      <c r="AH192" s="14"/>
      <c r="AI192" s="14"/>
      <c r="AJ192" s="14"/>
      <c r="AK192" s="14"/>
    </row>
    <row r="193" spans="1:37">
      <c r="A193" s="23"/>
      <c r="B193" s="13"/>
      <c r="C193" s="13"/>
      <c r="D193" s="13"/>
      <c r="E193" s="13"/>
      <c r="F193" s="13"/>
      <c r="G193" s="14"/>
      <c r="H193" s="14"/>
      <c r="I193" s="14"/>
      <c r="J193" s="14"/>
      <c r="K193" s="14"/>
      <c r="L193" s="14"/>
      <c r="M193" s="14"/>
      <c r="N193" s="13"/>
      <c r="O193" s="13"/>
      <c r="P193" s="13"/>
      <c r="Q193" s="13"/>
      <c r="R193" s="13"/>
      <c r="S193" s="14"/>
      <c r="T193" s="14"/>
      <c r="U193" s="14"/>
      <c r="V193" s="14"/>
      <c r="W193" s="14"/>
      <c r="X193" s="14"/>
      <c r="Y193" s="14"/>
      <c r="Z193" s="13"/>
      <c r="AA193" s="13"/>
      <c r="AB193" s="13"/>
      <c r="AC193" s="13"/>
      <c r="AD193" s="13"/>
      <c r="AE193" s="14"/>
      <c r="AF193" s="14"/>
      <c r="AG193" s="14"/>
      <c r="AH193" s="14"/>
      <c r="AI193" s="14"/>
      <c r="AJ193" s="14"/>
      <c r="AK193" s="14"/>
    </row>
    <row r="194" spans="1:37">
      <c r="A194" s="23"/>
      <c r="B194" s="13"/>
      <c r="C194" s="13"/>
      <c r="D194" s="13"/>
      <c r="E194" s="13"/>
      <c r="F194" s="13"/>
      <c r="G194" s="14"/>
      <c r="H194" s="14"/>
      <c r="I194" s="14"/>
      <c r="J194" s="14"/>
      <c r="K194" s="14"/>
      <c r="L194" s="14"/>
      <c r="M194" s="14"/>
      <c r="N194" s="13"/>
      <c r="O194" s="13"/>
      <c r="P194" s="13"/>
      <c r="Q194" s="13"/>
      <c r="R194" s="13"/>
      <c r="S194" s="14"/>
      <c r="T194" s="14"/>
      <c r="U194" s="14"/>
      <c r="V194" s="14"/>
      <c r="W194" s="14"/>
      <c r="X194" s="14"/>
      <c r="Y194" s="14"/>
      <c r="Z194" s="13"/>
      <c r="AA194" s="13"/>
      <c r="AB194" s="13"/>
      <c r="AC194" s="13"/>
      <c r="AD194" s="13"/>
      <c r="AE194" s="14"/>
      <c r="AF194" s="14"/>
      <c r="AG194" s="14"/>
      <c r="AH194" s="14"/>
      <c r="AI194" s="14"/>
      <c r="AJ194" s="14"/>
      <c r="AK194" s="14"/>
    </row>
    <row r="195" spans="1:37">
      <c r="A195" s="23"/>
      <c r="B195" s="13"/>
      <c r="C195" s="13"/>
      <c r="D195" s="13"/>
      <c r="E195" s="13"/>
      <c r="F195" s="13"/>
      <c r="G195" s="14"/>
      <c r="H195" s="14"/>
      <c r="I195" s="14"/>
      <c r="J195" s="14"/>
      <c r="K195" s="14"/>
      <c r="L195" s="14"/>
      <c r="M195" s="14"/>
      <c r="N195" s="13"/>
      <c r="O195" s="13"/>
      <c r="P195" s="13"/>
      <c r="Q195" s="13"/>
      <c r="R195" s="13"/>
      <c r="S195" s="14"/>
      <c r="T195" s="14"/>
      <c r="U195" s="14"/>
      <c r="V195" s="14"/>
      <c r="W195" s="14"/>
      <c r="X195" s="14"/>
      <c r="Y195" s="14"/>
      <c r="Z195" s="13"/>
      <c r="AA195" s="13"/>
      <c r="AB195" s="13"/>
      <c r="AC195" s="13"/>
      <c r="AD195" s="13"/>
      <c r="AE195" s="14"/>
      <c r="AF195" s="14"/>
      <c r="AG195" s="14"/>
      <c r="AH195" s="14"/>
      <c r="AI195" s="14"/>
      <c r="AJ195" s="14"/>
      <c r="AK195" s="14"/>
    </row>
    <row r="196" spans="1:37">
      <c r="A196" s="23"/>
      <c r="B196" s="13"/>
      <c r="C196" s="13"/>
      <c r="D196" s="13"/>
      <c r="E196" s="13"/>
      <c r="F196" s="13"/>
      <c r="G196" s="14"/>
      <c r="H196" s="14"/>
      <c r="I196" s="14"/>
      <c r="J196" s="14"/>
      <c r="K196" s="14"/>
      <c r="L196" s="14"/>
      <c r="M196" s="14"/>
      <c r="N196" s="13"/>
      <c r="O196" s="13"/>
      <c r="P196" s="13"/>
      <c r="Q196" s="13"/>
      <c r="R196" s="13"/>
      <c r="S196" s="14"/>
      <c r="T196" s="14"/>
      <c r="U196" s="14"/>
      <c r="V196" s="14"/>
      <c r="W196" s="14"/>
      <c r="X196" s="14"/>
      <c r="Y196" s="14"/>
      <c r="Z196" s="13"/>
      <c r="AA196" s="13"/>
      <c r="AB196" s="13"/>
      <c r="AC196" s="13"/>
      <c r="AD196" s="13"/>
      <c r="AE196" s="14"/>
      <c r="AF196" s="14"/>
      <c r="AG196" s="14"/>
      <c r="AH196" s="14"/>
      <c r="AI196" s="14"/>
      <c r="AJ196" s="14"/>
      <c r="AK196" s="14"/>
    </row>
    <row r="197" spans="1:37">
      <c r="A197" s="23"/>
      <c r="B197" s="13"/>
      <c r="C197" s="13"/>
      <c r="D197" s="13"/>
      <c r="E197" s="13"/>
      <c r="F197" s="13"/>
      <c r="G197" s="14"/>
      <c r="H197" s="14"/>
      <c r="I197" s="14"/>
      <c r="J197" s="14"/>
      <c r="K197" s="14"/>
      <c r="L197" s="14"/>
      <c r="M197" s="14"/>
      <c r="N197" s="13"/>
      <c r="O197" s="13"/>
      <c r="P197" s="13"/>
      <c r="Q197" s="13"/>
      <c r="R197" s="13"/>
      <c r="S197" s="14"/>
      <c r="T197" s="14"/>
      <c r="U197" s="14"/>
      <c r="V197" s="14"/>
      <c r="W197" s="14"/>
      <c r="X197" s="14"/>
      <c r="Y197" s="14"/>
      <c r="Z197" s="13"/>
      <c r="AA197" s="13"/>
      <c r="AB197" s="13"/>
      <c r="AC197" s="13"/>
      <c r="AD197" s="13"/>
      <c r="AE197" s="14"/>
      <c r="AF197" s="14"/>
      <c r="AG197" s="14"/>
      <c r="AH197" s="14"/>
      <c r="AI197" s="14"/>
      <c r="AJ197" s="14"/>
      <c r="AK197" s="14"/>
    </row>
    <row r="198" spans="1:37">
      <c r="A198" s="23"/>
      <c r="B198" s="13"/>
      <c r="C198" s="13"/>
      <c r="D198" s="13"/>
      <c r="E198" s="13"/>
      <c r="F198" s="13"/>
      <c r="G198" s="14"/>
      <c r="H198" s="14"/>
      <c r="I198" s="14"/>
      <c r="J198" s="14"/>
      <c r="K198" s="14"/>
      <c r="L198" s="14"/>
      <c r="M198" s="14"/>
      <c r="N198" s="13"/>
      <c r="O198" s="13"/>
      <c r="P198" s="13"/>
      <c r="Q198" s="13"/>
      <c r="R198" s="13"/>
      <c r="S198" s="14"/>
      <c r="T198" s="14"/>
      <c r="U198" s="14"/>
      <c r="V198" s="14"/>
      <c r="W198" s="14"/>
      <c r="X198" s="14"/>
      <c r="Y198" s="14"/>
      <c r="Z198" s="13"/>
      <c r="AA198" s="13"/>
      <c r="AB198" s="13"/>
      <c r="AC198" s="13"/>
      <c r="AD198" s="13"/>
      <c r="AE198" s="14"/>
      <c r="AF198" s="14"/>
      <c r="AG198" s="14"/>
      <c r="AH198" s="14"/>
      <c r="AI198" s="14"/>
      <c r="AJ198" s="14"/>
      <c r="AK198" s="14"/>
    </row>
    <row r="199" spans="1:37">
      <c r="A199" s="23"/>
      <c r="B199" s="13"/>
      <c r="C199" s="13"/>
      <c r="D199" s="13"/>
      <c r="E199" s="13"/>
      <c r="F199" s="13"/>
      <c r="G199" s="14"/>
      <c r="H199" s="14"/>
      <c r="I199" s="14"/>
      <c r="J199" s="14"/>
      <c r="K199" s="14"/>
      <c r="L199" s="14"/>
      <c r="M199" s="14"/>
      <c r="N199" s="13"/>
      <c r="O199" s="13"/>
      <c r="P199" s="13"/>
      <c r="Q199" s="13"/>
      <c r="R199" s="13"/>
      <c r="S199" s="14"/>
      <c r="T199" s="14"/>
      <c r="U199" s="14"/>
      <c r="V199" s="14"/>
      <c r="W199" s="14"/>
      <c r="X199" s="14"/>
      <c r="Y199" s="14"/>
      <c r="Z199" s="13"/>
      <c r="AA199" s="13"/>
      <c r="AB199" s="13"/>
      <c r="AC199" s="13"/>
      <c r="AD199" s="13"/>
      <c r="AE199" s="14"/>
      <c r="AF199" s="14"/>
      <c r="AG199" s="14"/>
      <c r="AH199" s="14"/>
      <c r="AI199" s="14"/>
      <c r="AJ199" s="14"/>
      <c r="AK199" s="14"/>
    </row>
    <row r="200" spans="1:37">
      <c r="A200" s="23"/>
      <c r="B200" s="13"/>
      <c r="C200" s="13"/>
      <c r="D200" s="13"/>
      <c r="E200" s="13"/>
      <c r="F200" s="13"/>
      <c r="G200" s="14"/>
      <c r="H200" s="14"/>
      <c r="I200" s="14"/>
      <c r="J200" s="14"/>
      <c r="K200" s="14"/>
      <c r="L200" s="14"/>
      <c r="M200" s="14"/>
      <c r="N200" s="13"/>
      <c r="O200" s="13"/>
      <c r="P200" s="13"/>
      <c r="Q200" s="13"/>
      <c r="R200" s="13"/>
      <c r="S200" s="14"/>
      <c r="T200" s="14"/>
      <c r="U200" s="14"/>
      <c r="V200" s="14"/>
      <c r="W200" s="14"/>
      <c r="X200" s="14"/>
      <c r="Y200" s="14"/>
      <c r="Z200" s="13"/>
      <c r="AA200" s="13"/>
      <c r="AB200" s="13"/>
      <c r="AC200" s="13"/>
      <c r="AD200" s="13"/>
      <c r="AE200" s="14"/>
      <c r="AF200" s="14"/>
      <c r="AG200" s="14"/>
      <c r="AH200" s="14"/>
      <c r="AI200" s="14"/>
      <c r="AJ200" s="14"/>
      <c r="AK200" s="14"/>
    </row>
    <row r="201" spans="1:37">
      <c r="A201" s="23"/>
      <c r="B201" s="13"/>
      <c r="C201" s="13"/>
      <c r="D201" s="13"/>
      <c r="E201" s="13"/>
      <c r="F201" s="13"/>
      <c r="G201" s="14"/>
      <c r="H201" s="14"/>
      <c r="I201" s="14"/>
      <c r="J201" s="14"/>
      <c r="K201" s="14"/>
      <c r="L201" s="14"/>
      <c r="M201" s="14"/>
      <c r="N201" s="13"/>
      <c r="O201" s="13"/>
      <c r="P201" s="13"/>
      <c r="Q201" s="13"/>
      <c r="R201" s="13"/>
      <c r="S201" s="14"/>
      <c r="T201" s="14"/>
      <c r="U201" s="14"/>
      <c r="V201" s="14"/>
      <c r="W201" s="14"/>
      <c r="X201" s="14"/>
      <c r="Y201" s="14"/>
      <c r="Z201" s="13"/>
      <c r="AA201" s="13"/>
      <c r="AB201" s="13"/>
      <c r="AC201" s="13"/>
      <c r="AD201" s="13"/>
      <c r="AE201" s="14"/>
      <c r="AF201" s="14"/>
      <c r="AG201" s="14"/>
      <c r="AH201" s="14"/>
      <c r="AI201" s="14"/>
      <c r="AJ201" s="14"/>
      <c r="AK201" s="14"/>
    </row>
    <row r="202" spans="1:37">
      <c r="A202" s="23"/>
      <c r="B202" s="13"/>
      <c r="C202" s="13"/>
      <c r="D202" s="13"/>
      <c r="E202" s="13"/>
      <c r="F202" s="13"/>
      <c r="G202" s="14"/>
      <c r="H202" s="14"/>
      <c r="I202" s="14"/>
      <c r="J202" s="14"/>
      <c r="K202" s="14"/>
      <c r="L202" s="14"/>
      <c r="M202" s="14"/>
      <c r="N202" s="13"/>
      <c r="O202" s="13"/>
      <c r="P202" s="13"/>
      <c r="Q202" s="13"/>
      <c r="R202" s="13"/>
      <c r="S202" s="14"/>
      <c r="T202" s="14"/>
      <c r="U202" s="14"/>
      <c r="V202" s="14"/>
      <c r="W202" s="14"/>
      <c r="X202" s="14"/>
      <c r="Y202" s="14"/>
      <c r="Z202" s="13"/>
      <c r="AA202" s="13"/>
      <c r="AB202" s="13"/>
      <c r="AC202" s="13"/>
      <c r="AD202" s="13"/>
      <c r="AE202" s="14"/>
      <c r="AF202" s="14"/>
      <c r="AG202" s="14"/>
      <c r="AH202" s="14"/>
      <c r="AI202" s="14"/>
      <c r="AJ202" s="14"/>
      <c r="AK202" s="14"/>
    </row>
    <row r="203" spans="1:37">
      <c r="A203" s="23"/>
      <c r="B203" s="13"/>
      <c r="C203" s="13"/>
      <c r="D203" s="13"/>
      <c r="E203" s="13"/>
      <c r="F203" s="13"/>
      <c r="G203" s="14"/>
      <c r="H203" s="14"/>
      <c r="I203" s="14"/>
      <c r="J203" s="14"/>
      <c r="K203" s="14"/>
      <c r="L203" s="14"/>
      <c r="M203" s="14"/>
      <c r="N203" s="13"/>
      <c r="O203" s="13"/>
      <c r="P203" s="13"/>
      <c r="Q203" s="13"/>
      <c r="R203" s="13"/>
      <c r="S203" s="14"/>
      <c r="T203" s="14"/>
      <c r="U203" s="14"/>
      <c r="V203" s="14"/>
      <c r="W203" s="14"/>
      <c r="X203" s="14"/>
      <c r="Y203" s="14"/>
      <c r="Z203" s="13"/>
      <c r="AA203" s="13"/>
      <c r="AB203" s="13"/>
      <c r="AC203" s="13"/>
      <c r="AD203" s="13"/>
      <c r="AE203" s="14"/>
      <c r="AF203" s="14"/>
      <c r="AG203" s="14"/>
      <c r="AH203" s="14"/>
      <c r="AI203" s="14"/>
      <c r="AJ203" s="14"/>
      <c r="AK203" s="14"/>
    </row>
    <row r="204" spans="1:37">
      <c r="A204" s="23"/>
      <c r="B204" s="13"/>
      <c r="C204" s="13"/>
      <c r="D204" s="13"/>
      <c r="E204" s="13"/>
      <c r="F204" s="13"/>
      <c r="G204" s="14"/>
      <c r="H204" s="14"/>
      <c r="I204" s="14"/>
      <c r="J204" s="14"/>
      <c r="K204" s="14"/>
      <c r="L204" s="14"/>
      <c r="M204" s="14"/>
      <c r="N204" s="13"/>
      <c r="O204" s="13"/>
      <c r="P204" s="13"/>
      <c r="Q204" s="13"/>
      <c r="R204" s="13"/>
      <c r="S204" s="14"/>
      <c r="T204" s="14"/>
      <c r="U204" s="14"/>
      <c r="V204" s="14"/>
      <c r="W204" s="14"/>
      <c r="X204" s="14"/>
      <c r="Y204" s="14"/>
      <c r="Z204" s="13"/>
      <c r="AA204" s="13"/>
      <c r="AB204" s="13"/>
      <c r="AC204" s="13"/>
      <c r="AD204" s="13"/>
      <c r="AE204" s="14"/>
      <c r="AF204" s="14"/>
      <c r="AG204" s="14"/>
      <c r="AH204" s="14"/>
      <c r="AI204" s="14"/>
      <c r="AJ204" s="14"/>
      <c r="AK204" s="14"/>
    </row>
    <row r="205" spans="1:37">
      <c r="A205" s="23"/>
      <c r="B205" s="13"/>
      <c r="C205" s="13"/>
      <c r="D205" s="13"/>
      <c r="E205" s="13"/>
      <c r="F205" s="13"/>
      <c r="G205" s="14"/>
      <c r="H205" s="14"/>
      <c r="I205" s="14"/>
      <c r="J205" s="14"/>
      <c r="K205" s="14"/>
      <c r="L205" s="14"/>
      <c r="M205" s="14"/>
      <c r="N205" s="13"/>
      <c r="O205" s="13"/>
      <c r="P205" s="13"/>
      <c r="Q205" s="13"/>
      <c r="R205" s="13"/>
      <c r="S205" s="14"/>
      <c r="T205" s="14"/>
      <c r="U205" s="14"/>
      <c r="V205" s="14"/>
      <c r="W205" s="14"/>
      <c r="X205" s="14"/>
      <c r="Y205" s="14"/>
      <c r="Z205" s="13"/>
      <c r="AA205" s="13"/>
      <c r="AB205" s="13"/>
      <c r="AC205" s="13"/>
      <c r="AD205" s="13"/>
      <c r="AE205" s="14"/>
      <c r="AF205" s="14"/>
      <c r="AG205" s="14"/>
      <c r="AH205" s="14"/>
      <c r="AI205" s="14"/>
      <c r="AJ205" s="14"/>
      <c r="AK205" s="14"/>
    </row>
    <row r="206" spans="1:37">
      <c r="A206" s="23"/>
      <c r="B206" s="13"/>
      <c r="C206" s="13"/>
      <c r="D206" s="13"/>
      <c r="E206" s="13"/>
      <c r="F206" s="13"/>
      <c r="G206" s="14"/>
      <c r="H206" s="14"/>
      <c r="I206" s="14"/>
      <c r="J206" s="14"/>
      <c r="K206" s="14"/>
      <c r="L206" s="14"/>
      <c r="M206" s="14"/>
      <c r="N206" s="13"/>
      <c r="O206" s="13"/>
      <c r="P206" s="13"/>
      <c r="Q206" s="13"/>
      <c r="R206" s="13"/>
      <c r="S206" s="14"/>
      <c r="T206" s="14"/>
      <c r="U206" s="14"/>
      <c r="V206" s="14"/>
      <c r="W206" s="14"/>
      <c r="X206" s="14"/>
      <c r="Y206" s="14"/>
      <c r="Z206" s="13"/>
      <c r="AA206" s="13"/>
      <c r="AB206" s="13"/>
      <c r="AC206" s="13"/>
      <c r="AD206" s="13"/>
      <c r="AE206" s="14"/>
      <c r="AF206" s="14"/>
      <c r="AG206" s="14"/>
      <c r="AH206" s="14"/>
      <c r="AI206" s="14"/>
      <c r="AJ206" s="14"/>
      <c r="AK206" s="14"/>
    </row>
    <row r="207" spans="1:37">
      <c r="A207" s="23"/>
      <c r="B207" s="13"/>
      <c r="C207" s="13"/>
      <c r="D207" s="13"/>
      <c r="E207" s="13"/>
      <c r="F207" s="13"/>
      <c r="G207" s="14"/>
      <c r="H207" s="14"/>
      <c r="I207" s="14"/>
      <c r="J207" s="14"/>
      <c r="K207" s="14"/>
      <c r="L207" s="14"/>
      <c r="M207" s="14"/>
      <c r="N207" s="13"/>
      <c r="O207" s="13"/>
      <c r="P207" s="13"/>
      <c r="Q207" s="13"/>
      <c r="R207" s="13"/>
      <c r="S207" s="14"/>
      <c r="T207" s="14"/>
      <c r="U207" s="14"/>
      <c r="V207" s="14"/>
      <c r="W207" s="14"/>
      <c r="X207" s="14"/>
      <c r="Y207" s="14"/>
      <c r="Z207" s="13"/>
      <c r="AA207" s="13"/>
      <c r="AB207" s="13"/>
      <c r="AC207" s="13"/>
      <c r="AD207" s="13"/>
      <c r="AE207" s="14"/>
      <c r="AF207" s="14"/>
      <c r="AG207" s="14"/>
      <c r="AH207" s="14"/>
      <c r="AI207" s="14"/>
      <c r="AJ207" s="14"/>
      <c r="AK207" s="14"/>
    </row>
    <row r="208" spans="1:37">
      <c r="A208" s="23"/>
      <c r="B208" s="13"/>
      <c r="C208" s="13"/>
      <c r="D208" s="13"/>
      <c r="E208" s="13"/>
      <c r="F208" s="13"/>
      <c r="G208" s="14"/>
      <c r="H208" s="14"/>
      <c r="I208" s="14"/>
      <c r="J208" s="14"/>
      <c r="K208" s="14"/>
      <c r="L208" s="14"/>
      <c r="M208" s="14"/>
      <c r="N208" s="13"/>
      <c r="O208" s="13"/>
      <c r="P208" s="13"/>
      <c r="Q208" s="13"/>
      <c r="R208" s="13"/>
      <c r="S208" s="14"/>
      <c r="T208" s="14"/>
      <c r="U208" s="14"/>
      <c r="V208" s="14"/>
      <c r="W208" s="14"/>
      <c r="X208" s="14"/>
      <c r="Y208" s="14"/>
      <c r="Z208" s="13"/>
      <c r="AA208" s="13"/>
      <c r="AB208" s="13"/>
      <c r="AC208" s="13"/>
      <c r="AD208" s="13"/>
      <c r="AE208" s="14"/>
      <c r="AF208" s="14"/>
      <c r="AG208" s="14"/>
      <c r="AH208" s="14"/>
      <c r="AI208" s="14"/>
      <c r="AJ208" s="14"/>
      <c r="AK208" s="14"/>
    </row>
    <row r="209" spans="1:37">
      <c r="A209" s="23"/>
      <c r="B209" s="13"/>
      <c r="C209" s="13"/>
      <c r="D209" s="13"/>
      <c r="E209" s="13"/>
      <c r="F209" s="13"/>
      <c r="G209" s="14"/>
      <c r="H209" s="14"/>
      <c r="I209" s="14"/>
      <c r="J209" s="14"/>
      <c r="K209" s="14"/>
      <c r="L209" s="14"/>
      <c r="M209" s="14"/>
      <c r="N209" s="13"/>
      <c r="O209" s="13"/>
      <c r="P209" s="13"/>
      <c r="Q209" s="13"/>
      <c r="R209" s="13"/>
      <c r="S209" s="14"/>
      <c r="T209" s="14"/>
      <c r="U209" s="14"/>
      <c r="V209" s="14"/>
      <c r="W209" s="14"/>
      <c r="X209" s="14"/>
      <c r="Y209" s="14"/>
      <c r="Z209" s="13"/>
      <c r="AA209" s="13"/>
      <c r="AB209" s="13"/>
      <c r="AC209" s="13"/>
      <c r="AD209" s="13"/>
      <c r="AE209" s="14"/>
      <c r="AF209" s="14"/>
      <c r="AG209" s="14"/>
      <c r="AH209" s="14"/>
      <c r="AI209" s="14"/>
      <c r="AJ209" s="14"/>
      <c r="AK209" s="14"/>
    </row>
    <row r="210" spans="1:37">
      <c r="A210" s="23"/>
      <c r="B210" s="13"/>
      <c r="C210" s="13"/>
      <c r="D210" s="13"/>
      <c r="E210" s="13"/>
      <c r="F210" s="13"/>
      <c r="G210" s="14"/>
      <c r="H210" s="14"/>
      <c r="I210" s="14"/>
      <c r="J210" s="14"/>
      <c r="K210" s="14"/>
      <c r="L210" s="14"/>
      <c r="M210" s="14"/>
      <c r="N210" s="13"/>
      <c r="O210" s="13"/>
      <c r="P210" s="13"/>
      <c r="Q210" s="13"/>
      <c r="R210" s="13"/>
      <c r="S210" s="14"/>
      <c r="T210" s="14"/>
      <c r="U210" s="14"/>
      <c r="V210" s="14"/>
      <c r="W210" s="14"/>
      <c r="X210" s="14"/>
      <c r="Y210" s="14"/>
      <c r="Z210" s="13"/>
      <c r="AA210" s="13"/>
      <c r="AB210" s="13"/>
      <c r="AC210" s="13"/>
      <c r="AD210" s="13"/>
      <c r="AE210" s="14"/>
      <c r="AF210" s="14"/>
      <c r="AG210" s="14"/>
      <c r="AH210" s="14"/>
      <c r="AI210" s="14"/>
      <c r="AJ210" s="14"/>
      <c r="AK210" s="14"/>
    </row>
    <row r="211" spans="1:37">
      <c r="A211" s="23"/>
      <c r="B211" s="13"/>
      <c r="C211" s="13"/>
      <c r="D211" s="13"/>
      <c r="E211" s="13"/>
      <c r="F211" s="13"/>
      <c r="G211" s="14"/>
      <c r="H211" s="14"/>
      <c r="I211" s="14"/>
      <c r="J211" s="14"/>
      <c r="K211" s="14"/>
      <c r="L211" s="14"/>
      <c r="M211" s="14"/>
      <c r="N211" s="13"/>
      <c r="O211" s="13"/>
      <c r="P211" s="13"/>
      <c r="Q211" s="13"/>
      <c r="R211" s="13"/>
      <c r="S211" s="14"/>
      <c r="T211" s="14"/>
      <c r="U211" s="14"/>
      <c r="V211" s="14"/>
      <c r="W211" s="14"/>
      <c r="X211" s="14"/>
      <c r="Y211" s="14"/>
      <c r="Z211" s="13"/>
      <c r="AA211" s="13"/>
      <c r="AB211" s="13"/>
      <c r="AC211" s="13"/>
      <c r="AD211" s="13"/>
      <c r="AE211" s="14"/>
      <c r="AF211" s="14"/>
      <c r="AG211" s="14"/>
      <c r="AH211" s="14"/>
      <c r="AI211" s="14"/>
      <c r="AJ211" s="14"/>
      <c r="AK211" s="14"/>
    </row>
    <row r="212" spans="1:37">
      <c r="A212" s="23"/>
      <c r="B212" s="13"/>
      <c r="C212" s="13"/>
      <c r="D212" s="13"/>
      <c r="E212" s="13"/>
      <c r="F212" s="13"/>
      <c r="G212" s="14"/>
      <c r="H212" s="14"/>
      <c r="I212" s="14"/>
      <c r="J212" s="14"/>
      <c r="K212" s="14"/>
      <c r="L212" s="14"/>
      <c r="M212" s="14"/>
      <c r="N212" s="13"/>
      <c r="O212" s="13"/>
      <c r="P212" s="13"/>
      <c r="Q212" s="13"/>
      <c r="R212" s="13"/>
      <c r="S212" s="14"/>
      <c r="T212" s="14"/>
      <c r="U212" s="14"/>
      <c r="V212" s="14"/>
      <c r="W212" s="14"/>
      <c r="X212" s="14"/>
      <c r="Y212" s="14"/>
      <c r="Z212" s="13"/>
      <c r="AA212" s="13"/>
      <c r="AB212" s="13"/>
      <c r="AC212" s="13"/>
      <c r="AD212" s="13"/>
      <c r="AE212" s="14"/>
      <c r="AF212" s="14"/>
      <c r="AG212" s="14"/>
      <c r="AH212" s="14"/>
      <c r="AI212" s="14"/>
      <c r="AJ212" s="14"/>
      <c r="AK212" s="14"/>
    </row>
    <row r="213" spans="1:37">
      <c r="A213" s="23"/>
      <c r="B213" s="13"/>
      <c r="C213" s="13"/>
      <c r="D213" s="13"/>
      <c r="E213" s="13"/>
      <c r="F213" s="13"/>
      <c r="G213" s="14"/>
      <c r="H213" s="14"/>
      <c r="I213" s="14"/>
      <c r="J213" s="14"/>
      <c r="K213" s="14"/>
      <c r="L213" s="14"/>
      <c r="M213" s="14"/>
      <c r="N213" s="13"/>
      <c r="O213" s="13"/>
      <c r="P213" s="13"/>
      <c r="Q213" s="13"/>
      <c r="R213" s="13"/>
      <c r="S213" s="14"/>
      <c r="T213" s="14"/>
      <c r="U213" s="14"/>
      <c r="V213" s="14"/>
      <c r="W213" s="14"/>
      <c r="X213" s="14"/>
      <c r="Y213" s="14"/>
      <c r="Z213" s="13"/>
      <c r="AA213" s="13"/>
      <c r="AB213" s="13"/>
      <c r="AC213" s="13"/>
      <c r="AD213" s="13"/>
      <c r="AE213" s="14"/>
      <c r="AF213" s="14"/>
      <c r="AG213" s="14"/>
      <c r="AH213" s="14"/>
      <c r="AI213" s="14"/>
      <c r="AJ213" s="14"/>
      <c r="AK213" s="14"/>
    </row>
    <row r="214" spans="1:37">
      <c r="A214" s="23"/>
      <c r="B214" s="13"/>
      <c r="C214" s="13"/>
      <c r="D214" s="13"/>
      <c r="E214" s="13"/>
      <c r="F214" s="13"/>
      <c r="G214" s="14"/>
      <c r="H214" s="14"/>
      <c r="I214" s="14"/>
      <c r="J214" s="14"/>
      <c r="K214" s="14"/>
      <c r="L214" s="14"/>
      <c r="M214" s="14"/>
      <c r="N214" s="13"/>
      <c r="O214" s="13"/>
      <c r="P214" s="13"/>
      <c r="Q214" s="13"/>
      <c r="R214" s="13"/>
      <c r="S214" s="14"/>
      <c r="T214" s="14"/>
      <c r="U214" s="14"/>
      <c r="V214" s="14"/>
      <c r="W214" s="14"/>
      <c r="X214" s="14"/>
      <c r="Y214" s="14"/>
      <c r="Z214" s="13"/>
      <c r="AA214" s="13"/>
      <c r="AB214" s="13"/>
      <c r="AC214" s="13"/>
      <c r="AD214" s="13"/>
      <c r="AE214" s="14"/>
      <c r="AF214" s="14"/>
      <c r="AG214" s="14"/>
      <c r="AH214" s="14"/>
      <c r="AI214" s="14"/>
      <c r="AJ214" s="14"/>
      <c r="AK214" s="14"/>
    </row>
    <row r="215" spans="1:37">
      <c r="A215" s="23"/>
      <c r="B215" s="13"/>
      <c r="C215" s="13"/>
      <c r="D215" s="13"/>
      <c r="E215" s="13"/>
      <c r="F215" s="13"/>
      <c r="G215" s="14"/>
      <c r="H215" s="14"/>
      <c r="I215" s="14"/>
      <c r="J215" s="14"/>
      <c r="K215" s="14"/>
      <c r="L215" s="14"/>
      <c r="M215" s="14"/>
      <c r="N215" s="13"/>
      <c r="O215" s="13"/>
      <c r="P215" s="13"/>
      <c r="Q215" s="13"/>
      <c r="R215" s="13"/>
      <c r="S215" s="14"/>
      <c r="T215" s="14"/>
      <c r="U215" s="14"/>
      <c r="V215" s="14"/>
      <c r="W215" s="14"/>
      <c r="X215" s="14"/>
      <c r="Y215" s="14"/>
      <c r="Z215" s="13"/>
      <c r="AA215" s="13"/>
      <c r="AB215" s="13"/>
      <c r="AC215" s="13"/>
      <c r="AD215" s="13"/>
      <c r="AE215" s="14"/>
      <c r="AF215" s="14"/>
      <c r="AG215" s="14"/>
      <c r="AH215" s="14"/>
      <c r="AI215" s="14"/>
      <c r="AJ215" s="14"/>
      <c r="AK215" s="14"/>
    </row>
    <row r="216" spans="1:37">
      <c r="A216" s="23"/>
      <c r="B216" s="13"/>
      <c r="C216" s="13"/>
      <c r="D216" s="13"/>
      <c r="E216" s="13"/>
      <c r="F216" s="13"/>
      <c r="G216" s="14"/>
      <c r="H216" s="14"/>
      <c r="I216" s="14"/>
      <c r="J216" s="14"/>
      <c r="K216" s="14"/>
      <c r="L216" s="14"/>
      <c r="M216" s="14"/>
      <c r="N216" s="13"/>
      <c r="O216" s="13"/>
      <c r="P216" s="13"/>
      <c r="Q216" s="13"/>
      <c r="R216" s="13"/>
      <c r="S216" s="14"/>
      <c r="T216" s="14"/>
      <c r="U216" s="14"/>
      <c r="V216" s="14"/>
      <c r="W216" s="14"/>
      <c r="X216" s="14"/>
      <c r="Y216" s="14"/>
      <c r="Z216" s="13"/>
      <c r="AA216" s="13"/>
      <c r="AB216" s="13"/>
      <c r="AC216" s="13"/>
      <c r="AD216" s="13"/>
      <c r="AE216" s="14"/>
      <c r="AF216" s="14"/>
      <c r="AG216" s="14"/>
      <c r="AH216" s="14"/>
      <c r="AI216" s="14"/>
      <c r="AJ216" s="14"/>
      <c r="AK216" s="14"/>
    </row>
    <row r="217" spans="1:37">
      <c r="A217" s="23"/>
      <c r="B217" s="13"/>
      <c r="C217" s="13"/>
      <c r="D217" s="13"/>
      <c r="E217" s="13"/>
      <c r="F217" s="13"/>
      <c r="G217" s="14"/>
      <c r="H217" s="14"/>
      <c r="I217" s="14"/>
      <c r="J217" s="14"/>
      <c r="K217" s="14"/>
      <c r="L217" s="14"/>
      <c r="M217" s="14"/>
      <c r="N217" s="13"/>
      <c r="O217" s="13"/>
      <c r="P217" s="13"/>
      <c r="Q217" s="13"/>
      <c r="R217" s="13"/>
      <c r="S217" s="14"/>
      <c r="T217" s="14"/>
      <c r="U217" s="14"/>
      <c r="V217" s="14"/>
      <c r="W217" s="14"/>
      <c r="X217" s="14"/>
      <c r="Y217" s="14"/>
      <c r="Z217" s="13"/>
      <c r="AA217" s="13"/>
      <c r="AB217" s="13"/>
      <c r="AC217" s="13"/>
      <c r="AD217" s="13"/>
      <c r="AE217" s="14"/>
      <c r="AF217" s="14"/>
      <c r="AG217" s="14"/>
      <c r="AH217" s="14"/>
      <c r="AI217" s="14"/>
      <c r="AJ217" s="14"/>
      <c r="AK217" s="14"/>
    </row>
    <row r="218" spans="1:37">
      <c r="A218" s="23"/>
      <c r="B218" s="13"/>
      <c r="C218" s="13"/>
      <c r="D218" s="13"/>
      <c r="E218" s="13"/>
      <c r="F218" s="13"/>
      <c r="G218" s="14"/>
      <c r="H218" s="14"/>
      <c r="I218" s="14"/>
      <c r="J218" s="14"/>
      <c r="K218" s="14"/>
      <c r="L218" s="14"/>
      <c r="M218" s="14"/>
      <c r="N218" s="13"/>
      <c r="O218" s="13"/>
      <c r="P218" s="13"/>
      <c r="Q218" s="13"/>
      <c r="R218" s="13"/>
      <c r="S218" s="14"/>
      <c r="T218" s="14"/>
      <c r="U218" s="14"/>
      <c r="V218" s="14"/>
      <c r="W218" s="14"/>
      <c r="X218" s="14"/>
      <c r="Y218" s="14"/>
      <c r="Z218" s="13"/>
      <c r="AA218" s="13"/>
      <c r="AB218" s="13"/>
      <c r="AC218" s="13"/>
      <c r="AD218" s="13"/>
      <c r="AE218" s="14"/>
      <c r="AF218" s="14"/>
      <c r="AG218" s="14"/>
      <c r="AH218" s="14"/>
      <c r="AI218" s="14"/>
      <c r="AJ218" s="14"/>
      <c r="AK218" s="14"/>
    </row>
    <row r="219" spans="1:37">
      <c r="A219" s="23"/>
      <c r="B219" s="13"/>
      <c r="C219" s="13"/>
      <c r="D219" s="13"/>
      <c r="E219" s="13"/>
      <c r="F219" s="13"/>
      <c r="G219" s="14"/>
      <c r="H219" s="14"/>
      <c r="I219" s="14"/>
      <c r="J219" s="14"/>
      <c r="K219" s="14"/>
      <c r="L219" s="14"/>
      <c r="M219" s="14"/>
      <c r="N219" s="13"/>
      <c r="O219" s="13"/>
      <c r="P219" s="13"/>
      <c r="Q219" s="13"/>
      <c r="R219" s="13"/>
      <c r="S219" s="14"/>
      <c r="T219" s="14"/>
      <c r="U219" s="14"/>
      <c r="V219" s="14"/>
      <c r="W219" s="14"/>
      <c r="X219" s="14"/>
      <c r="Y219" s="14"/>
      <c r="Z219" s="13"/>
      <c r="AA219" s="13"/>
      <c r="AB219" s="13"/>
      <c r="AC219" s="13"/>
      <c r="AD219" s="13"/>
      <c r="AE219" s="14"/>
      <c r="AF219" s="14"/>
      <c r="AG219" s="14"/>
      <c r="AH219" s="14"/>
      <c r="AI219" s="14"/>
      <c r="AJ219" s="14"/>
      <c r="AK219" s="14"/>
    </row>
    <row r="220" spans="1:37">
      <c r="A220" s="23"/>
      <c r="B220" s="13"/>
      <c r="C220" s="13"/>
      <c r="D220" s="13"/>
      <c r="E220" s="13"/>
      <c r="F220" s="13"/>
      <c r="G220" s="14"/>
      <c r="H220" s="14"/>
      <c r="I220" s="14"/>
      <c r="J220" s="14"/>
      <c r="K220" s="14"/>
      <c r="L220" s="14"/>
      <c r="M220" s="14"/>
      <c r="N220" s="13"/>
      <c r="O220" s="13"/>
      <c r="P220" s="13"/>
      <c r="Q220" s="13"/>
      <c r="R220" s="13"/>
      <c r="S220" s="14"/>
      <c r="T220" s="14"/>
      <c r="U220" s="14"/>
      <c r="V220" s="14"/>
      <c r="W220" s="14"/>
      <c r="X220" s="14"/>
      <c r="Y220" s="14"/>
      <c r="Z220" s="13"/>
      <c r="AA220" s="13"/>
      <c r="AB220" s="13"/>
      <c r="AC220" s="13"/>
      <c r="AD220" s="13"/>
      <c r="AE220" s="14"/>
      <c r="AF220" s="14"/>
      <c r="AG220" s="14"/>
      <c r="AH220" s="14"/>
      <c r="AI220" s="14"/>
      <c r="AJ220" s="14"/>
      <c r="AK220" s="14"/>
    </row>
    <row r="221" spans="1:37">
      <c r="A221" s="23"/>
      <c r="B221" s="13"/>
      <c r="C221" s="13"/>
      <c r="D221" s="13"/>
      <c r="E221" s="13"/>
      <c r="F221" s="13"/>
      <c r="G221" s="14"/>
      <c r="H221" s="14"/>
      <c r="I221" s="14"/>
      <c r="J221" s="14"/>
      <c r="K221" s="14"/>
      <c r="L221" s="14"/>
      <c r="M221" s="14"/>
      <c r="N221" s="13"/>
      <c r="O221" s="13"/>
      <c r="P221" s="13"/>
      <c r="Q221" s="13"/>
      <c r="R221" s="13"/>
      <c r="S221" s="14"/>
      <c r="T221" s="14"/>
      <c r="U221" s="14"/>
      <c r="V221" s="14"/>
      <c r="W221" s="14"/>
      <c r="X221" s="14"/>
      <c r="Y221" s="14"/>
      <c r="Z221" s="13"/>
      <c r="AA221" s="13"/>
      <c r="AB221" s="13"/>
      <c r="AC221" s="13"/>
      <c r="AD221" s="13"/>
      <c r="AE221" s="14"/>
      <c r="AF221" s="14"/>
      <c r="AG221" s="14"/>
      <c r="AH221" s="14"/>
      <c r="AI221" s="14"/>
      <c r="AJ221" s="14"/>
      <c r="AK221" s="14"/>
    </row>
    <row r="222" spans="1:37">
      <c r="A222" s="23"/>
      <c r="B222" s="13"/>
      <c r="C222" s="13"/>
      <c r="D222" s="13"/>
      <c r="E222" s="13"/>
      <c r="F222" s="13"/>
      <c r="G222" s="14"/>
      <c r="H222" s="14"/>
      <c r="I222" s="14"/>
      <c r="J222" s="14"/>
      <c r="K222" s="14"/>
      <c r="L222" s="14"/>
      <c r="M222" s="14"/>
      <c r="N222" s="13"/>
      <c r="O222" s="13"/>
      <c r="P222" s="13"/>
      <c r="Q222" s="13"/>
      <c r="R222" s="13"/>
      <c r="S222" s="14"/>
      <c r="T222" s="14"/>
      <c r="U222" s="14"/>
      <c r="V222" s="14"/>
      <c r="W222" s="14"/>
      <c r="X222" s="14"/>
      <c r="Y222" s="14"/>
      <c r="Z222" s="13"/>
      <c r="AA222" s="13"/>
      <c r="AB222" s="13"/>
      <c r="AC222" s="13"/>
      <c r="AD222" s="13"/>
      <c r="AE222" s="14"/>
      <c r="AF222" s="14"/>
      <c r="AG222" s="14"/>
      <c r="AH222" s="14"/>
      <c r="AI222" s="14"/>
      <c r="AJ222" s="14"/>
      <c r="AK222" s="14"/>
    </row>
    <row r="223" spans="1:37">
      <c r="A223" s="23"/>
      <c r="B223" s="13"/>
      <c r="C223" s="13"/>
      <c r="D223" s="13"/>
      <c r="E223" s="13"/>
      <c r="F223" s="13"/>
      <c r="G223" s="14"/>
      <c r="H223" s="14"/>
      <c r="I223" s="14"/>
      <c r="J223" s="14"/>
      <c r="K223" s="14"/>
      <c r="L223" s="14"/>
      <c r="M223" s="14"/>
      <c r="N223" s="13"/>
      <c r="O223" s="13"/>
      <c r="P223" s="13"/>
      <c r="Q223" s="13"/>
      <c r="R223" s="13"/>
      <c r="S223" s="14"/>
      <c r="T223" s="14"/>
      <c r="U223" s="14"/>
      <c r="V223" s="14"/>
      <c r="W223" s="14"/>
      <c r="X223" s="14"/>
      <c r="Y223" s="14"/>
      <c r="Z223" s="13"/>
      <c r="AA223" s="13"/>
      <c r="AB223" s="13"/>
      <c r="AC223" s="13"/>
      <c r="AD223" s="13"/>
      <c r="AE223" s="14"/>
      <c r="AF223" s="14"/>
      <c r="AG223" s="14"/>
      <c r="AH223" s="14"/>
      <c r="AI223" s="14"/>
      <c r="AJ223" s="14"/>
      <c r="AK223" s="14"/>
    </row>
    <row r="224" spans="1:37">
      <c r="A224" s="23"/>
      <c r="B224" s="13"/>
      <c r="C224" s="13"/>
      <c r="D224" s="13"/>
      <c r="E224" s="13"/>
      <c r="F224" s="13"/>
      <c r="G224" s="14"/>
      <c r="H224" s="14"/>
      <c r="I224" s="14"/>
      <c r="J224" s="14"/>
      <c r="K224" s="14"/>
      <c r="L224" s="14"/>
      <c r="M224" s="14"/>
      <c r="N224" s="13"/>
      <c r="O224" s="13"/>
      <c r="P224" s="13"/>
      <c r="Q224" s="13"/>
      <c r="R224" s="13"/>
      <c r="S224" s="14"/>
      <c r="T224" s="14"/>
      <c r="U224" s="14"/>
      <c r="V224" s="14"/>
      <c r="W224" s="14"/>
      <c r="X224" s="14"/>
      <c r="Y224" s="14"/>
      <c r="Z224" s="13"/>
      <c r="AA224" s="13"/>
      <c r="AB224" s="13"/>
      <c r="AC224" s="13"/>
      <c r="AD224" s="13"/>
      <c r="AE224" s="14"/>
      <c r="AF224" s="14"/>
      <c r="AG224" s="14"/>
      <c r="AH224" s="14"/>
      <c r="AI224" s="14"/>
      <c r="AJ224" s="14"/>
      <c r="AK224" s="14"/>
    </row>
    <row r="225" spans="1:37">
      <c r="A225" s="23"/>
      <c r="B225" s="13"/>
      <c r="C225" s="13"/>
      <c r="D225" s="13"/>
      <c r="E225" s="13"/>
      <c r="F225" s="13"/>
      <c r="G225" s="14"/>
      <c r="H225" s="14"/>
      <c r="I225" s="14"/>
      <c r="J225" s="14"/>
      <c r="K225" s="14"/>
      <c r="L225" s="14"/>
      <c r="M225" s="14"/>
      <c r="N225" s="13"/>
      <c r="O225" s="13"/>
      <c r="P225" s="13"/>
      <c r="Q225" s="13"/>
      <c r="R225" s="13"/>
      <c r="S225" s="14"/>
      <c r="T225" s="14"/>
      <c r="U225" s="14"/>
      <c r="V225" s="14"/>
      <c r="W225" s="14"/>
      <c r="X225" s="14"/>
      <c r="Y225" s="14"/>
      <c r="Z225" s="13"/>
      <c r="AA225" s="13"/>
      <c r="AB225" s="13"/>
      <c r="AC225" s="13"/>
      <c r="AD225" s="13"/>
      <c r="AE225" s="14"/>
      <c r="AF225" s="14"/>
      <c r="AG225" s="14"/>
      <c r="AH225" s="14"/>
      <c r="AI225" s="14"/>
      <c r="AJ225" s="14"/>
      <c r="AK225" s="14"/>
    </row>
    <row r="226" spans="1:37">
      <c r="A226" s="23"/>
      <c r="B226" s="13"/>
      <c r="C226" s="13"/>
      <c r="D226" s="13"/>
      <c r="E226" s="13"/>
      <c r="F226" s="13"/>
      <c r="G226" s="14"/>
      <c r="H226" s="14"/>
      <c r="I226" s="14"/>
      <c r="J226" s="14"/>
      <c r="K226" s="14"/>
      <c r="L226" s="14"/>
      <c r="M226" s="14"/>
      <c r="N226" s="13"/>
      <c r="O226" s="13"/>
      <c r="P226" s="13"/>
      <c r="Q226" s="13"/>
      <c r="R226" s="13"/>
      <c r="S226" s="14"/>
      <c r="T226" s="14"/>
      <c r="U226" s="14"/>
      <c r="V226" s="14"/>
      <c r="W226" s="14"/>
      <c r="X226" s="14"/>
      <c r="Y226" s="14"/>
      <c r="Z226" s="13"/>
      <c r="AA226" s="13"/>
      <c r="AB226" s="13"/>
      <c r="AC226" s="13"/>
      <c r="AD226" s="13"/>
      <c r="AE226" s="14"/>
      <c r="AF226" s="14"/>
      <c r="AG226" s="14"/>
      <c r="AH226" s="14"/>
      <c r="AI226" s="14"/>
      <c r="AJ226" s="14"/>
      <c r="AK226" s="14"/>
    </row>
    <row r="227" spans="1:37">
      <c r="A227" s="23"/>
      <c r="B227" s="13"/>
      <c r="C227" s="13"/>
      <c r="D227" s="13"/>
      <c r="E227" s="13"/>
      <c r="F227" s="13"/>
      <c r="G227" s="14"/>
      <c r="H227" s="14"/>
      <c r="I227" s="14"/>
      <c r="J227" s="14"/>
      <c r="K227" s="14"/>
      <c r="L227" s="14"/>
      <c r="M227" s="14"/>
      <c r="N227" s="13"/>
      <c r="O227" s="13"/>
      <c r="P227" s="13"/>
      <c r="Q227" s="13"/>
      <c r="R227" s="13"/>
      <c r="S227" s="14"/>
      <c r="T227" s="14"/>
      <c r="U227" s="14"/>
      <c r="V227" s="14"/>
      <c r="W227" s="14"/>
      <c r="X227" s="14"/>
      <c r="Y227" s="14"/>
      <c r="Z227" s="13"/>
      <c r="AA227" s="13"/>
      <c r="AB227" s="13"/>
      <c r="AC227" s="13"/>
      <c r="AD227" s="13"/>
      <c r="AE227" s="14"/>
      <c r="AF227" s="14"/>
      <c r="AG227" s="14"/>
      <c r="AH227" s="14"/>
      <c r="AI227" s="14"/>
      <c r="AJ227" s="14"/>
      <c r="AK227" s="14"/>
    </row>
    <row r="228" spans="1:37">
      <c r="A228" s="23"/>
      <c r="B228" s="13"/>
      <c r="C228" s="13"/>
      <c r="D228" s="13"/>
      <c r="E228" s="13"/>
      <c r="F228" s="13"/>
      <c r="G228" s="14"/>
      <c r="H228" s="14"/>
      <c r="I228" s="14"/>
      <c r="J228" s="14"/>
      <c r="K228" s="14"/>
      <c r="L228" s="14"/>
      <c r="M228" s="14"/>
      <c r="N228" s="13"/>
      <c r="O228" s="13"/>
      <c r="P228" s="13"/>
      <c r="Q228" s="13"/>
      <c r="R228" s="13"/>
      <c r="S228" s="14"/>
      <c r="T228" s="14"/>
      <c r="U228" s="14"/>
      <c r="V228" s="14"/>
      <c r="W228" s="14"/>
      <c r="X228" s="14"/>
      <c r="Y228" s="14"/>
      <c r="Z228" s="13"/>
      <c r="AA228" s="13"/>
      <c r="AB228" s="13"/>
      <c r="AC228" s="13"/>
      <c r="AD228" s="13"/>
      <c r="AE228" s="14"/>
      <c r="AF228" s="14"/>
      <c r="AG228" s="14"/>
      <c r="AH228" s="14"/>
      <c r="AI228" s="14"/>
      <c r="AJ228" s="14"/>
      <c r="AK228" s="14"/>
    </row>
    <row r="229" spans="1:37">
      <c r="A229" s="23"/>
      <c r="B229" s="13"/>
      <c r="C229" s="13"/>
      <c r="D229" s="13"/>
      <c r="E229" s="13"/>
      <c r="F229" s="13"/>
      <c r="G229" s="14"/>
      <c r="H229" s="14"/>
      <c r="I229" s="14"/>
      <c r="J229" s="14"/>
      <c r="K229" s="14"/>
      <c r="L229" s="14"/>
      <c r="M229" s="14"/>
      <c r="N229" s="13"/>
      <c r="O229" s="13"/>
      <c r="P229" s="13"/>
      <c r="Q229" s="13"/>
      <c r="R229" s="13"/>
      <c r="S229" s="14"/>
      <c r="T229" s="14"/>
      <c r="U229" s="14"/>
      <c r="V229" s="14"/>
      <c r="W229" s="14"/>
      <c r="X229" s="14"/>
      <c r="Y229" s="14"/>
      <c r="Z229" s="13"/>
      <c r="AA229" s="13"/>
      <c r="AB229" s="13"/>
      <c r="AC229" s="13"/>
      <c r="AD229" s="13"/>
      <c r="AE229" s="14"/>
      <c r="AF229" s="14"/>
      <c r="AG229" s="14"/>
      <c r="AH229" s="14"/>
      <c r="AI229" s="14"/>
      <c r="AJ229" s="14"/>
      <c r="AK229" s="14"/>
    </row>
    <row r="230" spans="1:37">
      <c r="A230" s="23"/>
      <c r="B230" s="13"/>
      <c r="C230" s="13"/>
      <c r="D230" s="13"/>
      <c r="E230" s="13"/>
      <c r="F230" s="13"/>
      <c r="G230" s="14"/>
      <c r="H230" s="14"/>
      <c r="I230" s="14"/>
      <c r="J230" s="14"/>
      <c r="K230" s="14"/>
      <c r="L230" s="14"/>
      <c r="M230" s="14"/>
      <c r="N230" s="13"/>
      <c r="O230" s="13"/>
      <c r="P230" s="13"/>
      <c r="Q230" s="13"/>
      <c r="R230" s="13"/>
      <c r="S230" s="14"/>
      <c r="T230" s="14"/>
      <c r="U230" s="14"/>
      <c r="V230" s="14"/>
      <c r="W230" s="14"/>
      <c r="X230" s="14"/>
      <c r="Y230" s="14"/>
      <c r="Z230" s="13"/>
      <c r="AA230" s="13"/>
      <c r="AB230" s="13"/>
      <c r="AC230" s="13"/>
      <c r="AD230" s="13"/>
      <c r="AE230" s="14"/>
      <c r="AF230" s="14"/>
      <c r="AG230" s="14"/>
      <c r="AH230" s="14"/>
      <c r="AI230" s="14"/>
      <c r="AJ230" s="14"/>
      <c r="AK230" s="14"/>
    </row>
    <row r="231" spans="1:37">
      <c r="A231" s="23"/>
      <c r="B231" s="13"/>
      <c r="C231" s="13"/>
      <c r="D231" s="13"/>
      <c r="E231" s="13"/>
      <c r="F231" s="13"/>
      <c r="G231" s="14"/>
      <c r="H231" s="14"/>
      <c r="I231" s="14"/>
      <c r="J231" s="14"/>
      <c r="K231" s="14"/>
      <c r="L231" s="14"/>
      <c r="M231" s="14"/>
      <c r="N231" s="13"/>
      <c r="O231" s="13"/>
      <c r="P231" s="13"/>
      <c r="Q231" s="13"/>
      <c r="R231" s="13"/>
      <c r="S231" s="14"/>
      <c r="T231" s="14"/>
      <c r="U231" s="14"/>
      <c r="V231" s="14"/>
      <c r="W231" s="14"/>
      <c r="X231" s="14"/>
      <c r="Y231" s="14"/>
      <c r="Z231" s="13"/>
      <c r="AA231" s="13"/>
      <c r="AB231" s="13"/>
      <c r="AC231" s="13"/>
      <c r="AD231" s="13"/>
      <c r="AE231" s="14"/>
      <c r="AF231" s="14"/>
      <c r="AG231" s="14"/>
      <c r="AH231" s="14"/>
      <c r="AI231" s="14"/>
      <c r="AJ231" s="14"/>
      <c r="AK231" s="14"/>
    </row>
    <row r="232" spans="1:37">
      <c r="A232" s="23"/>
      <c r="B232" s="13"/>
      <c r="C232" s="13"/>
      <c r="D232" s="13"/>
      <c r="E232" s="13"/>
      <c r="F232" s="13"/>
      <c r="G232" s="14"/>
      <c r="H232" s="14"/>
      <c r="I232" s="14"/>
      <c r="J232" s="14"/>
      <c r="K232" s="14"/>
      <c r="L232" s="14"/>
      <c r="M232" s="14"/>
      <c r="N232" s="13"/>
      <c r="O232" s="13"/>
      <c r="P232" s="13"/>
      <c r="Q232" s="13"/>
      <c r="R232" s="13"/>
      <c r="S232" s="14"/>
      <c r="T232" s="14"/>
      <c r="U232" s="14"/>
      <c r="V232" s="14"/>
      <c r="W232" s="14"/>
      <c r="X232" s="14"/>
      <c r="Y232" s="14"/>
      <c r="Z232" s="13"/>
      <c r="AA232" s="13"/>
      <c r="AB232" s="13"/>
      <c r="AC232" s="13"/>
      <c r="AD232" s="13"/>
      <c r="AE232" s="14"/>
      <c r="AF232" s="14"/>
      <c r="AG232" s="14"/>
      <c r="AH232" s="14"/>
      <c r="AI232" s="14"/>
      <c r="AJ232" s="14"/>
      <c r="AK232" s="14"/>
    </row>
    <row r="233" spans="1:37">
      <c r="A233" s="23"/>
      <c r="B233" s="13"/>
      <c r="C233" s="13"/>
      <c r="D233" s="13"/>
      <c r="E233" s="13"/>
      <c r="F233" s="13"/>
      <c r="G233" s="14"/>
      <c r="H233" s="14"/>
      <c r="I233" s="14"/>
      <c r="J233" s="14"/>
      <c r="K233" s="14"/>
      <c r="L233" s="14"/>
      <c r="M233" s="14"/>
      <c r="N233" s="13"/>
      <c r="O233" s="13"/>
      <c r="P233" s="13"/>
      <c r="Q233" s="13"/>
      <c r="R233" s="13"/>
      <c r="S233" s="14"/>
      <c r="T233" s="14"/>
      <c r="U233" s="14"/>
      <c r="V233" s="14"/>
      <c r="W233" s="14"/>
      <c r="X233" s="14"/>
      <c r="Y233" s="14"/>
      <c r="Z233" s="13"/>
      <c r="AA233" s="13"/>
      <c r="AB233" s="13"/>
      <c r="AC233" s="13"/>
      <c r="AD233" s="13"/>
      <c r="AE233" s="14"/>
      <c r="AF233" s="14"/>
      <c r="AG233" s="14"/>
      <c r="AH233" s="14"/>
      <c r="AI233" s="14"/>
      <c r="AJ233" s="14"/>
      <c r="AK233" s="14"/>
    </row>
    <row r="234" spans="1:37">
      <c r="A234" s="23"/>
      <c r="B234" s="13"/>
      <c r="C234" s="13"/>
      <c r="D234" s="13"/>
      <c r="E234" s="13"/>
      <c r="F234" s="13"/>
      <c r="G234" s="14"/>
      <c r="H234" s="14"/>
      <c r="I234" s="14"/>
      <c r="J234" s="14"/>
      <c r="K234" s="14"/>
      <c r="L234" s="14"/>
      <c r="M234" s="14"/>
      <c r="N234" s="13"/>
      <c r="O234" s="13"/>
      <c r="P234" s="13"/>
      <c r="Q234" s="13"/>
      <c r="R234" s="13"/>
      <c r="S234" s="14"/>
      <c r="T234" s="14"/>
      <c r="U234" s="14"/>
      <c r="V234" s="14"/>
      <c r="W234" s="14"/>
      <c r="X234" s="14"/>
      <c r="Y234" s="14"/>
      <c r="Z234" s="13"/>
      <c r="AA234" s="13"/>
      <c r="AB234" s="13"/>
      <c r="AC234" s="13"/>
      <c r="AD234" s="13"/>
      <c r="AE234" s="14"/>
      <c r="AF234" s="14"/>
      <c r="AG234" s="14"/>
      <c r="AH234" s="14"/>
      <c r="AI234" s="14"/>
      <c r="AJ234" s="14"/>
      <c r="AK234" s="14"/>
    </row>
    <row r="235" spans="1:37">
      <c r="A235" s="23"/>
      <c r="B235" s="13"/>
      <c r="C235" s="13"/>
      <c r="D235" s="13"/>
      <c r="E235" s="13"/>
      <c r="F235" s="13"/>
      <c r="G235" s="14"/>
      <c r="H235" s="14"/>
      <c r="I235" s="14"/>
      <c r="J235" s="14"/>
      <c r="K235" s="14"/>
      <c r="L235" s="14"/>
      <c r="M235" s="14"/>
      <c r="N235" s="13"/>
      <c r="O235" s="13"/>
      <c r="P235" s="13"/>
      <c r="Q235" s="13"/>
      <c r="R235" s="13"/>
      <c r="S235" s="14"/>
      <c r="T235" s="14"/>
      <c r="U235" s="14"/>
      <c r="V235" s="14"/>
      <c r="W235" s="14"/>
      <c r="X235" s="14"/>
      <c r="Y235" s="14"/>
      <c r="Z235" s="13"/>
      <c r="AA235" s="13"/>
      <c r="AB235" s="13"/>
      <c r="AC235" s="13"/>
      <c r="AD235" s="13"/>
      <c r="AE235" s="14"/>
      <c r="AF235" s="14"/>
      <c r="AG235" s="14"/>
      <c r="AH235" s="14"/>
      <c r="AI235" s="14"/>
      <c r="AJ235" s="14"/>
      <c r="AK235" s="14"/>
    </row>
    <row r="236" spans="1:37">
      <c r="A236" s="23"/>
      <c r="B236" s="13"/>
      <c r="C236" s="13"/>
      <c r="D236" s="13"/>
      <c r="E236" s="13"/>
      <c r="F236" s="13"/>
      <c r="G236" s="14"/>
      <c r="H236" s="14"/>
      <c r="I236" s="14"/>
      <c r="J236" s="14"/>
      <c r="K236" s="14"/>
      <c r="L236" s="14"/>
      <c r="M236" s="14"/>
      <c r="N236" s="13"/>
      <c r="O236" s="13"/>
      <c r="P236" s="13"/>
      <c r="Q236" s="13"/>
      <c r="R236" s="13"/>
      <c r="S236" s="14"/>
      <c r="T236" s="14"/>
      <c r="U236" s="14"/>
      <c r="V236" s="14"/>
      <c r="W236" s="14"/>
      <c r="X236" s="14"/>
      <c r="Y236" s="14"/>
      <c r="Z236" s="13"/>
      <c r="AA236" s="13"/>
      <c r="AB236" s="13"/>
      <c r="AC236" s="13"/>
      <c r="AD236" s="13"/>
      <c r="AE236" s="14"/>
      <c r="AF236" s="14"/>
      <c r="AG236" s="14"/>
      <c r="AH236" s="14"/>
      <c r="AI236" s="14"/>
      <c r="AJ236" s="14"/>
      <c r="AK236" s="14"/>
    </row>
    <row r="237" spans="1:37">
      <c r="A237" s="23"/>
      <c r="B237" s="13"/>
      <c r="C237" s="13"/>
      <c r="D237" s="13"/>
      <c r="E237" s="13"/>
      <c r="F237" s="13"/>
      <c r="G237" s="14"/>
      <c r="H237" s="14"/>
      <c r="I237" s="14"/>
      <c r="J237" s="14"/>
      <c r="K237" s="14"/>
      <c r="L237" s="14"/>
      <c r="M237" s="14"/>
      <c r="N237" s="13"/>
      <c r="O237" s="13"/>
      <c r="P237" s="13"/>
      <c r="Q237" s="13"/>
      <c r="R237" s="13"/>
      <c r="S237" s="14"/>
      <c r="T237" s="14"/>
      <c r="U237" s="14"/>
      <c r="V237" s="14"/>
      <c r="W237" s="14"/>
      <c r="X237" s="14"/>
      <c r="Y237" s="14"/>
      <c r="Z237" s="13"/>
      <c r="AA237" s="13"/>
      <c r="AB237" s="13"/>
      <c r="AC237" s="13"/>
      <c r="AD237" s="13"/>
      <c r="AE237" s="14"/>
      <c r="AF237" s="14"/>
      <c r="AG237" s="14"/>
      <c r="AH237" s="14"/>
      <c r="AI237" s="14"/>
      <c r="AJ237" s="14"/>
      <c r="AK237" s="14"/>
    </row>
    <row r="238" spans="1:37">
      <c r="A238" s="23"/>
      <c r="B238" s="13"/>
      <c r="C238" s="13"/>
      <c r="D238" s="13"/>
      <c r="E238" s="13"/>
      <c r="F238" s="13"/>
      <c r="G238" s="14"/>
      <c r="H238" s="14"/>
      <c r="I238" s="14"/>
      <c r="J238" s="14"/>
      <c r="K238" s="14"/>
      <c r="L238" s="14"/>
      <c r="M238" s="14"/>
      <c r="N238" s="13"/>
      <c r="O238" s="13"/>
      <c r="P238" s="13"/>
      <c r="Q238" s="13"/>
      <c r="R238" s="13"/>
      <c r="S238" s="14"/>
      <c r="T238" s="14"/>
      <c r="U238" s="14"/>
      <c r="V238" s="14"/>
      <c r="W238" s="14"/>
      <c r="X238" s="14"/>
      <c r="Y238" s="14"/>
      <c r="Z238" s="13"/>
      <c r="AA238" s="13"/>
      <c r="AB238" s="13"/>
      <c r="AC238" s="13"/>
      <c r="AD238" s="13"/>
      <c r="AE238" s="14"/>
      <c r="AF238" s="14"/>
      <c r="AG238" s="14"/>
      <c r="AH238" s="14"/>
      <c r="AI238" s="14"/>
      <c r="AJ238" s="14"/>
      <c r="AK238" s="14"/>
    </row>
    <row r="239" spans="1:37">
      <c r="A239" s="23"/>
      <c r="B239" s="13"/>
      <c r="C239" s="13"/>
      <c r="D239" s="13"/>
      <c r="E239" s="13"/>
      <c r="F239" s="13"/>
      <c r="G239" s="14"/>
      <c r="H239" s="14"/>
      <c r="I239" s="14"/>
      <c r="J239" s="14"/>
      <c r="K239" s="14"/>
      <c r="L239" s="14"/>
      <c r="M239" s="14"/>
      <c r="N239" s="13"/>
      <c r="O239" s="13"/>
      <c r="P239" s="13"/>
      <c r="Q239" s="13"/>
      <c r="R239" s="13"/>
      <c r="S239" s="14"/>
      <c r="T239" s="14"/>
      <c r="U239" s="14"/>
      <c r="V239" s="14"/>
      <c r="W239" s="14"/>
      <c r="X239" s="14"/>
      <c r="Y239" s="14"/>
      <c r="Z239" s="13"/>
      <c r="AA239" s="13"/>
      <c r="AB239" s="13"/>
      <c r="AC239" s="13"/>
      <c r="AD239" s="13"/>
      <c r="AE239" s="14"/>
      <c r="AF239" s="14"/>
      <c r="AG239" s="14"/>
      <c r="AH239" s="14"/>
      <c r="AI239" s="14"/>
      <c r="AJ239" s="14"/>
      <c r="AK239" s="14"/>
    </row>
    <row r="240" spans="1:37">
      <c r="A240" s="23"/>
      <c r="B240" s="13"/>
      <c r="C240" s="13"/>
      <c r="D240" s="13"/>
      <c r="E240" s="13"/>
      <c r="F240" s="13"/>
      <c r="G240" s="14"/>
      <c r="H240" s="14"/>
      <c r="I240" s="14"/>
      <c r="J240" s="14"/>
      <c r="K240" s="14"/>
      <c r="L240" s="14"/>
      <c r="M240" s="14"/>
      <c r="N240" s="13"/>
      <c r="O240" s="13"/>
      <c r="P240" s="13"/>
      <c r="Q240" s="13"/>
      <c r="R240" s="13"/>
      <c r="S240" s="14"/>
      <c r="T240" s="14"/>
      <c r="U240" s="14"/>
      <c r="V240" s="14"/>
      <c r="W240" s="14"/>
      <c r="X240" s="14"/>
      <c r="Y240" s="14"/>
      <c r="Z240" s="13"/>
      <c r="AA240" s="13"/>
      <c r="AB240" s="13"/>
      <c r="AC240" s="13"/>
      <c r="AD240" s="13"/>
      <c r="AE240" s="14"/>
      <c r="AF240" s="14"/>
      <c r="AG240" s="14"/>
      <c r="AH240" s="14"/>
      <c r="AI240" s="14"/>
      <c r="AJ240" s="14"/>
      <c r="AK240" s="14"/>
    </row>
    <row r="241" spans="1:37">
      <c r="A241" s="23"/>
      <c r="B241" s="13"/>
      <c r="C241" s="13"/>
      <c r="D241" s="13"/>
      <c r="E241" s="13"/>
      <c r="F241" s="13"/>
      <c r="G241" s="14"/>
      <c r="H241" s="14"/>
      <c r="I241" s="14"/>
      <c r="J241" s="14"/>
      <c r="K241" s="14"/>
      <c r="L241" s="14"/>
      <c r="M241" s="14"/>
      <c r="N241" s="13"/>
      <c r="O241" s="13"/>
      <c r="P241" s="13"/>
      <c r="Q241" s="13"/>
      <c r="R241" s="13"/>
      <c r="S241" s="14"/>
      <c r="T241" s="14"/>
      <c r="U241" s="14"/>
      <c r="V241" s="14"/>
      <c r="W241" s="14"/>
      <c r="X241" s="14"/>
      <c r="Y241" s="14"/>
      <c r="Z241" s="13"/>
      <c r="AA241" s="13"/>
      <c r="AB241" s="13"/>
      <c r="AC241" s="13"/>
      <c r="AD241" s="13"/>
      <c r="AE241" s="14"/>
      <c r="AF241" s="14"/>
      <c r="AG241" s="14"/>
      <c r="AH241" s="14"/>
      <c r="AI241" s="14"/>
      <c r="AJ241" s="14"/>
      <c r="AK241" s="14"/>
    </row>
    <row r="242" spans="1:37">
      <c r="A242" s="23"/>
      <c r="B242" s="13"/>
      <c r="C242" s="13"/>
      <c r="D242" s="13"/>
      <c r="E242" s="13"/>
      <c r="F242" s="13"/>
      <c r="G242" s="14"/>
      <c r="H242" s="14"/>
      <c r="I242" s="14"/>
      <c r="J242" s="14"/>
      <c r="K242" s="14"/>
      <c r="L242" s="14"/>
      <c r="M242" s="14"/>
      <c r="N242" s="13"/>
      <c r="O242" s="13"/>
      <c r="P242" s="13"/>
      <c r="Q242" s="13"/>
      <c r="R242" s="13"/>
      <c r="S242" s="14"/>
      <c r="T242" s="14"/>
      <c r="U242" s="14"/>
      <c r="V242" s="14"/>
      <c r="W242" s="14"/>
      <c r="X242" s="14"/>
      <c r="Y242" s="14"/>
      <c r="Z242" s="13"/>
      <c r="AA242" s="13"/>
      <c r="AB242" s="13"/>
      <c r="AC242" s="13"/>
      <c r="AD242" s="13"/>
      <c r="AE242" s="14"/>
      <c r="AF242" s="14"/>
      <c r="AG242" s="14"/>
      <c r="AH242" s="14"/>
      <c r="AI242" s="14"/>
      <c r="AJ242" s="14"/>
      <c r="AK242" s="14"/>
    </row>
    <row r="243" spans="1:37">
      <c r="A243" s="23"/>
      <c r="B243" s="13"/>
      <c r="C243" s="13"/>
      <c r="D243" s="13"/>
      <c r="E243" s="13"/>
      <c r="F243" s="13"/>
      <c r="G243" s="14"/>
      <c r="H243" s="14"/>
      <c r="I243" s="14"/>
      <c r="J243" s="14"/>
      <c r="K243" s="14"/>
      <c r="L243" s="14"/>
      <c r="M243" s="14"/>
      <c r="N243" s="13"/>
      <c r="O243" s="13"/>
      <c r="P243" s="13"/>
      <c r="Q243" s="13"/>
      <c r="R243" s="13"/>
      <c r="S243" s="14"/>
      <c r="T243" s="14"/>
      <c r="U243" s="14"/>
      <c r="V243" s="14"/>
      <c r="W243" s="14"/>
      <c r="X243" s="14"/>
      <c r="Y243" s="14"/>
      <c r="Z243" s="13"/>
      <c r="AA243" s="13"/>
      <c r="AB243" s="13"/>
      <c r="AC243" s="13"/>
      <c r="AD243" s="13"/>
      <c r="AE243" s="14"/>
      <c r="AF243" s="14"/>
      <c r="AG243" s="14"/>
      <c r="AH243" s="14"/>
      <c r="AI243" s="14"/>
      <c r="AJ243" s="14"/>
      <c r="AK243" s="14"/>
    </row>
    <row r="244" spans="1:37">
      <c r="A244" s="23"/>
      <c r="B244" s="13"/>
      <c r="C244" s="13"/>
      <c r="D244" s="13"/>
      <c r="E244" s="13"/>
      <c r="F244" s="13"/>
      <c r="G244" s="14"/>
      <c r="H244" s="14"/>
      <c r="I244" s="14"/>
      <c r="J244" s="14"/>
      <c r="K244" s="14"/>
      <c r="L244" s="14"/>
      <c r="M244" s="14"/>
      <c r="N244" s="13"/>
      <c r="O244" s="13"/>
      <c r="P244" s="13"/>
      <c r="Q244" s="13"/>
      <c r="R244" s="13"/>
      <c r="S244" s="14"/>
      <c r="T244" s="14"/>
      <c r="U244" s="14"/>
      <c r="V244" s="14"/>
      <c r="W244" s="14"/>
      <c r="X244" s="14"/>
      <c r="Y244" s="14"/>
      <c r="Z244" s="13"/>
      <c r="AA244" s="13"/>
      <c r="AB244" s="13"/>
      <c r="AC244" s="13"/>
      <c r="AD244" s="13"/>
      <c r="AE244" s="14"/>
      <c r="AF244" s="14"/>
      <c r="AG244" s="14"/>
      <c r="AH244" s="14"/>
      <c r="AI244" s="14"/>
      <c r="AJ244" s="14"/>
      <c r="AK244" s="14"/>
    </row>
    <row r="245" spans="1:37">
      <c r="A245" s="23"/>
      <c r="B245" s="13"/>
      <c r="C245" s="13"/>
      <c r="D245" s="13"/>
      <c r="E245" s="13"/>
      <c r="F245" s="13"/>
      <c r="G245" s="14"/>
      <c r="H245" s="14"/>
      <c r="I245" s="14"/>
      <c r="J245" s="14"/>
      <c r="K245" s="14"/>
      <c r="L245" s="14"/>
      <c r="M245" s="14"/>
      <c r="N245" s="13"/>
      <c r="O245" s="13"/>
      <c r="P245" s="13"/>
      <c r="Q245" s="13"/>
      <c r="R245" s="13"/>
      <c r="S245" s="14"/>
      <c r="T245" s="14"/>
      <c r="U245" s="14"/>
      <c r="V245" s="14"/>
      <c r="W245" s="14"/>
      <c r="X245" s="14"/>
      <c r="Y245" s="14"/>
      <c r="Z245" s="13"/>
      <c r="AA245" s="13"/>
      <c r="AB245" s="13"/>
      <c r="AC245" s="13"/>
      <c r="AD245" s="13"/>
      <c r="AE245" s="14"/>
      <c r="AF245" s="14"/>
      <c r="AG245" s="14"/>
      <c r="AH245" s="14"/>
      <c r="AI245" s="14"/>
      <c r="AJ245" s="14"/>
      <c r="AK245" s="14"/>
    </row>
    <row r="246" spans="1:37">
      <c r="A246" s="23"/>
      <c r="B246" s="13"/>
      <c r="C246" s="13"/>
      <c r="D246" s="13"/>
      <c r="E246" s="13"/>
      <c r="F246" s="13"/>
      <c r="G246" s="14"/>
      <c r="H246" s="14"/>
      <c r="I246" s="14"/>
      <c r="J246" s="14"/>
      <c r="K246" s="14"/>
      <c r="L246" s="14"/>
      <c r="M246" s="14"/>
      <c r="N246" s="13"/>
      <c r="O246" s="13"/>
      <c r="P246" s="13"/>
      <c r="Q246" s="13"/>
      <c r="R246" s="13"/>
      <c r="S246" s="14"/>
      <c r="T246" s="14"/>
      <c r="U246" s="14"/>
      <c r="V246" s="14"/>
      <c r="W246" s="14"/>
      <c r="X246" s="14"/>
      <c r="Y246" s="14"/>
      <c r="Z246" s="13"/>
      <c r="AA246" s="13"/>
      <c r="AB246" s="13"/>
      <c r="AC246" s="13"/>
      <c r="AD246" s="13"/>
      <c r="AE246" s="14"/>
      <c r="AF246" s="14"/>
      <c r="AG246" s="14"/>
      <c r="AH246" s="14"/>
      <c r="AI246" s="14"/>
      <c r="AJ246" s="14"/>
      <c r="AK246" s="14"/>
    </row>
    <row r="247" spans="1:37">
      <c r="A247" s="23"/>
      <c r="B247" s="13"/>
      <c r="C247" s="13"/>
      <c r="D247" s="13"/>
      <c r="E247" s="13"/>
      <c r="F247" s="13"/>
      <c r="G247" s="14"/>
      <c r="H247" s="14"/>
      <c r="I247" s="14"/>
      <c r="J247" s="14"/>
      <c r="K247" s="14"/>
      <c r="L247" s="14"/>
      <c r="M247" s="14"/>
      <c r="N247" s="13"/>
      <c r="O247" s="13"/>
      <c r="P247" s="13"/>
      <c r="Q247" s="13"/>
      <c r="R247" s="13"/>
      <c r="S247" s="14"/>
      <c r="T247" s="14"/>
      <c r="U247" s="14"/>
      <c r="V247" s="14"/>
      <c r="W247" s="14"/>
      <c r="X247" s="14"/>
      <c r="Y247" s="14"/>
      <c r="Z247" s="13"/>
      <c r="AA247" s="13"/>
      <c r="AB247" s="13"/>
      <c r="AC247" s="13"/>
      <c r="AD247" s="13"/>
      <c r="AE247" s="14"/>
      <c r="AF247" s="14"/>
      <c r="AG247" s="14"/>
      <c r="AH247" s="14"/>
      <c r="AI247" s="14"/>
      <c r="AJ247" s="14"/>
      <c r="AK247" s="14"/>
    </row>
    <row r="248" spans="1:37">
      <c r="A248" s="23"/>
      <c r="B248" s="13"/>
      <c r="C248" s="13"/>
      <c r="D248" s="13"/>
      <c r="E248" s="13"/>
      <c r="F248" s="13"/>
      <c r="G248" s="14"/>
      <c r="H248" s="14"/>
      <c r="I248" s="14"/>
      <c r="J248" s="14"/>
      <c r="K248" s="14"/>
      <c r="L248" s="14"/>
      <c r="M248" s="14"/>
      <c r="N248" s="13"/>
      <c r="O248" s="13"/>
      <c r="P248" s="13"/>
      <c r="Q248" s="13"/>
      <c r="R248" s="13"/>
      <c r="S248" s="14"/>
      <c r="T248" s="14"/>
      <c r="U248" s="14"/>
      <c r="V248" s="14"/>
      <c r="W248" s="14"/>
      <c r="X248" s="14"/>
      <c r="Y248" s="14"/>
      <c r="Z248" s="13"/>
      <c r="AA248" s="13"/>
      <c r="AB248" s="13"/>
      <c r="AC248" s="13"/>
      <c r="AD248" s="13"/>
      <c r="AE248" s="14"/>
      <c r="AF248" s="14"/>
      <c r="AG248" s="14"/>
      <c r="AH248" s="14"/>
      <c r="AI248" s="14"/>
      <c r="AJ248" s="14"/>
      <c r="AK248" s="14"/>
    </row>
    <row r="249" spans="1:37">
      <c r="A249" s="23"/>
      <c r="B249" s="13"/>
      <c r="C249" s="13"/>
      <c r="D249" s="13"/>
      <c r="E249" s="13"/>
      <c r="F249" s="13"/>
      <c r="G249" s="14"/>
      <c r="H249" s="14"/>
      <c r="I249" s="14"/>
      <c r="J249" s="14"/>
      <c r="K249" s="14"/>
      <c r="L249" s="14"/>
      <c r="M249" s="14"/>
      <c r="N249" s="13"/>
      <c r="O249" s="13"/>
      <c r="P249" s="13"/>
      <c r="Q249" s="13"/>
      <c r="R249" s="13"/>
      <c r="S249" s="14"/>
      <c r="T249" s="14"/>
      <c r="U249" s="14"/>
      <c r="V249" s="14"/>
      <c r="W249" s="14"/>
      <c r="X249" s="14"/>
      <c r="Y249" s="14"/>
      <c r="Z249" s="13"/>
      <c r="AA249" s="13"/>
      <c r="AB249" s="13"/>
      <c r="AC249" s="13"/>
      <c r="AD249" s="13"/>
      <c r="AE249" s="14"/>
      <c r="AF249" s="14"/>
      <c r="AG249" s="14"/>
      <c r="AH249" s="14"/>
      <c r="AI249" s="14"/>
      <c r="AJ249" s="14"/>
      <c r="AK249" s="14"/>
    </row>
    <row r="250" spans="1:37">
      <c r="A250" s="23"/>
      <c r="B250" s="13"/>
      <c r="C250" s="13"/>
      <c r="D250" s="13"/>
      <c r="E250" s="13"/>
      <c r="F250" s="13"/>
      <c r="G250" s="14"/>
      <c r="H250" s="14"/>
      <c r="I250" s="14"/>
      <c r="J250" s="14"/>
      <c r="K250" s="14"/>
      <c r="L250" s="14"/>
      <c r="M250" s="14"/>
      <c r="N250" s="13"/>
      <c r="O250" s="13"/>
      <c r="P250" s="13"/>
      <c r="Q250" s="13"/>
      <c r="R250" s="13"/>
      <c r="S250" s="14"/>
      <c r="T250" s="14"/>
      <c r="U250" s="14"/>
      <c r="V250" s="14"/>
      <c r="W250" s="14"/>
      <c r="X250" s="14"/>
      <c r="Y250" s="14"/>
      <c r="Z250" s="13"/>
      <c r="AA250" s="13"/>
      <c r="AB250" s="13"/>
      <c r="AC250" s="13"/>
      <c r="AD250" s="13"/>
      <c r="AE250" s="14"/>
      <c r="AF250" s="14"/>
      <c r="AG250" s="14"/>
      <c r="AH250" s="14"/>
      <c r="AI250" s="14"/>
      <c r="AJ250" s="14"/>
      <c r="AK250" s="14"/>
    </row>
    <row r="251" spans="1:37">
      <c r="A251" s="23"/>
      <c r="B251" s="13"/>
      <c r="C251" s="13"/>
      <c r="D251" s="13"/>
      <c r="E251" s="13"/>
      <c r="F251" s="13"/>
      <c r="G251" s="14"/>
      <c r="H251" s="14"/>
      <c r="I251" s="14"/>
      <c r="J251" s="14"/>
      <c r="K251" s="14"/>
      <c r="L251" s="14"/>
      <c r="M251" s="14"/>
      <c r="N251" s="13"/>
      <c r="O251" s="13"/>
      <c r="P251" s="13"/>
      <c r="Q251" s="13"/>
      <c r="R251" s="13"/>
      <c r="S251" s="14"/>
      <c r="T251" s="14"/>
      <c r="U251" s="14"/>
      <c r="V251" s="14"/>
      <c r="W251" s="14"/>
      <c r="X251" s="14"/>
      <c r="Y251" s="14"/>
      <c r="Z251" s="13"/>
      <c r="AA251" s="13"/>
      <c r="AB251" s="13"/>
      <c r="AC251" s="13"/>
      <c r="AD251" s="13"/>
      <c r="AE251" s="14"/>
      <c r="AF251" s="14"/>
      <c r="AG251" s="14"/>
      <c r="AH251" s="14"/>
      <c r="AI251" s="14"/>
      <c r="AJ251" s="14"/>
      <c r="AK251" s="14"/>
    </row>
    <row r="252" spans="1:37">
      <c r="A252" s="23"/>
      <c r="B252" s="13"/>
      <c r="C252" s="13"/>
      <c r="D252" s="13"/>
      <c r="E252" s="13"/>
      <c r="F252" s="13"/>
      <c r="G252" s="14"/>
      <c r="H252" s="14"/>
      <c r="I252" s="14"/>
      <c r="J252" s="14"/>
      <c r="K252" s="14"/>
      <c r="L252" s="14"/>
      <c r="M252" s="14"/>
      <c r="N252" s="13"/>
      <c r="O252" s="13"/>
      <c r="P252" s="13"/>
      <c r="Q252" s="13"/>
      <c r="R252" s="13"/>
      <c r="S252" s="14"/>
      <c r="T252" s="14"/>
      <c r="U252" s="14"/>
      <c r="V252" s="14"/>
      <c r="W252" s="14"/>
      <c r="X252" s="14"/>
      <c r="Y252" s="14"/>
      <c r="Z252" s="13"/>
      <c r="AA252" s="13"/>
      <c r="AB252" s="13"/>
      <c r="AC252" s="13"/>
      <c r="AD252" s="13"/>
      <c r="AE252" s="14"/>
      <c r="AF252" s="14"/>
      <c r="AG252" s="14"/>
      <c r="AH252" s="14"/>
      <c r="AI252" s="14"/>
      <c r="AJ252" s="14"/>
      <c r="AK252" s="14"/>
    </row>
    <row r="253" spans="1:37">
      <c r="A253" s="23"/>
      <c r="B253" s="13"/>
      <c r="C253" s="13"/>
      <c r="D253" s="13"/>
      <c r="E253" s="13"/>
      <c r="F253" s="13"/>
      <c r="G253" s="14"/>
      <c r="H253" s="14"/>
      <c r="I253" s="14"/>
      <c r="J253" s="14"/>
      <c r="K253" s="14"/>
      <c r="L253" s="14"/>
      <c r="M253" s="14"/>
      <c r="N253" s="13"/>
      <c r="O253" s="13"/>
      <c r="P253" s="13"/>
      <c r="Q253" s="13"/>
      <c r="R253" s="13"/>
      <c r="S253" s="14"/>
      <c r="T253" s="14"/>
      <c r="U253" s="14"/>
      <c r="V253" s="14"/>
      <c r="W253" s="14"/>
      <c r="X253" s="14"/>
      <c r="Y253" s="14"/>
      <c r="Z253" s="13"/>
      <c r="AA253" s="13"/>
      <c r="AB253" s="13"/>
      <c r="AC253" s="13"/>
      <c r="AD253" s="13"/>
      <c r="AE253" s="14"/>
      <c r="AF253" s="14"/>
      <c r="AG253" s="14"/>
      <c r="AH253" s="14"/>
      <c r="AI253" s="14"/>
      <c r="AJ253" s="14"/>
      <c r="AK253" s="14"/>
    </row>
    <row r="254" spans="1:37">
      <c r="A254" s="23"/>
      <c r="B254" s="13"/>
      <c r="C254" s="13"/>
      <c r="D254" s="13"/>
      <c r="E254" s="13"/>
      <c r="F254" s="13"/>
      <c r="G254" s="14"/>
      <c r="H254" s="14"/>
      <c r="I254" s="14"/>
      <c r="J254" s="14"/>
      <c r="K254" s="14"/>
      <c r="L254" s="14"/>
      <c r="M254" s="14"/>
      <c r="N254" s="13"/>
      <c r="O254" s="13"/>
      <c r="P254" s="13"/>
      <c r="Q254" s="13"/>
      <c r="R254" s="13"/>
      <c r="S254" s="14"/>
      <c r="T254" s="14"/>
      <c r="U254" s="14"/>
      <c r="V254" s="14"/>
      <c r="W254" s="14"/>
      <c r="X254" s="14"/>
      <c r="Y254" s="14"/>
      <c r="Z254" s="13"/>
      <c r="AA254" s="13"/>
      <c r="AB254" s="13"/>
      <c r="AC254" s="13"/>
      <c r="AD254" s="13"/>
      <c r="AE254" s="14"/>
      <c r="AF254" s="14"/>
      <c r="AG254" s="14"/>
      <c r="AH254" s="14"/>
      <c r="AI254" s="14"/>
      <c r="AJ254" s="14"/>
      <c r="AK254" s="14"/>
    </row>
    <row r="255" spans="1:37">
      <c r="A255" s="23"/>
      <c r="B255" s="13"/>
      <c r="C255" s="13"/>
      <c r="D255" s="13"/>
      <c r="E255" s="13"/>
      <c r="F255" s="13"/>
      <c r="G255" s="14"/>
      <c r="H255" s="14"/>
      <c r="I255" s="14"/>
      <c r="J255" s="14"/>
      <c r="K255" s="14"/>
      <c r="L255" s="14"/>
      <c r="M255" s="14"/>
      <c r="N255" s="13"/>
      <c r="O255" s="13"/>
      <c r="P255" s="13"/>
      <c r="Q255" s="13"/>
      <c r="R255" s="13"/>
      <c r="S255" s="14"/>
      <c r="T255" s="14"/>
      <c r="U255" s="14"/>
      <c r="V255" s="14"/>
      <c r="W255" s="14"/>
      <c r="X255" s="14"/>
      <c r="Y255" s="14"/>
      <c r="Z255" s="13"/>
      <c r="AA255" s="13"/>
      <c r="AB255" s="13"/>
      <c r="AC255" s="13"/>
      <c r="AD255" s="13"/>
      <c r="AE255" s="14"/>
      <c r="AF255" s="14"/>
      <c r="AG255" s="14"/>
      <c r="AH255" s="14"/>
      <c r="AI255" s="14"/>
      <c r="AJ255" s="14"/>
      <c r="AK255" s="14"/>
    </row>
    <row r="256" spans="1:37">
      <c r="A256" s="23"/>
      <c r="B256" s="13"/>
      <c r="C256" s="13"/>
      <c r="D256" s="13"/>
      <c r="E256" s="13"/>
      <c r="F256" s="13"/>
      <c r="G256" s="14"/>
      <c r="H256" s="14"/>
      <c r="I256" s="14"/>
      <c r="J256" s="14"/>
      <c r="K256" s="14"/>
      <c r="L256" s="14"/>
      <c r="M256" s="14"/>
      <c r="N256" s="13"/>
      <c r="O256" s="13"/>
      <c r="P256" s="13"/>
      <c r="Q256" s="13"/>
      <c r="R256" s="13"/>
      <c r="S256" s="14"/>
      <c r="T256" s="14"/>
      <c r="U256" s="14"/>
      <c r="V256" s="14"/>
      <c r="W256" s="14"/>
      <c r="X256" s="14"/>
      <c r="Y256" s="14"/>
      <c r="Z256" s="13"/>
      <c r="AA256" s="13"/>
      <c r="AB256" s="13"/>
      <c r="AC256" s="13"/>
      <c r="AD256" s="13"/>
      <c r="AE256" s="14"/>
      <c r="AF256" s="14"/>
      <c r="AG256" s="14"/>
      <c r="AH256" s="14"/>
      <c r="AI256" s="14"/>
      <c r="AJ256" s="14"/>
      <c r="AK256" s="14"/>
    </row>
    <row r="257" spans="1:37">
      <c r="A257" s="23"/>
      <c r="B257" s="13"/>
      <c r="C257" s="13"/>
      <c r="D257" s="13"/>
      <c r="E257" s="13"/>
      <c r="F257" s="13"/>
      <c r="G257" s="14"/>
      <c r="H257" s="14"/>
      <c r="I257" s="14"/>
      <c r="J257" s="14"/>
      <c r="K257" s="14"/>
      <c r="L257" s="14"/>
      <c r="M257" s="14"/>
      <c r="N257" s="13"/>
      <c r="O257" s="13"/>
      <c r="P257" s="13"/>
      <c r="Q257" s="13"/>
      <c r="R257" s="13"/>
      <c r="S257" s="14"/>
      <c r="T257" s="14"/>
      <c r="U257" s="14"/>
      <c r="V257" s="14"/>
      <c r="W257" s="14"/>
      <c r="X257" s="14"/>
      <c r="Y257" s="14"/>
      <c r="Z257" s="13"/>
      <c r="AA257" s="13"/>
      <c r="AB257" s="13"/>
      <c r="AC257" s="13"/>
      <c r="AD257" s="13"/>
      <c r="AE257" s="14"/>
      <c r="AF257" s="14"/>
      <c r="AG257" s="14"/>
      <c r="AH257" s="14"/>
      <c r="AI257" s="14"/>
      <c r="AJ257" s="14"/>
      <c r="AK257" s="14"/>
    </row>
    <row r="258" spans="1:37">
      <c r="A258" s="23"/>
      <c r="B258" s="13"/>
      <c r="C258" s="13"/>
      <c r="D258" s="13"/>
      <c r="E258" s="13"/>
      <c r="F258" s="13"/>
      <c r="G258" s="14"/>
      <c r="H258" s="14"/>
      <c r="I258" s="14"/>
      <c r="J258" s="14"/>
      <c r="K258" s="14"/>
      <c r="L258" s="14"/>
      <c r="M258" s="14"/>
      <c r="N258" s="13"/>
      <c r="O258" s="13"/>
      <c r="P258" s="13"/>
      <c r="Q258" s="13"/>
      <c r="R258" s="13"/>
      <c r="S258" s="14"/>
      <c r="T258" s="14"/>
      <c r="U258" s="14"/>
      <c r="V258" s="14"/>
      <c r="W258" s="14"/>
      <c r="X258" s="14"/>
      <c r="Y258" s="14"/>
      <c r="Z258" s="13"/>
      <c r="AA258" s="13"/>
      <c r="AB258" s="13"/>
      <c r="AC258" s="13"/>
      <c r="AD258" s="13"/>
      <c r="AE258" s="14"/>
      <c r="AF258" s="14"/>
      <c r="AG258" s="14"/>
      <c r="AH258" s="14"/>
      <c r="AI258" s="14"/>
      <c r="AJ258" s="14"/>
      <c r="AK258" s="14"/>
    </row>
    <row r="259" spans="1:37">
      <c r="A259" s="23"/>
      <c r="B259" s="13"/>
      <c r="C259" s="13"/>
      <c r="D259" s="13"/>
      <c r="E259" s="13"/>
      <c r="F259" s="13"/>
      <c r="G259" s="14"/>
      <c r="H259" s="14"/>
      <c r="I259" s="14"/>
      <c r="J259" s="14"/>
      <c r="K259" s="14"/>
      <c r="L259" s="14"/>
      <c r="M259" s="14"/>
      <c r="N259" s="13"/>
      <c r="O259" s="13"/>
      <c r="P259" s="13"/>
      <c r="Q259" s="13"/>
      <c r="R259" s="13"/>
      <c r="S259" s="14"/>
      <c r="T259" s="14"/>
      <c r="U259" s="14"/>
      <c r="V259" s="14"/>
      <c r="W259" s="14"/>
      <c r="X259" s="14"/>
      <c r="Y259" s="14"/>
      <c r="Z259" s="13"/>
      <c r="AA259" s="13"/>
      <c r="AB259" s="13"/>
      <c r="AC259" s="13"/>
      <c r="AD259" s="13"/>
      <c r="AE259" s="14"/>
      <c r="AF259" s="14"/>
      <c r="AG259" s="14"/>
      <c r="AH259" s="14"/>
      <c r="AI259" s="14"/>
      <c r="AJ259" s="14"/>
      <c r="AK259" s="14"/>
    </row>
    <row r="260" spans="1:37">
      <c r="A260" s="23"/>
      <c r="B260" s="13"/>
      <c r="C260" s="13"/>
      <c r="D260" s="13"/>
      <c r="E260" s="13"/>
      <c r="F260" s="13"/>
      <c r="G260" s="14"/>
      <c r="H260" s="14"/>
      <c r="I260" s="14"/>
      <c r="J260" s="14"/>
      <c r="K260" s="14"/>
      <c r="L260" s="14"/>
      <c r="M260" s="14"/>
      <c r="N260" s="13"/>
      <c r="O260" s="13"/>
      <c r="P260" s="13"/>
      <c r="Q260" s="13"/>
      <c r="R260" s="13"/>
      <c r="S260" s="14"/>
      <c r="T260" s="14"/>
      <c r="U260" s="14"/>
      <c r="V260" s="14"/>
      <c r="W260" s="14"/>
      <c r="X260" s="14"/>
      <c r="Y260" s="14"/>
      <c r="Z260" s="13"/>
      <c r="AA260" s="13"/>
      <c r="AB260" s="13"/>
      <c r="AC260" s="13"/>
      <c r="AD260" s="13"/>
      <c r="AE260" s="14"/>
      <c r="AF260" s="14"/>
      <c r="AG260" s="14"/>
      <c r="AH260" s="14"/>
      <c r="AI260" s="14"/>
      <c r="AJ260" s="14"/>
      <c r="AK260" s="14"/>
    </row>
    <row r="261" spans="1:37">
      <c r="A261" s="23"/>
      <c r="B261" s="13"/>
      <c r="C261" s="13"/>
      <c r="D261" s="13"/>
      <c r="E261" s="13"/>
      <c r="F261" s="13"/>
      <c r="G261" s="14"/>
      <c r="H261" s="14"/>
      <c r="I261" s="14"/>
      <c r="J261" s="14"/>
      <c r="K261" s="14"/>
      <c r="L261" s="14"/>
      <c r="M261" s="14"/>
      <c r="N261" s="13"/>
      <c r="O261" s="13"/>
      <c r="P261" s="13"/>
      <c r="Q261" s="13"/>
      <c r="R261" s="13"/>
      <c r="S261" s="14"/>
      <c r="T261" s="14"/>
      <c r="U261" s="14"/>
      <c r="V261" s="14"/>
      <c r="W261" s="14"/>
      <c r="X261" s="14"/>
      <c r="Y261" s="14"/>
      <c r="Z261" s="13"/>
      <c r="AA261" s="13"/>
      <c r="AB261" s="13"/>
      <c r="AC261" s="13"/>
      <c r="AD261" s="13"/>
      <c r="AE261" s="14"/>
      <c r="AF261" s="14"/>
      <c r="AG261" s="14"/>
      <c r="AH261" s="14"/>
      <c r="AI261" s="14"/>
      <c r="AJ261" s="14"/>
      <c r="AK261" s="14"/>
    </row>
    <row r="262" spans="1:37">
      <c r="A262" s="23"/>
      <c r="B262" s="13"/>
      <c r="C262" s="13"/>
      <c r="D262" s="13"/>
      <c r="E262" s="13"/>
      <c r="F262" s="13"/>
      <c r="G262" s="14"/>
      <c r="H262" s="14"/>
      <c r="I262" s="14"/>
      <c r="J262" s="14"/>
      <c r="K262" s="14"/>
      <c r="L262" s="14"/>
      <c r="M262" s="14"/>
      <c r="N262" s="13"/>
      <c r="O262" s="13"/>
      <c r="P262" s="13"/>
      <c r="Q262" s="13"/>
      <c r="R262" s="13"/>
      <c r="S262" s="14"/>
      <c r="T262" s="14"/>
      <c r="U262" s="14"/>
      <c r="V262" s="14"/>
      <c r="W262" s="14"/>
      <c r="X262" s="14"/>
      <c r="Y262" s="14"/>
      <c r="Z262" s="13"/>
      <c r="AA262" s="13"/>
      <c r="AB262" s="13"/>
      <c r="AC262" s="13"/>
      <c r="AD262" s="13"/>
      <c r="AE262" s="14"/>
      <c r="AF262" s="14"/>
      <c r="AG262" s="14"/>
      <c r="AH262" s="14"/>
      <c r="AI262" s="14"/>
      <c r="AJ262" s="14"/>
      <c r="AK262" s="14"/>
    </row>
    <row r="263" spans="1:37">
      <c r="A263" s="23"/>
      <c r="B263" s="13"/>
      <c r="C263" s="13"/>
      <c r="D263" s="13"/>
      <c r="E263" s="13"/>
      <c r="F263" s="13"/>
      <c r="G263" s="14"/>
      <c r="H263" s="14"/>
      <c r="I263" s="14"/>
      <c r="J263" s="14"/>
      <c r="K263" s="14"/>
      <c r="L263" s="14"/>
      <c r="M263" s="14"/>
      <c r="N263" s="13"/>
      <c r="O263" s="13"/>
      <c r="P263" s="13"/>
      <c r="Q263" s="13"/>
      <c r="R263" s="13"/>
      <c r="S263" s="14"/>
      <c r="T263" s="14"/>
      <c r="U263" s="14"/>
      <c r="V263" s="14"/>
      <c r="W263" s="14"/>
      <c r="X263" s="14"/>
      <c r="Y263" s="14"/>
      <c r="Z263" s="13"/>
      <c r="AA263" s="13"/>
      <c r="AB263" s="13"/>
      <c r="AC263" s="13"/>
      <c r="AD263" s="13"/>
      <c r="AE263" s="14"/>
      <c r="AF263" s="14"/>
      <c r="AG263" s="14"/>
      <c r="AH263" s="14"/>
      <c r="AI263" s="14"/>
      <c r="AJ263" s="14"/>
      <c r="AK263" s="14"/>
    </row>
    <row r="264" spans="1:37">
      <c r="A264" s="23"/>
      <c r="B264" s="13"/>
      <c r="C264" s="13"/>
      <c r="D264" s="13"/>
      <c r="E264" s="13"/>
      <c r="F264" s="13"/>
      <c r="G264" s="14"/>
      <c r="H264" s="14"/>
      <c r="I264" s="14"/>
      <c r="J264" s="14"/>
      <c r="K264" s="14"/>
      <c r="L264" s="14"/>
      <c r="M264" s="14"/>
      <c r="N264" s="13"/>
      <c r="O264" s="13"/>
      <c r="P264" s="13"/>
      <c r="Q264" s="13"/>
      <c r="R264" s="13"/>
      <c r="S264" s="14"/>
      <c r="T264" s="14"/>
      <c r="U264" s="14"/>
      <c r="V264" s="14"/>
      <c r="W264" s="14"/>
      <c r="X264" s="14"/>
      <c r="Y264" s="14"/>
      <c r="Z264" s="13"/>
      <c r="AA264" s="13"/>
      <c r="AB264" s="13"/>
      <c r="AC264" s="13"/>
      <c r="AD264" s="13"/>
      <c r="AE264" s="14"/>
      <c r="AF264" s="14"/>
      <c r="AG264" s="14"/>
      <c r="AH264" s="14"/>
      <c r="AI264" s="14"/>
      <c r="AJ264" s="14"/>
      <c r="AK264" s="14"/>
    </row>
    <row r="265" spans="1:37">
      <c r="A265" s="23"/>
      <c r="B265" s="13"/>
      <c r="C265" s="13"/>
      <c r="D265" s="13"/>
      <c r="E265" s="13"/>
      <c r="F265" s="13"/>
      <c r="G265" s="14"/>
      <c r="H265" s="14"/>
      <c r="I265" s="14"/>
      <c r="J265" s="14"/>
      <c r="K265" s="14"/>
      <c r="L265" s="14"/>
      <c r="M265" s="14"/>
      <c r="N265" s="13"/>
      <c r="O265" s="13"/>
      <c r="P265" s="13"/>
      <c r="Q265" s="13"/>
      <c r="R265" s="13"/>
      <c r="S265" s="14"/>
      <c r="T265" s="14"/>
      <c r="U265" s="14"/>
      <c r="V265" s="14"/>
      <c r="W265" s="14"/>
      <c r="X265" s="14"/>
      <c r="Y265" s="14"/>
      <c r="Z265" s="13"/>
      <c r="AA265" s="13"/>
      <c r="AB265" s="13"/>
      <c r="AC265" s="13"/>
      <c r="AD265" s="13"/>
      <c r="AE265" s="14"/>
      <c r="AF265" s="14"/>
      <c r="AG265" s="14"/>
      <c r="AH265" s="14"/>
      <c r="AI265" s="14"/>
      <c r="AJ265" s="14"/>
      <c r="AK265" s="14"/>
    </row>
    <row r="266" spans="1:37">
      <c r="A266" s="23"/>
      <c r="B266" s="13"/>
      <c r="C266" s="13"/>
      <c r="D266" s="13"/>
      <c r="E266" s="13"/>
      <c r="F266" s="13"/>
      <c r="G266" s="14"/>
      <c r="H266" s="14"/>
      <c r="I266" s="14"/>
      <c r="J266" s="14"/>
      <c r="K266" s="14"/>
      <c r="L266" s="14"/>
      <c r="M266" s="14"/>
      <c r="N266" s="13"/>
      <c r="O266" s="13"/>
      <c r="P266" s="13"/>
      <c r="Q266" s="13"/>
      <c r="R266" s="13"/>
      <c r="S266" s="14"/>
      <c r="T266" s="14"/>
      <c r="U266" s="14"/>
      <c r="V266" s="14"/>
      <c r="W266" s="14"/>
      <c r="X266" s="14"/>
      <c r="Y266" s="14"/>
      <c r="Z266" s="13"/>
      <c r="AA266" s="13"/>
      <c r="AB266" s="13"/>
      <c r="AC266" s="13"/>
      <c r="AD266" s="13"/>
      <c r="AE266" s="14"/>
      <c r="AF266" s="14"/>
      <c r="AG266" s="14"/>
      <c r="AH266" s="14"/>
      <c r="AI266" s="14"/>
      <c r="AJ266" s="14"/>
      <c r="AK266" s="14"/>
    </row>
    <row r="267" spans="1:37">
      <c r="A267" s="23"/>
      <c r="B267" s="13"/>
      <c r="C267" s="13"/>
      <c r="D267" s="13"/>
      <c r="E267" s="13"/>
      <c r="F267" s="13"/>
      <c r="G267" s="14"/>
      <c r="H267" s="14"/>
      <c r="I267" s="14"/>
      <c r="J267" s="14"/>
      <c r="K267" s="14"/>
      <c r="L267" s="14"/>
      <c r="M267" s="14"/>
      <c r="N267" s="13"/>
      <c r="O267" s="13"/>
      <c r="P267" s="13"/>
      <c r="Q267" s="13"/>
      <c r="R267" s="13"/>
      <c r="S267" s="14"/>
      <c r="T267" s="14"/>
      <c r="U267" s="14"/>
      <c r="V267" s="14"/>
      <c r="W267" s="14"/>
      <c r="X267" s="14"/>
      <c r="Y267" s="14"/>
      <c r="Z267" s="13"/>
      <c r="AA267" s="13"/>
      <c r="AB267" s="13"/>
      <c r="AC267" s="13"/>
      <c r="AD267" s="13"/>
      <c r="AE267" s="14"/>
      <c r="AF267" s="14"/>
      <c r="AG267" s="14"/>
      <c r="AH267" s="14"/>
      <c r="AI267" s="14"/>
      <c r="AJ267" s="14"/>
      <c r="AK267" s="14"/>
    </row>
    <row r="268" spans="1:37">
      <c r="A268" s="23"/>
      <c r="B268" s="13"/>
      <c r="C268" s="13"/>
      <c r="D268" s="13"/>
      <c r="E268" s="13"/>
      <c r="F268" s="13"/>
      <c r="G268" s="14"/>
      <c r="H268" s="14"/>
      <c r="I268" s="14"/>
      <c r="J268" s="14"/>
      <c r="K268" s="14"/>
      <c r="L268" s="14"/>
      <c r="M268" s="14"/>
      <c r="N268" s="13"/>
      <c r="O268" s="13"/>
      <c r="P268" s="13"/>
      <c r="Q268" s="13"/>
      <c r="R268" s="13"/>
      <c r="S268" s="14"/>
      <c r="T268" s="14"/>
      <c r="U268" s="14"/>
      <c r="V268" s="14"/>
      <c r="W268" s="14"/>
      <c r="X268" s="14"/>
      <c r="Y268" s="14"/>
      <c r="Z268" s="13"/>
      <c r="AA268" s="13"/>
      <c r="AB268" s="13"/>
      <c r="AC268" s="13"/>
      <c r="AD268" s="13"/>
      <c r="AE268" s="14"/>
      <c r="AF268" s="14"/>
      <c r="AG268" s="14"/>
      <c r="AH268" s="14"/>
      <c r="AI268" s="14"/>
      <c r="AJ268" s="14"/>
      <c r="AK268" s="14"/>
    </row>
    <row r="269" spans="1:37">
      <c r="A269" s="23"/>
      <c r="B269" s="13"/>
      <c r="C269" s="13"/>
      <c r="D269" s="13"/>
      <c r="E269" s="13"/>
      <c r="F269" s="13"/>
      <c r="G269" s="14"/>
      <c r="H269" s="14"/>
      <c r="I269" s="14"/>
      <c r="J269" s="14"/>
      <c r="K269" s="14"/>
      <c r="L269" s="14"/>
      <c r="M269" s="14"/>
      <c r="N269" s="13"/>
      <c r="O269" s="13"/>
      <c r="P269" s="13"/>
      <c r="Q269" s="13"/>
      <c r="R269" s="13"/>
      <c r="S269" s="14"/>
      <c r="T269" s="14"/>
      <c r="U269" s="14"/>
      <c r="V269" s="14"/>
      <c r="W269" s="14"/>
      <c r="X269" s="14"/>
      <c r="Y269" s="14"/>
      <c r="Z269" s="13"/>
      <c r="AA269" s="13"/>
      <c r="AB269" s="13"/>
      <c r="AC269" s="13"/>
      <c r="AD269" s="13"/>
      <c r="AE269" s="14"/>
      <c r="AF269" s="14"/>
      <c r="AG269" s="14"/>
      <c r="AH269" s="14"/>
      <c r="AI269" s="14"/>
      <c r="AJ269" s="14"/>
      <c r="AK269" s="14"/>
    </row>
    <row r="270" spans="1:37">
      <c r="A270" s="23"/>
      <c r="B270" s="13"/>
      <c r="C270" s="13"/>
      <c r="D270" s="13"/>
      <c r="E270" s="13"/>
      <c r="F270" s="13"/>
      <c r="G270" s="14"/>
      <c r="H270" s="14"/>
      <c r="I270" s="14"/>
      <c r="J270" s="14"/>
      <c r="K270" s="14"/>
      <c r="L270" s="14"/>
      <c r="M270" s="14"/>
      <c r="N270" s="13"/>
      <c r="O270" s="13"/>
      <c r="P270" s="13"/>
      <c r="Q270" s="13"/>
      <c r="R270" s="13"/>
      <c r="S270" s="14"/>
      <c r="T270" s="14"/>
      <c r="U270" s="14"/>
      <c r="V270" s="14"/>
      <c r="W270" s="14"/>
      <c r="X270" s="14"/>
      <c r="Y270" s="14"/>
      <c r="Z270" s="13"/>
      <c r="AA270" s="13"/>
      <c r="AB270" s="13"/>
      <c r="AC270" s="13"/>
      <c r="AD270" s="13"/>
      <c r="AE270" s="14"/>
      <c r="AF270" s="14"/>
      <c r="AG270" s="14"/>
      <c r="AH270" s="14"/>
      <c r="AI270" s="14"/>
      <c r="AJ270" s="14"/>
      <c r="AK270" s="14"/>
    </row>
    <row r="271" spans="1:37">
      <c r="A271" s="23"/>
      <c r="B271" s="13"/>
      <c r="C271" s="13"/>
      <c r="D271" s="13"/>
      <c r="E271" s="13"/>
      <c r="F271" s="13"/>
      <c r="G271" s="14"/>
      <c r="H271" s="14"/>
      <c r="I271" s="14"/>
      <c r="J271" s="14"/>
      <c r="K271" s="14"/>
      <c r="L271" s="14"/>
      <c r="M271" s="14"/>
      <c r="N271" s="13"/>
      <c r="O271" s="13"/>
      <c r="P271" s="13"/>
      <c r="Q271" s="13"/>
      <c r="R271" s="13"/>
      <c r="S271" s="14"/>
      <c r="T271" s="14"/>
      <c r="U271" s="14"/>
      <c r="V271" s="14"/>
      <c r="W271" s="14"/>
      <c r="X271" s="14"/>
      <c r="Y271" s="14"/>
      <c r="Z271" s="13"/>
      <c r="AA271" s="13"/>
      <c r="AB271" s="13"/>
      <c r="AC271" s="13"/>
      <c r="AD271" s="13"/>
      <c r="AE271" s="14"/>
      <c r="AF271" s="14"/>
      <c r="AG271" s="14"/>
      <c r="AH271" s="14"/>
      <c r="AI271" s="14"/>
      <c r="AJ271" s="14"/>
      <c r="AK271" s="14"/>
    </row>
    <row r="272" spans="1:37">
      <c r="A272" s="23"/>
      <c r="B272" s="13"/>
      <c r="C272" s="13"/>
      <c r="D272" s="13"/>
      <c r="E272" s="13"/>
      <c r="F272" s="13"/>
      <c r="G272" s="14"/>
      <c r="H272" s="14"/>
      <c r="I272" s="14"/>
      <c r="J272" s="14"/>
      <c r="K272" s="14"/>
      <c r="L272" s="14"/>
      <c r="M272" s="14"/>
      <c r="N272" s="13"/>
      <c r="O272" s="13"/>
      <c r="P272" s="13"/>
      <c r="Q272" s="13"/>
      <c r="R272" s="13"/>
      <c r="S272" s="14"/>
      <c r="T272" s="14"/>
      <c r="U272" s="14"/>
      <c r="V272" s="14"/>
      <c r="W272" s="14"/>
      <c r="X272" s="14"/>
      <c r="Y272" s="14"/>
      <c r="Z272" s="13"/>
      <c r="AA272" s="13"/>
      <c r="AB272" s="13"/>
      <c r="AC272" s="13"/>
      <c r="AD272" s="13"/>
      <c r="AE272" s="14"/>
      <c r="AF272" s="14"/>
      <c r="AG272" s="14"/>
      <c r="AH272" s="14"/>
      <c r="AI272" s="14"/>
      <c r="AJ272" s="14"/>
      <c r="AK272" s="14"/>
    </row>
    <row r="273" spans="1:37">
      <c r="A273" s="23"/>
      <c r="B273" s="13"/>
      <c r="C273" s="13"/>
      <c r="D273" s="13"/>
      <c r="E273" s="13"/>
      <c r="F273" s="13"/>
      <c r="G273" s="14"/>
      <c r="H273" s="14"/>
      <c r="I273" s="14"/>
      <c r="J273" s="14"/>
      <c r="K273" s="14"/>
      <c r="L273" s="14"/>
      <c r="M273" s="14"/>
      <c r="N273" s="13"/>
      <c r="O273" s="13"/>
      <c r="P273" s="13"/>
      <c r="Q273" s="13"/>
      <c r="R273" s="13"/>
      <c r="S273" s="14"/>
      <c r="T273" s="14"/>
      <c r="U273" s="14"/>
      <c r="V273" s="14"/>
      <c r="W273" s="14"/>
      <c r="X273" s="14"/>
      <c r="Y273" s="14"/>
      <c r="Z273" s="13"/>
      <c r="AA273" s="13"/>
      <c r="AB273" s="13"/>
      <c r="AC273" s="13"/>
      <c r="AD273" s="13"/>
      <c r="AE273" s="14"/>
      <c r="AF273" s="14"/>
      <c r="AG273" s="14"/>
      <c r="AH273" s="14"/>
      <c r="AI273" s="14"/>
      <c r="AJ273" s="14"/>
      <c r="AK273" s="14"/>
    </row>
    <row r="274" spans="1:37">
      <c r="A274" s="23"/>
      <c r="B274" s="13"/>
      <c r="C274" s="13"/>
      <c r="D274" s="13"/>
      <c r="E274" s="13"/>
      <c r="F274" s="13"/>
      <c r="G274" s="14"/>
      <c r="H274" s="14"/>
      <c r="I274" s="14"/>
      <c r="J274" s="14"/>
      <c r="K274" s="14"/>
      <c r="L274" s="14"/>
      <c r="M274" s="14"/>
      <c r="N274" s="13"/>
      <c r="O274" s="13"/>
      <c r="P274" s="13"/>
      <c r="Q274" s="13"/>
      <c r="R274" s="13"/>
      <c r="S274" s="14"/>
      <c r="T274" s="14"/>
      <c r="U274" s="14"/>
      <c r="V274" s="14"/>
      <c r="W274" s="14"/>
      <c r="X274" s="14"/>
      <c r="Y274" s="14"/>
      <c r="Z274" s="13"/>
      <c r="AA274" s="13"/>
      <c r="AB274" s="13"/>
      <c r="AC274" s="13"/>
      <c r="AD274" s="13"/>
      <c r="AE274" s="14"/>
      <c r="AF274" s="14"/>
      <c r="AG274" s="14"/>
      <c r="AH274" s="14"/>
      <c r="AI274" s="14"/>
      <c r="AJ274" s="14"/>
      <c r="AK274" s="14"/>
    </row>
    <row r="275" spans="1:37">
      <c r="A275" s="23"/>
      <c r="B275" s="13"/>
      <c r="C275" s="13"/>
      <c r="D275" s="13"/>
      <c r="E275" s="13"/>
      <c r="F275" s="13"/>
      <c r="G275" s="14"/>
      <c r="H275" s="14"/>
      <c r="I275" s="14"/>
      <c r="J275" s="14"/>
      <c r="K275" s="14"/>
      <c r="L275" s="14"/>
      <c r="M275" s="14"/>
      <c r="N275" s="13"/>
      <c r="O275" s="13"/>
      <c r="P275" s="13"/>
      <c r="Q275" s="13"/>
      <c r="R275" s="13"/>
      <c r="S275" s="14"/>
      <c r="T275" s="14"/>
      <c r="U275" s="14"/>
      <c r="V275" s="14"/>
      <c r="W275" s="14"/>
      <c r="X275" s="14"/>
      <c r="Y275" s="14"/>
      <c r="Z275" s="13"/>
      <c r="AA275" s="13"/>
      <c r="AB275" s="13"/>
      <c r="AC275" s="13"/>
      <c r="AD275" s="13"/>
      <c r="AE275" s="14"/>
      <c r="AF275" s="14"/>
      <c r="AG275" s="14"/>
      <c r="AH275" s="14"/>
      <c r="AI275" s="14"/>
      <c r="AJ275" s="14"/>
      <c r="AK275" s="14"/>
    </row>
    <row r="276" spans="1:37">
      <c r="A276" s="23"/>
      <c r="B276" s="13"/>
      <c r="C276" s="13"/>
      <c r="D276" s="13"/>
      <c r="E276" s="13"/>
      <c r="F276" s="13"/>
      <c r="G276" s="14"/>
      <c r="H276" s="14"/>
      <c r="I276" s="14"/>
      <c r="J276" s="14"/>
      <c r="K276" s="14"/>
      <c r="L276" s="14"/>
      <c r="M276" s="14"/>
      <c r="N276" s="13"/>
      <c r="O276" s="13"/>
      <c r="P276" s="13"/>
      <c r="Q276" s="13"/>
      <c r="R276" s="13"/>
      <c r="S276" s="14"/>
      <c r="T276" s="14"/>
      <c r="U276" s="14"/>
      <c r="V276" s="14"/>
      <c r="W276" s="14"/>
      <c r="X276" s="14"/>
      <c r="Y276" s="14"/>
      <c r="Z276" s="13"/>
      <c r="AA276" s="13"/>
      <c r="AB276" s="13"/>
      <c r="AC276" s="13"/>
      <c r="AD276" s="13"/>
      <c r="AE276" s="14"/>
      <c r="AF276" s="14"/>
      <c r="AG276" s="14"/>
      <c r="AH276" s="14"/>
      <c r="AI276" s="14"/>
      <c r="AJ276" s="14"/>
      <c r="AK276" s="14"/>
    </row>
    <row r="277" spans="1:37">
      <c r="A277" s="23"/>
      <c r="B277" s="13"/>
      <c r="C277" s="13"/>
      <c r="D277" s="13"/>
      <c r="E277" s="13"/>
      <c r="F277" s="13"/>
      <c r="G277" s="14"/>
      <c r="H277" s="14"/>
      <c r="I277" s="14"/>
      <c r="J277" s="14"/>
      <c r="K277" s="14"/>
      <c r="L277" s="14"/>
      <c r="M277" s="14"/>
      <c r="N277" s="13"/>
      <c r="O277" s="13"/>
      <c r="P277" s="13"/>
      <c r="Q277" s="13"/>
      <c r="R277" s="13"/>
      <c r="S277" s="14"/>
      <c r="T277" s="14"/>
      <c r="U277" s="14"/>
      <c r="V277" s="14"/>
      <c r="W277" s="14"/>
      <c r="X277" s="14"/>
      <c r="Y277" s="14"/>
      <c r="Z277" s="13"/>
      <c r="AA277" s="13"/>
      <c r="AB277" s="13"/>
      <c r="AC277" s="13"/>
      <c r="AD277" s="13"/>
      <c r="AE277" s="14"/>
      <c r="AF277" s="14"/>
      <c r="AG277" s="14"/>
      <c r="AH277" s="14"/>
      <c r="AI277" s="14"/>
      <c r="AJ277" s="14"/>
      <c r="AK277" s="14"/>
    </row>
    <row r="278" spans="1:37">
      <c r="A278" s="23"/>
      <c r="B278" s="13"/>
      <c r="C278" s="13"/>
      <c r="D278" s="13"/>
      <c r="E278" s="13"/>
      <c r="F278" s="13"/>
      <c r="G278" s="14"/>
      <c r="H278" s="14"/>
      <c r="I278" s="14"/>
      <c r="J278" s="14"/>
      <c r="K278" s="14"/>
      <c r="L278" s="14"/>
      <c r="M278" s="14"/>
      <c r="N278" s="13"/>
      <c r="O278" s="13"/>
      <c r="P278" s="13"/>
      <c r="Q278" s="13"/>
      <c r="R278" s="13"/>
      <c r="S278" s="14"/>
      <c r="T278" s="14"/>
      <c r="U278" s="14"/>
      <c r="V278" s="14"/>
      <c r="W278" s="14"/>
      <c r="X278" s="14"/>
      <c r="Y278" s="14"/>
      <c r="Z278" s="13"/>
      <c r="AA278" s="13"/>
      <c r="AB278" s="13"/>
      <c r="AC278" s="13"/>
      <c r="AD278" s="13"/>
      <c r="AE278" s="14"/>
      <c r="AF278" s="14"/>
      <c r="AG278" s="14"/>
      <c r="AH278" s="14"/>
      <c r="AI278" s="14"/>
      <c r="AJ278" s="14"/>
      <c r="AK278" s="14"/>
    </row>
    <row r="279" spans="1:37">
      <c r="A279" s="23"/>
      <c r="B279" s="13"/>
      <c r="C279" s="13"/>
      <c r="D279" s="13"/>
      <c r="E279" s="13"/>
      <c r="F279" s="13"/>
      <c r="G279" s="14"/>
      <c r="H279" s="14"/>
      <c r="I279" s="14"/>
      <c r="J279" s="14"/>
      <c r="K279" s="14"/>
      <c r="L279" s="14"/>
      <c r="M279" s="14"/>
      <c r="N279" s="13"/>
      <c r="O279" s="13"/>
      <c r="P279" s="13"/>
      <c r="Q279" s="13"/>
      <c r="R279" s="13"/>
      <c r="S279" s="14"/>
      <c r="T279" s="14"/>
      <c r="U279" s="14"/>
      <c r="V279" s="14"/>
      <c r="W279" s="14"/>
      <c r="X279" s="14"/>
      <c r="Y279" s="14"/>
      <c r="Z279" s="13"/>
      <c r="AA279" s="13"/>
      <c r="AB279" s="13"/>
      <c r="AC279" s="13"/>
      <c r="AD279" s="13"/>
      <c r="AE279" s="14"/>
      <c r="AF279" s="14"/>
      <c r="AG279" s="14"/>
      <c r="AH279" s="14"/>
      <c r="AI279" s="14"/>
      <c r="AJ279" s="14"/>
      <c r="AK279" s="14"/>
    </row>
    <row r="280" spans="1:37">
      <c r="A280" s="23"/>
      <c r="B280" s="13"/>
      <c r="C280" s="13"/>
      <c r="D280" s="13"/>
      <c r="E280" s="13"/>
      <c r="F280" s="13"/>
      <c r="G280" s="14"/>
      <c r="H280" s="14"/>
      <c r="I280" s="14"/>
      <c r="J280" s="14"/>
      <c r="K280" s="14"/>
      <c r="L280" s="14"/>
      <c r="M280" s="14"/>
      <c r="N280" s="13"/>
      <c r="O280" s="13"/>
      <c r="P280" s="13"/>
      <c r="Q280" s="13"/>
      <c r="R280" s="13"/>
      <c r="S280" s="14"/>
      <c r="T280" s="14"/>
      <c r="U280" s="14"/>
      <c r="V280" s="14"/>
      <c r="W280" s="14"/>
      <c r="X280" s="14"/>
      <c r="Y280" s="14"/>
      <c r="Z280" s="13"/>
      <c r="AA280" s="13"/>
      <c r="AB280" s="13"/>
      <c r="AC280" s="13"/>
      <c r="AD280" s="13"/>
      <c r="AE280" s="14"/>
      <c r="AF280" s="14"/>
      <c r="AG280" s="14"/>
      <c r="AH280" s="14"/>
      <c r="AI280" s="14"/>
      <c r="AJ280" s="14"/>
      <c r="AK280" s="14"/>
    </row>
    <row r="281" spans="1:37">
      <c r="A281" s="23"/>
      <c r="B281" s="13"/>
      <c r="C281" s="13"/>
      <c r="D281" s="13"/>
      <c r="E281" s="13"/>
      <c r="F281" s="13"/>
      <c r="G281" s="14"/>
      <c r="H281" s="14"/>
      <c r="I281" s="14"/>
      <c r="J281" s="14"/>
      <c r="K281" s="14"/>
      <c r="L281" s="14"/>
      <c r="M281" s="14"/>
      <c r="N281" s="13"/>
      <c r="O281" s="13"/>
      <c r="P281" s="13"/>
      <c r="Q281" s="13"/>
      <c r="R281" s="13"/>
      <c r="S281" s="14"/>
      <c r="T281" s="14"/>
      <c r="U281" s="14"/>
      <c r="V281" s="14"/>
      <c r="W281" s="14"/>
      <c r="X281" s="14"/>
      <c r="Y281" s="14"/>
      <c r="Z281" s="13"/>
      <c r="AA281" s="13"/>
      <c r="AB281" s="13"/>
      <c r="AC281" s="13"/>
      <c r="AD281" s="13"/>
      <c r="AE281" s="14"/>
      <c r="AF281" s="14"/>
      <c r="AG281" s="14"/>
      <c r="AH281" s="14"/>
      <c r="AI281" s="14"/>
      <c r="AJ281" s="14"/>
      <c r="AK281" s="14"/>
    </row>
    <row r="282" spans="1:37">
      <c r="A282" s="23"/>
      <c r="B282" s="13"/>
      <c r="C282" s="13"/>
      <c r="D282" s="13"/>
      <c r="E282" s="13"/>
      <c r="F282" s="13"/>
      <c r="G282" s="14"/>
      <c r="H282" s="14"/>
      <c r="I282" s="14"/>
      <c r="J282" s="14"/>
      <c r="K282" s="14"/>
      <c r="L282" s="14"/>
      <c r="M282" s="14"/>
      <c r="N282" s="13"/>
      <c r="O282" s="13"/>
      <c r="P282" s="13"/>
      <c r="Q282" s="13"/>
      <c r="R282" s="13"/>
      <c r="S282" s="14"/>
      <c r="T282" s="14"/>
      <c r="U282" s="14"/>
      <c r="V282" s="14"/>
      <c r="W282" s="14"/>
      <c r="X282" s="14"/>
      <c r="Y282" s="14"/>
      <c r="Z282" s="13"/>
      <c r="AA282" s="13"/>
      <c r="AB282" s="13"/>
      <c r="AC282" s="13"/>
      <c r="AD282" s="13"/>
      <c r="AE282" s="14"/>
      <c r="AF282" s="14"/>
      <c r="AG282" s="14"/>
      <c r="AH282" s="14"/>
      <c r="AI282" s="14"/>
      <c r="AJ282" s="14"/>
      <c r="AK282" s="14"/>
    </row>
    <row r="283" spans="1:37">
      <c r="A283" s="23"/>
      <c r="B283" s="13"/>
      <c r="C283" s="13"/>
      <c r="D283" s="13"/>
      <c r="E283" s="13"/>
      <c r="F283" s="13"/>
      <c r="G283" s="14"/>
      <c r="H283" s="14"/>
      <c r="I283" s="14"/>
      <c r="J283" s="14"/>
      <c r="K283" s="14"/>
      <c r="L283" s="14"/>
      <c r="M283" s="14"/>
      <c r="N283" s="13"/>
      <c r="O283" s="13"/>
      <c r="P283" s="13"/>
      <c r="Q283" s="13"/>
      <c r="R283" s="13"/>
      <c r="S283" s="14"/>
      <c r="T283" s="14"/>
      <c r="U283" s="14"/>
      <c r="V283" s="14"/>
      <c r="W283" s="14"/>
      <c r="X283" s="14"/>
      <c r="Y283" s="14"/>
      <c r="Z283" s="13"/>
      <c r="AA283" s="13"/>
      <c r="AB283" s="13"/>
      <c r="AC283" s="13"/>
      <c r="AD283" s="13"/>
      <c r="AE283" s="14"/>
      <c r="AF283" s="14"/>
      <c r="AG283" s="14"/>
      <c r="AH283" s="14"/>
      <c r="AI283" s="14"/>
      <c r="AJ283" s="14"/>
      <c r="AK283" s="14"/>
    </row>
    <row r="284" spans="1:37">
      <c r="A284" s="23"/>
      <c r="B284" s="13"/>
      <c r="C284" s="13"/>
      <c r="D284" s="13"/>
      <c r="E284" s="13"/>
      <c r="F284" s="13"/>
      <c r="G284" s="14"/>
      <c r="H284" s="14"/>
      <c r="I284" s="14"/>
      <c r="J284" s="14"/>
      <c r="K284" s="14"/>
      <c r="L284" s="14"/>
      <c r="M284" s="14"/>
      <c r="N284" s="13"/>
      <c r="O284" s="13"/>
      <c r="P284" s="13"/>
      <c r="Q284" s="13"/>
      <c r="R284" s="13"/>
      <c r="S284" s="14"/>
      <c r="T284" s="14"/>
      <c r="U284" s="14"/>
      <c r="V284" s="14"/>
      <c r="W284" s="14"/>
      <c r="X284" s="14"/>
      <c r="Y284" s="14"/>
      <c r="Z284" s="13"/>
      <c r="AA284" s="13"/>
      <c r="AB284" s="13"/>
      <c r="AC284" s="13"/>
      <c r="AD284" s="13"/>
      <c r="AE284" s="14"/>
      <c r="AF284" s="14"/>
      <c r="AG284" s="14"/>
      <c r="AH284" s="14"/>
      <c r="AI284" s="14"/>
      <c r="AJ284" s="14"/>
      <c r="AK284" s="14"/>
    </row>
    <row r="285" spans="1:37">
      <c r="A285" s="23"/>
      <c r="B285" s="13"/>
      <c r="C285" s="13"/>
      <c r="D285" s="13"/>
      <c r="E285" s="13"/>
      <c r="F285" s="13"/>
      <c r="G285" s="14"/>
      <c r="H285" s="14"/>
      <c r="I285" s="14"/>
      <c r="J285" s="14"/>
      <c r="K285" s="14"/>
      <c r="L285" s="14"/>
      <c r="M285" s="14"/>
      <c r="N285" s="13"/>
      <c r="O285" s="13"/>
      <c r="P285" s="13"/>
      <c r="Q285" s="13"/>
      <c r="R285" s="13"/>
      <c r="S285" s="14"/>
      <c r="T285" s="14"/>
      <c r="U285" s="14"/>
      <c r="V285" s="14"/>
      <c r="W285" s="14"/>
      <c r="X285" s="14"/>
      <c r="Y285" s="14"/>
      <c r="Z285" s="13"/>
      <c r="AA285" s="13"/>
      <c r="AB285" s="13"/>
      <c r="AC285" s="13"/>
      <c r="AD285" s="13"/>
      <c r="AE285" s="14"/>
      <c r="AF285" s="14"/>
      <c r="AG285" s="14"/>
      <c r="AH285" s="14"/>
      <c r="AI285" s="14"/>
      <c r="AJ285" s="14"/>
      <c r="AK285" s="14"/>
    </row>
    <row r="286" spans="1:37">
      <c r="A286" s="23"/>
      <c r="B286" s="13"/>
      <c r="C286" s="13"/>
      <c r="D286" s="13"/>
      <c r="E286" s="13"/>
      <c r="F286" s="13"/>
      <c r="G286" s="14"/>
      <c r="H286" s="14"/>
      <c r="I286" s="14"/>
      <c r="J286" s="14"/>
      <c r="K286" s="14"/>
      <c r="L286" s="14"/>
      <c r="M286" s="14"/>
      <c r="N286" s="13"/>
      <c r="O286" s="13"/>
      <c r="P286" s="13"/>
      <c r="Q286" s="13"/>
      <c r="R286" s="13"/>
      <c r="S286" s="14"/>
      <c r="T286" s="14"/>
      <c r="U286" s="14"/>
      <c r="V286" s="14"/>
      <c r="W286" s="14"/>
      <c r="X286" s="14"/>
      <c r="Y286" s="14"/>
      <c r="Z286" s="13"/>
      <c r="AA286" s="13"/>
      <c r="AB286" s="13"/>
      <c r="AC286" s="13"/>
      <c r="AD286" s="13"/>
      <c r="AE286" s="14"/>
      <c r="AF286" s="14"/>
      <c r="AG286" s="14"/>
      <c r="AH286" s="14"/>
      <c r="AI286" s="14"/>
      <c r="AJ286" s="14"/>
      <c r="AK286" s="14"/>
    </row>
    <row r="287" spans="1:37">
      <c r="A287" s="23"/>
      <c r="B287" s="13"/>
      <c r="C287" s="13"/>
      <c r="D287" s="13"/>
      <c r="E287" s="13"/>
      <c r="F287" s="13"/>
      <c r="G287" s="14"/>
      <c r="H287" s="14"/>
      <c r="I287" s="14"/>
      <c r="J287" s="14"/>
      <c r="K287" s="14"/>
      <c r="L287" s="14"/>
      <c r="M287" s="14"/>
      <c r="N287" s="13"/>
      <c r="O287" s="13"/>
      <c r="P287" s="13"/>
      <c r="Q287" s="13"/>
      <c r="R287" s="13"/>
      <c r="S287" s="14"/>
      <c r="T287" s="14"/>
      <c r="U287" s="14"/>
      <c r="V287" s="14"/>
      <c r="W287" s="14"/>
      <c r="X287" s="14"/>
      <c r="Y287" s="14"/>
      <c r="Z287" s="13"/>
      <c r="AA287" s="13"/>
      <c r="AB287" s="13"/>
      <c r="AC287" s="13"/>
      <c r="AD287" s="13"/>
      <c r="AE287" s="14"/>
      <c r="AF287" s="14"/>
      <c r="AG287" s="14"/>
      <c r="AH287" s="14"/>
      <c r="AI287" s="14"/>
      <c r="AJ287" s="14"/>
      <c r="AK287" s="14"/>
    </row>
    <row r="288" spans="1:37">
      <c r="A288" s="23"/>
      <c r="B288" s="13"/>
      <c r="C288" s="13"/>
      <c r="D288" s="13"/>
      <c r="E288" s="13"/>
      <c r="F288" s="13"/>
      <c r="G288" s="14"/>
      <c r="H288" s="14"/>
      <c r="I288" s="14"/>
      <c r="J288" s="14"/>
      <c r="K288" s="14"/>
      <c r="L288" s="14"/>
      <c r="M288" s="14"/>
      <c r="N288" s="13"/>
      <c r="O288" s="13"/>
      <c r="P288" s="13"/>
      <c r="Q288" s="13"/>
      <c r="R288" s="13"/>
      <c r="S288" s="14"/>
      <c r="T288" s="14"/>
      <c r="U288" s="14"/>
      <c r="V288" s="14"/>
      <c r="W288" s="14"/>
      <c r="X288" s="14"/>
      <c r="Y288" s="14"/>
      <c r="Z288" s="13"/>
      <c r="AA288" s="13"/>
      <c r="AB288" s="13"/>
      <c r="AC288" s="13"/>
      <c r="AD288" s="13"/>
      <c r="AE288" s="14"/>
      <c r="AF288" s="14"/>
      <c r="AG288" s="14"/>
      <c r="AH288" s="14"/>
      <c r="AI288" s="14"/>
      <c r="AJ288" s="14"/>
      <c r="AK288" s="14"/>
    </row>
    <row r="289" spans="1:37">
      <c r="A289" s="23"/>
      <c r="B289" s="13"/>
      <c r="C289" s="13"/>
      <c r="D289" s="13"/>
      <c r="E289" s="13"/>
      <c r="F289" s="13"/>
      <c r="G289" s="14"/>
      <c r="H289" s="14"/>
      <c r="I289" s="14"/>
      <c r="J289" s="14"/>
      <c r="K289" s="14"/>
      <c r="L289" s="14"/>
      <c r="M289" s="14"/>
      <c r="N289" s="13"/>
      <c r="O289" s="13"/>
      <c r="P289" s="13"/>
      <c r="Q289" s="13"/>
      <c r="R289" s="13"/>
      <c r="S289" s="14"/>
      <c r="T289" s="14"/>
      <c r="U289" s="14"/>
      <c r="V289" s="14"/>
      <c r="W289" s="14"/>
      <c r="X289" s="14"/>
      <c r="Y289" s="14"/>
      <c r="Z289" s="13"/>
      <c r="AA289" s="13"/>
      <c r="AB289" s="13"/>
      <c r="AC289" s="13"/>
      <c r="AD289" s="13"/>
      <c r="AE289" s="14"/>
      <c r="AF289" s="14"/>
      <c r="AG289" s="14"/>
      <c r="AH289" s="14"/>
      <c r="AI289" s="14"/>
      <c r="AJ289" s="14"/>
      <c r="AK289" s="14"/>
    </row>
    <row r="290" spans="1:37">
      <c r="A290" s="23"/>
      <c r="B290" s="13"/>
      <c r="C290" s="13"/>
      <c r="D290" s="13"/>
      <c r="E290" s="13"/>
      <c r="F290" s="13"/>
      <c r="G290" s="14"/>
      <c r="H290" s="14"/>
      <c r="I290" s="14"/>
      <c r="J290" s="14"/>
      <c r="K290" s="14"/>
      <c r="L290" s="14"/>
      <c r="M290" s="14"/>
      <c r="N290" s="13"/>
      <c r="O290" s="13"/>
      <c r="P290" s="13"/>
      <c r="Q290" s="13"/>
      <c r="R290" s="13"/>
      <c r="S290" s="14"/>
      <c r="T290" s="14"/>
      <c r="U290" s="14"/>
      <c r="V290" s="14"/>
      <c r="W290" s="14"/>
      <c r="X290" s="14"/>
      <c r="Y290" s="14"/>
      <c r="Z290" s="13"/>
      <c r="AA290" s="13"/>
      <c r="AB290" s="13"/>
      <c r="AC290" s="13"/>
      <c r="AD290" s="13"/>
      <c r="AE290" s="14"/>
      <c r="AF290" s="14"/>
      <c r="AG290" s="14"/>
      <c r="AH290" s="14"/>
      <c r="AI290" s="14"/>
      <c r="AJ290" s="14"/>
      <c r="AK290" s="14"/>
    </row>
    <row r="291" spans="1:37">
      <c r="A291" s="23"/>
      <c r="B291" s="13"/>
      <c r="C291" s="13"/>
      <c r="D291" s="13"/>
      <c r="E291" s="13"/>
      <c r="F291" s="13"/>
      <c r="G291" s="14"/>
      <c r="H291" s="14"/>
      <c r="I291" s="14"/>
      <c r="J291" s="14"/>
      <c r="K291" s="14"/>
      <c r="L291" s="14"/>
      <c r="M291" s="14"/>
      <c r="N291" s="13"/>
      <c r="O291" s="13"/>
      <c r="P291" s="13"/>
      <c r="Q291" s="13"/>
      <c r="R291" s="13"/>
      <c r="S291" s="14"/>
      <c r="T291" s="14"/>
      <c r="U291" s="14"/>
      <c r="V291" s="14"/>
      <c r="W291" s="14"/>
      <c r="X291" s="14"/>
      <c r="Y291" s="14"/>
      <c r="Z291" s="13"/>
      <c r="AA291" s="13"/>
      <c r="AB291" s="13"/>
      <c r="AC291" s="13"/>
      <c r="AD291" s="13"/>
      <c r="AE291" s="14"/>
      <c r="AF291" s="14"/>
      <c r="AG291" s="14"/>
      <c r="AH291" s="14"/>
      <c r="AI291" s="14"/>
      <c r="AJ291" s="14"/>
      <c r="AK291" s="14"/>
    </row>
    <row r="292" spans="1:37">
      <c r="A292" s="23"/>
      <c r="B292" s="13"/>
      <c r="C292" s="13"/>
      <c r="D292" s="13"/>
      <c r="E292" s="13"/>
      <c r="F292" s="13"/>
      <c r="G292" s="14"/>
      <c r="H292" s="14"/>
      <c r="I292" s="14"/>
      <c r="J292" s="14"/>
      <c r="K292" s="14"/>
      <c r="L292" s="14"/>
      <c r="M292" s="14"/>
      <c r="N292" s="13"/>
      <c r="O292" s="13"/>
      <c r="P292" s="13"/>
      <c r="Q292" s="13"/>
      <c r="R292" s="13"/>
      <c r="S292" s="14"/>
      <c r="T292" s="14"/>
      <c r="U292" s="14"/>
      <c r="V292" s="14"/>
      <c r="W292" s="14"/>
      <c r="X292" s="14"/>
      <c r="Y292" s="14"/>
      <c r="Z292" s="13"/>
      <c r="AA292" s="13"/>
      <c r="AB292" s="13"/>
      <c r="AC292" s="13"/>
      <c r="AD292" s="13"/>
      <c r="AE292" s="14"/>
      <c r="AF292" s="14"/>
      <c r="AG292" s="14"/>
      <c r="AH292" s="14"/>
      <c r="AI292" s="14"/>
      <c r="AJ292" s="14"/>
      <c r="AK292" s="14"/>
    </row>
    <row r="293" spans="1:37">
      <c r="A293" s="23"/>
      <c r="B293" s="13"/>
      <c r="C293" s="13"/>
      <c r="D293" s="13"/>
      <c r="E293" s="13"/>
      <c r="F293" s="13"/>
      <c r="G293" s="14"/>
      <c r="H293" s="14"/>
      <c r="I293" s="14"/>
      <c r="J293" s="14"/>
      <c r="K293" s="14"/>
      <c r="L293" s="14"/>
      <c r="M293" s="14"/>
      <c r="N293" s="13"/>
      <c r="O293" s="13"/>
      <c r="P293" s="13"/>
      <c r="Q293" s="13"/>
      <c r="R293" s="13"/>
      <c r="S293" s="14"/>
      <c r="T293" s="14"/>
      <c r="U293" s="14"/>
      <c r="V293" s="14"/>
      <c r="W293" s="14"/>
      <c r="X293" s="14"/>
      <c r="Y293" s="14"/>
      <c r="Z293" s="13"/>
      <c r="AA293" s="13"/>
      <c r="AB293" s="13"/>
      <c r="AC293" s="13"/>
      <c r="AD293" s="13"/>
      <c r="AE293" s="14"/>
      <c r="AF293" s="14"/>
      <c r="AG293" s="14"/>
      <c r="AH293" s="14"/>
      <c r="AI293" s="14"/>
      <c r="AJ293" s="14"/>
      <c r="AK293" s="14"/>
    </row>
    <row r="294" spans="1:37">
      <c r="A294" s="23"/>
      <c r="B294" s="13"/>
      <c r="C294" s="13"/>
      <c r="D294" s="13"/>
      <c r="E294" s="13"/>
      <c r="F294" s="13"/>
      <c r="G294" s="14"/>
      <c r="H294" s="14"/>
      <c r="I294" s="14"/>
      <c r="J294" s="14"/>
      <c r="K294" s="14"/>
      <c r="L294" s="14"/>
      <c r="M294" s="14"/>
      <c r="N294" s="13"/>
      <c r="O294" s="13"/>
      <c r="P294" s="13"/>
      <c r="Q294" s="13"/>
      <c r="R294" s="13"/>
      <c r="S294" s="14"/>
      <c r="T294" s="14"/>
      <c r="U294" s="14"/>
      <c r="V294" s="14"/>
      <c r="W294" s="14"/>
      <c r="X294" s="14"/>
      <c r="Y294" s="14"/>
      <c r="Z294" s="13"/>
      <c r="AA294" s="13"/>
      <c r="AB294" s="13"/>
      <c r="AC294" s="13"/>
      <c r="AD294" s="13"/>
      <c r="AE294" s="14"/>
      <c r="AF294" s="14"/>
      <c r="AG294" s="14"/>
      <c r="AH294" s="14"/>
      <c r="AI294" s="14"/>
      <c r="AJ294" s="14"/>
      <c r="AK294" s="14"/>
    </row>
    <row r="295" spans="1:37">
      <c r="A295" s="23"/>
      <c r="B295" s="13"/>
      <c r="C295" s="13"/>
      <c r="D295" s="13"/>
      <c r="E295" s="13"/>
      <c r="F295" s="13"/>
      <c r="G295" s="14"/>
      <c r="H295" s="14"/>
      <c r="I295" s="14"/>
      <c r="J295" s="14"/>
      <c r="K295" s="14"/>
      <c r="L295" s="14"/>
      <c r="M295" s="14"/>
      <c r="N295" s="13"/>
      <c r="O295" s="13"/>
      <c r="P295" s="13"/>
      <c r="Q295" s="13"/>
      <c r="R295" s="13"/>
      <c r="S295" s="14"/>
      <c r="T295" s="14"/>
      <c r="U295" s="14"/>
      <c r="V295" s="14"/>
      <c r="W295" s="14"/>
      <c r="X295" s="14"/>
      <c r="Y295" s="14"/>
      <c r="Z295" s="13"/>
      <c r="AA295" s="13"/>
      <c r="AB295" s="13"/>
      <c r="AC295" s="13"/>
      <c r="AD295" s="13"/>
      <c r="AE295" s="14"/>
      <c r="AF295" s="14"/>
      <c r="AG295" s="14"/>
      <c r="AH295" s="14"/>
      <c r="AI295" s="14"/>
      <c r="AJ295" s="14"/>
      <c r="AK295" s="14"/>
    </row>
    <row r="296" spans="1:37">
      <c r="A296" s="23"/>
      <c r="B296" s="13"/>
      <c r="C296" s="13"/>
      <c r="D296" s="13"/>
      <c r="E296" s="13"/>
      <c r="F296" s="13"/>
      <c r="G296" s="14"/>
      <c r="H296" s="14"/>
      <c r="I296" s="14"/>
      <c r="J296" s="14"/>
      <c r="K296" s="14"/>
      <c r="L296" s="14"/>
      <c r="M296" s="14"/>
      <c r="N296" s="13"/>
      <c r="O296" s="13"/>
      <c r="P296" s="13"/>
      <c r="Q296" s="13"/>
      <c r="R296" s="13"/>
      <c r="S296" s="14"/>
      <c r="T296" s="14"/>
      <c r="U296" s="14"/>
      <c r="V296" s="14"/>
      <c r="W296" s="14"/>
      <c r="X296" s="14"/>
      <c r="Y296" s="14"/>
      <c r="Z296" s="13"/>
      <c r="AA296" s="13"/>
      <c r="AB296" s="13"/>
      <c r="AC296" s="13"/>
      <c r="AD296" s="13"/>
      <c r="AE296" s="14"/>
      <c r="AF296" s="14"/>
      <c r="AG296" s="14"/>
      <c r="AH296" s="14"/>
      <c r="AI296" s="14"/>
      <c r="AJ296" s="14"/>
      <c r="AK296" s="14"/>
    </row>
    <row r="297" spans="1:37">
      <c r="A297" s="23"/>
      <c r="B297" s="13"/>
      <c r="C297" s="13"/>
      <c r="D297" s="13"/>
      <c r="E297" s="13"/>
      <c r="F297" s="13"/>
      <c r="G297" s="14"/>
      <c r="H297" s="14"/>
      <c r="I297" s="14"/>
      <c r="J297" s="14"/>
      <c r="K297" s="14"/>
      <c r="L297" s="14"/>
      <c r="M297" s="14"/>
      <c r="N297" s="13"/>
      <c r="O297" s="13"/>
      <c r="P297" s="13"/>
      <c r="Q297" s="13"/>
      <c r="R297" s="13"/>
      <c r="S297" s="14"/>
      <c r="T297" s="14"/>
      <c r="U297" s="14"/>
      <c r="V297" s="14"/>
      <c r="W297" s="14"/>
      <c r="X297" s="14"/>
      <c r="Y297" s="14"/>
      <c r="Z297" s="13"/>
      <c r="AA297" s="13"/>
      <c r="AB297" s="13"/>
      <c r="AC297" s="13"/>
      <c r="AD297" s="13"/>
      <c r="AE297" s="14"/>
      <c r="AF297" s="14"/>
      <c r="AG297" s="14"/>
      <c r="AH297" s="14"/>
      <c r="AI297" s="14"/>
      <c r="AJ297" s="14"/>
      <c r="AK297" s="14"/>
    </row>
    <row r="298" spans="1:37">
      <c r="A298" s="23"/>
      <c r="B298" s="13"/>
      <c r="C298" s="13"/>
      <c r="D298" s="13"/>
      <c r="E298" s="13"/>
      <c r="F298" s="13"/>
      <c r="G298" s="14"/>
      <c r="H298" s="14"/>
      <c r="I298" s="14"/>
      <c r="J298" s="14"/>
      <c r="K298" s="14"/>
      <c r="L298" s="14"/>
      <c r="M298" s="14"/>
      <c r="N298" s="13"/>
      <c r="O298" s="13"/>
      <c r="P298" s="13"/>
      <c r="Q298" s="13"/>
      <c r="R298" s="13"/>
      <c r="S298" s="14"/>
      <c r="T298" s="14"/>
      <c r="U298" s="14"/>
      <c r="V298" s="14"/>
      <c r="W298" s="14"/>
      <c r="X298" s="14"/>
      <c r="Y298" s="14"/>
      <c r="Z298" s="13"/>
      <c r="AA298" s="13"/>
      <c r="AB298" s="13"/>
      <c r="AC298" s="13"/>
      <c r="AD298" s="13"/>
      <c r="AE298" s="14"/>
      <c r="AF298" s="14"/>
      <c r="AG298" s="14"/>
      <c r="AH298" s="14"/>
      <c r="AI298" s="14"/>
      <c r="AJ298" s="14"/>
      <c r="AK298" s="14"/>
    </row>
    <row r="299" spans="1:37">
      <c r="A299" s="23"/>
      <c r="B299" s="13"/>
      <c r="C299" s="13"/>
      <c r="D299" s="13"/>
      <c r="E299" s="13"/>
      <c r="F299" s="13"/>
      <c r="G299" s="14"/>
      <c r="H299" s="14"/>
      <c r="I299" s="14"/>
      <c r="J299" s="14"/>
      <c r="K299" s="14"/>
      <c r="L299" s="14"/>
      <c r="M299" s="14"/>
      <c r="N299" s="13"/>
      <c r="O299" s="13"/>
      <c r="P299" s="13"/>
      <c r="Q299" s="13"/>
      <c r="R299" s="13"/>
      <c r="S299" s="14"/>
      <c r="T299" s="14"/>
      <c r="U299" s="14"/>
      <c r="V299" s="14"/>
      <c r="W299" s="14"/>
      <c r="X299" s="14"/>
      <c r="Y299" s="14"/>
      <c r="Z299" s="13"/>
      <c r="AA299" s="13"/>
      <c r="AB299" s="13"/>
      <c r="AC299" s="13"/>
      <c r="AD299" s="13"/>
      <c r="AE299" s="14"/>
      <c r="AF299" s="14"/>
      <c r="AG299" s="14"/>
      <c r="AH299" s="14"/>
      <c r="AI299" s="14"/>
      <c r="AJ299" s="14"/>
      <c r="AK299" s="14"/>
    </row>
    <row r="300" spans="1:37">
      <c r="A300" s="23"/>
      <c r="B300" s="13"/>
      <c r="C300" s="13"/>
      <c r="D300" s="13"/>
      <c r="E300" s="13"/>
      <c r="F300" s="13"/>
      <c r="G300" s="14"/>
      <c r="H300" s="14"/>
      <c r="I300" s="14"/>
      <c r="J300" s="14"/>
      <c r="K300" s="14"/>
      <c r="L300" s="14"/>
      <c r="M300" s="14"/>
      <c r="N300" s="13"/>
      <c r="O300" s="13"/>
      <c r="P300" s="13"/>
      <c r="Q300" s="13"/>
      <c r="R300" s="13"/>
      <c r="S300" s="14"/>
      <c r="T300" s="14"/>
      <c r="U300" s="14"/>
      <c r="V300" s="14"/>
      <c r="W300" s="14"/>
      <c r="X300" s="14"/>
      <c r="Y300" s="14"/>
      <c r="Z300" s="13"/>
      <c r="AA300" s="13"/>
      <c r="AB300" s="13"/>
      <c r="AC300" s="13"/>
      <c r="AD300" s="13"/>
      <c r="AE300" s="14"/>
      <c r="AF300" s="14"/>
      <c r="AG300" s="14"/>
      <c r="AH300" s="14"/>
      <c r="AI300" s="14"/>
      <c r="AJ300" s="14"/>
      <c r="AK300" s="14"/>
    </row>
    <row r="301" spans="1:37">
      <c r="A301" s="23"/>
      <c r="B301" s="13"/>
      <c r="C301" s="13"/>
      <c r="D301" s="13"/>
      <c r="E301" s="13"/>
      <c r="F301" s="13"/>
      <c r="G301" s="14"/>
      <c r="H301" s="14"/>
      <c r="I301" s="14"/>
      <c r="J301" s="14"/>
      <c r="K301" s="14"/>
      <c r="L301" s="14"/>
      <c r="M301" s="14"/>
      <c r="N301" s="13"/>
      <c r="O301" s="13"/>
      <c r="P301" s="13"/>
      <c r="Q301" s="13"/>
      <c r="R301" s="13"/>
      <c r="S301" s="14"/>
      <c r="T301" s="14"/>
      <c r="U301" s="14"/>
      <c r="V301" s="14"/>
      <c r="W301" s="14"/>
      <c r="X301" s="14"/>
      <c r="Y301" s="14"/>
      <c r="Z301" s="13"/>
      <c r="AA301" s="13"/>
      <c r="AB301" s="13"/>
      <c r="AC301" s="13"/>
      <c r="AD301" s="13"/>
      <c r="AE301" s="14"/>
      <c r="AF301" s="14"/>
      <c r="AG301" s="14"/>
      <c r="AH301" s="14"/>
      <c r="AI301" s="14"/>
      <c r="AJ301" s="14"/>
      <c r="AK301" s="14"/>
    </row>
    <row r="302" spans="1:37">
      <c r="A302" s="23"/>
      <c r="B302" s="13"/>
      <c r="C302" s="13"/>
      <c r="D302" s="13"/>
      <c r="E302" s="13"/>
      <c r="F302" s="13"/>
      <c r="G302" s="14"/>
      <c r="H302" s="14"/>
      <c r="I302" s="14"/>
      <c r="J302" s="14"/>
      <c r="K302" s="14"/>
      <c r="L302" s="14"/>
      <c r="M302" s="14"/>
      <c r="N302" s="13"/>
      <c r="O302" s="13"/>
      <c r="P302" s="13"/>
      <c r="Q302" s="13"/>
      <c r="R302" s="13"/>
      <c r="S302" s="14"/>
      <c r="T302" s="14"/>
      <c r="U302" s="14"/>
      <c r="V302" s="14"/>
      <c r="W302" s="14"/>
      <c r="X302" s="14"/>
      <c r="Y302" s="14"/>
      <c r="Z302" s="13"/>
      <c r="AA302" s="13"/>
      <c r="AB302" s="13"/>
      <c r="AC302" s="13"/>
      <c r="AD302" s="13"/>
      <c r="AE302" s="14"/>
      <c r="AF302" s="14"/>
      <c r="AG302" s="14"/>
      <c r="AH302" s="14"/>
      <c r="AI302" s="14"/>
      <c r="AJ302" s="14"/>
      <c r="AK302" s="14"/>
    </row>
    <row r="303" spans="1:37">
      <c r="A303" s="23"/>
      <c r="B303" s="13"/>
      <c r="C303" s="13"/>
      <c r="D303" s="13"/>
      <c r="E303" s="13"/>
      <c r="F303" s="13"/>
      <c r="G303" s="14"/>
      <c r="H303" s="14"/>
      <c r="I303" s="14"/>
      <c r="J303" s="14"/>
      <c r="K303" s="14"/>
      <c r="L303" s="14"/>
      <c r="M303" s="14"/>
      <c r="N303" s="13"/>
      <c r="O303" s="13"/>
      <c r="P303" s="13"/>
      <c r="Q303" s="13"/>
      <c r="R303" s="13"/>
      <c r="S303" s="14"/>
      <c r="T303" s="14"/>
      <c r="U303" s="14"/>
      <c r="V303" s="14"/>
      <c r="W303" s="14"/>
      <c r="X303" s="14"/>
      <c r="Y303" s="14"/>
      <c r="Z303" s="13"/>
      <c r="AA303" s="13"/>
      <c r="AB303" s="13"/>
      <c r="AC303" s="13"/>
      <c r="AD303" s="13"/>
      <c r="AE303" s="14"/>
      <c r="AF303" s="14"/>
      <c r="AG303" s="14"/>
      <c r="AH303" s="14"/>
      <c r="AI303" s="14"/>
      <c r="AJ303" s="14"/>
      <c r="AK303" s="14"/>
    </row>
    <row r="304" spans="1:37">
      <c r="A304" s="23"/>
      <c r="B304" s="13"/>
      <c r="C304" s="13"/>
      <c r="D304" s="13"/>
      <c r="E304" s="13"/>
      <c r="F304" s="13"/>
      <c r="G304" s="14"/>
      <c r="H304" s="14"/>
      <c r="I304" s="14"/>
      <c r="J304" s="14"/>
      <c r="K304" s="14"/>
      <c r="L304" s="14"/>
      <c r="M304" s="14"/>
      <c r="N304" s="13"/>
      <c r="O304" s="13"/>
      <c r="P304" s="13"/>
      <c r="Q304" s="13"/>
      <c r="R304" s="13"/>
      <c r="S304" s="14"/>
      <c r="T304" s="14"/>
      <c r="U304" s="14"/>
      <c r="V304" s="14"/>
      <c r="W304" s="14"/>
      <c r="X304" s="14"/>
      <c r="Y304" s="14"/>
      <c r="Z304" s="13"/>
      <c r="AA304" s="13"/>
      <c r="AB304" s="13"/>
      <c r="AC304" s="13"/>
      <c r="AD304" s="13"/>
      <c r="AE304" s="14"/>
      <c r="AF304" s="14"/>
      <c r="AG304" s="14"/>
      <c r="AH304" s="14"/>
      <c r="AI304" s="14"/>
      <c r="AJ304" s="14"/>
      <c r="AK304" s="14"/>
    </row>
    <row r="305" spans="1:37">
      <c r="A305" s="23"/>
      <c r="B305" s="13"/>
      <c r="C305" s="13"/>
      <c r="D305" s="13"/>
      <c r="E305" s="13"/>
      <c r="F305" s="13"/>
      <c r="G305" s="14"/>
      <c r="H305" s="14"/>
      <c r="I305" s="14"/>
      <c r="J305" s="14"/>
      <c r="K305" s="14"/>
      <c r="L305" s="14"/>
      <c r="M305" s="14"/>
      <c r="N305" s="13"/>
      <c r="O305" s="13"/>
      <c r="P305" s="13"/>
      <c r="Q305" s="13"/>
      <c r="R305" s="13"/>
      <c r="S305" s="14"/>
      <c r="T305" s="14"/>
      <c r="U305" s="14"/>
      <c r="V305" s="14"/>
      <c r="W305" s="14"/>
      <c r="X305" s="14"/>
      <c r="Y305" s="14"/>
      <c r="Z305" s="13"/>
      <c r="AA305" s="13"/>
      <c r="AB305" s="13"/>
      <c r="AC305" s="13"/>
      <c r="AD305" s="13"/>
      <c r="AE305" s="14"/>
      <c r="AF305" s="14"/>
      <c r="AG305" s="14"/>
      <c r="AH305" s="14"/>
      <c r="AI305" s="14"/>
      <c r="AJ305" s="14"/>
      <c r="AK305" s="14"/>
    </row>
    <row r="306" spans="1:37">
      <c r="A306" s="23"/>
      <c r="B306" s="13"/>
      <c r="C306" s="13"/>
      <c r="D306" s="13"/>
      <c r="E306" s="13"/>
      <c r="F306" s="13"/>
      <c r="G306" s="14"/>
      <c r="H306" s="14"/>
      <c r="I306" s="14"/>
      <c r="J306" s="14"/>
      <c r="K306" s="14"/>
      <c r="L306" s="14"/>
      <c r="M306" s="14"/>
      <c r="N306" s="13"/>
      <c r="O306" s="13"/>
      <c r="P306" s="13"/>
      <c r="Q306" s="13"/>
      <c r="R306" s="13"/>
      <c r="S306" s="14"/>
      <c r="T306" s="14"/>
      <c r="U306" s="14"/>
      <c r="V306" s="14"/>
      <c r="W306" s="14"/>
      <c r="X306" s="14"/>
      <c r="Y306" s="14"/>
      <c r="Z306" s="13"/>
      <c r="AA306" s="13"/>
      <c r="AB306" s="13"/>
      <c r="AC306" s="13"/>
      <c r="AD306" s="13"/>
      <c r="AE306" s="14"/>
      <c r="AF306" s="14"/>
      <c r="AG306" s="14"/>
      <c r="AH306" s="14"/>
      <c r="AI306" s="14"/>
      <c r="AJ306" s="14"/>
      <c r="AK306" s="14"/>
    </row>
    <row r="307" spans="1:37">
      <c r="A307" s="23"/>
      <c r="B307" s="13"/>
      <c r="C307" s="13"/>
      <c r="D307" s="13"/>
      <c r="E307" s="13"/>
      <c r="F307" s="13"/>
      <c r="G307" s="14"/>
      <c r="H307" s="14"/>
      <c r="I307" s="14"/>
      <c r="J307" s="14"/>
      <c r="K307" s="14"/>
      <c r="L307" s="14"/>
      <c r="M307" s="14"/>
      <c r="N307" s="13"/>
      <c r="O307" s="13"/>
      <c r="P307" s="13"/>
      <c r="Q307" s="13"/>
      <c r="R307" s="13"/>
      <c r="S307" s="14"/>
      <c r="T307" s="14"/>
      <c r="U307" s="14"/>
      <c r="V307" s="14"/>
      <c r="W307" s="14"/>
      <c r="X307" s="14"/>
      <c r="Y307" s="14"/>
      <c r="Z307" s="13"/>
      <c r="AA307" s="13"/>
      <c r="AB307" s="13"/>
      <c r="AC307" s="13"/>
      <c r="AD307" s="13"/>
      <c r="AE307" s="14"/>
      <c r="AF307" s="14"/>
      <c r="AG307" s="14"/>
      <c r="AH307" s="14"/>
      <c r="AI307" s="14"/>
      <c r="AJ307" s="14"/>
      <c r="AK307" s="14"/>
    </row>
    <row r="308" spans="1:37">
      <c r="A308" s="23"/>
      <c r="B308" s="13"/>
      <c r="C308" s="13"/>
      <c r="D308" s="13"/>
      <c r="E308" s="13"/>
      <c r="F308" s="13"/>
      <c r="G308" s="14"/>
      <c r="H308" s="14"/>
      <c r="I308" s="14"/>
      <c r="J308" s="14"/>
      <c r="K308" s="14"/>
      <c r="L308" s="14"/>
      <c r="M308" s="14"/>
      <c r="N308" s="13"/>
      <c r="O308" s="13"/>
      <c r="P308" s="13"/>
      <c r="Q308" s="13"/>
      <c r="R308" s="13"/>
      <c r="S308" s="14"/>
      <c r="T308" s="14"/>
      <c r="U308" s="14"/>
      <c r="V308" s="14"/>
      <c r="W308" s="14"/>
      <c r="X308" s="14"/>
      <c r="Y308" s="14"/>
      <c r="Z308" s="13"/>
      <c r="AA308" s="13"/>
      <c r="AB308" s="13"/>
      <c r="AC308" s="13"/>
      <c r="AD308" s="13"/>
      <c r="AE308" s="14"/>
      <c r="AF308" s="14"/>
      <c r="AG308" s="14"/>
      <c r="AH308" s="14"/>
      <c r="AI308" s="14"/>
      <c r="AJ308" s="14"/>
      <c r="AK308" s="14"/>
    </row>
    <row r="309" spans="1:37">
      <c r="A309" s="23"/>
      <c r="B309" s="13"/>
      <c r="C309" s="13"/>
      <c r="D309" s="13"/>
      <c r="E309" s="13"/>
      <c r="F309" s="13"/>
      <c r="G309" s="14"/>
      <c r="H309" s="14"/>
      <c r="I309" s="14"/>
      <c r="J309" s="14"/>
      <c r="K309" s="14"/>
      <c r="L309" s="14"/>
      <c r="M309" s="14"/>
      <c r="N309" s="13"/>
      <c r="O309" s="13"/>
      <c r="P309" s="13"/>
      <c r="Q309" s="13"/>
      <c r="R309" s="13"/>
      <c r="S309" s="14"/>
      <c r="T309" s="14"/>
      <c r="U309" s="14"/>
      <c r="V309" s="14"/>
      <c r="W309" s="14"/>
      <c r="X309" s="14"/>
      <c r="Y309" s="14"/>
      <c r="Z309" s="13"/>
      <c r="AA309" s="13"/>
      <c r="AB309" s="13"/>
      <c r="AC309" s="13"/>
      <c r="AD309" s="13"/>
      <c r="AE309" s="14"/>
      <c r="AF309" s="14"/>
      <c r="AG309" s="14"/>
      <c r="AH309" s="14"/>
      <c r="AI309" s="14"/>
      <c r="AJ309" s="14"/>
      <c r="AK309" s="14"/>
    </row>
    <row r="310" spans="1:37">
      <c r="A310" s="23"/>
      <c r="B310" s="13"/>
      <c r="C310" s="13"/>
      <c r="D310" s="13"/>
      <c r="E310" s="13"/>
      <c r="F310" s="13"/>
      <c r="G310" s="14"/>
      <c r="H310" s="14"/>
      <c r="I310" s="14"/>
      <c r="J310" s="14"/>
      <c r="K310" s="14"/>
      <c r="L310" s="14"/>
      <c r="M310" s="14"/>
      <c r="N310" s="13"/>
      <c r="O310" s="13"/>
      <c r="P310" s="13"/>
      <c r="Q310" s="13"/>
      <c r="R310" s="13"/>
      <c r="S310" s="14"/>
      <c r="T310" s="14"/>
      <c r="U310" s="14"/>
      <c r="V310" s="14"/>
      <c r="W310" s="14"/>
      <c r="X310" s="14"/>
      <c r="Y310" s="14"/>
      <c r="Z310" s="13"/>
      <c r="AA310" s="13"/>
      <c r="AB310" s="13"/>
      <c r="AC310" s="13"/>
      <c r="AD310" s="13"/>
      <c r="AE310" s="14"/>
      <c r="AF310" s="14"/>
      <c r="AG310" s="14"/>
      <c r="AH310" s="14"/>
      <c r="AI310" s="14"/>
      <c r="AJ310" s="14"/>
      <c r="AK310" s="14"/>
    </row>
    <row r="311" spans="1:37">
      <c r="A311" s="23"/>
      <c r="B311" s="13"/>
      <c r="C311" s="13"/>
      <c r="D311" s="13"/>
      <c r="E311" s="13"/>
      <c r="F311" s="13"/>
      <c r="G311" s="14"/>
      <c r="H311" s="14"/>
      <c r="I311" s="14"/>
      <c r="J311" s="14"/>
      <c r="K311" s="14"/>
      <c r="L311" s="14"/>
      <c r="M311" s="14"/>
      <c r="N311" s="13"/>
      <c r="O311" s="13"/>
      <c r="P311" s="13"/>
      <c r="Q311" s="13"/>
      <c r="R311" s="13"/>
      <c r="S311" s="14"/>
      <c r="T311" s="14"/>
      <c r="U311" s="14"/>
      <c r="V311" s="14"/>
      <c r="W311" s="14"/>
      <c r="X311" s="14"/>
      <c r="Y311" s="14"/>
      <c r="Z311" s="13"/>
      <c r="AA311" s="13"/>
      <c r="AB311" s="13"/>
      <c r="AC311" s="13"/>
      <c r="AD311" s="13"/>
      <c r="AE311" s="14"/>
      <c r="AF311" s="14"/>
      <c r="AG311" s="14"/>
      <c r="AH311" s="14"/>
      <c r="AI311" s="14"/>
      <c r="AJ311" s="14"/>
      <c r="AK311" s="14"/>
    </row>
    <row r="312" spans="1:37">
      <c r="A312" s="23"/>
      <c r="B312" s="13"/>
      <c r="C312" s="13"/>
      <c r="D312" s="13"/>
      <c r="E312" s="13"/>
      <c r="F312" s="13"/>
      <c r="G312" s="14"/>
      <c r="H312" s="14"/>
      <c r="I312" s="14"/>
      <c r="J312" s="14"/>
      <c r="K312" s="14"/>
      <c r="L312" s="14"/>
      <c r="M312" s="14"/>
      <c r="N312" s="13"/>
      <c r="O312" s="13"/>
      <c r="P312" s="13"/>
      <c r="Q312" s="13"/>
      <c r="R312" s="13"/>
      <c r="S312" s="14"/>
      <c r="T312" s="14"/>
      <c r="U312" s="14"/>
      <c r="V312" s="14"/>
      <c r="W312" s="14"/>
      <c r="X312" s="14"/>
      <c r="Y312" s="14"/>
      <c r="Z312" s="13"/>
      <c r="AA312" s="13"/>
      <c r="AB312" s="13"/>
      <c r="AC312" s="13"/>
      <c r="AD312" s="13"/>
      <c r="AE312" s="14"/>
      <c r="AF312" s="14"/>
      <c r="AG312" s="14"/>
      <c r="AH312" s="14"/>
      <c r="AI312" s="14"/>
      <c r="AJ312" s="14"/>
      <c r="AK312" s="14"/>
    </row>
    <row r="313" spans="1:37">
      <c r="A313" s="23"/>
      <c r="B313" s="13"/>
      <c r="C313" s="13"/>
      <c r="D313" s="13"/>
      <c r="E313" s="13"/>
      <c r="F313" s="13"/>
      <c r="G313" s="14"/>
      <c r="H313" s="14"/>
      <c r="I313" s="14"/>
      <c r="J313" s="14"/>
      <c r="K313" s="14"/>
      <c r="L313" s="14"/>
      <c r="M313" s="14"/>
      <c r="N313" s="13"/>
      <c r="O313" s="13"/>
      <c r="P313" s="13"/>
      <c r="Q313" s="13"/>
      <c r="R313" s="13"/>
      <c r="S313" s="14"/>
      <c r="T313" s="14"/>
      <c r="U313" s="14"/>
      <c r="V313" s="14"/>
      <c r="W313" s="14"/>
      <c r="X313" s="14"/>
      <c r="Y313" s="14"/>
      <c r="Z313" s="13"/>
      <c r="AA313" s="13"/>
      <c r="AB313" s="13"/>
      <c r="AC313" s="13"/>
      <c r="AD313" s="13"/>
      <c r="AE313" s="14"/>
      <c r="AF313" s="14"/>
      <c r="AG313" s="14"/>
      <c r="AH313" s="14"/>
      <c r="AI313" s="14"/>
      <c r="AJ313" s="14"/>
      <c r="AK313" s="14"/>
    </row>
    <row r="314" spans="1:37">
      <c r="A314" s="23"/>
      <c r="B314" s="13"/>
      <c r="C314" s="13"/>
      <c r="D314" s="13"/>
      <c r="E314" s="13"/>
      <c r="F314" s="13"/>
      <c r="G314" s="14"/>
      <c r="H314" s="14"/>
      <c r="I314" s="14"/>
      <c r="J314" s="14"/>
      <c r="K314" s="14"/>
      <c r="L314" s="14"/>
      <c r="M314" s="14"/>
      <c r="N314" s="13"/>
      <c r="O314" s="13"/>
      <c r="P314" s="13"/>
      <c r="Q314" s="13"/>
      <c r="R314" s="13"/>
      <c r="S314" s="14"/>
      <c r="T314" s="14"/>
      <c r="U314" s="14"/>
      <c r="V314" s="14"/>
      <c r="W314" s="14"/>
      <c r="X314" s="14"/>
      <c r="Y314" s="14"/>
      <c r="Z314" s="13"/>
      <c r="AA314" s="13"/>
      <c r="AB314" s="13"/>
      <c r="AC314" s="13"/>
      <c r="AD314" s="13"/>
      <c r="AE314" s="14"/>
      <c r="AF314" s="14"/>
      <c r="AG314" s="14"/>
      <c r="AH314" s="14"/>
      <c r="AI314" s="14"/>
      <c r="AJ314" s="14"/>
      <c r="AK314" s="14"/>
    </row>
    <row r="315" spans="1:37">
      <c r="A315" s="23"/>
      <c r="B315" s="13"/>
      <c r="C315" s="13"/>
      <c r="D315" s="13"/>
      <c r="E315" s="13"/>
      <c r="F315" s="13"/>
      <c r="G315" s="14"/>
      <c r="H315" s="14"/>
      <c r="I315" s="14"/>
      <c r="J315" s="14"/>
      <c r="K315" s="14"/>
      <c r="L315" s="14"/>
      <c r="M315" s="14"/>
      <c r="N315" s="13"/>
      <c r="O315" s="13"/>
      <c r="P315" s="13"/>
      <c r="Q315" s="13"/>
      <c r="R315" s="13"/>
      <c r="S315" s="14"/>
      <c r="T315" s="14"/>
      <c r="U315" s="14"/>
      <c r="V315" s="14"/>
      <c r="W315" s="14"/>
      <c r="X315" s="14"/>
      <c r="Y315" s="14"/>
      <c r="Z315" s="13"/>
      <c r="AA315" s="13"/>
      <c r="AB315" s="13"/>
      <c r="AC315" s="13"/>
      <c r="AD315" s="13"/>
      <c r="AE315" s="14"/>
      <c r="AF315" s="14"/>
      <c r="AG315" s="14"/>
      <c r="AH315" s="14"/>
      <c r="AI315" s="14"/>
      <c r="AJ315" s="14"/>
      <c r="AK315" s="14"/>
    </row>
    <row r="316" spans="1:37">
      <c r="A316" s="23"/>
      <c r="B316" s="13"/>
      <c r="C316" s="13"/>
      <c r="D316" s="13"/>
      <c r="E316" s="13"/>
      <c r="F316" s="13"/>
      <c r="G316" s="14"/>
      <c r="H316" s="14"/>
      <c r="I316" s="14"/>
      <c r="J316" s="14"/>
      <c r="K316" s="14"/>
      <c r="L316" s="14"/>
      <c r="M316" s="14"/>
      <c r="N316" s="13"/>
      <c r="O316" s="13"/>
      <c r="P316" s="13"/>
      <c r="Q316" s="13"/>
      <c r="R316" s="13"/>
      <c r="S316" s="14"/>
      <c r="T316" s="14"/>
      <c r="U316" s="14"/>
      <c r="V316" s="14"/>
      <c r="W316" s="14"/>
      <c r="X316" s="14"/>
      <c r="Y316" s="14"/>
      <c r="Z316" s="13"/>
      <c r="AA316" s="13"/>
      <c r="AB316" s="13"/>
      <c r="AC316" s="13"/>
      <c r="AD316" s="13"/>
      <c r="AE316" s="14"/>
      <c r="AF316" s="14"/>
      <c r="AG316" s="14"/>
      <c r="AH316" s="14"/>
      <c r="AI316" s="14"/>
      <c r="AJ316" s="14"/>
      <c r="AK316" s="14"/>
    </row>
    <row r="317" spans="1:37">
      <c r="A317" s="23"/>
      <c r="B317" s="13"/>
      <c r="C317" s="13"/>
      <c r="D317" s="13"/>
      <c r="E317" s="13"/>
      <c r="F317" s="13"/>
      <c r="G317" s="14"/>
      <c r="H317" s="14"/>
      <c r="I317" s="14"/>
      <c r="J317" s="14"/>
      <c r="K317" s="14"/>
      <c r="L317" s="14"/>
      <c r="M317" s="14"/>
      <c r="N317" s="13"/>
      <c r="O317" s="13"/>
      <c r="P317" s="13"/>
      <c r="Q317" s="13"/>
      <c r="R317" s="13"/>
      <c r="S317" s="14"/>
      <c r="T317" s="14"/>
      <c r="U317" s="14"/>
      <c r="V317" s="14"/>
      <c r="W317" s="14"/>
      <c r="X317" s="14"/>
      <c r="Y317" s="14"/>
      <c r="Z317" s="13"/>
      <c r="AA317" s="13"/>
      <c r="AB317" s="13"/>
      <c r="AC317" s="13"/>
      <c r="AD317" s="13"/>
      <c r="AE317" s="14"/>
      <c r="AF317" s="14"/>
      <c r="AG317" s="14"/>
      <c r="AH317" s="14"/>
      <c r="AI317" s="14"/>
      <c r="AJ317" s="14"/>
      <c r="AK317" s="14"/>
    </row>
    <row r="318" spans="1:37">
      <c r="A318" s="23"/>
      <c r="B318" s="13"/>
      <c r="C318" s="13"/>
      <c r="D318" s="13"/>
      <c r="E318" s="13"/>
      <c r="F318" s="13"/>
      <c r="G318" s="14"/>
      <c r="H318" s="14"/>
      <c r="I318" s="14"/>
      <c r="J318" s="14"/>
      <c r="K318" s="14"/>
      <c r="L318" s="14"/>
      <c r="M318" s="14"/>
      <c r="N318" s="13"/>
      <c r="O318" s="13"/>
      <c r="P318" s="13"/>
      <c r="Q318" s="13"/>
      <c r="R318" s="13"/>
      <c r="S318" s="14"/>
      <c r="T318" s="14"/>
      <c r="U318" s="14"/>
      <c r="V318" s="14"/>
      <c r="W318" s="14"/>
      <c r="X318" s="14"/>
      <c r="Y318" s="14"/>
      <c r="Z318" s="13"/>
      <c r="AA318" s="13"/>
      <c r="AB318" s="13"/>
      <c r="AC318" s="13"/>
      <c r="AD318" s="13"/>
      <c r="AE318" s="14"/>
      <c r="AF318" s="14"/>
      <c r="AG318" s="14"/>
      <c r="AH318" s="14"/>
      <c r="AI318" s="14"/>
      <c r="AJ318" s="14"/>
      <c r="AK318" s="14"/>
    </row>
    <row r="319" spans="1:37">
      <c r="A319" s="23"/>
      <c r="B319" s="13"/>
      <c r="C319" s="13"/>
      <c r="D319" s="13"/>
      <c r="E319" s="13"/>
      <c r="F319" s="13"/>
      <c r="G319" s="14"/>
      <c r="H319" s="14"/>
      <c r="I319" s="14"/>
      <c r="J319" s="14"/>
      <c r="K319" s="14"/>
      <c r="L319" s="14"/>
      <c r="M319" s="14"/>
      <c r="N319" s="13"/>
      <c r="O319" s="13"/>
      <c r="P319" s="13"/>
      <c r="Q319" s="13"/>
      <c r="R319" s="13"/>
      <c r="S319" s="14"/>
      <c r="T319" s="14"/>
      <c r="U319" s="14"/>
      <c r="V319" s="14"/>
      <c r="W319" s="14"/>
      <c r="X319" s="14"/>
      <c r="Y319" s="14"/>
      <c r="Z319" s="13"/>
      <c r="AA319" s="13"/>
      <c r="AB319" s="13"/>
      <c r="AC319" s="13"/>
      <c r="AD319" s="13"/>
      <c r="AE319" s="14"/>
      <c r="AF319" s="14"/>
      <c r="AG319" s="14"/>
      <c r="AH319" s="14"/>
      <c r="AI319" s="14"/>
      <c r="AJ319" s="14"/>
      <c r="AK319" s="14"/>
    </row>
    <row r="320" spans="1:37">
      <c r="A320" s="23"/>
      <c r="B320" s="13"/>
      <c r="C320" s="13"/>
      <c r="D320" s="13"/>
      <c r="E320" s="13"/>
      <c r="F320" s="13"/>
      <c r="G320" s="14"/>
      <c r="H320" s="14"/>
      <c r="I320" s="14"/>
      <c r="J320" s="14"/>
      <c r="K320" s="14"/>
      <c r="L320" s="14"/>
      <c r="M320" s="14"/>
      <c r="N320" s="13"/>
      <c r="O320" s="13"/>
      <c r="P320" s="13"/>
      <c r="Q320" s="13"/>
      <c r="R320" s="13"/>
      <c r="S320" s="14"/>
      <c r="T320" s="14"/>
      <c r="U320" s="14"/>
      <c r="V320" s="14"/>
      <c r="W320" s="14"/>
      <c r="X320" s="14"/>
      <c r="Y320" s="14"/>
      <c r="Z320" s="13"/>
      <c r="AA320" s="13"/>
      <c r="AB320" s="13"/>
      <c r="AC320" s="13"/>
      <c r="AD320" s="13"/>
      <c r="AE320" s="14"/>
      <c r="AF320" s="14"/>
      <c r="AG320" s="14"/>
      <c r="AH320" s="14"/>
      <c r="AI320" s="14"/>
      <c r="AJ320" s="14"/>
      <c r="AK320" s="14"/>
    </row>
    <row r="321" spans="1:37">
      <c r="A321" s="23"/>
      <c r="B321" s="13"/>
      <c r="C321" s="13"/>
      <c r="D321" s="13"/>
      <c r="E321" s="13"/>
      <c r="F321" s="13"/>
      <c r="G321" s="14"/>
      <c r="H321" s="14"/>
      <c r="I321" s="14"/>
      <c r="J321" s="14"/>
      <c r="K321" s="14"/>
      <c r="L321" s="14"/>
      <c r="M321" s="14"/>
      <c r="N321" s="13"/>
      <c r="O321" s="13"/>
      <c r="P321" s="13"/>
      <c r="Q321" s="13"/>
      <c r="R321" s="13"/>
      <c r="S321" s="14"/>
      <c r="T321" s="14"/>
      <c r="U321" s="14"/>
      <c r="V321" s="14"/>
      <c r="W321" s="14"/>
      <c r="X321" s="14"/>
      <c r="Y321" s="14"/>
      <c r="Z321" s="13"/>
      <c r="AA321" s="13"/>
      <c r="AB321" s="13"/>
      <c r="AC321" s="13"/>
      <c r="AD321" s="13"/>
      <c r="AE321" s="14"/>
      <c r="AF321" s="14"/>
      <c r="AG321" s="14"/>
      <c r="AH321" s="14"/>
      <c r="AI321" s="14"/>
      <c r="AJ321" s="14"/>
      <c r="AK321" s="14"/>
    </row>
    <row r="322" spans="1:37">
      <c r="A322" s="23"/>
      <c r="B322" s="13"/>
      <c r="C322" s="13"/>
      <c r="D322" s="13"/>
      <c r="E322" s="13"/>
      <c r="F322" s="13"/>
      <c r="G322" s="14"/>
      <c r="H322" s="14"/>
      <c r="I322" s="14"/>
      <c r="J322" s="14"/>
      <c r="K322" s="14"/>
      <c r="L322" s="14"/>
      <c r="M322" s="14"/>
      <c r="N322" s="13"/>
      <c r="O322" s="13"/>
      <c r="P322" s="13"/>
      <c r="Q322" s="13"/>
      <c r="R322" s="13"/>
      <c r="S322" s="14"/>
      <c r="T322" s="14"/>
      <c r="U322" s="14"/>
      <c r="V322" s="14"/>
      <c r="W322" s="14"/>
      <c r="X322" s="14"/>
      <c r="Y322" s="14"/>
      <c r="Z322" s="13"/>
      <c r="AA322" s="13"/>
      <c r="AB322" s="13"/>
      <c r="AC322" s="13"/>
      <c r="AD322" s="13"/>
      <c r="AE322" s="14"/>
      <c r="AF322" s="14"/>
      <c r="AG322" s="14"/>
      <c r="AH322" s="14"/>
      <c r="AI322" s="14"/>
      <c r="AJ322" s="14"/>
      <c r="AK322" s="14"/>
    </row>
    <row r="323" spans="1:37">
      <c r="A323" s="23"/>
      <c r="B323" s="13"/>
      <c r="C323" s="13"/>
      <c r="D323" s="13"/>
      <c r="E323" s="13"/>
      <c r="F323" s="13"/>
      <c r="G323" s="14"/>
      <c r="H323" s="14"/>
      <c r="I323" s="14"/>
      <c r="J323" s="14"/>
      <c r="K323" s="14"/>
      <c r="L323" s="14"/>
      <c r="M323" s="14"/>
      <c r="N323" s="13"/>
      <c r="O323" s="13"/>
      <c r="P323" s="13"/>
      <c r="Q323" s="13"/>
      <c r="R323" s="13"/>
      <c r="S323" s="14"/>
      <c r="T323" s="14"/>
      <c r="U323" s="14"/>
      <c r="V323" s="14"/>
      <c r="W323" s="14"/>
      <c r="X323" s="14"/>
      <c r="Y323" s="14"/>
      <c r="Z323" s="13"/>
      <c r="AA323" s="13"/>
      <c r="AB323" s="13"/>
      <c r="AC323" s="13"/>
      <c r="AD323" s="13"/>
      <c r="AE323" s="14"/>
      <c r="AF323" s="14"/>
      <c r="AG323" s="14"/>
      <c r="AH323" s="14"/>
      <c r="AI323" s="14"/>
      <c r="AJ323" s="14"/>
      <c r="AK323" s="14"/>
    </row>
    <row r="324" spans="1:37">
      <c r="A324" s="23"/>
      <c r="B324" s="13"/>
      <c r="C324" s="13"/>
      <c r="D324" s="13"/>
      <c r="E324" s="13"/>
      <c r="F324" s="13"/>
      <c r="G324" s="14"/>
      <c r="H324" s="14"/>
      <c r="I324" s="14"/>
      <c r="J324" s="14"/>
      <c r="K324" s="14"/>
      <c r="L324" s="14"/>
      <c r="M324" s="14"/>
      <c r="N324" s="13"/>
      <c r="O324" s="13"/>
      <c r="P324" s="13"/>
      <c r="Q324" s="13"/>
      <c r="R324" s="13"/>
      <c r="S324" s="14"/>
      <c r="T324" s="14"/>
      <c r="U324" s="14"/>
      <c r="V324" s="14"/>
      <c r="W324" s="14"/>
      <c r="X324" s="14"/>
      <c r="Y324" s="14"/>
      <c r="Z324" s="13"/>
      <c r="AA324" s="13"/>
      <c r="AB324" s="13"/>
      <c r="AC324" s="13"/>
      <c r="AD324" s="13"/>
      <c r="AE324" s="14"/>
      <c r="AF324" s="14"/>
      <c r="AG324" s="14"/>
      <c r="AH324" s="14"/>
      <c r="AI324" s="14"/>
      <c r="AJ324" s="14"/>
      <c r="AK324" s="14"/>
    </row>
    <row r="325" spans="1:37">
      <c r="A325" s="23"/>
      <c r="B325" s="13"/>
      <c r="C325" s="13"/>
      <c r="D325" s="13"/>
      <c r="E325" s="13"/>
      <c r="F325" s="13"/>
      <c r="G325" s="14"/>
      <c r="H325" s="14"/>
      <c r="I325" s="14"/>
      <c r="J325" s="14"/>
      <c r="K325" s="14"/>
      <c r="L325" s="14"/>
      <c r="M325" s="14"/>
      <c r="N325" s="13"/>
      <c r="O325" s="13"/>
      <c r="P325" s="13"/>
      <c r="Q325" s="13"/>
      <c r="R325" s="13"/>
      <c r="S325" s="14"/>
      <c r="T325" s="14"/>
      <c r="U325" s="14"/>
      <c r="V325" s="14"/>
      <c r="W325" s="14"/>
      <c r="X325" s="14"/>
      <c r="Y325" s="14"/>
      <c r="Z325" s="13"/>
      <c r="AA325" s="13"/>
      <c r="AB325" s="13"/>
      <c r="AC325" s="13"/>
      <c r="AD325" s="13"/>
      <c r="AE325" s="14"/>
      <c r="AF325" s="14"/>
      <c r="AG325" s="14"/>
      <c r="AH325" s="14"/>
      <c r="AI325" s="14"/>
      <c r="AJ325" s="14"/>
      <c r="AK325" s="14"/>
    </row>
    <row r="326" spans="1:37">
      <c r="A326" s="23"/>
      <c r="B326" s="13"/>
      <c r="C326" s="13"/>
      <c r="D326" s="13"/>
      <c r="E326" s="13"/>
      <c r="F326" s="13"/>
      <c r="G326" s="14"/>
      <c r="H326" s="14"/>
      <c r="I326" s="14"/>
      <c r="J326" s="14"/>
      <c r="K326" s="14"/>
      <c r="L326" s="14"/>
      <c r="M326" s="14"/>
      <c r="N326" s="13"/>
      <c r="O326" s="13"/>
      <c r="P326" s="13"/>
      <c r="Q326" s="13"/>
      <c r="R326" s="13"/>
      <c r="S326" s="14"/>
      <c r="T326" s="14"/>
      <c r="U326" s="14"/>
      <c r="V326" s="14"/>
      <c r="W326" s="14"/>
      <c r="X326" s="14"/>
      <c r="Y326" s="14"/>
      <c r="Z326" s="13"/>
      <c r="AA326" s="13"/>
      <c r="AB326" s="13"/>
      <c r="AC326" s="13"/>
      <c r="AD326" s="13"/>
      <c r="AE326" s="14"/>
      <c r="AF326" s="14"/>
      <c r="AG326" s="14"/>
      <c r="AH326" s="14"/>
      <c r="AI326" s="14"/>
      <c r="AJ326" s="14"/>
      <c r="AK326" s="14"/>
    </row>
    <row r="327" spans="1:37">
      <c r="A327" s="23"/>
      <c r="B327" s="13"/>
      <c r="C327" s="13"/>
      <c r="D327" s="13"/>
      <c r="E327" s="13"/>
      <c r="F327" s="13"/>
      <c r="G327" s="14"/>
      <c r="H327" s="14"/>
      <c r="I327" s="14"/>
      <c r="J327" s="14"/>
      <c r="K327" s="14"/>
      <c r="L327" s="14"/>
      <c r="M327" s="14"/>
      <c r="N327" s="13"/>
      <c r="O327" s="13"/>
      <c r="P327" s="13"/>
      <c r="Q327" s="13"/>
      <c r="R327" s="13"/>
      <c r="S327" s="14"/>
      <c r="T327" s="14"/>
      <c r="U327" s="14"/>
      <c r="V327" s="14"/>
      <c r="W327" s="14"/>
      <c r="X327" s="14"/>
      <c r="Y327" s="14"/>
      <c r="Z327" s="13"/>
      <c r="AA327" s="13"/>
      <c r="AB327" s="13"/>
      <c r="AC327" s="13"/>
      <c r="AD327" s="13"/>
      <c r="AE327" s="14"/>
      <c r="AF327" s="14"/>
      <c r="AG327" s="14"/>
      <c r="AH327" s="14"/>
      <c r="AI327" s="14"/>
      <c r="AJ327" s="14"/>
      <c r="AK327" s="14"/>
    </row>
    <row r="328" spans="1:37">
      <c r="A328" s="23"/>
      <c r="B328" s="13"/>
      <c r="C328" s="13"/>
      <c r="D328" s="13"/>
      <c r="E328" s="13"/>
      <c r="F328" s="13"/>
      <c r="G328" s="14"/>
      <c r="H328" s="14"/>
      <c r="I328" s="14"/>
      <c r="J328" s="14"/>
      <c r="K328" s="14"/>
      <c r="L328" s="14"/>
      <c r="M328" s="14"/>
      <c r="N328" s="13"/>
      <c r="O328" s="13"/>
      <c r="P328" s="13"/>
      <c r="Q328" s="13"/>
      <c r="R328" s="13"/>
      <c r="S328" s="14"/>
      <c r="T328" s="14"/>
      <c r="U328" s="14"/>
      <c r="V328" s="14"/>
      <c r="W328" s="14"/>
      <c r="X328" s="14"/>
      <c r="Y328" s="14"/>
      <c r="Z328" s="13"/>
      <c r="AA328" s="13"/>
      <c r="AB328" s="13"/>
      <c r="AC328" s="13"/>
      <c r="AD328" s="13"/>
      <c r="AE328" s="14"/>
      <c r="AF328" s="14"/>
      <c r="AG328" s="14"/>
      <c r="AH328" s="14"/>
      <c r="AI328" s="14"/>
      <c r="AJ328" s="14"/>
      <c r="AK328" s="14"/>
    </row>
    <row r="329" spans="1:37">
      <c r="A329" s="23"/>
      <c r="B329" s="13"/>
      <c r="C329" s="13"/>
      <c r="D329" s="13"/>
      <c r="E329" s="13"/>
      <c r="F329" s="13"/>
      <c r="G329" s="14"/>
      <c r="H329" s="14"/>
      <c r="I329" s="14"/>
      <c r="J329" s="14"/>
      <c r="K329" s="14"/>
      <c r="L329" s="14"/>
      <c r="M329" s="14"/>
      <c r="N329" s="13"/>
      <c r="O329" s="13"/>
      <c r="P329" s="13"/>
      <c r="Q329" s="13"/>
      <c r="R329" s="13"/>
      <c r="S329" s="14"/>
      <c r="T329" s="14"/>
      <c r="U329" s="14"/>
      <c r="V329" s="14"/>
      <c r="W329" s="14"/>
      <c r="X329" s="14"/>
      <c r="Y329" s="14"/>
      <c r="Z329" s="13"/>
      <c r="AA329" s="13"/>
      <c r="AB329" s="13"/>
      <c r="AC329" s="13"/>
      <c r="AD329" s="13"/>
      <c r="AE329" s="14"/>
      <c r="AF329" s="14"/>
      <c r="AG329" s="14"/>
      <c r="AH329" s="14"/>
      <c r="AI329" s="14"/>
      <c r="AJ329" s="14"/>
      <c r="AK329" s="14"/>
    </row>
    <row r="330" spans="1:37">
      <c r="A330" s="23"/>
      <c r="B330" s="13"/>
      <c r="C330" s="13"/>
      <c r="D330" s="13"/>
      <c r="E330" s="13"/>
      <c r="F330" s="13"/>
      <c r="G330" s="14"/>
      <c r="H330" s="14"/>
      <c r="I330" s="14"/>
      <c r="J330" s="14"/>
      <c r="K330" s="14"/>
      <c r="L330" s="14"/>
      <c r="M330" s="14"/>
      <c r="N330" s="13"/>
      <c r="O330" s="13"/>
      <c r="P330" s="13"/>
      <c r="Q330" s="13"/>
      <c r="R330" s="13"/>
      <c r="S330" s="14"/>
      <c r="T330" s="14"/>
      <c r="U330" s="14"/>
      <c r="V330" s="14"/>
      <c r="W330" s="14"/>
      <c r="X330" s="14"/>
      <c r="Y330" s="14"/>
      <c r="Z330" s="13"/>
      <c r="AA330" s="13"/>
      <c r="AB330" s="13"/>
      <c r="AC330" s="13"/>
      <c r="AD330" s="13"/>
      <c r="AE330" s="14"/>
      <c r="AF330" s="14"/>
      <c r="AG330" s="14"/>
      <c r="AH330" s="14"/>
      <c r="AI330" s="14"/>
      <c r="AJ330" s="14"/>
      <c r="AK330" s="14"/>
    </row>
    <row r="331" spans="1:37">
      <c r="A331" s="23"/>
      <c r="B331" s="13"/>
      <c r="C331" s="13"/>
      <c r="D331" s="13"/>
      <c r="E331" s="13"/>
      <c r="F331" s="13"/>
      <c r="G331" s="14"/>
      <c r="H331" s="14"/>
      <c r="I331" s="14"/>
      <c r="J331" s="14"/>
      <c r="K331" s="14"/>
      <c r="L331" s="14"/>
      <c r="M331" s="14"/>
      <c r="N331" s="13"/>
      <c r="O331" s="13"/>
      <c r="P331" s="13"/>
      <c r="Q331" s="13"/>
      <c r="R331" s="13"/>
      <c r="S331" s="14"/>
      <c r="T331" s="14"/>
      <c r="U331" s="14"/>
      <c r="V331" s="14"/>
      <c r="W331" s="14"/>
      <c r="X331" s="14"/>
      <c r="Y331" s="14"/>
      <c r="Z331" s="13"/>
      <c r="AA331" s="13"/>
      <c r="AB331" s="13"/>
      <c r="AC331" s="13"/>
      <c r="AD331" s="13"/>
      <c r="AE331" s="14"/>
      <c r="AF331" s="14"/>
      <c r="AG331" s="14"/>
      <c r="AH331" s="14"/>
      <c r="AI331" s="14"/>
      <c r="AJ331" s="14"/>
      <c r="AK331" s="14"/>
    </row>
    <row r="332" spans="1:37">
      <c r="A332" s="23"/>
      <c r="B332" s="13"/>
      <c r="C332" s="13"/>
      <c r="D332" s="13"/>
      <c r="E332" s="13"/>
      <c r="F332" s="13"/>
      <c r="G332" s="14"/>
      <c r="H332" s="14"/>
      <c r="I332" s="14"/>
      <c r="J332" s="14"/>
      <c r="K332" s="14"/>
      <c r="L332" s="14"/>
      <c r="M332" s="14"/>
      <c r="N332" s="13"/>
      <c r="O332" s="13"/>
      <c r="P332" s="13"/>
      <c r="Q332" s="13"/>
      <c r="R332" s="13"/>
      <c r="S332" s="14"/>
      <c r="T332" s="14"/>
      <c r="U332" s="14"/>
      <c r="V332" s="14"/>
      <c r="W332" s="14"/>
      <c r="X332" s="14"/>
      <c r="Y332" s="14"/>
      <c r="Z332" s="13"/>
      <c r="AA332" s="13"/>
      <c r="AB332" s="13"/>
      <c r="AC332" s="13"/>
      <c r="AD332" s="13"/>
      <c r="AE332" s="14"/>
      <c r="AF332" s="14"/>
      <c r="AG332" s="14"/>
      <c r="AH332" s="14"/>
      <c r="AI332" s="14"/>
      <c r="AJ332" s="14"/>
      <c r="AK332" s="14"/>
    </row>
    <row r="333" spans="1:37">
      <c r="A333" s="23"/>
      <c r="B333" s="13"/>
      <c r="C333" s="13"/>
      <c r="D333" s="13"/>
      <c r="E333" s="13"/>
      <c r="F333" s="13"/>
      <c r="G333" s="14"/>
      <c r="H333" s="14"/>
      <c r="I333" s="14"/>
      <c r="J333" s="14"/>
      <c r="K333" s="14"/>
      <c r="L333" s="14"/>
      <c r="M333" s="14"/>
      <c r="N333" s="13"/>
      <c r="O333" s="13"/>
      <c r="P333" s="13"/>
      <c r="Q333" s="13"/>
      <c r="R333" s="13"/>
      <c r="S333" s="14"/>
      <c r="T333" s="14"/>
      <c r="U333" s="14"/>
      <c r="V333" s="14"/>
      <c r="W333" s="14"/>
      <c r="X333" s="14"/>
      <c r="Y333" s="14"/>
      <c r="Z333" s="13"/>
      <c r="AA333" s="13"/>
      <c r="AB333" s="13"/>
      <c r="AC333" s="13"/>
      <c r="AD333" s="13"/>
      <c r="AE333" s="14"/>
      <c r="AF333" s="14"/>
      <c r="AG333" s="14"/>
      <c r="AH333" s="14"/>
      <c r="AI333" s="14"/>
      <c r="AJ333" s="14"/>
      <c r="AK333" s="14"/>
    </row>
    <row r="334" spans="1:37">
      <c r="A334" s="23"/>
      <c r="B334" s="13"/>
      <c r="C334" s="13"/>
      <c r="D334" s="13"/>
      <c r="E334" s="13"/>
      <c r="F334" s="13"/>
      <c r="G334" s="14"/>
      <c r="H334" s="14"/>
      <c r="I334" s="14"/>
      <c r="J334" s="14"/>
      <c r="K334" s="14"/>
      <c r="L334" s="14"/>
      <c r="M334" s="14"/>
      <c r="N334" s="13"/>
      <c r="O334" s="13"/>
      <c r="P334" s="13"/>
      <c r="Q334" s="13"/>
      <c r="R334" s="13"/>
      <c r="S334" s="14"/>
      <c r="T334" s="14"/>
      <c r="U334" s="14"/>
      <c r="V334" s="14"/>
      <c r="W334" s="14"/>
      <c r="X334" s="14"/>
      <c r="Y334" s="14"/>
      <c r="Z334" s="13"/>
      <c r="AA334" s="13"/>
      <c r="AB334" s="13"/>
      <c r="AC334" s="13"/>
      <c r="AD334" s="13"/>
      <c r="AE334" s="14"/>
      <c r="AF334" s="14"/>
      <c r="AG334" s="14"/>
      <c r="AH334" s="14"/>
      <c r="AI334" s="14"/>
      <c r="AJ334" s="14"/>
      <c r="AK334" s="14"/>
    </row>
    <row r="335" spans="1:37">
      <c r="A335" s="23"/>
      <c r="B335" s="13"/>
      <c r="C335" s="13"/>
      <c r="D335" s="13"/>
      <c r="E335" s="13"/>
      <c r="F335" s="13"/>
      <c r="G335" s="14"/>
      <c r="H335" s="14"/>
      <c r="I335" s="14"/>
      <c r="J335" s="14"/>
      <c r="K335" s="14"/>
      <c r="L335" s="14"/>
      <c r="M335" s="14"/>
      <c r="N335" s="13"/>
      <c r="O335" s="13"/>
      <c r="P335" s="13"/>
      <c r="Q335" s="13"/>
      <c r="R335" s="13"/>
      <c r="S335" s="14"/>
      <c r="T335" s="14"/>
      <c r="U335" s="14"/>
      <c r="V335" s="14"/>
      <c r="W335" s="14"/>
      <c r="X335" s="14"/>
      <c r="Y335" s="14"/>
      <c r="Z335" s="13"/>
      <c r="AA335" s="13"/>
      <c r="AB335" s="13"/>
      <c r="AC335" s="13"/>
      <c r="AD335" s="13"/>
      <c r="AE335" s="14"/>
      <c r="AF335" s="14"/>
      <c r="AG335" s="14"/>
      <c r="AH335" s="14"/>
      <c r="AI335" s="14"/>
      <c r="AJ335" s="14"/>
      <c r="AK335" s="14"/>
    </row>
    <row r="336" spans="1:37">
      <c r="A336" s="23"/>
      <c r="B336" s="13"/>
      <c r="C336" s="13"/>
      <c r="D336" s="13"/>
      <c r="E336" s="13"/>
      <c r="F336" s="13"/>
      <c r="G336" s="14"/>
      <c r="H336" s="14"/>
      <c r="I336" s="14"/>
      <c r="J336" s="14"/>
      <c r="K336" s="14"/>
      <c r="L336" s="14"/>
      <c r="M336" s="14"/>
      <c r="N336" s="13"/>
      <c r="O336" s="13"/>
      <c r="P336" s="13"/>
      <c r="Q336" s="13"/>
      <c r="R336" s="13"/>
      <c r="S336" s="14"/>
      <c r="T336" s="14"/>
      <c r="U336" s="14"/>
      <c r="V336" s="14"/>
      <c r="W336" s="14"/>
      <c r="X336" s="14"/>
      <c r="Y336" s="14"/>
      <c r="Z336" s="13"/>
      <c r="AA336" s="13"/>
      <c r="AB336" s="13"/>
      <c r="AC336" s="13"/>
      <c r="AD336" s="13"/>
      <c r="AE336" s="14"/>
      <c r="AF336" s="14"/>
      <c r="AG336" s="14"/>
      <c r="AH336" s="14"/>
      <c r="AI336" s="14"/>
      <c r="AJ336" s="14"/>
      <c r="AK336" s="14"/>
    </row>
    <row r="337" spans="1:37">
      <c r="A337" s="23"/>
      <c r="B337" s="13"/>
      <c r="C337" s="13"/>
      <c r="D337" s="13"/>
      <c r="E337" s="13"/>
      <c r="F337" s="13"/>
      <c r="G337" s="14"/>
      <c r="H337" s="14"/>
      <c r="I337" s="14"/>
      <c r="J337" s="14"/>
      <c r="K337" s="14"/>
      <c r="L337" s="14"/>
      <c r="M337" s="14"/>
      <c r="N337" s="13"/>
      <c r="O337" s="13"/>
      <c r="P337" s="13"/>
      <c r="Q337" s="13"/>
      <c r="R337" s="13"/>
      <c r="S337" s="14"/>
      <c r="T337" s="14"/>
      <c r="U337" s="14"/>
      <c r="V337" s="14"/>
      <c r="W337" s="14"/>
      <c r="X337" s="14"/>
      <c r="Y337" s="14"/>
      <c r="Z337" s="13"/>
      <c r="AA337" s="13"/>
      <c r="AB337" s="13"/>
      <c r="AC337" s="13"/>
      <c r="AD337" s="13"/>
      <c r="AE337" s="14"/>
      <c r="AF337" s="14"/>
      <c r="AG337" s="14"/>
      <c r="AH337" s="14"/>
      <c r="AI337" s="14"/>
      <c r="AJ337" s="14"/>
      <c r="AK337" s="14"/>
    </row>
    <row r="338" spans="1:37">
      <c r="A338" s="23"/>
      <c r="B338" s="13"/>
      <c r="C338" s="13"/>
      <c r="D338" s="13"/>
      <c r="E338" s="13"/>
      <c r="F338" s="13"/>
      <c r="G338" s="14"/>
      <c r="H338" s="14"/>
      <c r="I338" s="14"/>
      <c r="J338" s="14"/>
      <c r="K338" s="14"/>
      <c r="L338" s="14"/>
      <c r="M338" s="14"/>
      <c r="N338" s="13"/>
      <c r="O338" s="13"/>
      <c r="P338" s="13"/>
      <c r="Q338" s="13"/>
      <c r="R338" s="13"/>
      <c r="S338" s="14"/>
      <c r="T338" s="14"/>
      <c r="U338" s="14"/>
      <c r="V338" s="14"/>
      <c r="W338" s="14"/>
      <c r="X338" s="14"/>
      <c r="Y338" s="14"/>
      <c r="Z338" s="13"/>
      <c r="AA338" s="13"/>
      <c r="AB338" s="13"/>
      <c r="AC338" s="13"/>
      <c r="AD338" s="13"/>
      <c r="AE338" s="14"/>
      <c r="AF338" s="14"/>
      <c r="AG338" s="14"/>
      <c r="AH338" s="14"/>
      <c r="AI338" s="14"/>
      <c r="AJ338" s="14"/>
      <c r="AK338" s="14"/>
    </row>
    <row r="339" spans="1:37">
      <c r="A339" s="23"/>
      <c r="B339" s="13"/>
      <c r="C339" s="13"/>
      <c r="D339" s="13"/>
      <c r="E339" s="13"/>
      <c r="F339" s="13"/>
      <c r="G339" s="14"/>
      <c r="H339" s="14"/>
      <c r="I339" s="14"/>
      <c r="J339" s="14"/>
      <c r="K339" s="14"/>
      <c r="L339" s="14"/>
      <c r="M339" s="14"/>
      <c r="N339" s="13"/>
      <c r="O339" s="13"/>
      <c r="P339" s="13"/>
      <c r="Q339" s="13"/>
      <c r="R339" s="13"/>
      <c r="S339" s="14"/>
      <c r="T339" s="14"/>
      <c r="U339" s="14"/>
      <c r="V339" s="14"/>
      <c r="W339" s="14"/>
      <c r="X339" s="14"/>
      <c r="Y339" s="14"/>
      <c r="Z339" s="13"/>
      <c r="AA339" s="13"/>
      <c r="AB339" s="13"/>
      <c r="AC339" s="13"/>
      <c r="AD339" s="13"/>
      <c r="AE339" s="14"/>
      <c r="AF339" s="14"/>
      <c r="AG339" s="14"/>
      <c r="AH339" s="14"/>
      <c r="AI339" s="14"/>
      <c r="AJ339" s="14"/>
      <c r="AK339" s="14"/>
    </row>
    <row r="340" spans="1:37">
      <c r="A340" s="23"/>
      <c r="B340" s="13"/>
      <c r="C340" s="13"/>
      <c r="D340" s="13"/>
      <c r="E340" s="13"/>
      <c r="F340" s="13"/>
      <c r="G340" s="14"/>
      <c r="H340" s="14"/>
      <c r="I340" s="14"/>
      <c r="J340" s="14"/>
      <c r="K340" s="14"/>
      <c r="L340" s="14"/>
      <c r="M340" s="14"/>
      <c r="N340" s="13"/>
      <c r="O340" s="13"/>
      <c r="P340" s="13"/>
      <c r="Q340" s="13"/>
      <c r="R340" s="13"/>
      <c r="S340" s="14"/>
      <c r="T340" s="14"/>
      <c r="U340" s="14"/>
      <c r="V340" s="14"/>
      <c r="W340" s="14"/>
      <c r="X340" s="14"/>
      <c r="Y340" s="14"/>
      <c r="Z340" s="13"/>
      <c r="AA340" s="13"/>
      <c r="AB340" s="13"/>
      <c r="AC340" s="13"/>
      <c r="AD340" s="13"/>
      <c r="AE340" s="14"/>
      <c r="AF340" s="14"/>
      <c r="AG340" s="14"/>
      <c r="AH340" s="14"/>
      <c r="AI340" s="14"/>
      <c r="AJ340" s="14"/>
      <c r="AK340" s="14"/>
    </row>
    <row r="341" spans="1:37">
      <c r="A341" s="23"/>
      <c r="B341" s="13"/>
      <c r="C341" s="13"/>
      <c r="D341" s="13"/>
      <c r="E341" s="13"/>
      <c r="F341" s="13"/>
      <c r="G341" s="14"/>
      <c r="H341" s="14"/>
      <c r="I341" s="14"/>
      <c r="J341" s="14"/>
      <c r="K341" s="14"/>
      <c r="L341" s="14"/>
      <c r="M341" s="14"/>
      <c r="N341" s="13"/>
      <c r="O341" s="13"/>
      <c r="P341" s="13"/>
      <c r="Q341" s="13"/>
      <c r="R341" s="13"/>
      <c r="S341" s="14"/>
      <c r="T341" s="14"/>
      <c r="U341" s="14"/>
      <c r="V341" s="14"/>
      <c r="W341" s="14"/>
      <c r="X341" s="14"/>
      <c r="Y341" s="14"/>
      <c r="Z341" s="13"/>
      <c r="AA341" s="13"/>
      <c r="AB341" s="13"/>
      <c r="AC341" s="13"/>
      <c r="AD341" s="13"/>
      <c r="AE341" s="14"/>
      <c r="AF341" s="14"/>
      <c r="AG341" s="14"/>
      <c r="AH341" s="14"/>
      <c r="AI341" s="14"/>
      <c r="AJ341" s="14"/>
      <c r="AK341" s="14"/>
    </row>
    <row r="342" spans="1:37">
      <c r="A342" s="23"/>
      <c r="B342" s="13"/>
      <c r="C342" s="13"/>
      <c r="D342" s="13"/>
      <c r="E342" s="13"/>
      <c r="F342" s="13"/>
      <c r="G342" s="14"/>
      <c r="H342" s="14"/>
      <c r="I342" s="14"/>
      <c r="J342" s="14"/>
      <c r="K342" s="14"/>
      <c r="L342" s="14"/>
      <c r="M342" s="14"/>
      <c r="N342" s="13"/>
      <c r="O342" s="13"/>
      <c r="P342" s="13"/>
      <c r="Q342" s="13"/>
      <c r="R342" s="13"/>
      <c r="S342" s="14"/>
      <c r="T342" s="14"/>
      <c r="U342" s="14"/>
      <c r="V342" s="14"/>
      <c r="W342" s="14"/>
      <c r="X342" s="14"/>
      <c r="Y342" s="14"/>
      <c r="Z342" s="13"/>
      <c r="AA342" s="13"/>
      <c r="AB342" s="13"/>
      <c r="AC342" s="13"/>
      <c r="AD342" s="13"/>
      <c r="AE342" s="14"/>
      <c r="AF342" s="14"/>
      <c r="AG342" s="14"/>
      <c r="AH342" s="14"/>
      <c r="AI342" s="14"/>
      <c r="AJ342" s="14"/>
      <c r="AK342" s="14"/>
    </row>
    <row r="343" spans="1:37">
      <c r="A343" s="23"/>
      <c r="B343" s="13"/>
      <c r="C343" s="13"/>
      <c r="D343" s="13"/>
      <c r="E343" s="13"/>
      <c r="F343" s="13"/>
      <c r="G343" s="14"/>
      <c r="H343" s="14"/>
      <c r="I343" s="14"/>
      <c r="J343" s="14"/>
      <c r="K343" s="14"/>
      <c r="L343" s="14"/>
      <c r="M343" s="14"/>
      <c r="N343" s="13"/>
      <c r="O343" s="13"/>
      <c r="P343" s="13"/>
      <c r="Q343" s="13"/>
      <c r="R343" s="13"/>
      <c r="S343" s="14"/>
      <c r="T343" s="14"/>
      <c r="U343" s="14"/>
      <c r="V343" s="14"/>
      <c r="W343" s="14"/>
      <c r="X343" s="14"/>
      <c r="Y343" s="14"/>
      <c r="Z343" s="13"/>
      <c r="AA343" s="13"/>
      <c r="AB343" s="13"/>
      <c r="AC343" s="13"/>
      <c r="AD343" s="13"/>
      <c r="AE343" s="14"/>
      <c r="AF343" s="14"/>
      <c r="AG343" s="14"/>
      <c r="AH343" s="14"/>
      <c r="AI343" s="14"/>
      <c r="AJ343" s="14"/>
      <c r="AK343" s="14"/>
    </row>
    <row r="344" spans="1:37">
      <c r="A344" s="23"/>
      <c r="B344" s="13"/>
      <c r="C344" s="13"/>
      <c r="D344" s="13"/>
      <c r="E344" s="13"/>
      <c r="F344" s="13"/>
      <c r="G344" s="14"/>
      <c r="H344" s="14"/>
      <c r="I344" s="14"/>
      <c r="J344" s="14"/>
      <c r="K344" s="14"/>
      <c r="L344" s="14"/>
      <c r="M344" s="14"/>
      <c r="N344" s="13"/>
      <c r="O344" s="13"/>
      <c r="P344" s="13"/>
      <c r="Q344" s="13"/>
      <c r="R344" s="13"/>
      <c r="S344" s="14"/>
      <c r="T344" s="14"/>
      <c r="U344" s="14"/>
      <c r="V344" s="14"/>
      <c r="W344" s="14"/>
      <c r="X344" s="14"/>
      <c r="Y344" s="14"/>
      <c r="Z344" s="13"/>
      <c r="AA344" s="13"/>
      <c r="AB344" s="13"/>
      <c r="AC344" s="13"/>
      <c r="AD344" s="13"/>
      <c r="AE344" s="14"/>
      <c r="AF344" s="14"/>
      <c r="AG344" s="14"/>
      <c r="AH344" s="14"/>
      <c r="AI344" s="14"/>
      <c r="AJ344" s="14"/>
      <c r="AK344" s="14"/>
    </row>
    <row r="345" spans="1:37">
      <c r="A345" s="23"/>
      <c r="B345" s="13"/>
      <c r="C345" s="13"/>
      <c r="D345" s="13"/>
      <c r="E345" s="13"/>
      <c r="F345" s="13"/>
      <c r="G345" s="14"/>
      <c r="H345" s="14"/>
      <c r="I345" s="14"/>
      <c r="J345" s="14"/>
      <c r="K345" s="14"/>
      <c r="L345" s="14"/>
      <c r="M345" s="14"/>
      <c r="N345" s="13"/>
      <c r="O345" s="13"/>
      <c r="P345" s="13"/>
      <c r="Q345" s="13"/>
      <c r="R345" s="13"/>
      <c r="S345" s="14"/>
      <c r="T345" s="14"/>
      <c r="U345" s="14"/>
      <c r="V345" s="14"/>
      <c r="W345" s="14"/>
      <c r="X345" s="14"/>
      <c r="Y345" s="14"/>
      <c r="Z345" s="13"/>
      <c r="AA345" s="13"/>
      <c r="AB345" s="13"/>
      <c r="AC345" s="13"/>
      <c r="AD345" s="13"/>
      <c r="AE345" s="14"/>
      <c r="AF345" s="14"/>
      <c r="AG345" s="14"/>
      <c r="AH345" s="14"/>
      <c r="AI345" s="14"/>
      <c r="AJ345" s="14"/>
      <c r="AK345" s="14"/>
    </row>
    <row r="346" spans="1:37">
      <c r="A346" s="23"/>
      <c r="B346" s="13"/>
      <c r="C346" s="13"/>
      <c r="D346" s="13"/>
      <c r="E346" s="13"/>
      <c r="F346" s="13"/>
      <c r="G346" s="14"/>
      <c r="H346" s="14"/>
      <c r="I346" s="14"/>
      <c r="J346" s="14"/>
      <c r="K346" s="14"/>
      <c r="L346" s="14"/>
      <c r="M346" s="14"/>
      <c r="N346" s="13"/>
      <c r="O346" s="13"/>
      <c r="P346" s="13"/>
      <c r="Q346" s="13"/>
      <c r="R346" s="13"/>
      <c r="S346" s="14"/>
      <c r="T346" s="14"/>
      <c r="U346" s="14"/>
      <c r="V346" s="14"/>
      <c r="W346" s="14"/>
      <c r="X346" s="14"/>
      <c r="Y346" s="14"/>
      <c r="Z346" s="13"/>
      <c r="AA346" s="13"/>
      <c r="AB346" s="13"/>
      <c r="AC346" s="13"/>
      <c r="AD346" s="13"/>
      <c r="AE346" s="14"/>
      <c r="AF346" s="14"/>
      <c r="AG346" s="14"/>
      <c r="AH346" s="14"/>
      <c r="AI346" s="14"/>
      <c r="AJ346" s="14"/>
      <c r="AK346" s="14"/>
    </row>
    <row r="347" spans="1:37">
      <c r="A347" s="23"/>
      <c r="B347" s="13"/>
      <c r="C347" s="13"/>
      <c r="D347" s="13"/>
      <c r="E347" s="13"/>
      <c r="F347" s="13"/>
      <c r="G347" s="14"/>
      <c r="H347" s="14"/>
      <c r="I347" s="14"/>
      <c r="J347" s="14"/>
      <c r="K347" s="14"/>
      <c r="L347" s="14"/>
      <c r="M347" s="14"/>
      <c r="N347" s="13"/>
      <c r="O347" s="13"/>
      <c r="P347" s="13"/>
      <c r="Q347" s="13"/>
      <c r="R347" s="13"/>
      <c r="S347" s="14"/>
      <c r="T347" s="14"/>
      <c r="U347" s="14"/>
      <c r="V347" s="14"/>
      <c r="W347" s="14"/>
      <c r="X347" s="14"/>
      <c r="Y347" s="14"/>
      <c r="Z347" s="13"/>
      <c r="AA347" s="13"/>
      <c r="AB347" s="13"/>
      <c r="AC347" s="13"/>
      <c r="AD347" s="13"/>
      <c r="AE347" s="14"/>
      <c r="AF347" s="14"/>
      <c r="AG347" s="14"/>
      <c r="AH347" s="14"/>
      <c r="AI347" s="14"/>
      <c r="AJ347" s="14"/>
      <c r="AK347" s="14"/>
    </row>
    <row r="348" spans="1:37">
      <c r="A348" s="23"/>
      <c r="B348" s="13"/>
      <c r="C348" s="13"/>
      <c r="D348" s="13"/>
      <c r="E348" s="13"/>
      <c r="F348" s="13"/>
      <c r="G348" s="14"/>
      <c r="H348" s="14"/>
      <c r="I348" s="14"/>
      <c r="J348" s="14"/>
      <c r="K348" s="14"/>
      <c r="L348" s="14"/>
      <c r="M348" s="14"/>
      <c r="N348" s="13"/>
      <c r="O348" s="13"/>
      <c r="P348" s="13"/>
      <c r="Q348" s="13"/>
      <c r="R348" s="13"/>
      <c r="S348" s="14"/>
      <c r="T348" s="14"/>
      <c r="U348" s="14"/>
      <c r="V348" s="14"/>
      <c r="W348" s="14"/>
      <c r="X348" s="14"/>
      <c r="Y348" s="14"/>
      <c r="Z348" s="13"/>
      <c r="AA348" s="13"/>
      <c r="AB348" s="13"/>
      <c r="AC348" s="13"/>
      <c r="AD348" s="13"/>
      <c r="AE348" s="14"/>
      <c r="AF348" s="14"/>
      <c r="AG348" s="14"/>
      <c r="AH348" s="14"/>
      <c r="AI348" s="14"/>
      <c r="AJ348" s="14"/>
      <c r="AK348" s="14"/>
    </row>
    <row r="349" spans="1:37">
      <c r="A349" s="23"/>
      <c r="B349" s="13"/>
      <c r="C349" s="13"/>
      <c r="D349" s="13"/>
      <c r="E349" s="13"/>
      <c r="F349" s="13"/>
      <c r="G349" s="14"/>
      <c r="H349" s="14"/>
      <c r="I349" s="14"/>
      <c r="J349" s="14"/>
      <c r="K349" s="14"/>
      <c r="L349" s="14"/>
      <c r="M349" s="14"/>
      <c r="N349" s="13"/>
      <c r="O349" s="13"/>
      <c r="P349" s="13"/>
      <c r="Q349" s="13"/>
      <c r="R349" s="13"/>
      <c r="S349" s="14"/>
      <c r="T349" s="14"/>
      <c r="U349" s="14"/>
      <c r="V349" s="14"/>
      <c r="W349" s="14"/>
      <c r="X349" s="14"/>
      <c r="Y349" s="14"/>
      <c r="Z349" s="13"/>
      <c r="AA349" s="13"/>
      <c r="AB349" s="13"/>
      <c r="AC349" s="13"/>
      <c r="AD349" s="13"/>
      <c r="AE349" s="14"/>
      <c r="AF349" s="14"/>
      <c r="AG349" s="14"/>
      <c r="AH349" s="14"/>
      <c r="AI349" s="14"/>
      <c r="AJ349" s="14"/>
      <c r="AK349" s="14"/>
    </row>
    <row r="350" spans="1:37">
      <c r="A350" s="23"/>
      <c r="B350" s="13"/>
      <c r="C350" s="13"/>
      <c r="D350" s="13"/>
      <c r="E350" s="13"/>
      <c r="F350" s="13"/>
      <c r="G350" s="14"/>
      <c r="H350" s="14"/>
      <c r="I350" s="14"/>
      <c r="J350" s="14"/>
      <c r="K350" s="14"/>
      <c r="L350" s="14"/>
      <c r="M350" s="14"/>
      <c r="N350" s="13"/>
      <c r="O350" s="13"/>
      <c r="P350" s="13"/>
      <c r="Q350" s="13"/>
      <c r="R350" s="13"/>
      <c r="S350" s="14"/>
      <c r="T350" s="14"/>
      <c r="U350" s="14"/>
      <c r="V350" s="14"/>
      <c r="W350" s="14"/>
      <c r="X350" s="14"/>
      <c r="Y350" s="14"/>
      <c r="Z350" s="13"/>
      <c r="AA350" s="13"/>
      <c r="AB350" s="13"/>
      <c r="AC350" s="13"/>
      <c r="AD350" s="13"/>
      <c r="AE350" s="14"/>
      <c r="AF350" s="14"/>
      <c r="AG350" s="14"/>
      <c r="AH350" s="14"/>
      <c r="AI350" s="14"/>
      <c r="AJ350" s="14"/>
      <c r="AK350" s="14"/>
    </row>
    <row r="351" spans="1:37">
      <c r="A351" s="23"/>
      <c r="B351" s="13"/>
      <c r="C351" s="13"/>
      <c r="D351" s="13"/>
      <c r="E351" s="13"/>
      <c r="F351" s="13"/>
      <c r="G351" s="14"/>
      <c r="H351" s="14"/>
      <c r="I351" s="14"/>
      <c r="J351" s="14"/>
      <c r="K351" s="14"/>
      <c r="L351" s="14"/>
      <c r="M351" s="14"/>
      <c r="N351" s="13"/>
      <c r="O351" s="13"/>
      <c r="P351" s="13"/>
      <c r="Q351" s="13"/>
      <c r="R351" s="13"/>
      <c r="S351" s="14"/>
      <c r="T351" s="14"/>
      <c r="U351" s="14"/>
      <c r="V351" s="14"/>
      <c r="W351" s="14"/>
      <c r="X351" s="14"/>
      <c r="Y351" s="14"/>
      <c r="Z351" s="13"/>
      <c r="AA351" s="13"/>
      <c r="AB351" s="13"/>
      <c r="AC351" s="13"/>
      <c r="AD351" s="13"/>
      <c r="AE351" s="14"/>
      <c r="AF351" s="14"/>
      <c r="AG351" s="14"/>
      <c r="AH351" s="14"/>
      <c r="AI351" s="14"/>
      <c r="AJ351" s="14"/>
      <c r="AK351" s="14"/>
    </row>
    <row r="352" spans="1:37">
      <c r="A352" s="23"/>
      <c r="B352" s="13"/>
      <c r="C352" s="13"/>
      <c r="D352" s="13"/>
      <c r="E352" s="13"/>
      <c r="F352" s="13"/>
      <c r="G352" s="14"/>
      <c r="H352" s="14"/>
      <c r="I352" s="14"/>
      <c r="J352" s="14"/>
      <c r="K352" s="14"/>
      <c r="L352" s="14"/>
      <c r="M352" s="14"/>
      <c r="N352" s="13"/>
      <c r="O352" s="13"/>
      <c r="P352" s="13"/>
      <c r="Q352" s="13"/>
      <c r="R352" s="13"/>
      <c r="S352" s="14"/>
      <c r="T352" s="14"/>
      <c r="U352" s="14"/>
      <c r="V352" s="14"/>
      <c r="W352" s="14"/>
      <c r="X352" s="14"/>
      <c r="Y352" s="14"/>
      <c r="Z352" s="13"/>
      <c r="AA352" s="13"/>
      <c r="AB352" s="13"/>
      <c r="AC352" s="13"/>
      <c r="AD352" s="13"/>
      <c r="AE352" s="14"/>
      <c r="AF352" s="14"/>
      <c r="AG352" s="14"/>
      <c r="AH352" s="14"/>
      <c r="AI352" s="14"/>
      <c r="AJ352" s="14"/>
      <c r="AK352" s="14"/>
    </row>
    <row r="353" spans="1:37">
      <c r="A353" s="23"/>
      <c r="B353" s="13"/>
      <c r="C353" s="13"/>
      <c r="D353" s="13"/>
      <c r="E353" s="13"/>
      <c r="F353" s="13"/>
      <c r="G353" s="14"/>
      <c r="H353" s="14"/>
      <c r="I353" s="14"/>
      <c r="J353" s="14"/>
      <c r="K353" s="14"/>
      <c r="L353" s="14"/>
      <c r="M353" s="14"/>
      <c r="N353" s="13"/>
      <c r="O353" s="13"/>
      <c r="P353" s="13"/>
      <c r="Q353" s="13"/>
      <c r="R353" s="13"/>
      <c r="S353" s="14"/>
      <c r="T353" s="14"/>
      <c r="U353" s="14"/>
      <c r="V353" s="14"/>
      <c r="W353" s="14"/>
      <c r="X353" s="14"/>
      <c r="Y353" s="14"/>
      <c r="Z353" s="13"/>
      <c r="AA353" s="13"/>
      <c r="AB353" s="13"/>
      <c r="AC353" s="13"/>
      <c r="AD353" s="13"/>
      <c r="AE353" s="14"/>
      <c r="AF353" s="14"/>
      <c r="AG353" s="14"/>
      <c r="AH353" s="14"/>
      <c r="AI353" s="14"/>
      <c r="AJ353" s="14"/>
      <c r="AK353" s="14"/>
    </row>
    <row r="354" spans="1:37">
      <c r="A354" s="23"/>
      <c r="B354" s="13"/>
      <c r="C354" s="13"/>
      <c r="D354" s="13"/>
      <c r="E354" s="13"/>
      <c r="F354" s="13"/>
      <c r="G354" s="14"/>
      <c r="H354" s="14"/>
      <c r="I354" s="14"/>
      <c r="J354" s="14"/>
      <c r="K354" s="14"/>
      <c r="L354" s="14"/>
      <c r="M354" s="14"/>
      <c r="N354" s="13"/>
      <c r="O354" s="13"/>
      <c r="P354" s="13"/>
      <c r="Q354" s="13"/>
      <c r="R354" s="13"/>
      <c r="S354" s="14"/>
      <c r="T354" s="14"/>
      <c r="U354" s="14"/>
      <c r="V354" s="14"/>
      <c r="W354" s="14"/>
      <c r="X354" s="14"/>
      <c r="Y354" s="14"/>
      <c r="Z354" s="13"/>
      <c r="AA354" s="13"/>
      <c r="AB354" s="13"/>
      <c r="AC354" s="13"/>
      <c r="AD354" s="13"/>
      <c r="AE354" s="14"/>
      <c r="AF354" s="14"/>
      <c r="AG354" s="14"/>
      <c r="AH354" s="14"/>
      <c r="AI354" s="14"/>
      <c r="AJ354" s="14"/>
      <c r="AK354" s="14"/>
    </row>
    <row r="355" spans="1:37">
      <c r="A355" s="23"/>
      <c r="B355" s="13"/>
      <c r="C355" s="13"/>
      <c r="D355" s="13"/>
      <c r="E355" s="13"/>
      <c r="F355" s="13"/>
      <c r="G355" s="14"/>
      <c r="H355" s="14"/>
      <c r="I355" s="14"/>
      <c r="J355" s="14"/>
      <c r="K355" s="14"/>
      <c r="L355" s="14"/>
      <c r="M355" s="14"/>
      <c r="N355" s="13"/>
      <c r="O355" s="13"/>
      <c r="P355" s="13"/>
      <c r="Q355" s="13"/>
      <c r="R355" s="13"/>
      <c r="S355" s="14"/>
      <c r="T355" s="14"/>
      <c r="U355" s="14"/>
      <c r="V355" s="14"/>
      <c r="W355" s="14"/>
      <c r="X355" s="14"/>
      <c r="Y355" s="14"/>
      <c r="Z355" s="13"/>
      <c r="AA355" s="13"/>
      <c r="AB355" s="13"/>
      <c r="AC355" s="13"/>
      <c r="AD355" s="13"/>
      <c r="AE355" s="14"/>
      <c r="AF355" s="14"/>
      <c r="AG355" s="14"/>
      <c r="AH355" s="14"/>
      <c r="AI355" s="14"/>
      <c r="AJ355" s="14"/>
      <c r="AK355" s="14"/>
    </row>
    <row r="356" spans="1:37">
      <c r="A356" s="23"/>
      <c r="B356" s="13"/>
      <c r="C356" s="13"/>
      <c r="D356" s="13"/>
      <c r="E356" s="13"/>
      <c r="F356" s="13"/>
      <c r="G356" s="14"/>
      <c r="H356" s="14"/>
      <c r="I356" s="14"/>
      <c r="J356" s="14"/>
      <c r="K356" s="14"/>
      <c r="L356" s="14"/>
      <c r="M356" s="14"/>
      <c r="N356" s="13"/>
      <c r="O356" s="13"/>
      <c r="P356" s="13"/>
      <c r="Q356" s="13"/>
      <c r="R356" s="13"/>
      <c r="S356" s="14"/>
      <c r="T356" s="14"/>
      <c r="U356" s="14"/>
      <c r="V356" s="14"/>
      <c r="W356" s="14"/>
      <c r="X356" s="14"/>
      <c r="Y356" s="14"/>
      <c r="Z356" s="13"/>
      <c r="AA356" s="13"/>
      <c r="AB356" s="13"/>
      <c r="AC356" s="13"/>
      <c r="AD356" s="13"/>
      <c r="AE356" s="14"/>
      <c r="AF356" s="14"/>
      <c r="AG356" s="14"/>
      <c r="AH356" s="14"/>
      <c r="AI356" s="14"/>
      <c r="AJ356" s="14"/>
      <c r="AK356" s="14"/>
    </row>
    <row r="357" spans="1:37">
      <c r="A357" s="23"/>
      <c r="B357" s="13"/>
      <c r="C357" s="13"/>
      <c r="D357" s="13"/>
      <c r="E357" s="13"/>
      <c r="F357" s="13"/>
      <c r="G357" s="14"/>
      <c r="H357" s="14"/>
      <c r="I357" s="14"/>
      <c r="J357" s="14"/>
      <c r="K357" s="14"/>
      <c r="L357" s="14"/>
      <c r="M357" s="14"/>
      <c r="N357" s="13"/>
      <c r="O357" s="13"/>
      <c r="P357" s="13"/>
      <c r="Q357" s="13"/>
      <c r="R357" s="13"/>
      <c r="S357" s="14"/>
      <c r="T357" s="14"/>
      <c r="U357" s="14"/>
      <c r="V357" s="14"/>
      <c r="W357" s="14"/>
      <c r="X357" s="14"/>
      <c r="Y357" s="14"/>
      <c r="Z357" s="13"/>
      <c r="AA357" s="13"/>
      <c r="AB357" s="13"/>
      <c r="AC357" s="13"/>
      <c r="AD357" s="13"/>
      <c r="AE357" s="14"/>
      <c r="AF357" s="14"/>
      <c r="AG357" s="14"/>
      <c r="AH357" s="14"/>
      <c r="AI357" s="14"/>
      <c r="AJ357" s="14"/>
      <c r="AK357" s="14"/>
    </row>
    <row r="358" spans="1:37">
      <c r="A358" s="23"/>
      <c r="B358" s="13"/>
      <c r="C358" s="13"/>
      <c r="D358" s="13"/>
      <c r="E358" s="13"/>
      <c r="F358" s="13"/>
      <c r="G358" s="14"/>
      <c r="H358" s="14"/>
      <c r="I358" s="14"/>
      <c r="J358" s="14"/>
      <c r="K358" s="14"/>
      <c r="L358" s="14"/>
      <c r="M358" s="14"/>
      <c r="N358" s="13"/>
      <c r="O358" s="13"/>
      <c r="P358" s="13"/>
      <c r="Q358" s="13"/>
      <c r="R358" s="13"/>
      <c r="S358" s="14"/>
      <c r="T358" s="14"/>
      <c r="U358" s="14"/>
      <c r="V358" s="14"/>
      <c r="W358" s="14"/>
      <c r="X358" s="14"/>
      <c r="Y358" s="14"/>
      <c r="Z358" s="13"/>
      <c r="AA358" s="13"/>
      <c r="AB358" s="13"/>
      <c r="AC358" s="13"/>
      <c r="AD358" s="13"/>
      <c r="AE358" s="14"/>
      <c r="AF358" s="14"/>
      <c r="AG358" s="14"/>
      <c r="AH358" s="14"/>
      <c r="AI358" s="14"/>
      <c r="AJ358" s="14"/>
      <c r="AK358" s="14"/>
    </row>
    <row r="359" spans="1:37">
      <c r="A359" s="23"/>
      <c r="B359" s="13"/>
      <c r="C359" s="13"/>
      <c r="D359" s="13"/>
      <c r="E359" s="13"/>
      <c r="F359" s="13"/>
      <c r="G359" s="14"/>
      <c r="H359" s="14"/>
      <c r="I359" s="14"/>
      <c r="J359" s="14"/>
      <c r="K359" s="14"/>
      <c r="L359" s="14"/>
      <c r="M359" s="14"/>
      <c r="N359" s="13"/>
      <c r="O359" s="13"/>
      <c r="P359" s="13"/>
      <c r="Q359" s="13"/>
      <c r="R359" s="13"/>
      <c r="S359" s="14"/>
      <c r="T359" s="14"/>
      <c r="U359" s="14"/>
      <c r="V359" s="14"/>
      <c r="W359" s="14"/>
      <c r="X359" s="14"/>
      <c r="Y359" s="14"/>
      <c r="Z359" s="13"/>
      <c r="AA359" s="13"/>
      <c r="AB359" s="13"/>
      <c r="AC359" s="13"/>
      <c r="AD359" s="13"/>
      <c r="AE359" s="14"/>
      <c r="AF359" s="14"/>
      <c r="AG359" s="14"/>
      <c r="AH359" s="14"/>
      <c r="AI359" s="14"/>
      <c r="AJ359" s="14"/>
      <c r="AK359" s="14"/>
    </row>
    <row r="360" spans="1:37">
      <c r="A360" s="23"/>
      <c r="B360" s="13"/>
      <c r="C360" s="13"/>
      <c r="D360" s="13"/>
      <c r="E360" s="13"/>
      <c r="F360" s="13"/>
      <c r="G360" s="14"/>
      <c r="H360" s="14"/>
      <c r="I360" s="14"/>
      <c r="J360" s="14"/>
      <c r="K360" s="14"/>
      <c r="L360" s="14"/>
      <c r="M360" s="14"/>
      <c r="N360" s="13"/>
      <c r="O360" s="13"/>
      <c r="P360" s="13"/>
      <c r="Q360" s="13"/>
      <c r="R360" s="13"/>
      <c r="S360" s="14"/>
      <c r="T360" s="14"/>
      <c r="U360" s="14"/>
      <c r="V360" s="14"/>
      <c r="W360" s="14"/>
      <c r="X360" s="14"/>
      <c r="Y360" s="14"/>
      <c r="Z360" s="13"/>
      <c r="AA360" s="13"/>
      <c r="AB360" s="13"/>
      <c r="AC360" s="13"/>
      <c r="AD360" s="13"/>
      <c r="AE360" s="14"/>
      <c r="AF360" s="14"/>
      <c r="AG360" s="14"/>
      <c r="AH360" s="14"/>
      <c r="AI360" s="14"/>
      <c r="AJ360" s="14"/>
      <c r="AK360" s="14"/>
    </row>
    <row r="361" spans="1:37">
      <c r="A361" s="23"/>
      <c r="B361" s="13"/>
      <c r="C361" s="13"/>
      <c r="D361" s="13"/>
      <c r="E361" s="13"/>
      <c r="F361" s="13"/>
      <c r="G361" s="14"/>
      <c r="H361" s="14"/>
      <c r="I361" s="14"/>
      <c r="J361" s="14"/>
      <c r="K361" s="14"/>
      <c r="L361" s="14"/>
      <c r="M361" s="14"/>
      <c r="N361" s="13"/>
      <c r="O361" s="13"/>
      <c r="P361" s="13"/>
      <c r="Q361" s="13"/>
      <c r="R361" s="13"/>
      <c r="S361" s="14"/>
      <c r="T361" s="14"/>
      <c r="U361" s="14"/>
      <c r="V361" s="14"/>
      <c r="W361" s="14"/>
      <c r="X361" s="14"/>
      <c r="Y361" s="14"/>
      <c r="Z361" s="13"/>
      <c r="AA361" s="13"/>
      <c r="AB361" s="13"/>
      <c r="AC361" s="13"/>
      <c r="AD361" s="13"/>
      <c r="AE361" s="14"/>
      <c r="AF361" s="14"/>
      <c r="AG361" s="14"/>
      <c r="AH361" s="14"/>
      <c r="AI361" s="14"/>
      <c r="AJ361" s="14"/>
      <c r="AK361" s="14"/>
    </row>
    <row r="362" spans="1:37">
      <c r="A362" s="23"/>
      <c r="B362" s="13"/>
      <c r="C362" s="13"/>
      <c r="D362" s="13"/>
      <c r="E362" s="13"/>
      <c r="F362" s="13"/>
      <c r="G362" s="14"/>
      <c r="H362" s="14"/>
      <c r="I362" s="14"/>
      <c r="J362" s="14"/>
      <c r="K362" s="14"/>
      <c r="L362" s="14"/>
      <c r="M362" s="14"/>
      <c r="N362" s="13"/>
      <c r="O362" s="13"/>
      <c r="P362" s="13"/>
      <c r="Q362" s="13"/>
      <c r="R362" s="13"/>
      <c r="S362" s="14"/>
      <c r="T362" s="14"/>
      <c r="U362" s="14"/>
      <c r="V362" s="14"/>
      <c r="W362" s="14"/>
      <c r="X362" s="14"/>
      <c r="Y362" s="14"/>
      <c r="Z362" s="13"/>
      <c r="AA362" s="13"/>
      <c r="AB362" s="13"/>
      <c r="AC362" s="13"/>
      <c r="AD362" s="13"/>
      <c r="AE362" s="14"/>
      <c r="AF362" s="14"/>
      <c r="AG362" s="14"/>
      <c r="AH362" s="14"/>
      <c r="AI362" s="14"/>
      <c r="AJ362" s="14"/>
      <c r="AK362" s="14"/>
    </row>
    <row r="363" spans="1:37">
      <c r="A363" s="23"/>
      <c r="B363" s="13"/>
      <c r="C363" s="13"/>
      <c r="D363" s="13"/>
      <c r="E363" s="13"/>
      <c r="F363" s="13"/>
      <c r="G363" s="14"/>
      <c r="H363" s="14"/>
      <c r="I363" s="14"/>
      <c r="J363" s="14"/>
      <c r="K363" s="14"/>
      <c r="L363" s="14"/>
      <c r="M363" s="14"/>
      <c r="N363" s="13"/>
      <c r="O363" s="13"/>
      <c r="P363" s="13"/>
      <c r="Q363" s="13"/>
      <c r="R363" s="13"/>
      <c r="S363" s="14"/>
      <c r="T363" s="14"/>
      <c r="U363" s="14"/>
      <c r="V363" s="14"/>
      <c r="W363" s="14"/>
      <c r="X363" s="14"/>
      <c r="Y363" s="14"/>
      <c r="Z363" s="13"/>
      <c r="AA363" s="13"/>
      <c r="AB363" s="13"/>
      <c r="AC363" s="13"/>
      <c r="AD363" s="13"/>
      <c r="AE363" s="14"/>
      <c r="AF363" s="14"/>
      <c r="AG363" s="14"/>
      <c r="AH363" s="14"/>
      <c r="AI363" s="14"/>
      <c r="AJ363" s="14"/>
      <c r="AK363" s="14"/>
    </row>
    <row r="364" spans="1:37">
      <c r="A364" s="23"/>
      <c r="B364" s="13"/>
      <c r="C364" s="13"/>
      <c r="D364" s="13"/>
      <c r="E364" s="13"/>
      <c r="F364" s="13"/>
      <c r="G364" s="14"/>
      <c r="H364" s="14"/>
      <c r="I364" s="14"/>
      <c r="J364" s="14"/>
      <c r="K364" s="14"/>
      <c r="L364" s="14"/>
      <c r="M364" s="14"/>
      <c r="N364" s="13"/>
      <c r="O364" s="13"/>
      <c r="P364" s="13"/>
      <c r="Q364" s="13"/>
      <c r="R364" s="13"/>
      <c r="S364" s="14"/>
      <c r="T364" s="14"/>
      <c r="U364" s="14"/>
      <c r="V364" s="14"/>
      <c r="W364" s="14"/>
      <c r="X364" s="14"/>
      <c r="Y364" s="14"/>
      <c r="Z364" s="13"/>
      <c r="AA364" s="13"/>
      <c r="AB364" s="13"/>
      <c r="AC364" s="13"/>
      <c r="AD364" s="13"/>
      <c r="AE364" s="14"/>
      <c r="AF364" s="14"/>
      <c r="AG364" s="14"/>
      <c r="AH364" s="14"/>
      <c r="AI364" s="14"/>
      <c r="AJ364" s="14"/>
      <c r="AK364" s="14"/>
    </row>
    <row r="365" spans="1:37">
      <c r="A365" s="23"/>
      <c r="B365" s="13"/>
      <c r="C365" s="13"/>
      <c r="D365" s="13"/>
      <c r="E365" s="13"/>
      <c r="F365" s="13"/>
      <c r="G365" s="14"/>
      <c r="H365" s="14"/>
      <c r="I365" s="14"/>
      <c r="J365" s="14"/>
      <c r="K365" s="14"/>
      <c r="L365" s="14"/>
      <c r="M365" s="14"/>
      <c r="N365" s="13"/>
      <c r="O365" s="13"/>
      <c r="P365" s="13"/>
      <c r="Q365" s="13"/>
      <c r="R365" s="13"/>
      <c r="S365" s="14"/>
      <c r="T365" s="14"/>
      <c r="U365" s="14"/>
      <c r="V365" s="14"/>
      <c r="W365" s="14"/>
      <c r="X365" s="14"/>
      <c r="Y365" s="14"/>
      <c r="Z365" s="13"/>
      <c r="AA365" s="13"/>
      <c r="AB365" s="13"/>
      <c r="AC365" s="13"/>
      <c r="AD365" s="13"/>
      <c r="AE365" s="14"/>
      <c r="AF365" s="14"/>
      <c r="AG365" s="14"/>
      <c r="AH365" s="14"/>
      <c r="AI365" s="14"/>
      <c r="AJ365" s="14"/>
      <c r="AK365" s="14"/>
    </row>
    <row r="366" spans="1:37">
      <c r="A366" s="23"/>
      <c r="B366" s="13"/>
      <c r="C366" s="13"/>
      <c r="D366" s="13"/>
      <c r="E366" s="13"/>
      <c r="F366" s="13"/>
      <c r="G366" s="14"/>
      <c r="H366" s="14"/>
      <c r="I366" s="14"/>
      <c r="J366" s="14"/>
      <c r="K366" s="14"/>
      <c r="L366" s="14"/>
      <c r="M366" s="14"/>
      <c r="N366" s="13"/>
      <c r="O366" s="13"/>
      <c r="P366" s="13"/>
      <c r="Q366" s="13"/>
      <c r="R366" s="13"/>
      <c r="S366" s="14"/>
      <c r="T366" s="14"/>
      <c r="U366" s="14"/>
      <c r="V366" s="14"/>
      <c r="W366" s="14"/>
      <c r="X366" s="14"/>
      <c r="Y366" s="14"/>
      <c r="Z366" s="13"/>
      <c r="AA366" s="13"/>
      <c r="AB366" s="13"/>
      <c r="AC366" s="13"/>
      <c r="AD366" s="13"/>
      <c r="AE366" s="14"/>
      <c r="AF366" s="14"/>
      <c r="AG366" s="14"/>
      <c r="AH366" s="14"/>
      <c r="AI366" s="14"/>
      <c r="AJ366" s="14"/>
      <c r="AK366" s="14"/>
    </row>
    <row r="367" spans="1:37">
      <c r="A367" s="23"/>
      <c r="B367" s="13"/>
      <c r="C367" s="13"/>
      <c r="D367" s="13"/>
      <c r="E367" s="13"/>
      <c r="F367" s="13"/>
      <c r="G367" s="14"/>
      <c r="H367" s="14"/>
      <c r="I367" s="14"/>
      <c r="J367" s="14"/>
      <c r="K367" s="14"/>
      <c r="L367" s="14"/>
      <c r="M367" s="14"/>
      <c r="N367" s="13"/>
      <c r="O367" s="13"/>
      <c r="P367" s="13"/>
      <c r="Q367" s="13"/>
      <c r="R367" s="13"/>
      <c r="S367" s="14"/>
      <c r="T367" s="14"/>
      <c r="U367" s="14"/>
      <c r="V367" s="14"/>
      <c r="W367" s="14"/>
      <c r="X367" s="14"/>
      <c r="Y367" s="14"/>
      <c r="Z367" s="13"/>
      <c r="AA367" s="13"/>
      <c r="AB367" s="13"/>
      <c r="AC367" s="13"/>
      <c r="AD367" s="13"/>
      <c r="AE367" s="14"/>
      <c r="AF367" s="14"/>
      <c r="AG367" s="14"/>
      <c r="AH367" s="14"/>
      <c r="AI367" s="14"/>
      <c r="AJ367" s="14"/>
      <c r="AK367" s="14"/>
    </row>
    <row r="368" spans="1:37">
      <c r="A368" s="23"/>
      <c r="B368" s="13"/>
      <c r="C368" s="13"/>
      <c r="D368" s="13"/>
      <c r="E368" s="13"/>
      <c r="F368" s="13"/>
      <c r="G368" s="14"/>
      <c r="H368" s="14"/>
      <c r="I368" s="14"/>
      <c r="J368" s="14"/>
      <c r="K368" s="14"/>
      <c r="L368" s="14"/>
      <c r="M368" s="14"/>
      <c r="N368" s="13"/>
      <c r="O368" s="13"/>
      <c r="P368" s="13"/>
      <c r="Q368" s="13"/>
      <c r="R368" s="13"/>
      <c r="S368" s="14"/>
      <c r="T368" s="14"/>
      <c r="U368" s="14"/>
      <c r="V368" s="14"/>
      <c r="W368" s="14"/>
      <c r="X368" s="14"/>
      <c r="Y368" s="14"/>
      <c r="Z368" s="13"/>
      <c r="AA368" s="13"/>
      <c r="AB368" s="13"/>
      <c r="AC368" s="13"/>
      <c r="AD368" s="13"/>
      <c r="AE368" s="14"/>
      <c r="AF368" s="14"/>
      <c r="AG368" s="14"/>
      <c r="AH368" s="14"/>
      <c r="AI368" s="14"/>
      <c r="AJ368" s="14"/>
      <c r="AK368" s="14"/>
    </row>
    <row r="369" spans="1:37">
      <c r="A369" s="23"/>
      <c r="B369" s="13"/>
      <c r="C369" s="13"/>
      <c r="D369" s="13"/>
      <c r="E369" s="13"/>
      <c r="F369" s="13"/>
      <c r="G369" s="14"/>
      <c r="H369" s="14"/>
      <c r="I369" s="14"/>
      <c r="J369" s="14"/>
      <c r="K369" s="14"/>
      <c r="L369" s="14"/>
      <c r="M369" s="14"/>
      <c r="N369" s="13"/>
      <c r="O369" s="13"/>
      <c r="P369" s="13"/>
      <c r="Q369" s="13"/>
      <c r="R369" s="13"/>
      <c r="S369" s="14"/>
      <c r="T369" s="14"/>
      <c r="U369" s="14"/>
      <c r="V369" s="14"/>
      <c r="W369" s="14"/>
      <c r="X369" s="14"/>
      <c r="Y369" s="14"/>
      <c r="Z369" s="13"/>
      <c r="AA369" s="13"/>
      <c r="AB369" s="13"/>
      <c r="AC369" s="13"/>
      <c r="AD369" s="13"/>
      <c r="AE369" s="14"/>
      <c r="AF369" s="14"/>
      <c r="AG369" s="14"/>
      <c r="AH369" s="14"/>
      <c r="AI369" s="14"/>
      <c r="AJ369" s="14"/>
      <c r="AK369" s="14"/>
    </row>
    <row r="370" spans="1:37">
      <c r="A370" s="23"/>
      <c r="B370" s="13"/>
      <c r="C370" s="13"/>
      <c r="D370" s="13"/>
      <c r="E370" s="13"/>
      <c r="F370" s="13"/>
      <c r="G370" s="14"/>
      <c r="H370" s="14"/>
      <c r="I370" s="14"/>
      <c r="J370" s="14"/>
      <c r="K370" s="14"/>
      <c r="L370" s="14"/>
      <c r="M370" s="14"/>
      <c r="N370" s="13"/>
      <c r="O370" s="13"/>
      <c r="P370" s="13"/>
      <c r="Q370" s="13"/>
      <c r="R370" s="13"/>
      <c r="S370" s="14"/>
      <c r="T370" s="14"/>
      <c r="U370" s="14"/>
      <c r="V370" s="14"/>
      <c r="W370" s="14"/>
      <c r="X370" s="14"/>
      <c r="Y370" s="14"/>
      <c r="Z370" s="13"/>
      <c r="AA370" s="13"/>
      <c r="AB370" s="13"/>
      <c r="AC370" s="13"/>
      <c r="AD370" s="13"/>
      <c r="AE370" s="14"/>
      <c r="AF370" s="14"/>
      <c r="AG370" s="14"/>
      <c r="AH370" s="14"/>
      <c r="AI370" s="14"/>
      <c r="AJ370" s="14"/>
      <c r="AK370" s="14"/>
    </row>
    <row r="371" spans="1:37">
      <c r="A371" s="23"/>
      <c r="B371" s="13"/>
      <c r="C371" s="13"/>
      <c r="D371" s="13"/>
      <c r="E371" s="13"/>
      <c r="F371" s="13"/>
      <c r="G371" s="14"/>
      <c r="H371" s="14"/>
      <c r="I371" s="14"/>
      <c r="J371" s="14"/>
      <c r="K371" s="14"/>
      <c r="L371" s="14"/>
      <c r="M371" s="14"/>
      <c r="N371" s="13"/>
      <c r="O371" s="13"/>
      <c r="P371" s="13"/>
      <c r="Q371" s="13"/>
      <c r="R371" s="13"/>
      <c r="S371" s="14"/>
      <c r="T371" s="14"/>
      <c r="U371" s="14"/>
      <c r="V371" s="14"/>
      <c r="W371" s="14"/>
      <c r="X371" s="14"/>
      <c r="Y371" s="14"/>
      <c r="Z371" s="13"/>
      <c r="AA371" s="13"/>
      <c r="AB371" s="13"/>
      <c r="AC371" s="13"/>
      <c r="AD371" s="13"/>
      <c r="AE371" s="14"/>
      <c r="AF371" s="14"/>
      <c r="AG371" s="14"/>
      <c r="AH371" s="14"/>
      <c r="AI371" s="14"/>
      <c r="AJ371" s="14"/>
      <c r="AK371" s="14"/>
    </row>
    <row r="372" spans="1:37">
      <c r="A372" s="23"/>
      <c r="B372" s="13"/>
      <c r="C372" s="13"/>
      <c r="D372" s="13"/>
      <c r="E372" s="13"/>
      <c r="F372" s="13"/>
      <c r="G372" s="14"/>
      <c r="H372" s="14"/>
      <c r="I372" s="14"/>
      <c r="J372" s="14"/>
      <c r="K372" s="14"/>
      <c r="L372" s="14"/>
      <c r="M372" s="14"/>
      <c r="N372" s="13"/>
      <c r="O372" s="13"/>
      <c r="P372" s="13"/>
      <c r="Q372" s="13"/>
      <c r="R372" s="13"/>
      <c r="S372" s="14"/>
      <c r="T372" s="14"/>
      <c r="U372" s="14"/>
      <c r="V372" s="14"/>
      <c r="W372" s="14"/>
      <c r="X372" s="14"/>
      <c r="Y372" s="14"/>
      <c r="Z372" s="13"/>
      <c r="AA372" s="13"/>
      <c r="AB372" s="13"/>
      <c r="AC372" s="13"/>
      <c r="AD372" s="13"/>
      <c r="AE372" s="14"/>
      <c r="AF372" s="14"/>
      <c r="AG372" s="14"/>
      <c r="AH372" s="14"/>
      <c r="AI372" s="14"/>
      <c r="AJ372" s="14"/>
      <c r="AK372" s="14"/>
    </row>
    <row r="373" spans="1:37">
      <c r="A373" s="23"/>
      <c r="B373" s="13"/>
      <c r="C373" s="13"/>
      <c r="D373" s="13"/>
      <c r="E373" s="13"/>
      <c r="F373" s="13"/>
      <c r="G373" s="14"/>
      <c r="H373" s="14"/>
      <c r="I373" s="14"/>
      <c r="J373" s="14"/>
      <c r="K373" s="14"/>
      <c r="L373" s="14"/>
      <c r="M373" s="14"/>
      <c r="N373" s="13"/>
      <c r="O373" s="13"/>
      <c r="P373" s="13"/>
      <c r="Q373" s="13"/>
      <c r="R373" s="13"/>
      <c r="S373" s="14"/>
      <c r="T373" s="14"/>
      <c r="U373" s="14"/>
      <c r="V373" s="14"/>
      <c r="W373" s="14"/>
      <c r="X373" s="14"/>
      <c r="Y373" s="14"/>
      <c r="Z373" s="13"/>
      <c r="AA373" s="13"/>
      <c r="AB373" s="13"/>
      <c r="AC373" s="13"/>
      <c r="AD373" s="13"/>
      <c r="AE373" s="14"/>
      <c r="AF373" s="14"/>
      <c r="AG373" s="14"/>
      <c r="AH373" s="14"/>
      <c r="AI373" s="14"/>
      <c r="AJ373" s="14"/>
      <c r="AK373" s="14"/>
    </row>
    <row r="374" spans="1:37">
      <c r="A374" s="23"/>
      <c r="B374" s="13"/>
      <c r="C374" s="13"/>
      <c r="D374" s="13"/>
      <c r="E374" s="13"/>
      <c r="F374" s="13"/>
      <c r="G374" s="14"/>
      <c r="H374" s="14"/>
      <c r="I374" s="14"/>
      <c r="J374" s="14"/>
      <c r="K374" s="14"/>
      <c r="L374" s="14"/>
      <c r="M374" s="14"/>
      <c r="N374" s="13"/>
      <c r="O374" s="13"/>
      <c r="P374" s="13"/>
      <c r="Q374" s="13"/>
      <c r="R374" s="13"/>
      <c r="S374" s="14"/>
      <c r="T374" s="14"/>
      <c r="U374" s="14"/>
      <c r="V374" s="14"/>
      <c r="W374" s="14"/>
      <c r="X374" s="14"/>
      <c r="Y374" s="14"/>
      <c r="Z374" s="13"/>
      <c r="AA374" s="13"/>
      <c r="AB374" s="13"/>
      <c r="AC374" s="13"/>
      <c r="AD374" s="13"/>
      <c r="AE374" s="14"/>
      <c r="AF374" s="14"/>
      <c r="AG374" s="14"/>
      <c r="AH374" s="14"/>
      <c r="AI374" s="14"/>
      <c r="AJ374" s="14"/>
      <c r="AK374" s="14"/>
    </row>
    <row r="375" spans="1:37">
      <c r="A375" s="23"/>
      <c r="B375" s="13"/>
      <c r="C375" s="13"/>
      <c r="D375" s="13"/>
      <c r="E375" s="13"/>
      <c r="F375" s="13"/>
      <c r="G375" s="14"/>
      <c r="H375" s="14"/>
      <c r="I375" s="14"/>
      <c r="J375" s="14"/>
      <c r="K375" s="14"/>
      <c r="L375" s="14"/>
      <c r="M375" s="14"/>
      <c r="N375" s="13"/>
      <c r="O375" s="13"/>
      <c r="P375" s="13"/>
      <c r="Q375" s="13"/>
      <c r="R375" s="13"/>
      <c r="S375" s="14"/>
      <c r="T375" s="14"/>
      <c r="U375" s="14"/>
      <c r="V375" s="14"/>
      <c r="W375" s="14"/>
      <c r="X375" s="14"/>
      <c r="Y375" s="14"/>
      <c r="Z375" s="13"/>
      <c r="AA375" s="13"/>
      <c r="AB375" s="13"/>
      <c r="AC375" s="13"/>
      <c r="AD375" s="13"/>
      <c r="AE375" s="14"/>
      <c r="AF375" s="14"/>
      <c r="AG375" s="14"/>
      <c r="AH375" s="14"/>
      <c r="AI375" s="14"/>
      <c r="AJ375" s="14"/>
      <c r="AK375" s="14"/>
    </row>
    <row r="376" spans="1:37">
      <c r="A376" s="23"/>
      <c r="B376" s="13"/>
      <c r="C376" s="13"/>
      <c r="D376" s="13"/>
      <c r="E376" s="13"/>
      <c r="F376" s="13"/>
      <c r="G376" s="14"/>
      <c r="H376" s="14"/>
      <c r="I376" s="14"/>
      <c r="J376" s="14"/>
      <c r="K376" s="14"/>
      <c r="L376" s="14"/>
      <c r="M376" s="14"/>
      <c r="N376" s="13"/>
      <c r="O376" s="13"/>
      <c r="P376" s="13"/>
      <c r="Q376" s="13"/>
      <c r="R376" s="13"/>
      <c r="S376" s="14"/>
      <c r="T376" s="14"/>
      <c r="U376" s="14"/>
      <c r="V376" s="14"/>
      <c r="W376" s="14"/>
      <c r="X376" s="14"/>
      <c r="Y376" s="14"/>
      <c r="Z376" s="13"/>
      <c r="AA376" s="13"/>
      <c r="AB376" s="13"/>
      <c r="AC376" s="13"/>
      <c r="AD376" s="13"/>
      <c r="AE376" s="14"/>
      <c r="AF376" s="14"/>
      <c r="AG376" s="14"/>
      <c r="AH376" s="14"/>
      <c r="AI376" s="14"/>
      <c r="AJ376" s="14"/>
      <c r="AK376" s="14"/>
    </row>
    <row r="377" spans="1:37">
      <c r="A377" s="23"/>
      <c r="B377" s="13"/>
      <c r="C377" s="13"/>
      <c r="D377" s="13"/>
      <c r="E377" s="13"/>
      <c r="F377" s="13"/>
      <c r="G377" s="14"/>
      <c r="H377" s="14"/>
      <c r="I377" s="14"/>
      <c r="J377" s="14"/>
      <c r="K377" s="14"/>
      <c r="L377" s="14"/>
      <c r="M377" s="14"/>
      <c r="N377" s="13"/>
      <c r="O377" s="13"/>
      <c r="P377" s="13"/>
      <c r="Q377" s="13"/>
      <c r="R377" s="13"/>
      <c r="S377" s="14"/>
      <c r="T377" s="14"/>
      <c r="U377" s="14"/>
      <c r="V377" s="14"/>
      <c r="W377" s="14"/>
      <c r="X377" s="14"/>
      <c r="Y377" s="14"/>
      <c r="Z377" s="13"/>
      <c r="AA377" s="13"/>
      <c r="AB377" s="13"/>
      <c r="AC377" s="13"/>
      <c r="AD377" s="13"/>
      <c r="AE377" s="14"/>
      <c r="AF377" s="14"/>
      <c r="AG377" s="14"/>
      <c r="AH377" s="14"/>
      <c r="AI377" s="14"/>
      <c r="AJ377" s="14"/>
      <c r="AK377" s="14"/>
    </row>
    <row r="378" spans="1:37">
      <c r="A378" s="23"/>
      <c r="B378" s="13"/>
      <c r="C378" s="13"/>
      <c r="D378" s="13"/>
      <c r="E378" s="13"/>
      <c r="F378" s="13"/>
      <c r="G378" s="14"/>
      <c r="H378" s="14"/>
      <c r="I378" s="14"/>
      <c r="J378" s="14"/>
      <c r="K378" s="14"/>
      <c r="L378" s="14"/>
      <c r="M378" s="14"/>
      <c r="N378" s="13"/>
      <c r="O378" s="13"/>
      <c r="P378" s="13"/>
      <c r="Q378" s="13"/>
      <c r="R378" s="13"/>
      <c r="S378" s="14"/>
      <c r="T378" s="14"/>
      <c r="U378" s="14"/>
      <c r="V378" s="14"/>
      <c r="W378" s="14"/>
      <c r="X378" s="14"/>
      <c r="Y378" s="14"/>
      <c r="Z378" s="13"/>
      <c r="AA378" s="13"/>
      <c r="AB378" s="13"/>
      <c r="AC378" s="13"/>
      <c r="AD378" s="13"/>
      <c r="AE378" s="14"/>
      <c r="AF378" s="14"/>
      <c r="AG378" s="14"/>
      <c r="AH378" s="14"/>
      <c r="AI378" s="14"/>
      <c r="AJ378" s="14"/>
      <c r="AK378" s="14"/>
    </row>
    <row r="379" spans="1:37">
      <c r="A379" s="23"/>
      <c r="B379" s="13"/>
      <c r="C379" s="13"/>
      <c r="D379" s="13"/>
      <c r="E379" s="13"/>
      <c r="F379" s="13"/>
      <c r="G379" s="14"/>
      <c r="H379" s="14"/>
      <c r="I379" s="14"/>
      <c r="J379" s="14"/>
      <c r="K379" s="14"/>
      <c r="L379" s="14"/>
      <c r="M379" s="14"/>
      <c r="N379" s="13"/>
      <c r="O379" s="13"/>
      <c r="P379" s="13"/>
      <c r="Q379" s="13"/>
      <c r="R379" s="13"/>
      <c r="S379" s="14"/>
      <c r="T379" s="14"/>
      <c r="U379" s="14"/>
      <c r="V379" s="14"/>
      <c r="W379" s="14"/>
      <c r="X379" s="14"/>
      <c r="Y379" s="14"/>
      <c r="Z379" s="13"/>
      <c r="AA379" s="13"/>
      <c r="AB379" s="13"/>
      <c r="AC379" s="13"/>
      <c r="AD379" s="13"/>
      <c r="AE379" s="14"/>
      <c r="AF379" s="14"/>
      <c r="AG379" s="14"/>
      <c r="AH379" s="14"/>
      <c r="AI379" s="14"/>
      <c r="AJ379" s="14"/>
      <c r="AK379" s="14"/>
    </row>
    <row r="380" spans="1:37">
      <c r="A380" s="23"/>
      <c r="B380" s="13"/>
      <c r="C380" s="13"/>
      <c r="D380" s="13"/>
      <c r="E380" s="13"/>
      <c r="F380" s="13"/>
      <c r="G380" s="14"/>
      <c r="H380" s="14"/>
      <c r="I380" s="14"/>
      <c r="J380" s="14"/>
      <c r="K380" s="14"/>
      <c r="L380" s="14"/>
      <c r="M380" s="14"/>
      <c r="N380" s="13"/>
      <c r="O380" s="13"/>
      <c r="P380" s="13"/>
      <c r="Q380" s="13"/>
      <c r="R380" s="13"/>
      <c r="S380" s="14"/>
      <c r="T380" s="14"/>
      <c r="U380" s="14"/>
      <c r="V380" s="14"/>
      <c r="W380" s="14"/>
      <c r="X380" s="14"/>
      <c r="Y380" s="14"/>
      <c r="Z380" s="13"/>
      <c r="AA380" s="13"/>
      <c r="AB380" s="13"/>
      <c r="AC380" s="13"/>
      <c r="AD380" s="13"/>
      <c r="AE380" s="14"/>
      <c r="AF380" s="14"/>
      <c r="AG380" s="14"/>
      <c r="AH380" s="14"/>
      <c r="AI380" s="14"/>
      <c r="AJ380" s="14"/>
      <c r="AK380" s="14"/>
    </row>
    <row r="381" spans="1:37">
      <c r="A381" s="23"/>
      <c r="B381" s="13"/>
      <c r="C381" s="13"/>
      <c r="D381" s="13"/>
      <c r="E381" s="13"/>
      <c r="F381" s="13"/>
      <c r="G381" s="14"/>
      <c r="H381" s="14"/>
      <c r="I381" s="14"/>
      <c r="J381" s="14"/>
      <c r="K381" s="14"/>
      <c r="L381" s="14"/>
      <c r="M381" s="14"/>
      <c r="N381" s="13"/>
      <c r="O381" s="13"/>
      <c r="P381" s="13"/>
      <c r="Q381" s="13"/>
      <c r="R381" s="13"/>
      <c r="S381" s="14"/>
      <c r="T381" s="14"/>
      <c r="U381" s="14"/>
      <c r="V381" s="14"/>
      <c r="W381" s="14"/>
      <c r="X381" s="14"/>
      <c r="Y381" s="14"/>
      <c r="Z381" s="13"/>
      <c r="AA381" s="13"/>
      <c r="AB381" s="13"/>
      <c r="AC381" s="13"/>
      <c r="AD381" s="13"/>
      <c r="AE381" s="14"/>
      <c r="AF381" s="14"/>
      <c r="AG381" s="14"/>
      <c r="AH381" s="14"/>
      <c r="AI381" s="14"/>
      <c r="AJ381" s="14"/>
      <c r="AK381" s="14"/>
    </row>
    <row r="382" spans="1:37">
      <c r="A382" s="23"/>
      <c r="B382" s="13"/>
      <c r="C382" s="13"/>
      <c r="D382" s="13"/>
      <c r="E382" s="13"/>
      <c r="F382" s="13"/>
      <c r="G382" s="14"/>
      <c r="H382" s="14"/>
      <c r="I382" s="14"/>
      <c r="J382" s="14"/>
      <c r="K382" s="14"/>
      <c r="L382" s="14"/>
      <c r="M382" s="14"/>
      <c r="N382" s="13"/>
      <c r="O382" s="13"/>
      <c r="P382" s="13"/>
      <c r="Q382" s="13"/>
      <c r="R382" s="13"/>
      <c r="S382" s="14"/>
      <c r="T382" s="14"/>
      <c r="U382" s="14"/>
      <c r="V382" s="14"/>
      <c r="W382" s="14"/>
      <c r="X382" s="14"/>
      <c r="Y382" s="14"/>
      <c r="Z382" s="13"/>
      <c r="AA382" s="13"/>
      <c r="AB382" s="13"/>
      <c r="AC382" s="13"/>
      <c r="AD382" s="13"/>
      <c r="AE382" s="14"/>
      <c r="AF382" s="14"/>
      <c r="AG382" s="14"/>
      <c r="AH382" s="14"/>
      <c r="AI382" s="14"/>
      <c r="AJ382" s="14"/>
      <c r="AK382" s="14"/>
    </row>
    <row r="383" spans="1:37">
      <c r="A383" s="23"/>
      <c r="B383" s="13"/>
      <c r="C383" s="13"/>
      <c r="D383" s="13"/>
      <c r="E383" s="13"/>
      <c r="F383" s="13"/>
      <c r="G383" s="14"/>
      <c r="H383" s="14"/>
      <c r="I383" s="14"/>
      <c r="J383" s="14"/>
      <c r="K383" s="14"/>
      <c r="L383" s="14"/>
      <c r="M383" s="14"/>
      <c r="N383" s="13"/>
      <c r="O383" s="13"/>
      <c r="P383" s="13"/>
      <c r="Q383" s="13"/>
      <c r="R383" s="13"/>
      <c r="S383" s="14"/>
      <c r="T383" s="14"/>
      <c r="U383" s="14"/>
      <c r="V383" s="14"/>
      <c r="W383" s="14"/>
      <c r="X383" s="14"/>
      <c r="Y383" s="14"/>
      <c r="Z383" s="13"/>
      <c r="AA383" s="13"/>
      <c r="AB383" s="13"/>
      <c r="AC383" s="13"/>
      <c r="AD383" s="13"/>
      <c r="AE383" s="14"/>
      <c r="AF383" s="14"/>
      <c r="AG383" s="14"/>
      <c r="AH383" s="14"/>
      <c r="AI383" s="14"/>
      <c r="AJ383" s="14"/>
      <c r="AK383" s="14"/>
    </row>
    <row r="384" spans="1:37">
      <c r="A384" s="23"/>
      <c r="B384" s="13"/>
      <c r="C384" s="13"/>
      <c r="D384" s="13"/>
      <c r="E384" s="13"/>
      <c r="F384" s="13"/>
      <c r="G384" s="14"/>
      <c r="H384" s="14"/>
      <c r="I384" s="14"/>
      <c r="J384" s="14"/>
      <c r="K384" s="14"/>
      <c r="L384" s="14"/>
      <c r="M384" s="14"/>
      <c r="N384" s="13"/>
      <c r="O384" s="13"/>
      <c r="P384" s="13"/>
      <c r="Q384" s="13"/>
      <c r="R384" s="13"/>
      <c r="S384" s="14"/>
      <c r="T384" s="14"/>
      <c r="U384" s="14"/>
      <c r="V384" s="14"/>
      <c r="W384" s="14"/>
      <c r="X384" s="14"/>
      <c r="Y384" s="14"/>
      <c r="Z384" s="13"/>
      <c r="AA384" s="13"/>
      <c r="AB384" s="13"/>
      <c r="AC384" s="13"/>
      <c r="AD384" s="13"/>
      <c r="AE384" s="14"/>
      <c r="AF384" s="14"/>
      <c r="AG384" s="14"/>
      <c r="AH384" s="14"/>
      <c r="AI384" s="14"/>
      <c r="AJ384" s="14"/>
      <c r="AK384" s="14"/>
    </row>
    <row r="385" spans="1:37">
      <c r="A385" s="23"/>
      <c r="B385" s="13"/>
      <c r="C385" s="13"/>
      <c r="D385" s="13"/>
      <c r="E385" s="13"/>
      <c r="F385" s="13"/>
      <c r="G385" s="14"/>
      <c r="H385" s="14"/>
      <c r="I385" s="14"/>
      <c r="J385" s="14"/>
      <c r="K385" s="14"/>
      <c r="L385" s="14"/>
      <c r="M385" s="14"/>
      <c r="N385" s="13"/>
      <c r="O385" s="13"/>
      <c r="P385" s="13"/>
      <c r="Q385" s="13"/>
      <c r="R385" s="13"/>
      <c r="S385" s="14"/>
      <c r="T385" s="14"/>
      <c r="U385" s="14"/>
      <c r="V385" s="14"/>
      <c r="W385" s="14"/>
      <c r="X385" s="14"/>
      <c r="Y385" s="14"/>
      <c r="Z385" s="13"/>
      <c r="AA385" s="13"/>
      <c r="AB385" s="13"/>
      <c r="AC385" s="13"/>
      <c r="AD385" s="13"/>
      <c r="AE385" s="14"/>
      <c r="AF385" s="14"/>
      <c r="AG385" s="14"/>
      <c r="AH385" s="14"/>
      <c r="AI385" s="14"/>
      <c r="AJ385" s="14"/>
      <c r="AK385" s="14"/>
    </row>
    <row r="386" spans="1:37">
      <c r="A386" s="23"/>
      <c r="B386" s="13"/>
      <c r="C386" s="13"/>
      <c r="D386" s="13"/>
      <c r="E386" s="13"/>
      <c r="F386" s="13"/>
      <c r="G386" s="14"/>
      <c r="H386" s="14"/>
      <c r="I386" s="14"/>
      <c r="J386" s="14"/>
      <c r="K386" s="14"/>
      <c r="L386" s="14"/>
      <c r="M386" s="14"/>
      <c r="N386" s="13"/>
      <c r="O386" s="13"/>
      <c r="P386" s="13"/>
      <c r="Q386" s="13"/>
      <c r="R386" s="13"/>
      <c r="S386" s="14"/>
      <c r="T386" s="14"/>
      <c r="U386" s="14"/>
      <c r="V386" s="14"/>
      <c r="W386" s="14"/>
      <c r="X386" s="14"/>
      <c r="Y386" s="14"/>
      <c r="Z386" s="13"/>
      <c r="AA386" s="13"/>
      <c r="AB386" s="13"/>
      <c r="AC386" s="13"/>
      <c r="AD386" s="13"/>
      <c r="AE386" s="14"/>
      <c r="AF386" s="14"/>
      <c r="AG386" s="14"/>
      <c r="AH386" s="14"/>
      <c r="AI386" s="14"/>
      <c r="AJ386" s="14"/>
      <c r="AK386" s="14"/>
    </row>
    <row r="387" spans="1:37">
      <c r="A387" s="23"/>
      <c r="B387" s="13"/>
      <c r="C387" s="13"/>
      <c r="D387" s="13"/>
      <c r="E387" s="13"/>
      <c r="F387" s="13"/>
      <c r="G387" s="14"/>
      <c r="H387" s="14"/>
      <c r="I387" s="14"/>
      <c r="J387" s="14"/>
      <c r="K387" s="14"/>
      <c r="L387" s="14"/>
      <c r="M387" s="14"/>
      <c r="N387" s="13"/>
      <c r="O387" s="13"/>
      <c r="P387" s="13"/>
      <c r="Q387" s="13"/>
      <c r="R387" s="13"/>
      <c r="S387" s="14"/>
      <c r="T387" s="14"/>
      <c r="U387" s="14"/>
      <c r="V387" s="14"/>
      <c r="W387" s="14"/>
      <c r="X387" s="14"/>
      <c r="Y387" s="14"/>
      <c r="Z387" s="13"/>
      <c r="AA387" s="13"/>
      <c r="AB387" s="13"/>
      <c r="AC387" s="13"/>
      <c r="AD387" s="13"/>
      <c r="AE387" s="14"/>
      <c r="AF387" s="14"/>
      <c r="AG387" s="14"/>
      <c r="AH387" s="14"/>
      <c r="AI387" s="14"/>
      <c r="AJ387" s="14"/>
      <c r="AK387" s="14"/>
    </row>
    <row r="388" spans="1:37">
      <c r="A388" s="23"/>
      <c r="B388" s="13"/>
      <c r="C388" s="13"/>
      <c r="D388" s="13"/>
      <c r="E388" s="13"/>
      <c r="F388" s="13"/>
      <c r="G388" s="14"/>
      <c r="H388" s="14"/>
      <c r="I388" s="14"/>
      <c r="J388" s="14"/>
      <c r="K388" s="14"/>
      <c r="L388" s="14"/>
      <c r="M388" s="14"/>
      <c r="N388" s="13"/>
      <c r="O388" s="13"/>
      <c r="P388" s="13"/>
      <c r="Q388" s="13"/>
      <c r="R388" s="13"/>
      <c r="S388" s="14"/>
      <c r="T388" s="14"/>
      <c r="U388" s="14"/>
      <c r="V388" s="14"/>
      <c r="W388" s="14"/>
      <c r="X388" s="14"/>
      <c r="Y388" s="14"/>
      <c r="Z388" s="13"/>
      <c r="AA388" s="13"/>
      <c r="AB388" s="13"/>
      <c r="AC388" s="13"/>
      <c r="AD388" s="13"/>
      <c r="AE388" s="14"/>
      <c r="AF388" s="14"/>
      <c r="AG388" s="14"/>
      <c r="AH388" s="14"/>
      <c r="AI388" s="14"/>
      <c r="AJ388" s="14"/>
      <c r="AK388" s="14"/>
    </row>
    <row r="389" spans="1:37">
      <c r="A389" s="23"/>
      <c r="B389" s="13"/>
      <c r="C389" s="13"/>
      <c r="D389" s="13"/>
      <c r="E389" s="13"/>
      <c r="F389" s="13"/>
      <c r="G389" s="14"/>
      <c r="H389" s="14"/>
      <c r="I389" s="14"/>
      <c r="J389" s="14"/>
      <c r="K389" s="14"/>
      <c r="L389" s="14"/>
      <c r="M389" s="14"/>
      <c r="N389" s="13"/>
      <c r="O389" s="13"/>
      <c r="P389" s="13"/>
      <c r="Q389" s="13"/>
      <c r="R389" s="13"/>
      <c r="S389" s="14"/>
      <c r="T389" s="14"/>
      <c r="U389" s="14"/>
      <c r="V389" s="14"/>
      <c r="W389" s="14"/>
      <c r="X389" s="14"/>
      <c r="Y389" s="14"/>
      <c r="Z389" s="13"/>
      <c r="AA389" s="13"/>
      <c r="AB389" s="13"/>
      <c r="AC389" s="13"/>
      <c r="AD389" s="13"/>
      <c r="AE389" s="14"/>
      <c r="AF389" s="14"/>
      <c r="AG389" s="14"/>
      <c r="AH389" s="14"/>
      <c r="AI389" s="14"/>
      <c r="AJ389" s="14"/>
      <c r="AK389" s="14"/>
    </row>
    <row r="390" spans="1:37">
      <c r="A390" s="23"/>
      <c r="B390" s="13"/>
      <c r="C390" s="13"/>
      <c r="D390" s="13"/>
      <c r="E390" s="13"/>
      <c r="F390" s="13"/>
      <c r="G390" s="14"/>
      <c r="H390" s="14"/>
      <c r="I390" s="14"/>
      <c r="J390" s="14"/>
      <c r="K390" s="14"/>
      <c r="L390" s="14"/>
      <c r="M390" s="14"/>
      <c r="N390" s="13"/>
      <c r="O390" s="13"/>
      <c r="P390" s="13"/>
      <c r="Q390" s="13"/>
      <c r="R390" s="13"/>
      <c r="S390" s="14"/>
      <c r="T390" s="14"/>
      <c r="U390" s="14"/>
      <c r="V390" s="14"/>
      <c r="W390" s="14"/>
      <c r="X390" s="14"/>
      <c r="Y390" s="14"/>
      <c r="Z390" s="13"/>
      <c r="AA390" s="13"/>
      <c r="AB390" s="13"/>
      <c r="AC390" s="13"/>
      <c r="AD390" s="13"/>
      <c r="AE390" s="14"/>
      <c r="AF390" s="14"/>
      <c r="AG390" s="14"/>
      <c r="AH390" s="14"/>
      <c r="AI390" s="14"/>
      <c r="AJ390" s="14"/>
      <c r="AK390" s="14"/>
    </row>
    <row r="391" spans="1:37">
      <c r="A391" s="23"/>
      <c r="B391" s="13"/>
      <c r="C391" s="13"/>
      <c r="D391" s="13"/>
      <c r="E391" s="13"/>
      <c r="F391" s="13"/>
      <c r="G391" s="14"/>
      <c r="H391" s="14"/>
      <c r="I391" s="14"/>
      <c r="J391" s="14"/>
      <c r="K391" s="14"/>
      <c r="L391" s="14"/>
      <c r="M391" s="14"/>
      <c r="N391" s="13"/>
      <c r="O391" s="13"/>
      <c r="P391" s="13"/>
      <c r="Q391" s="13"/>
      <c r="R391" s="13"/>
      <c r="S391" s="14"/>
      <c r="T391" s="14"/>
      <c r="U391" s="14"/>
      <c r="V391" s="14"/>
      <c r="W391" s="14"/>
      <c r="X391" s="14"/>
      <c r="Y391" s="14"/>
      <c r="Z391" s="13"/>
      <c r="AA391" s="13"/>
      <c r="AB391" s="13"/>
      <c r="AC391" s="13"/>
      <c r="AD391" s="13"/>
      <c r="AE391" s="14"/>
      <c r="AF391" s="14"/>
      <c r="AG391" s="14"/>
      <c r="AH391" s="14"/>
      <c r="AI391" s="14"/>
      <c r="AJ391" s="14"/>
      <c r="AK391" s="14"/>
    </row>
    <row r="392" spans="1:37">
      <c r="A392" s="23"/>
      <c r="B392" s="13"/>
      <c r="C392" s="13"/>
      <c r="D392" s="13"/>
      <c r="E392" s="13"/>
      <c r="F392" s="13"/>
      <c r="G392" s="14"/>
      <c r="H392" s="14"/>
      <c r="I392" s="14"/>
      <c r="J392" s="14"/>
      <c r="K392" s="14"/>
      <c r="L392" s="14"/>
      <c r="M392" s="14"/>
      <c r="N392" s="13"/>
      <c r="O392" s="13"/>
      <c r="P392" s="13"/>
      <c r="Q392" s="13"/>
      <c r="R392" s="13"/>
      <c r="S392" s="14"/>
      <c r="T392" s="14"/>
      <c r="U392" s="14"/>
      <c r="V392" s="14"/>
      <c r="W392" s="14"/>
      <c r="X392" s="14"/>
      <c r="Y392" s="14"/>
      <c r="Z392" s="13"/>
      <c r="AA392" s="13"/>
      <c r="AB392" s="13"/>
      <c r="AC392" s="13"/>
      <c r="AD392" s="13"/>
      <c r="AE392" s="14"/>
      <c r="AF392" s="14"/>
      <c r="AG392" s="14"/>
      <c r="AH392" s="14"/>
      <c r="AI392" s="14"/>
      <c r="AJ392" s="14"/>
      <c r="AK392" s="14"/>
    </row>
    <row r="393" spans="1:37">
      <c r="A393" s="23"/>
      <c r="B393" s="13"/>
      <c r="C393" s="13"/>
      <c r="D393" s="13"/>
      <c r="E393" s="13"/>
      <c r="F393" s="13"/>
      <c r="G393" s="14"/>
      <c r="H393" s="14"/>
      <c r="I393" s="14"/>
      <c r="J393" s="14"/>
      <c r="K393" s="14"/>
      <c r="L393" s="14"/>
      <c r="M393" s="14"/>
      <c r="N393" s="13"/>
      <c r="O393" s="13"/>
      <c r="P393" s="13"/>
      <c r="Q393" s="13"/>
      <c r="R393" s="13"/>
      <c r="S393" s="14"/>
      <c r="T393" s="14"/>
      <c r="U393" s="14"/>
      <c r="V393" s="14"/>
      <c r="W393" s="14"/>
      <c r="X393" s="14"/>
      <c r="Y393" s="14"/>
      <c r="Z393" s="13"/>
      <c r="AA393" s="13"/>
      <c r="AB393" s="13"/>
      <c r="AC393" s="13"/>
      <c r="AD393" s="13"/>
      <c r="AE393" s="14"/>
      <c r="AF393" s="14"/>
      <c r="AG393" s="14"/>
      <c r="AH393" s="14"/>
      <c r="AI393" s="14"/>
      <c r="AJ393" s="14"/>
      <c r="AK393" s="14"/>
    </row>
    <row r="394" spans="1:37">
      <c r="A394" s="23"/>
      <c r="B394" s="13"/>
      <c r="C394" s="13"/>
      <c r="D394" s="13"/>
      <c r="E394" s="13"/>
      <c r="F394" s="13"/>
      <c r="G394" s="14"/>
      <c r="H394" s="14"/>
      <c r="I394" s="14"/>
      <c r="J394" s="14"/>
      <c r="K394" s="14"/>
      <c r="L394" s="14"/>
      <c r="M394" s="14"/>
      <c r="N394" s="13"/>
      <c r="O394" s="13"/>
      <c r="P394" s="13"/>
      <c r="Q394" s="13"/>
      <c r="R394" s="13"/>
      <c r="S394" s="14"/>
      <c r="T394" s="14"/>
      <c r="U394" s="14"/>
      <c r="V394" s="14"/>
      <c r="W394" s="14"/>
      <c r="X394" s="14"/>
      <c r="Y394" s="14"/>
      <c r="Z394" s="13"/>
      <c r="AA394" s="13"/>
      <c r="AB394" s="13"/>
      <c r="AC394" s="13"/>
      <c r="AD394" s="13"/>
      <c r="AE394" s="14"/>
      <c r="AF394" s="14"/>
      <c r="AG394" s="14"/>
      <c r="AH394" s="14"/>
      <c r="AI394" s="14"/>
      <c r="AJ394" s="14"/>
      <c r="AK394" s="14"/>
    </row>
    <row r="395" spans="1:37">
      <c r="A395" s="23"/>
      <c r="B395" s="13"/>
      <c r="C395" s="13"/>
      <c r="D395" s="13"/>
      <c r="E395" s="13"/>
      <c r="F395" s="13"/>
      <c r="G395" s="14"/>
      <c r="H395" s="14"/>
      <c r="I395" s="14"/>
      <c r="J395" s="14"/>
      <c r="K395" s="14"/>
      <c r="L395" s="14"/>
      <c r="M395" s="14"/>
      <c r="N395" s="13"/>
      <c r="O395" s="13"/>
      <c r="P395" s="13"/>
      <c r="Q395" s="13"/>
      <c r="R395" s="13"/>
      <c r="S395" s="14"/>
      <c r="T395" s="14"/>
      <c r="U395" s="14"/>
      <c r="V395" s="14"/>
      <c r="W395" s="14"/>
      <c r="X395" s="14"/>
      <c r="Y395" s="14"/>
      <c r="Z395" s="13"/>
      <c r="AA395" s="13"/>
      <c r="AB395" s="13"/>
      <c r="AC395" s="13"/>
      <c r="AD395" s="13"/>
      <c r="AE395" s="14"/>
      <c r="AF395" s="14"/>
      <c r="AG395" s="14"/>
      <c r="AH395" s="14"/>
      <c r="AI395" s="14"/>
      <c r="AJ395" s="14"/>
      <c r="AK395" s="14"/>
    </row>
    <row r="396" spans="1:37">
      <c r="A396" s="23"/>
      <c r="B396" s="13"/>
      <c r="C396" s="13"/>
      <c r="D396" s="13"/>
      <c r="E396" s="13"/>
      <c r="F396" s="13"/>
      <c r="G396" s="14"/>
      <c r="H396" s="14"/>
      <c r="I396" s="14"/>
      <c r="J396" s="14"/>
      <c r="K396" s="14"/>
      <c r="L396" s="14"/>
      <c r="M396" s="14"/>
      <c r="N396" s="13"/>
      <c r="O396" s="13"/>
      <c r="P396" s="13"/>
      <c r="Q396" s="13"/>
      <c r="R396" s="13"/>
      <c r="S396" s="14"/>
      <c r="T396" s="14"/>
      <c r="U396" s="14"/>
      <c r="V396" s="14"/>
      <c r="W396" s="14"/>
      <c r="X396" s="14"/>
      <c r="Y396" s="14"/>
      <c r="Z396" s="13"/>
      <c r="AA396" s="13"/>
      <c r="AB396" s="13"/>
      <c r="AC396" s="13"/>
      <c r="AD396" s="13"/>
      <c r="AE396" s="14"/>
      <c r="AF396" s="14"/>
      <c r="AG396" s="14"/>
      <c r="AH396" s="14"/>
      <c r="AI396" s="14"/>
      <c r="AJ396" s="14"/>
      <c r="AK396" s="14"/>
    </row>
    <row r="397" spans="1:37">
      <c r="A397" s="23"/>
      <c r="B397" s="13"/>
      <c r="C397" s="13"/>
      <c r="D397" s="13"/>
      <c r="E397" s="13"/>
      <c r="F397" s="13"/>
      <c r="G397" s="14"/>
      <c r="H397" s="14"/>
      <c r="I397" s="14"/>
      <c r="J397" s="14"/>
      <c r="K397" s="14"/>
      <c r="L397" s="14"/>
      <c r="M397" s="14"/>
      <c r="N397" s="13"/>
      <c r="O397" s="13"/>
      <c r="P397" s="13"/>
      <c r="Q397" s="13"/>
      <c r="R397" s="13"/>
      <c r="S397" s="14"/>
      <c r="T397" s="14"/>
      <c r="U397" s="14"/>
      <c r="V397" s="14"/>
      <c r="W397" s="14"/>
      <c r="X397" s="14"/>
      <c r="Y397" s="14"/>
      <c r="Z397" s="13"/>
      <c r="AA397" s="13"/>
      <c r="AB397" s="13"/>
      <c r="AC397" s="13"/>
      <c r="AD397" s="13"/>
      <c r="AE397" s="14"/>
      <c r="AF397" s="14"/>
      <c r="AG397" s="14"/>
      <c r="AH397" s="14"/>
      <c r="AI397" s="14"/>
      <c r="AJ397" s="14"/>
      <c r="AK397" s="14"/>
    </row>
    <row r="398" spans="1:37">
      <c r="A398" s="23"/>
      <c r="B398" s="13"/>
      <c r="C398" s="13"/>
      <c r="D398" s="13"/>
      <c r="E398" s="13"/>
      <c r="F398" s="13"/>
      <c r="G398" s="14"/>
      <c r="H398" s="14"/>
      <c r="I398" s="14"/>
      <c r="J398" s="14"/>
      <c r="K398" s="14"/>
      <c r="L398" s="14"/>
      <c r="M398" s="14"/>
      <c r="N398" s="13"/>
      <c r="O398" s="13"/>
      <c r="P398" s="13"/>
      <c r="Q398" s="13"/>
      <c r="R398" s="13"/>
      <c r="S398" s="14"/>
      <c r="T398" s="14"/>
      <c r="U398" s="14"/>
      <c r="V398" s="14"/>
      <c r="W398" s="14"/>
      <c r="X398" s="14"/>
      <c r="Y398" s="14"/>
      <c r="Z398" s="13"/>
      <c r="AA398" s="13"/>
      <c r="AB398" s="13"/>
      <c r="AC398" s="13"/>
      <c r="AD398" s="13"/>
      <c r="AE398" s="14"/>
      <c r="AF398" s="14"/>
      <c r="AG398" s="14"/>
      <c r="AH398" s="14"/>
      <c r="AI398" s="14"/>
      <c r="AJ398" s="14"/>
      <c r="AK398" s="14"/>
    </row>
    <row r="399" spans="1:37">
      <c r="A399" s="23"/>
      <c r="B399" s="13"/>
      <c r="C399" s="13"/>
      <c r="D399" s="13"/>
      <c r="E399" s="13"/>
      <c r="F399" s="13"/>
      <c r="G399" s="14"/>
      <c r="H399" s="14"/>
      <c r="I399" s="14"/>
      <c r="J399" s="14"/>
      <c r="K399" s="14"/>
      <c r="L399" s="14"/>
      <c r="M399" s="14"/>
      <c r="N399" s="13"/>
      <c r="O399" s="13"/>
      <c r="P399" s="13"/>
      <c r="Q399" s="13"/>
      <c r="R399" s="13"/>
      <c r="S399" s="14"/>
      <c r="T399" s="14"/>
      <c r="U399" s="14"/>
      <c r="V399" s="14"/>
      <c r="W399" s="14"/>
      <c r="X399" s="14"/>
      <c r="Y399" s="14"/>
      <c r="Z399" s="13"/>
      <c r="AA399" s="13"/>
      <c r="AB399" s="13"/>
      <c r="AC399" s="13"/>
      <c r="AD399" s="13"/>
      <c r="AE399" s="14"/>
      <c r="AF399" s="14"/>
      <c r="AG399" s="14"/>
      <c r="AH399" s="14"/>
      <c r="AI399" s="14"/>
      <c r="AJ399" s="14"/>
      <c r="AK399" s="14"/>
    </row>
    <row r="400" spans="1:37">
      <c r="A400" s="23"/>
      <c r="B400" s="13"/>
      <c r="C400" s="13"/>
      <c r="D400" s="13"/>
      <c r="E400" s="13"/>
      <c r="F400" s="13"/>
      <c r="G400" s="14"/>
      <c r="H400" s="14"/>
      <c r="I400" s="14"/>
      <c r="J400" s="14"/>
      <c r="K400" s="14"/>
      <c r="L400" s="14"/>
      <c r="M400" s="14"/>
      <c r="N400" s="13"/>
      <c r="O400" s="13"/>
      <c r="P400" s="13"/>
      <c r="Q400" s="13"/>
      <c r="R400" s="13"/>
      <c r="S400" s="14"/>
      <c r="T400" s="14"/>
      <c r="U400" s="14"/>
      <c r="V400" s="14"/>
      <c r="W400" s="14"/>
      <c r="X400" s="14"/>
      <c r="Y400" s="14"/>
      <c r="Z400" s="13"/>
      <c r="AA400" s="13"/>
      <c r="AB400" s="13"/>
      <c r="AC400" s="13"/>
      <c r="AD400" s="13"/>
      <c r="AE400" s="14"/>
      <c r="AF400" s="14"/>
      <c r="AG400" s="14"/>
      <c r="AH400" s="14"/>
      <c r="AI400" s="14"/>
      <c r="AJ400" s="14"/>
      <c r="AK400" s="14"/>
    </row>
    <row r="401" spans="1:37">
      <c r="A401" s="23"/>
      <c r="B401" s="13"/>
      <c r="C401" s="13"/>
      <c r="D401" s="13"/>
      <c r="E401" s="13"/>
      <c r="F401" s="13"/>
      <c r="G401" s="14"/>
      <c r="H401" s="14"/>
      <c r="I401" s="14"/>
      <c r="J401" s="14"/>
      <c r="K401" s="14"/>
      <c r="L401" s="14"/>
      <c r="M401" s="14"/>
      <c r="N401" s="13"/>
      <c r="O401" s="13"/>
      <c r="P401" s="13"/>
      <c r="Q401" s="13"/>
      <c r="R401" s="13"/>
      <c r="S401" s="14"/>
      <c r="T401" s="14"/>
      <c r="U401" s="14"/>
      <c r="V401" s="14"/>
      <c r="W401" s="14"/>
      <c r="X401" s="14"/>
      <c r="Y401" s="14"/>
      <c r="Z401" s="13"/>
      <c r="AA401" s="13"/>
      <c r="AB401" s="13"/>
      <c r="AC401" s="13"/>
      <c r="AD401" s="13"/>
      <c r="AE401" s="14"/>
      <c r="AF401" s="14"/>
      <c r="AG401" s="14"/>
      <c r="AH401" s="14"/>
      <c r="AI401" s="14"/>
      <c r="AJ401" s="14"/>
      <c r="AK401" s="14"/>
    </row>
    <row r="402" spans="1:37">
      <c r="A402" s="23"/>
      <c r="B402" s="13"/>
      <c r="C402" s="13"/>
      <c r="D402" s="13"/>
      <c r="E402" s="13"/>
      <c r="F402" s="13"/>
      <c r="G402" s="14"/>
      <c r="H402" s="14"/>
      <c r="I402" s="14"/>
      <c r="J402" s="14"/>
      <c r="K402" s="14"/>
      <c r="L402" s="14"/>
      <c r="M402" s="14"/>
      <c r="N402" s="13"/>
      <c r="O402" s="13"/>
      <c r="P402" s="13"/>
      <c r="Q402" s="13"/>
      <c r="R402" s="13"/>
      <c r="S402" s="14"/>
      <c r="T402" s="14"/>
      <c r="U402" s="14"/>
      <c r="V402" s="14"/>
      <c r="W402" s="14"/>
      <c r="X402" s="14"/>
      <c r="Y402" s="14"/>
      <c r="Z402" s="13"/>
      <c r="AA402" s="13"/>
      <c r="AB402" s="13"/>
      <c r="AC402" s="13"/>
      <c r="AD402" s="13"/>
      <c r="AE402" s="14"/>
      <c r="AF402" s="14"/>
      <c r="AG402" s="14"/>
      <c r="AH402" s="14"/>
      <c r="AI402" s="14"/>
      <c r="AJ402" s="14"/>
      <c r="AK402" s="14"/>
    </row>
    <row r="403" spans="1:37">
      <c r="A403" s="23"/>
      <c r="B403" s="13"/>
      <c r="C403" s="13"/>
      <c r="D403" s="13"/>
      <c r="E403" s="13"/>
      <c r="F403" s="13"/>
      <c r="G403" s="14"/>
      <c r="H403" s="14"/>
      <c r="I403" s="14"/>
      <c r="J403" s="14"/>
      <c r="K403" s="14"/>
      <c r="L403" s="14"/>
      <c r="M403" s="14"/>
      <c r="N403" s="13"/>
      <c r="O403" s="13"/>
      <c r="P403" s="13"/>
      <c r="Q403" s="13"/>
      <c r="R403" s="13"/>
      <c r="S403" s="14"/>
      <c r="T403" s="14"/>
      <c r="U403" s="14"/>
      <c r="V403" s="14"/>
      <c r="W403" s="14"/>
      <c r="X403" s="14"/>
      <c r="Y403" s="14"/>
      <c r="Z403" s="13"/>
      <c r="AA403" s="13"/>
      <c r="AB403" s="13"/>
      <c r="AC403" s="13"/>
      <c r="AD403" s="13"/>
      <c r="AE403" s="14"/>
      <c r="AF403" s="14"/>
      <c r="AG403" s="14"/>
      <c r="AH403" s="14"/>
      <c r="AI403" s="14"/>
      <c r="AJ403" s="14"/>
      <c r="AK403" s="14"/>
    </row>
    <row r="404" spans="1:37">
      <c r="A404" s="23"/>
      <c r="B404" s="13"/>
      <c r="C404" s="13"/>
      <c r="D404" s="13"/>
      <c r="E404" s="13"/>
      <c r="F404" s="13"/>
      <c r="G404" s="14"/>
      <c r="H404" s="14"/>
      <c r="I404" s="14"/>
      <c r="J404" s="14"/>
      <c r="K404" s="14"/>
      <c r="L404" s="14"/>
      <c r="M404" s="14"/>
      <c r="N404" s="13"/>
      <c r="O404" s="13"/>
      <c r="P404" s="13"/>
      <c r="Q404" s="13"/>
      <c r="R404" s="13"/>
      <c r="S404" s="14"/>
      <c r="T404" s="14"/>
      <c r="U404" s="14"/>
      <c r="V404" s="14"/>
      <c r="W404" s="14"/>
      <c r="X404" s="14"/>
      <c r="Y404" s="14"/>
      <c r="Z404" s="13"/>
      <c r="AA404" s="13"/>
      <c r="AB404" s="13"/>
      <c r="AC404" s="13"/>
      <c r="AD404" s="13"/>
      <c r="AE404" s="14"/>
      <c r="AF404" s="14"/>
      <c r="AG404" s="14"/>
      <c r="AH404" s="14"/>
      <c r="AI404" s="14"/>
      <c r="AJ404" s="14"/>
      <c r="AK404" s="14"/>
    </row>
    <row r="405" spans="1:37">
      <c r="A405" s="23"/>
      <c r="B405" s="13"/>
      <c r="C405" s="13"/>
      <c r="D405" s="13"/>
      <c r="E405" s="13"/>
      <c r="F405" s="13"/>
      <c r="G405" s="14"/>
      <c r="H405" s="14"/>
      <c r="I405" s="14"/>
      <c r="J405" s="14"/>
      <c r="K405" s="14"/>
      <c r="L405" s="14"/>
      <c r="M405" s="14"/>
      <c r="N405" s="13"/>
      <c r="O405" s="13"/>
      <c r="P405" s="13"/>
      <c r="Q405" s="13"/>
      <c r="R405" s="13"/>
      <c r="S405" s="14"/>
      <c r="T405" s="14"/>
      <c r="U405" s="14"/>
      <c r="V405" s="14"/>
      <c r="W405" s="14"/>
      <c r="X405" s="14"/>
      <c r="Y405" s="14"/>
      <c r="Z405" s="13"/>
      <c r="AA405" s="13"/>
      <c r="AB405" s="13"/>
      <c r="AC405" s="13"/>
      <c r="AD405" s="13"/>
      <c r="AE405" s="14"/>
      <c r="AF405" s="14"/>
      <c r="AG405" s="14"/>
      <c r="AH405" s="14"/>
      <c r="AI405" s="14"/>
      <c r="AJ405" s="14"/>
      <c r="AK405" s="14"/>
    </row>
    <row r="406" spans="1:37">
      <c r="A406" s="23"/>
      <c r="B406" s="13"/>
      <c r="C406" s="13"/>
      <c r="D406" s="13"/>
      <c r="E406" s="13"/>
      <c r="F406" s="13"/>
      <c r="G406" s="14"/>
      <c r="H406" s="14"/>
      <c r="I406" s="14"/>
      <c r="J406" s="14"/>
      <c r="K406" s="14"/>
      <c r="L406" s="14"/>
      <c r="M406" s="14"/>
      <c r="N406" s="13"/>
      <c r="O406" s="13"/>
      <c r="P406" s="13"/>
      <c r="Q406" s="13"/>
      <c r="R406" s="13"/>
      <c r="S406" s="14"/>
      <c r="T406" s="14"/>
      <c r="U406" s="14"/>
      <c r="V406" s="14"/>
      <c r="W406" s="14"/>
      <c r="X406" s="14"/>
      <c r="Y406" s="14"/>
      <c r="Z406" s="13"/>
      <c r="AA406" s="13"/>
      <c r="AB406" s="13"/>
      <c r="AC406" s="13"/>
      <c r="AD406" s="13"/>
      <c r="AE406" s="14"/>
      <c r="AF406" s="14"/>
      <c r="AG406" s="14"/>
      <c r="AH406" s="14"/>
      <c r="AI406" s="14"/>
      <c r="AJ406" s="14"/>
      <c r="AK406" s="14"/>
    </row>
    <row r="407" spans="1:37">
      <c r="A407" s="23"/>
      <c r="B407" s="13"/>
      <c r="C407" s="13"/>
      <c r="D407" s="13"/>
      <c r="E407" s="13"/>
      <c r="F407" s="13"/>
      <c r="G407" s="14"/>
      <c r="H407" s="14"/>
      <c r="I407" s="14"/>
      <c r="J407" s="14"/>
      <c r="K407" s="14"/>
      <c r="L407" s="14"/>
      <c r="M407" s="14"/>
      <c r="N407" s="13"/>
      <c r="O407" s="13"/>
      <c r="P407" s="13"/>
      <c r="Q407" s="13"/>
      <c r="R407" s="13"/>
      <c r="S407" s="14"/>
      <c r="T407" s="14"/>
      <c r="U407" s="14"/>
      <c r="V407" s="14"/>
      <c r="W407" s="14"/>
      <c r="X407" s="14"/>
      <c r="Y407" s="14"/>
      <c r="Z407" s="13"/>
      <c r="AA407" s="13"/>
      <c r="AB407" s="13"/>
      <c r="AC407" s="13"/>
      <c r="AD407" s="13"/>
      <c r="AE407" s="14"/>
      <c r="AF407" s="14"/>
      <c r="AG407" s="14"/>
      <c r="AH407" s="14"/>
      <c r="AI407" s="14"/>
      <c r="AJ407" s="14"/>
      <c r="AK407" s="14"/>
    </row>
    <row r="408" spans="1:37">
      <c r="A408" s="23"/>
      <c r="B408" s="13"/>
      <c r="C408" s="13"/>
      <c r="D408" s="13"/>
      <c r="E408" s="13"/>
      <c r="F408" s="13"/>
      <c r="G408" s="14"/>
      <c r="H408" s="14"/>
      <c r="I408" s="14"/>
      <c r="J408" s="14"/>
      <c r="K408" s="14"/>
      <c r="L408" s="14"/>
      <c r="M408" s="14"/>
      <c r="N408" s="13"/>
      <c r="O408" s="13"/>
      <c r="P408" s="13"/>
      <c r="Q408" s="13"/>
      <c r="R408" s="13"/>
      <c r="S408" s="14"/>
      <c r="T408" s="14"/>
      <c r="U408" s="14"/>
      <c r="V408" s="14"/>
      <c r="W408" s="14"/>
      <c r="X408" s="14"/>
      <c r="Y408" s="14"/>
      <c r="Z408" s="13"/>
      <c r="AA408" s="13"/>
      <c r="AB408" s="13"/>
      <c r="AC408" s="13"/>
      <c r="AD408" s="13"/>
      <c r="AE408" s="14"/>
      <c r="AF408" s="14"/>
      <c r="AG408" s="14"/>
      <c r="AH408" s="14"/>
      <c r="AI408" s="14"/>
      <c r="AJ408" s="14"/>
      <c r="AK408" s="14"/>
    </row>
    <row r="409" spans="1:37">
      <c r="A409" s="23"/>
      <c r="B409" s="13"/>
      <c r="C409" s="13"/>
      <c r="D409" s="13"/>
      <c r="E409" s="13"/>
      <c r="F409" s="13"/>
      <c r="G409" s="14"/>
      <c r="H409" s="14"/>
      <c r="I409" s="14"/>
      <c r="J409" s="14"/>
      <c r="K409" s="14"/>
      <c r="L409" s="14"/>
      <c r="M409" s="14"/>
      <c r="N409" s="13"/>
      <c r="O409" s="13"/>
      <c r="P409" s="13"/>
      <c r="Q409" s="13"/>
      <c r="R409" s="13"/>
      <c r="S409" s="14"/>
      <c r="T409" s="14"/>
      <c r="U409" s="14"/>
      <c r="V409" s="14"/>
      <c r="W409" s="14"/>
      <c r="X409" s="14"/>
      <c r="Y409" s="14"/>
      <c r="Z409" s="13"/>
      <c r="AA409" s="13"/>
      <c r="AB409" s="13"/>
      <c r="AC409" s="13"/>
      <c r="AD409" s="13"/>
      <c r="AE409" s="14"/>
      <c r="AF409" s="14"/>
      <c r="AG409" s="14"/>
      <c r="AH409" s="14"/>
      <c r="AI409" s="14"/>
      <c r="AJ409" s="14"/>
      <c r="AK409" s="14"/>
    </row>
    <row r="410" spans="1:37">
      <c r="A410" s="23"/>
      <c r="B410" s="13"/>
      <c r="C410" s="13"/>
      <c r="D410" s="13"/>
      <c r="E410" s="13"/>
      <c r="F410" s="13"/>
      <c r="G410" s="14"/>
      <c r="H410" s="14"/>
      <c r="I410" s="14"/>
      <c r="J410" s="14"/>
      <c r="K410" s="14"/>
      <c r="L410" s="14"/>
      <c r="M410" s="14"/>
      <c r="N410" s="13"/>
      <c r="O410" s="13"/>
      <c r="P410" s="13"/>
      <c r="Q410" s="13"/>
      <c r="R410" s="13"/>
      <c r="S410" s="14"/>
      <c r="T410" s="14"/>
      <c r="U410" s="14"/>
      <c r="V410" s="14"/>
      <c r="W410" s="14"/>
      <c r="X410" s="14"/>
      <c r="Y410" s="14"/>
      <c r="Z410" s="13"/>
      <c r="AA410" s="13"/>
      <c r="AB410" s="13"/>
      <c r="AC410" s="13"/>
      <c r="AD410" s="13"/>
      <c r="AE410" s="14"/>
      <c r="AF410" s="14"/>
      <c r="AG410" s="14"/>
      <c r="AH410" s="14"/>
      <c r="AI410" s="14"/>
      <c r="AJ410" s="14"/>
      <c r="AK410" s="14"/>
    </row>
    <row r="411" spans="1:37">
      <c r="A411" s="23"/>
      <c r="B411" s="13"/>
      <c r="C411" s="13"/>
      <c r="D411" s="13"/>
      <c r="E411" s="13"/>
      <c r="F411" s="13"/>
      <c r="G411" s="14"/>
      <c r="H411" s="14"/>
      <c r="I411" s="14"/>
      <c r="J411" s="14"/>
      <c r="K411" s="14"/>
      <c r="L411" s="14"/>
      <c r="M411" s="14"/>
      <c r="N411" s="13"/>
      <c r="O411" s="13"/>
      <c r="P411" s="13"/>
      <c r="Q411" s="13"/>
      <c r="R411" s="13"/>
      <c r="S411" s="14"/>
      <c r="T411" s="14"/>
      <c r="U411" s="14"/>
      <c r="V411" s="14"/>
      <c r="W411" s="14"/>
      <c r="X411" s="14"/>
      <c r="Y411" s="14"/>
      <c r="Z411" s="13"/>
      <c r="AA411" s="13"/>
      <c r="AB411" s="13"/>
      <c r="AC411" s="13"/>
      <c r="AD411" s="13"/>
      <c r="AE411" s="14"/>
      <c r="AF411" s="14"/>
      <c r="AG411" s="14"/>
      <c r="AH411" s="14"/>
      <c r="AI411" s="14"/>
      <c r="AJ411" s="14"/>
      <c r="AK411" s="14"/>
    </row>
    <row r="412" spans="1:37">
      <c r="A412" s="23"/>
      <c r="B412" s="13"/>
      <c r="C412" s="13"/>
      <c r="D412" s="13"/>
      <c r="E412" s="13"/>
      <c r="F412" s="13"/>
      <c r="G412" s="14"/>
      <c r="H412" s="14"/>
      <c r="I412" s="14"/>
      <c r="J412" s="14"/>
      <c r="K412" s="14"/>
      <c r="L412" s="14"/>
      <c r="M412" s="14"/>
      <c r="N412" s="13"/>
      <c r="O412" s="13"/>
      <c r="P412" s="13"/>
      <c r="Q412" s="13"/>
      <c r="R412" s="13"/>
      <c r="S412" s="14"/>
      <c r="T412" s="14"/>
      <c r="U412" s="14"/>
      <c r="V412" s="14"/>
      <c r="W412" s="14"/>
      <c r="X412" s="14"/>
      <c r="Y412" s="14"/>
      <c r="Z412" s="13"/>
      <c r="AA412" s="13"/>
      <c r="AB412" s="13"/>
      <c r="AC412" s="13"/>
      <c r="AD412" s="13"/>
      <c r="AE412" s="14"/>
      <c r="AF412" s="14"/>
      <c r="AG412" s="14"/>
      <c r="AH412" s="14"/>
      <c r="AI412" s="14"/>
      <c r="AJ412" s="14"/>
      <c r="AK412" s="14"/>
    </row>
    <row r="413" spans="1:37">
      <c r="A413" s="23"/>
      <c r="B413" s="13"/>
      <c r="C413" s="13"/>
      <c r="D413" s="13"/>
      <c r="E413" s="13"/>
      <c r="F413" s="13"/>
      <c r="G413" s="14"/>
      <c r="H413" s="14"/>
      <c r="I413" s="14"/>
      <c r="J413" s="14"/>
      <c r="K413" s="14"/>
      <c r="L413" s="14"/>
      <c r="M413" s="14"/>
      <c r="N413" s="13"/>
      <c r="O413" s="13"/>
      <c r="P413" s="13"/>
      <c r="Q413" s="13"/>
      <c r="R413" s="13"/>
      <c r="S413" s="14"/>
      <c r="T413" s="14"/>
      <c r="U413" s="14"/>
      <c r="V413" s="14"/>
      <c r="W413" s="14"/>
      <c r="X413" s="14"/>
      <c r="Y413" s="14"/>
      <c r="Z413" s="13"/>
      <c r="AA413" s="13"/>
      <c r="AB413" s="13"/>
      <c r="AC413" s="13"/>
      <c r="AD413" s="13"/>
      <c r="AE413" s="14"/>
      <c r="AF413" s="14"/>
      <c r="AG413" s="14"/>
      <c r="AH413" s="14"/>
      <c r="AI413" s="14"/>
      <c r="AJ413" s="14"/>
      <c r="AK413" s="14"/>
    </row>
    <row r="414" spans="1:37">
      <c r="A414" s="23"/>
      <c r="B414" s="13"/>
      <c r="C414" s="13"/>
      <c r="D414" s="13"/>
      <c r="E414" s="13"/>
      <c r="F414" s="13"/>
      <c r="G414" s="14"/>
      <c r="H414" s="14"/>
      <c r="I414" s="14"/>
      <c r="J414" s="14"/>
      <c r="K414" s="14"/>
      <c r="L414" s="14"/>
      <c r="M414" s="14"/>
      <c r="N414" s="13"/>
      <c r="O414" s="13"/>
      <c r="P414" s="13"/>
      <c r="Q414" s="13"/>
      <c r="R414" s="13"/>
      <c r="S414" s="14"/>
      <c r="T414" s="14"/>
      <c r="U414" s="14"/>
      <c r="V414" s="14"/>
      <c r="W414" s="14"/>
      <c r="X414" s="14"/>
      <c r="Y414" s="14"/>
      <c r="Z414" s="13"/>
      <c r="AA414" s="13"/>
      <c r="AB414" s="13"/>
      <c r="AC414" s="13"/>
      <c r="AD414" s="13"/>
      <c r="AE414" s="14"/>
      <c r="AF414" s="14"/>
      <c r="AG414" s="14"/>
      <c r="AH414" s="14"/>
      <c r="AI414" s="14"/>
      <c r="AJ414" s="14"/>
      <c r="AK414" s="14"/>
    </row>
    <row r="415" spans="1:37">
      <c r="A415" s="23"/>
      <c r="B415" s="13"/>
      <c r="C415" s="13"/>
      <c r="D415" s="13"/>
      <c r="E415" s="13"/>
      <c r="F415" s="13"/>
      <c r="G415" s="14"/>
      <c r="H415" s="14"/>
      <c r="I415" s="14"/>
      <c r="J415" s="14"/>
      <c r="K415" s="14"/>
      <c r="L415" s="14"/>
      <c r="M415" s="14"/>
      <c r="N415" s="13"/>
      <c r="O415" s="13"/>
      <c r="P415" s="13"/>
      <c r="Q415" s="13"/>
      <c r="R415" s="13"/>
      <c r="S415" s="14"/>
      <c r="T415" s="14"/>
      <c r="U415" s="14"/>
      <c r="V415" s="14"/>
      <c r="W415" s="14"/>
      <c r="X415" s="14"/>
      <c r="Y415" s="14"/>
      <c r="Z415" s="13"/>
      <c r="AA415" s="13"/>
      <c r="AB415" s="13"/>
      <c r="AC415" s="13"/>
      <c r="AD415" s="13"/>
      <c r="AE415" s="14"/>
      <c r="AF415" s="14"/>
      <c r="AG415" s="14"/>
      <c r="AH415" s="14"/>
      <c r="AI415" s="14"/>
      <c r="AJ415" s="14"/>
      <c r="AK415" s="14"/>
    </row>
    <row r="416" spans="1:37">
      <c r="A416" s="23"/>
      <c r="B416" s="13"/>
      <c r="C416" s="13"/>
      <c r="D416" s="13"/>
      <c r="E416" s="13"/>
      <c r="F416" s="13"/>
      <c r="G416" s="14"/>
      <c r="H416" s="14"/>
      <c r="I416" s="14"/>
      <c r="J416" s="14"/>
      <c r="K416" s="14"/>
      <c r="L416" s="14"/>
      <c r="M416" s="14"/>
      <c r="N416" s="13"/>
      <c r="O416" s="13"/>
      <c r="P416" s="13"/>
      <c r="Q416" s="13"/>
      <c r="R416" s="13"/>
      <c r="S416" s="14"/>
      <c r="T416" s="14"/>
      <c r="U416" s="14"/>
      <c r="V416" s="14"/>
      <c r="W416" s="14"/>
      <c r="X416" s="14"/>
      <c r="Y416" s="14"/>
      <c r="Z416" s="13"/>
      <c r="AA416" s="13"/>
      <c r="AB416" s="13"/>
      <c r="AC416" s="13"/>
      <c r="AD416" s="13"/>
      <c r="AE416" s="14"/>
      <c r="AF416" s="14"/>
      <c r="AG416" s="14"/>
      <c r="AH416" s="14"/>
      <c r="AI416" s="14"/>
      <c r="AJ416" s="14"/>
      <c r="AK416" s="14"/>
    </row>
    <row r="417" spans="1:37">
      <c r="A417" s="23"/>
      <c r="B417" s="13"/>
      <c r="C417" s="13"/>
      <c r="D417" s="13"/>
      <c r="E417" s="13"/>
      <c r="F417" s="13"/>
      <c r="G417" s="14"/>
      <c r="H417" s="14"/>
      <c r="I417" s="14"/>
      <c r="J417" s="14"/>
      <c r="K417" s="14"/>
      <c r="L417" s="14"/>
      <c r="M417" s="14"/>
      <c r="N417" s="13"/>
      <c r="O417" s="13"/>
      <c r="P417" s="13"/>
      <c r="Q417" s="13"/>
      <c r="R417" s="13"/>
      <c r="S417" s="14"/>
      <c r="T417" s="14"/>
      <c r="U417" s="14"/>
      <c r="V417" s="14"/>
      <c r="W417" s="14"/>
      <c r="X417" s="14"/>
      <c r="Y417" s="14"/>
      <c r="Z417" s="13"/>
      <c r="AA417" s="13"/>
      <c r="AB417" s="13"/>
      <c r="AC417" s="13"/>
      <c r="AD417" s="13"/>
      <c r="AE417" s="14"/>
      <c r="AF417" s="14"/>
      <c r="AG417" s="14"/>
      <c r="AH417" s="14"/>
      <c r="AI417" s="14"/>
      <c r="AJ417" s="14"/>
      <c r="AK417" s="14"/>
    </row>
    <row r="418" spans="1:37">
      <c r="A418" s="23"/>
      <c r="B418" s="13"/>
      <c r="C418" s="13"/>
      <c r="D418" s="13"/>
      <c r="E418" s="13"/>
      <c r="F418" s="13"/>
      <c r="G418" s="14"/>
      <c r="H418" s="14"/>
      <c r="I418" s="14"/>
      <c r="J418" s="14"/>
      <c r="K418" s="14"/>
      <c r="L418" s="14"/>
      <c r="M418" s="14"/>
      <c r="N418" s="13"/>
      <c r="O418" s="13"/>
      <c r="P418" s="13"/>
      <c r="Q418" s="13"/>
      <c r="R418" s="13"/>
      <c r="S418" s="14"/>
      <c r="T418" s="14"/>
      <c r="U418" s="14"/>
      <c r="V418" s="14"/>
      <c r="W418" s="14"/>
      <c r="X418" s="14"/>
      <c r="Y418" s="14"/>
      <c r="Z418" s="13"/>
      <c r="AA418" s="13"/>
      <c r="AB418" s="13"/>
      <c r="AC418" s="13"/>
      <c r="AD418" s="13"/>
      <c r="AE418" s="14"/>
      <c r="AF418" s="14"/>
      <c r="AG418" s="14"/>
      <c r="AH418" s="14"/>
      <c r="AI418" s="14"/>
      <c r="AJ418" s="14"/>
      <c r="AK418" s="14"/>
    </row>
    <row r="419" spans="1:37">
      <c r="A419" s="23"/>
      <c r="B419" s="13"/>
      <c r="C419" s="13"/>
      <c r="D419" s="13"/>
      <c r="E419" s="13"/>
      <c r="F419" s="13"/>
      <c r="G419" s="14"/>
      <c r="H419" s="14"/>
      <c r="I419" s="14"/>
      <c r="J419" s="14"/>
      <c r="K419" s="14"/>
      <c r="L419" s="14"/>
      <c r="M419" s="14"/>
      <c r="N419" s="13"/>
      <c r="O419" s="13"/>
      <c r="P419" s="13"/>
      <c r="Q419" s="13"/>
      <c r="R419" s="13"/>
      <c r="S419" s="14"/>
      <c r="T419" s="14"/>
      <c r="U419" s="14"/>
      <c r="V419" s="14"/>
      <c r="W419" s="14"/>
      <c r="X419" s="14"/>
      <c r="Y419" s="14"/>
      <c r="Z419" s="13"/>
      <c r="AA419" s="13"/>
      <c r="AB419" s="13"/>
      <c r="AC419" s="13"/>
      <c r="AD419" s="13"/>
      <c r="AE419" s="14"/>
      <c r="AF419" s="14"/>
      <c r="AG419" s="14"/>
      <c r="AH419" s="14"/>
      <c r="AI419" s="14"/>
      <c r="AJ419" s="14"/>
      <c r="AK419" s="14"/>
    </row>
    <row r="420" spans="1:37">
      <c r="A420" s="23"/>
      <c r="B420" s="13"/>
      <c r="C420" s="13"/>
      <c r="D420" s="13"/>
      <c r="E420" s="13"/>
      <c r="F420" s="13"/>
      <c r="G420" s="14"/>
      <c r="H420" s="14"/>
      <c r="I420" s="14"/>
      <c r="J420" s="14"/>
      <c r="K420" s="14"/>
      <c r="L420" s="14"/>
      <c r="M420" s="14"/>
      <c r="N420" s="13"/>
      <c r="O420" s="13"/>
      <c r="P420" s="13"/>
      <c r="Q420" s="13"/>
      <c r="R420" s="13"/>
      <c r="S420" s="14"/>
      <c r="T420" s="14"/>
      <c r="U420" s="14"/>
      <c r="V420" s="14"/>
      <c r="W420" s="14"/>
      <c r="X420" s="14"/>
      <c r="Y420" s="14"/>
      <c r="Z420" s="13"/>
      <c r="AA420" s="13"/>
      <c r="AB420" s="13"/>
      <c r="AC420" s="13"/>
      <c r="AD420" s="13"/>
      <c r="AE420" s="14"/>
      <c r="AF420" s="14"/>
      <c r="AG420" s="14"/>
      <c r="AH420" s="14"/>
      <c r="AI420" s="14"/>
      <c r="AJ420" s="14"/>
      <c r="AK420" s="14"/>
    </row>
    <row r="421" spans="1:37">
      <c r="A421" s="23"/>
      <c r="B421" s="13"/>
      <c r="C421" s="13"/>
      <c r="D421" s="13"/>
      <c r="E421" s="13"/>
      <c r="F421" s="13"/>
      <c r="G421" s="14"/>
      <c r="H421" s="14"/>
      <c r="I421" s="14"/>
      <c r="J421" s="14"/>
      <c r="K421" s="14"/>
      <c r="L421" s="14"/>
      <c r="M421" s="14"/>
      <c r="N421" s="13"/>
      <c r="O421" s="13"/>
      <c r="P421" s="13"/>
      <c r="Q421" s="13"/>
      <c r="R421" s="13"/>
      <c r="S421" s="14"/>
      <c r="T421" s="14"/>
      <c r="U421" s="14"/>
      <c r="V421" s="14"/>
      <c r="W421" s="14"/>
      <c r="X421" s="14"/>
      <c r="Y421" s="14"/>
      <c r="Z421" s="13"/>
      <c r="AA421" s="13"/>
      <c r="AB421" s="13"/>
      <c r="AC421" s="13"/>
      <c r="AD421" s="13"/>
      <c r="AE421" s="14"/>
      <c r="AF421" s="14"/>
      <c r="AG421" s="14"/>
      <c r="AH421" s="14"/>
      <c r="AI421" s="14"/>
      <c r="AJ421" s="14"/>
      <c r="AK421" s="14"/>
    </row>
    <row r="422" spans="1:37">
      <c r="A422" s="23"/>
      <c r="B422" s="13"/>
      <c r="C422" s="13"/>
      <c r="D422" s="13"/>
      <c r="E422" s="13"/>
      <c r="F422" s="13"/>
      <c r="G422" s="14"/>
      <c r="H422" s="14"/>
      <c r="I422" s="14"/>
      <c r="J422" s="14"/>
      <c r="K422" s="14"/>
      <c r="L422" s="14"/>
      <c r="M422" s="14"/>
      <c r="N422" s="13"/>
      <c r="O422" s="13"/>
      <c r="P422" s="13"/>
      <c r="Q422" s="13"/>
      <c r="R422" s="13"/>
      <c r="S422" s="14"/>
      <c r="T422" s="14"/>
      <c r="U422" s="14"/>
      <c r="V422" s="14"/>
      <c r="W422" s="14"/>
      <c r="X422" s="14"/>
      <c r="Y422" s="14"/>
      <c r="Z422" s="13"/>
      <c r="AA422" s="13"/>
      <c r="AB422" s="13"/>
      <c r="AC422" s="13"/>
      <c r="AD422" s="13"/>
      <c r="AE422" s="14"/>
      <c r="AF422" s="14"/>
      <c r="AG422" s="14"/>
      <c r="AH422" s="14"/>
      <c r="AI422" s="14"/>
      <c r="AJ422" s="14"/>
      <c r="AK422" s="14"/>
    </row>
    <row r="423" spans="1:37">
      <c r="A423" s="23"/>
      <c r="B423" s="13"/>
      <c r="C423" s="13"/>
      <c r="D423" s="13"/>
      <c r="E423" s="13"/>
      <c r="F423" s="13"/>
      <c r="G423" s="14"/>
      <c r="H423" s="14"/>
      <c r="I423" s="14"/>
      <c r="J423" s="14"/>
      <c r="K423" s="14"/>
      <c r="L423" s="14"/>
      <c r="M423" s="14"/>
      <c r="N423" s="13"/>
      <c r="O423" s="13"/>
      <c r="P423" s="13"/>
      <c r="Q423" s="13"/>
      <c r="R423" s="13"/>
      <c r="S423" s="14"/>
      <c r="T423" s="14"/>
      <c r="U423" s="14"/>
      <c r="V423" s="14"/>
      <c r="W423" s="14"/>
      <c r="X423" s="14"/>
      <c r="Y423" s="14"/>
      <c r="Z423" s="13"/>
      <c r="AA423" s="13"/>
      <c r="AB423" s="13"/>
      <c r="AC423" s="13"/>
      <c r="AD423" s="13"/>
      <c r="AE423" s="14"/>
      <c r="AF423" s="14"/>
      <c r="AG423" s="14"/>
      <c r="AH423" s="14"/>
      <c r="AI423" s="14"/>
      <c r="AJ423" s="14"/>
      <c r="AK423" s="14"/>
    </row>
    <row r="424" spans="1:37">
      <c r="A424" s="23"/>
      <c r="B424" s="13"/>
      <c r="C424" s="13"/>
      <c r="D424" s="13"/>
      <c r="E424" s="13"/>
      <c r="F424" s="13"/>
      <c r="G424" s="14"/>
      <c r="H424" s="14"/>
      <c r="I424" s="14"/>
      <c r="J424" s="14"/>
      <c r="K424" s="14"/>
      <c r="L424" s="14"/>
      <c r="M424" s="14"/>
      <c r="N424" s="13"/>
      <c r="O424" s="13"/>
      <c r="P424" s="13"/>
      <c r="Q424" s="13"/>
      <c r="R424" s="13"/>
      <c r="S424" s="14"/>
      <c r="T424" s="14"/>
      <c r="U424" s="14"/>
      <c r="V424" s="14"/>
      <c r="W424" s="14"/>
      <c r="X424" s="14"/>
      <c r="Y424" s="14"/>
      <c r="Z424" s="13"/>
      <c r="AA424" s="13"/>
      <c r="AB424" s="13"/>
      <c r="AC424" s="13"/>
      <c r="AD424" s="13"/>
      <c r="AE424" s="14"/>
      <c r="AF424" s="14"/>
      <c r="AG424" s="14"/>
      <c r="AH424" s="14"/>
      <c r="AI424" s="14"/>
      <c r="AJ424" s="14"/>
      <c r="AK424" s="14"/>
    </row>
    <row r="425" spans="1:37">
      <c r="A425" s="23"/>
      <c r="B425" s="13"/>
      <c r="C425" s="13"/>
      <c r="D425" s="13"/>
      <c r="E425" s="13"/>
      <c r="F425" s="13"/>
      <c r="G425" s="14"/>
      <c r="H425" s="14"/>
      <c r="I425" s="14"/>
      <c r="J425" s="14"/>
      <c r="K425" s="14"/>
      <c r="L425" s="14"/>
      <c r="M425" s="14"/>
      <c r="N425" s="13"/>
      <c r="O425" s="13"/>
      <c r="P425" s="13"/>
      <c r="Q425" s="13"/>
      <c r="R425" s="13"/>
      <c r="S425" s="14"/>
      <c r="T425" s="14"/>
      <c r="U425" s="14"/>
      <c r="V425" s="14"/>
      <c r="W425" s="14"/>
      <c r="X425" s="14"/>
      <c r="Y425" s="14"/>
      <c r="Z425" s="13"/>
      <c r="AA425" s="13"/>
      <c r="AB425" s="13"/>
      <c r="AC425" s="13"/>
      <c r="AD425" s="13"/>
      <c r="AE425" s="14"/>
      <c r="AF425" s="14"/>
      <c r="AG425" s="14"/>
      <c r="AH425" s="14"/>
      <c r="AI425" s="14"/>
      <c r="AJ425" s="14"/>
      <c r="AK425" s="14"/>
    </row>
    <row r="426" spans="1:37">
      <c r="A426" s="23"/>
      <c r="B426" s="13"/>
      <c r="C426" s="13"/>
      <c r="D426" s="13"/>
      <c r="E426" s="13"/>
      <c r="F426" s="13"/>
      <c r="G426" s="14"/>
      <c r="H426" s="14"/>
      <c r="I426" s="14"/>
      <c r="J426" s="14"/>
      <c r="K426" s="14"/>
      <c r="L426" s="14"/>
      <c r="M426" s="14"/>
      <c r="N426" s="13"/>
      <c r="O426" s="13"/>
      <c r="P426" s="13"/>
      <c r="Q426" s="13"/>
      <c r="R426" s="13"/>
      <c r="S426" s="14"/>
      <c r="T426" s="14"/>
      <c r="U426" s="14"/>
      <c r="V426" s="14"/>
      <c r="W426" s="14"/>
      <c r="X426" s="14"/>
      <c r="Y426" s="14"/>
      <c r="Z426" s="13"/>
      <c r="AA426" s="13"/>
      <c r="AB426" s="13"/>
      <c r="AC426" s="13"/>
      <c r="AD426" s="13"/>
      <c r="AE426" s="14"/>
      <c r="AF426" s="14"/>
      <c r="AG426" s="14"/>
      <c r="AH426" s="14"/>
      <c r="AI426" s="14"/>
      <c r="AJ426" s="14"/>
      <c r="AK426" s="14"/>
    </row>
    <row r="427" spans="1:37">
      <c r="A427" s="23"/>
      <c r="B427" s="13"/>
      <c r="C427" s="13"/>
      <c r="D427" s="13"/>
      <c r="E427" s="13"/>
      <c r="F427" s="13"/>
      <c r="G427" s="14"/>
      <c r="H427" s="14"/>
      <c r="I427" s="14"/>
      <c r="J427" s="14"/>
      <c r="K427" s="14"/>
      <c r="L427" s="14"/>
      <c r="M427" s="14"/>
      <c r="N427" s="13"/>
      <c r="O427" s="13"/>
      <c r="P427" s="13"/>
      <c r="Q427" s="13"/>
      <c r="R427" s="13"/>
      <c r="S427" s="14"/>
      <c r="T427" s="14"/>
      <c r="U427" s="14"/>
      <c r="V427" s="14"/>
      <c r="W427" s="14"/>
      <c r="X427" s="14"/>
      <c r="Y427" s="14"/>
      <c r="Z427" s="13"/>
      <c r="AA427" s="13"/>
      <c r="AB427" s="13"/>
      <c r="AC427" s="13"/>
      <c r="AD427" s="13"/>
      <c r="AE427" s="14"/>
      <c r="AF427" s="14"/>
      <c r="AG427" s="14"/>
      <c r="AH427" s="14"/>
      <c r="AI427" s="14"/>
      <c r="AJ427" s="14"/>
      <c r="AK427" s="14"/>
    </row>
    <row r="428" spans="1:37">
      <c r="A428" s="23"/>
      <c r="B428" s="13"/>
      <c r="C428" s="13"/>
      <c r="D428" s="13"/>
      <c r="E428" s="13"/>
      <c r="F428" s="13"/>
      <c r="G428" s="14"/>
      <c r="H428" s="14"/>
      <c r="I428" s="14"/>
      <c r="J428" s="14"/>
      <c r="K428" s="14"/>
      <c r="L428" s="14"/>
      <c r="M428" s="14"/>
      <c r="N428" s="13"/>
      <c r="O428" s="13"/>
      <c r="P428" s="13"/>
      <c r="Q428" s="13"/>
      <c r="R428" s="13"/>
      <c r="S428" s="14"/>
      <c r="T428" s="14"/>
      <c r="U428" s="14"/>
      <c r="V428" s="14"/>
      <c r="W428" s="14"/>
      <c r="X428" s="14"/>
      <c r="Y428" s="14"/>
      <c r="Z428" s="13"/>
      <c r="AA428" s="13"/>
      <c r="AB428" s="13"/>
      <c r="AC428" s="13"/>
      <c r="AD428" s="13"/>
      <c r="AE428" s="14"/>
      <c r="AF428" s="14"/>
      <c r="AG428" s="14"/>
      <c r="AH428" s="14"/>
      <c r="AI428" s="14"/>
      <c r="AJ428" s="14"/>
      <c r="AK428" s="14"/>
    </row>
    <row r="429" spans="1:37">
      <c r="A429" s="23"/>
      <c r="B429" s="13"/>
      <c r="C429" s="13"/>
      <c r="D429" s="13"/>
      <c r="E429" s="13"/>
      <c r="F429" s="13"/>
      <c r="G429" s="14"/>
      <c r="H429" s="14"/>
      <c r="I429" s="14"/>
      <c r="J429" s="14"/>
      <c r="K429" s="14"/>
      <c r="L429" s="14"/>
      <c r="M429" s="14"/>
      <c r="N429" s="13"/>
      <c r="O429" s="13"/>
      <c r="P429" s="13"/>
      <c r="Q429" s="13"/>
      <c r="R429" s="13"/>
      <c r="S429" s="14"/>
      <c r="T429" s="14"/>
      <c r="U429" s="14"/>
      <c r="V429" s="14"/>
      <c r="W429" s="14"/>
      <c r="X429" s="14"/>
      <c r="Y429" s="14"/>
      <c r="Z429" s="13"/>
      <c r="AA429" s="13"/>
      <c r="AB429" s="13"/>
      <c r="AC429" s="13"/>
      <c r="AD429" s="13"/>
      <c r="AE429" s="14"/>
      <c r="AF429" s="14"/>
      <c r="AG429" s="14"/>
      <c r="AH429" s="14"/>
      <c r="AI429" s="14"/>
      <c r="AJ429" s="14"/>
      <c r="AK429" s="14"/>
    </row>
    <row r="430" spans="1:37">
      <c r="A430" s="23"/>
      <c r="B430" s="13"/>
      <c r="C430" s="13"/>
      <c r="D430" s="13"/>
      <c r="E430" s="13"/>
      <c r="F430" s="13"/>
      <c r="G430" s="14"/>
      <c r="H430" s="14"/>
      <c r="I430" s="14"/>
      <c r="J430" s="14"/>
      <c r="K430" s="14"/>
      <c r="L430" s="14"/>
      <c r="M430" s="14"/>
      <c r="N430" s="13"/>
      <c r="O430" s="13"/>
      <c r="P430" s="13"/>
      <c r="Q430" s="13"/>
      <c r="R430" s="13"/>
      <c r="S430" s="14"/>
      <c r="T430" s="14"/>
      <c r="U430" s="14"/>
      <c r="V430" s="14"/>
      <c r="W430" s="14"/>
      <c r="X430" s="14"/>
      <c r="Y430" s="14"/>
      <c r="Z430" s="13"/>
      <c r="AA430" s="13"/>
      <c r="AB430" s="13"/>
      <c r="AC430" s="13"/>
      <c r="AD430" s="13"/>
      <c r="AE430" s="14"/>
      <c r="AF430" s="14"/>
      <c r="AG430" s="14"/>
      <c r="AH430" s="14"/>
      <c r="AI430" s="14"/>
      <c r="AJ430" s="14"/>
      <c r="AK430" s="14"/>
    </row>
    <row r="431" spans="1:37">
      <c r="A431" s="23"/>
      <c r="B431" s="13"/>
      <c r="C431" s="13"/>
      <c r="D431" s="13"/>
      <c r="E431" s="13"/>
      <c r="F431" s="13"/>
      <c r="G431" s="14"/>
      <c r="H431" s="14"/>
      <c r="I431" s="14"/>
      <c r="J431" s="14"/>
      <c r="K431" s="14"/>
      <c r="L431" s="14"/>
      <c r="M431" s="14"/>
      <c r="N431" s="13"/>
      <c r="O431" s="13"/>
      <c r="P431" s="13"/>
      <c r="Q431" s="13"/>
      <c r="R431" s="13"/>
      <c r="S431" s="14"/>
      <c r="T431" s="14"/>
      <c r="U431" s="14"/>
      <c r="V431" s="14"/>
      <c r="W431" s="14"/>
      <c r="X431" s="14"/>
      <c r="Y431" s="14"/>
      <c r="Z431" s="13"/>
      <c r="AA431" s="13"/>
      <c r="AB431" s="13"/>
      <c r="AC431" s="13"/>
      <c r="AD431" s="13"/>
      <c r="AE431" s="14"/>
      <c r="AF431" s="14"/>
      <c r="AG431" s="14"/>
      <c r="AH431" s="14"/>
      <c r="AI431" s="14"/>
      <c r="AJ431" s="14"/>
      <c r="AK431" s="14"/>
    </row>
    <row r="432" spans="1:37">
      <c r="A432" s="23"/>
      <c r="B432" s="13"/>
      <c r="C432" s="13"/>
      <c r="D432" s="13"/>
      <c r="E432" s="13"/>
      <c r="F432" s="13"/>
      <c r="G432" s="14"/>
      <c r="H432" s="14"/>
      <c r="I432" s="14"/>
      <c r="J432" s="14"/>
      <c r="K432" s="14"/>
      <c r="L432" s="14"/>
      <c r="M432" s="14"/>
      <c r="N432" s="13"/>
      <c r="O432" s="13"/>
      <c r="P432" s="13"/>
      <c r="Q432" s="13"/>
      <c r="R432" s="13"/>
      <c r="S432" s="14"/>
      <c r="T432" s="14"/>
      <c r="U432" s="14"/>
      <c r="V432" s="14"/>
      <c r="W432" s="14"/>
      <c r="X432" s="14"/>
      <c r="Y432" s="14"/>
      <c r="Z432" s="13"/>
      <c r="AA432" s="13"/>
      <c r="AB432" s="13"/>
      <c r="AC432" s="13"/>
      <c r="AD432" s="13"/>
      <c r="AE432" s="14"/>
      <c r="AF432" s="14"/>
      <c r="AG432" s="14"/>
      <c r="AH432" s="14"/>
      <c r="AI432" s="14"/>
      <c r="AJ432" s="14"/>
      <c r="AK432" s="14"/>
    </row>
    <row r="433" spans="1:37">
      <c r="A433" s="23"/>
      <c r="B433" s="13"/>
      <c r="C433" s="13"/>
      <c r="D433" s="13"/>
      <c r="E433" s="13"/>
      <c r="F433" s="13"/>
      <c r="G433" s="14"/>
      <c r="H433" s="14"/>
      <c r="I433" s="14"/>
      <c r="J433" s="14"/>
      <c r="K433" s="14"/>
      <c r="L433" s="14"/>
      <c r="M433" s="14"/>
      <c r="N433" s="13"/>
      <c r="O433" s="13"/>
      <c r="P433" s="13"/>
      <c r="Q433" s="13"/>
      <c r="R433" s="13"/>
      <c r="S433" s="14"/>
      <c r="T433" s="14"/>
      <c r="U433" s="14"/>
      <c r="V433" s="14"/>
      <c r="W433" s="14"/>
      <c r="X433" s="14"/>
      <c r="Y433" s="14"/>
      <c r="Z433" s="13"/>
      <c r="AA433" s="13"/>
      <c r="AB433" s="13"/>
      <c r="AC433" s="13"/>
      <c r="AD433" s="13"/>
      <c r="AE433" s="14"/>
      <c r="AF433" s="14"/>
      <c r="AG433" s="14"/>
      <c r="AH433" s="14"/>
      <c r="AI433" s="14"/>
      <c r="AJ433" s="14"/>
      <c r="AK433" s="14"/>
    </row>
    <row r="434" spans="1:37">
      <c r="A434" s="23"/>
      <c r="B434" s="13"/>
      <c r="C434" s="13"/>
      <c r="D434" s="13"/>
      <c r="E434" s="13"/>
      <c r="F434" s="13"/>
      <c r="G434" s="14"/>
      <c r="H434" s="14"/>
      <c r="I434" s="14"/>
      <c r="J434" s="14"/>
      <c r="K434" s="14"/>
      <c r="L434" s="14"/>
      <c r="M434" s="14"/>
      <c r="N434" s="13"/>
      <c r="O434" s="13"/>
      <c r="P434" s="13"/>
      <c r="Q434" s="13"/>
      <c r="R434" s="13"/>
      <c r="S434" s="14"/>
      <c r="T434" s="14"/>
      <c r="U434" s="14"/>
      <c r="V434" s="14"/>
      <c r="W434" s="14"/>
      <c r="X434" s="14"/>
      <c r="Y434" s="14"/>
      <c r="Z434" s="13"/>
      <c r="AA434" s="13"/>
      <c r="AB434" s="13"/>
      <c r="AC434" s="13"/>
      <c r="AD434" s="13"/>
      <c r="AE434" s="14"/>
      <c r="AF434" s="14"/>
      <c r="AG434" s="14"/>
      <c r="AH434" s="14"/>
      <c r="AI434" s="14"/>
      <c r="AJ434" s="14"/>
      <c r="AK434" s="14"/>
    </row>
    <row r="435" spans="1:37">
      <c r="A435" s="23"/>
      <c r="B435" s="13"/>
      <c r="C435" s="13"/>
      <c r="D435" s="13"/>
      <c r="E435" s="13"/>
      <c r="F435" s="13"/>
      <c r="G435" s="14"/>
      <c r="H435" s="14"/>
      <c r="I435" s="14"/>
      <c r="J435" s="14"/>
      <c r="K435" s="14"/>
      <c r="L435" s="14"/>
      <c r="M435" s="14"/>
      <c r="N435" s="13"/>
      <c r="O435" s="13"/>
      <c r="P435" s="13"/>
      <c r="Q435" s="13"/>
      <c r="R435" s="13"/>
      <c r="S435" s="14"/>
      <c r="T435" s="14"/>
      <c r="U435" s="14"/>
      <c r="V435" s="14"/>
      <c r="W435" s="14"/>
      <c r="X435" s="14"/>
      <c r="Y435" s="14"/>
      <c r="Z435" s="13"/>
      <c r="AA435" s="13"/>
      <c r="AB435" s="13"/>
      <c r="AC435" s="13"/>
      <c r="AD435" s="13"/>
      <c r="AE435" s="14"/>
      <c r="AF435" s="14"/>
      <c r="AG435" s="14"/>
      <c r="AH435" s="14"/>
      <c r="AI435" s="14"/>
      <c r="AJ435" s="14"/>
      <c r="AK435" s="14"/>
    </row>
    <row r="436" spans="1:37">
      <c r="A436" s="23"/>
      <c r="B436" s="13"/>
      <c r="C436" s="13"/>
      <c r="D436" s="13"/>
      <c r="E436" s="13"/>
      <c r="F436" s="13"/>
      <c r="G436" s="14"/>
      <c r="H436" s="14"/>
      <c r="I436" s="14"/>
      <c r="J436" s="14"/>
      <c r="K436" s="14"/>
      <c r="L436" s="14"/>
      <c r="M436" s="14"/>
      <c r="N436" s="13"/>
      <c r="O436" s="13"/>
      <c r="P436" s="13"/>
      <c r="Q436" s="13"/>
      <c r="R436" s="13"/>
      <c r="S436" s="14"/>
      <c r="T436" s="14"/>
      <c r="U436" s="14"/>
      <c r="V436" s="14"/>
      <c r="W436" s="14"/>
      <c r="X436" s="14"/>
      <c r="Y436" s="14"/>
      <c r="Z436" s="13"/>
      <c r="AA436" s="13"/>
      <c r="AB436" s="13"/>
      <c r="AC436" s="13"/>
      <c r="AD436" s="13"/>
      <c r="AE436" s="14"/>
      <c r="AF436" s="14"/>
      <c r="AG436" s="14"/>
      <c r="AH436" s="14"/>
      <c r="AI436" s="14"/>
      <c r="AJ436" s="14"/>
      <c r="AK436" s="14"/>
    </row>
    <row r="437" spans="1:37">
      <c r="A437" s="23"/>
      <c r="B437" s="13"/>
      <c r="C437" s="13"/>
      <c r="D437" s="13"/>
      <c r="E437" s="13"/>
      <c r="F437" s="13"/>
      <c r="G437" s="14"/>
      <c r="H437" s="14"/>
      <c r="I437" s="14"/>
      <c r="J437" s="14"/>
      <c r="K437" s="14"/>
      <c r="L437" s="14"/>
      <c r="M437" s="14"/>
      <c r="N437" s="13"/>
      <c r="O437" s="13"/>
      <c r="P437" s="13"/>
      <c r="Q437" s="13"/>
      <c r="R437" s="13"/>
      <c r="S437" s="14"/>
      <c r="T437" s="14"/>
      <c r="U437" s="14"/>
      <c r="V437" s="14"/>
      <c r="W437" s="14"/>
      <c r="X437" s="14"/>
      <c r="Y437" s="14"/>
      <c r="Z437" s="13"/>
      <c r="AA437" s="13"/>
      <c r="AB437" s="13"/>
      <c r="AC437" s="13"/>
      <c r="AD437" s="13"/>
      <c r="AE437" s="14"/>
      <c r="AF437" s="14"/>
      <c r="AG437" s="14"/>
      <c r="AH437" s="14"/>
      <c r="AI437" s="14"/>
      <c r="AJ437" s="14"/>
      <c r="AK437" s="14"/>
    </row>
    <row r="438" spans="1:37">
      <c r="A438" s="23"/>
      <c r="B438" s="13"/>
      <c r="C438" s="13"/>
      <c r="D438" s="13"/>
      <c r="E438" s="13"/>
      <c r="F438" s="13"/>
      <c r="G438" s="14"/>
      <c r="H438" s="14"/>
      <c r="I438" s="14"/>
      <c r="J438" s="14"/>
      <c r="K438" s="14"/>
      <c r="L438" s="14"/>
      <c r="M438" s="14"/>
      <c r="N438" s="13"/>
      <c r="O438" s="13"/>
      <c r="P438" s="13"/>
      <c r="Q438" s="13"/>
      <c r="R438" s="13"/>
      <c r="S438" s="14"/>
      <c r="T438" s="14"/>
      <c r="U438" s="14"/>
      <c r="V438" s="14"/>
      <c r="W438" s="14"/>
      <c r="X438" s="14"/>
      <c r="Y438" s="14"/>
      <c r="Z438" s="13"/>
      <c r="AA438" s="13"/>
      <c r="AB438" s="13"/>
      <c r="AC438" s="13"/>
      <c r="AD438" s="13"/>
      <c r="AE438" s="14"/>
      <c r="AF438" s="14"/>
      <c r="AG438" s="14"/>
      <c r="AH438" s="14"/>
      <c r="AI438" s="14"/>
      <c r="AJ438" s="14"/>
      <c r="AK438" s="14"/>
    </row>
    <row r="439" spans="1:37">
      <c r="A439" s="23"/>
      <c r="B439" s="13"/>
      <c r="C439" s="13"/>
      <c r="D439" s="13"/>
      <c r="E439" s="13"/>
      <c r="F439" s="13"/>
      <c r="G439" s="14"/>
      <c r="H439" s="14"/>
      <c r="I439" s="14"/>
      <c r="J439" s="14"/>
      <c r="K439" s="14"/>
      <c r="L439" s="14"/>
      <c r="M439" s="14"/>
      <c r="N439" s="13"/>
      <c r="O439" s="13"/>
      <c r="P439" s="13"/>
      <c r="Q439" s="13"/>
      <c r="R439" s="13"/>
      <c r="S439" s="14"/>
      <c r="T439" s="14"/>
      <c r="U439" s="14"/>
      <c r="V439" s="14"/>
      <c r="W439" s="14"/>
      <c r="X439" s="14"/>
      <c r="Y439" s="14"/>
      <c r="Z439" s="13"/>
      <c r="AA439" s="13"/>
      <c r="AB439" s="13"/>
      <c r="AC439" s="13"/>
      <c r="AD439" s="13"/>
      <c r="AE439" s="14"/>
      <c r="AF439" s="14"/>
      <c r="AG439" s="14"/>
      <c r="AH439" s="14"/>
      <c r="AI439" s="14"/>
      <c r="AJ439" s="14"/>
      <c r="AK439" s="14"/>
    </row>
    <row r="440" spans="1:37">
      <c r="A440" s="23"/>
      <c r="B440" s="13"/>
      <c r="C440" s="13"/>
      <c r="D440" s="13"/>
      <c r="E440" s="13"/>
      <c r="F440" s="13"/>
      <c r="G440" s="14"/>
      <c r="H440" s="14"/>
      <c r="I440" s="14"/>
      <c r="J440" s="14"/>
      <c r="K440" s="14"/>
      <c r="L440" s="14"/>
      <c r="M440" s="14"/>
      <c r="N440" s="13"/>
      <c r="O440" s="13"/>
      <c r="P440" s="13"/>
      <c r="Q440" s="13"/>
      <c r="R440" s="13"/>
      <c r="S440" s="14"/>
      <c r="T440" s="14"/>
      <c r="U440" s="14"/>
      <c r="V440" s="14"/>
      <c r="W440" s="14"/>
      <c r="X440" s="14"/>
      <c r="Y440" s="14"/>
      <c r="Z440" s="13"/>
      <c r="AA440" s="13"/>
      <c r="AB440" s="13"/>
      <c r="AC440" s="13"/>
      <c r="AD440" s="13"/>
      <c r="AE440" s="14"/>
      <c r="AF440" s="14"/>
      <c r="AG440" s="14"/>
      <c r="AH440" s="14"/>
      <c r="AI440" s="14"/>
      <c r="AJ440" s="14"/>
      <c r="AK440" s="14"/>
    </row>
    <row r="441" spans="1:37">
      <c r="A441" s="23"/>
      <c r="B441" s="13"/>
      <c r="C441" s="13"/>
      <c r="D441" s="13"/>
      <c r="E441" s="13"/>
      <c r="F441" s="13"/>
      <c r="G441" s="14"/>
      <c r="H441" s="14"/>
      <c r="I441" s="14"/>
      <c r="J441" s="14"/>
      <c r="K441" s="14"/>
      <c r="L441" s="14"/>
      <c r="M441" s="14"/>
      <c r="N441" s="13"/>
      <c r="O441" s="13"/>
      <c r="P441" s="13"/>
      <c r="Q441" s="13"/>
      <c r="R441" s="13"/>
      <c r="S441" s="14"/>
      <c r="T441" s="14"/>
      <c r="U441" s="14"/>
      <c r="V441" s="14"/>
      <c r="W441" s="14"/>
      <c r="X441" s="14"/>
      <c r="Y441" s="14"/>
      <c r="Z441" s="13"/>
      <c r="AA441" s="13"/>
      <c r="AB441" s="13"/>
      <c r="AC441" s="13"/>
      <c r="AD441" s="13"/>
      <c r="AE441" s="14"/>
      <c r="AF441" s="14"/>
      <c r="AG441" s="14"/>
      <c r="AH441" s="14"/>
      <c r="AI441" s="14"/>
      <c r="AJ441" s="14"/>
      <c r="AK441" s="14"/>
    </row>
    <row r="442" spans="1:37">
      <c r="A442" s="23"/>
      <c r="B442" s="13"/>
      <c r="C442" s="13"/>
      <c r="D442" s="13"/>
      <c r="E442" s="13"/>
      <c r="F442" s="13"/>
      <c r="G442" s="14"/>
      <c r="H442" s="14"/>
      <c r="I442" s="14"/>
      <c r="J442" s="14"/>
      <c r="K442" s="14"/>
      <c r="L442" s="14"/>
      <c r="M442" s="14"/>
      <c r="N442" s="13"/>
      <c r="O442" s="13"/>
      <c r="P442" s="13"/>
      <c r="Q442" s="13"/>
      <c r="R442" s="13"/>
      <c r="S442" s="14"/>
      <c r="T442" s="14"/>
      <c r="U442" s="14"/>
      <c r="V442" s="14"/>
      <c r="W442" s="14"/>
      <c r="X442" s="14"/>
      <c r="Y442" s="14"/>
      <c r="Z442" s="13"/>
      <c r="AA442" s="13"/>
      <c r="AB442" s="13"/>
      <c r="AC442" s="13"/>
      <c r="AD442" s="13"/>
      <c r="AE442" s="14"/>
      <c r="AF442" s="14"/>
      <c r="AG442" s="14"/>
      <c r="AH442" s="14"/>
      <c r="AI442" s="14"/>
      <c r="AJ442" s="14"/>
      <c r="AK442" s="14"/>
    </row>
    <row r="443" spans="1:37">
      <c r="A443" s="23"/>
      <c r="B443" s="13"/>
      <c r="C443" s="13"/>
      <c r="D443" s="13"/>
      <c r="E443" s="13"/>
      <c r="F443" s="13"/>
      <c r="G443" s="14"/>
      <c r="H443" s="14"/>
      <c r="I443" s="14"/>
      <c r="J443" s="14"/>
      <c r="K443" s="14"/>
      <c r="L443" s="14"/>
      <c r="M443" s="14"/>
      <c r="N443" s="13"/>
      <c r="O443" s="13"/>
      <c r="P443" s="13"/>
      <c r="Q443" s="13"/>
      <c r="R443" s="13"/>
      <c r="S443" s="14"/>
      <c r="T443" s="14"/>
      <c r="U443" s="14"/>
      <c r="V443" s="14"/>
      <c r="W443" s="14"/>
      <c r="X443" s="14"/>
      <c r="Y443" s="14"/>
      <c r="Z443" s="13"/>
      <c r="AA443" s="13"/>
      <c r="AB443" s="13"/>
      <c r="AC443" s="13"/>
      <c r="AD443" s="13"/>
      <c r="AE443" s="14"/>
      <c r="AF443" s="14"/>
      <c r="AG443" s="14"/>
      <c r="AH443" s="14"/>
      <c r="AI443" s="14"/>
      <c r="AJ443" s="14"/>
      <c r="AK443" s="14"/>
    </row>
    <row r="444" spans="1:37">
      <c r="A444" s="23"/>
      <c r="B444" s="13"/>
      <c r="C444" s="13"/>
      <c r="D444" s="13"/>
      <c r="E444" s="13"/>
      <c r="F444" s="13"/>
      <c r="G444" s="14"/>
      <c r="H444" s="14"/>
      <c r="I444" s="14"/>
      <c r="J444" s="14"/>
      <c r="K444" s="14"/>
      <c r="L444" s="14"/>
      <c r="M444" s="14"/>
      <c r="N444" s="13"/>
      <c r="O444" s="13"/>
      <c r="P444" s="13"/>
      <c r="Q444" s="13"/>
      <c r="R444" s="13"/>
      <c r="S444" s="14"/>
      <c r="T444" s="14"/>
      <c r="U444" s="14"/>
      <c r="V444" s="14"/>
      <c r="W444" s="14"/>
      <c r="X444" s="14"/>
      <c r="Y444" s="14"/>
      <c r="Z444" s="13"/>
      <c r="AA444" s="13"/>
      <c r="AB444" s="13"/>
      <c r="AC444" s="13"/>
      <c r="AD444" s="13"/>
      <c r="AE444" s="14"/>
      <c r="AF444" s="14"/>
      <c r="AG444" s="14"/>
      <c r="AH444" s="14"/>
      <c r="AI444" s="14"/>
      <c r="AJ444" s="14"/>
      <c r="AK444" s="14"/>
    </row>
    <row r="445" spans="1:37">
      <c r="A445" s="23"/>
      <c r="B445" s="13"/>
      <c r="C445" s="13"/>
      <c r="D445" s="13"/>
      <c r="E445" s="13"/>
      <c r="F445" s="13"/>
      <c r="G445" s="14"/>
      <c r="H445" s="14"/>
      <c r="I445" s="14"/>
      <c r="J445" s="14"/>
      <c r="K445" s="14"/>
      <c r="L445" s="14"/>
      <c r="M445" s="14"/>
      <c r="N445" s="13"/>
      <c r="O445" s="13"/>
      <c r="P445" s="13"/>
      <c r="Q445" s="13"/>
      <c r="R445" s="13"/>
      <c r="S445" s="14"/>
      <c r="T445" s="14"/>
      <c r="U445" s="14"/>
      <c r="V445" s="14"/>
      <c r="W445" s="14"/>
      <c r="X445" s="14"/>
      <c r="Y445" s="14"/>
      <c r="Z445" s="13"/>
      <c r="AA445" s="13"/>
      <c r="AB445" s="13"/>
      <c r="AC445" s="13"/>
      <c r="AD445" s="13"/>
      <c r="AE445" s="14"/>
      <c r="AF445" s="14"/>
      <c r="AG445" s="14"/>
      <c r="AH445" s="14"/>
      <c r="AI445" s="14"/>
      <c r="AJ445" s="14"/>
      <c r="AK445" s="14"/>
    </row>
    <row r="446" spans="1:37">
      <c r="A446" s="23"/>
      <c r="B446" s="13"/>
      <c r="C446" s="13"/>
      <c r="D446" s="13"/>
      <c r="E446" s="13"/>
      <c r="F446" s="13"/>
      <c r="G446" s="14"/>
      <c r="H446" s="14"/>
      <c r="I446" s="14"/>
      <c r="J446" s="14"/>
      <c r="K446" s="14"/>
      <c r="L446" s="14"/>
      <c r="M446" s="14"/>
      <c r="N446" s="13"/>
      <c r="O446" s="13"/>
      <c r="P446" s="13"/>
      <c r="Q446" s="13"/>
      <c r="R446" s="13"/>
      <c r="S446" s="14"/>
      <c r="T446" s="14"/>
      <c r="U446" s="14"/>
      <c r="V446" s="14"/>
      <c r="W446" s="14"/>
      <c r="X446" s="14"/>
      <c r="Y446" s="14"/>
      <c r="Z446" s="13"/>
      <c r="AA446" s="13"/>
      <c r="AB446" s="13"/>
      <c r="AC446" s="13"/>
      <c r="AD446" s="13"/>
      <c r="AE446" s="14"/>
      <c r="AF446" s="14"/>
      <c r="AG446" s="14"/>
      <c r="AH446" s="14"/>
      <c r="AI446" s="14"/>
      <c r="AJ446" s="14"/>
      <c r="AK446" s="14"/>
    </row>
    <row r="447" spans="1:37">
      <c r="A447" s="23"/>
      <c r="B447" s="13"/>
      <c r="C447" s="13"/>
      <c r="D447" s="13"/>
      <c r="E447" s="13"/>
      <c r="F447" s="13"/>
      <c r="G447" s="14"/>
      <c r="H447" s="14"/>
      <c r="I447" s="14"/>
      <c r="J447" s="14"/>
      <c r="K447" s="14"/>
      <c r="L447" s="14"/>
      <c r="M447" s="14"/>
      <c r="N447" s="13"/>
      <c r="O447" s="13"/>
      <c r="P447" s="13"/>
      <c r="Q447" s="13"/>
      <c r="R447" s="13"/>
      <c r="S447" s="14"/>
      <c r="T447" s="14"/>
      <c r="U447" s="14"/>
      <c r="V447" s="14"/>
      <c r="W447" s="14"/>
      <c r="X447" s="14"/>
      <c r="Y447" s="14"/>
      <c r="Z447" s="13"/>
      <c r="AA447" s="13"/>
      <c r="AB447" s="13"/>
      <c r="AC447" s="13"/>
      <c r="AD447" s="13"/>
      <c r="AE447" s="14"/>
      <c r="AF447" s="14"/>
      <c r="AG447" s="14"/>
      <c r="AH447" s="14"/>
      <c r="AI447" s="14"/>
      <c r="AJ447" s="14"/>
      <c r="AK447" s="14"/>
    </row>
    <row r="448" spans="1:37">
      <c r="A448" s="23"/>
      <c r="B448" s="13"/>
      <c r="C448" s="13"/>
      <c r="D448" s="13"/>
      <c r="E448" s="13"/>
      <c r="F448" s="13"/>
      <c r="G448" s="14"/>
      <c r="H448" s="14"/>
      <c r="I448" s="14"/>
      <c r="J448" s="14"/>
      <c r="K448" s="14"/>
      <c r="L448" s="14"/>
      <c r="M448" s="14"/>
      <c r="N448" s="13"/>
      <c r="O448" s="13"/>
      <c r="P448" s="13"/>
      <c r="Q448" s="13"/>
      <c r="R448" s="13"/>
      <c r="S448" s="14"/>
      <c r="T448" s="14"/>
      <c r="U448" s="14"/>
      <c r="V448" s="14"/>
      <c r="W448" s="14"/>
      <c r="X448" s="14"/>
      <c r="Y448" s="14"/>
      <c r="Z448" s="13"/>
      <c r="AA448" s="13"/>
      <c r="AB448" s="13"/>
      <c r="AC448" s="13"/>
      <c r="AD448" s="13"/>
      <c r="AE448" s="14"/>
      <c r="AF448" s="14"/>
      <c r="AG448" s="14"/>
      <c r="AH448" s="14"/>
      <c r="AI448" s="14"/>
      <c r="AJ448" s="14"/>
      <c r="AK448" s="14"/>
    </row>
    <row r="449" spans="1:37">
      <c r="A449" s="23"/>
      <c r="B449" s="13"/>
      <c r="C449" s="13"/>
      <c r="D449" s="13"/>
      <c r="E449" s="13"/>
      <c r="F449" s="13"/>
      <c r="G449" s="14"/>
      <c r="H449" s="14"/>
      <c r="I449" s="14"/>
      <c r="J449" s="14"/>
      <c r="K449" s="14"/>
      <c r="L449" s="14"/>
      <c r="M449" s="14"/>
      <c r="N449" s="13"/>
      <c r="O449" s="13"/>
      <c r="P449" s="13"/>
      <c r="Q449" s="13"/>
      <c r="R449" s="13"/>
      <c r="S449" s="14"/>
      <c r="T449" s="14"/>
      <c r="U449" s="14"/>
      <c r="V449" s="14"/>
      <c r="W449" s="14"/>
      <c r="X449" s="14"/>
      <c r="Y449" s="14"/>
      <c r="Z449" s="13"/>
      <c r="AA449" s="13"/>
      <c r="AB449" s="13"/>
      <c r="AC449" s="13"/>
      <c r="AD449" s="13"/>
      <c r="AE449" s="14"/>
      <c r="AF449" s="14"/>
      <c r="AG449" s="14"/>
      <c r="AH449" s="14"/>
      <c r="AI449" s="14"/>
      <c r="AJ449" s="14"/>
      <c r="AK449" s="14"/>
    </row>
    <row r="450" spans="1:37">
      <c r="A450" s="23"/>
      <c r="B450" s="13"/>
      <c r="C450" s="13"/>
      <c r="D450" s="13"/>
      <c r="E450" s="13"/>
      <c r="F450" s="13"/>
      <c r="G450" s="14"/>
      <c r="H450" s="14"/>
      <c r="I450" s="14"/>
      <c r="J450" s="14"/>
      <c r="K450" s="14"/>
      <c r="L450" s="14"/>
      <c r="M450" s="14"/>
      <c r="N450" s="13"/>
      <c r="O450" s="13"/>
      <c r="P450" s="13"/>
      <c r="Q450" s="13"/>
      <c r="R450" s="13"/>
      <c r="S450" s="14"/>
      <c r="T450" s="14"/>
      <c r="U450" s="14"/>
      <c r="V450" s="14"/>
      <c r="W450" s="14"/>
      <c r="X450" s="14"/>
      <c r="Y450" s="14"/>
      <c r="Z450" s="13"/>
      <c r="AA450" s="13"/>
      <c r="AB450" s="13"/>
      <c r="AC450" s="13"/>
      <c r="AD450" s="13"/>
      <c r="AE450" s="14"/>
      <c r="AF450" s="14"/>
      <c r="AG450" s="14"/>
      <c r="AH450" s="14"/>
      <c r="AI450" s="14"/>
      <c r="AJ450" s="14"/>
      <c r="AK450" s="14"/>
    </row>
    <row r="451" spans="1:37">
      <c r="A451" s="23"/>
      <c r="B451" s="13"/>
      <c r="C451" s="13"/>
      <c r="D451" s="13"/>
      <c r="E451" s="13"/>
      <c r="F451" s="13"/>
      <c r="G451" s="14"/>
      <c r="H451" s="14"/>
      <c r="I451" s="14"/>
      <c r="J451" s="14"/>
      <c r="K451" s="14"/>
      <c r="L451" s="14"/>
      <c r="M451" s="14"/>
      <c r="N451" s="13"/>
      <c r="O451" s="13"/>
      <c r="P451" s="13"/>
      <c r="Q451" s="13"/>
      <c r="R451" s="13"/>
      <c r="S451" s="14"/>
      <c r="T451" s="14"/>
      <c r="U451" s="14"/>
      <c r="V451" s="14"/>
      <c r="W451" s="14"/>
      <c r="X451" s="14"/>
      <c r="Y451" s="14"/>
      <c r="Z451" s="13"/>
      <c r="AA451" s="13"/>
      <c r="AB451" s="13"/>
      <c r="AC451" s="13"/>
      <c r="AD451" s="13"/>
      <c r="AE451" s="14"/>
      <c r="AF451" s="14"/>
      <c r="AG451" s="14"/>
      <c r="AH451" s="14"/>
      <c r="AI451" s="14"/>
      <c r="AJ451" s="14"/>
      <c r="AK451" s="14"/>
    </row>
    <row r="452" spans="1:37">
      <c r="A452" s="23"/>
      <c r="B452" s="13"/>
      <c r="C452" s="13"/>
      <c r="D452" s="13"/>
      <c r="E452" s="13"/>
      <c r="F452" s="13"/>
      <c r="G452" s="14"/>
      <c r="H452" s="14"/>
      <c r="I452" s="14"/>
      <c r="J452" s="14"/>
      <c r="K452" s="14"/>
      <c r="L452" s="14"/>
      <c r="M452" s="14"/>
      <c r="N452" s="13"/>
      <c r="O452" s="13"/>
      <c r="P452" s="13"/>
      <c r="Q452" s="13"/>
      <c r="R452" s="13"/>
      <c r="S452" s="14"/>
      <c r="T452" s="14"/>
      <c r="U452" s="14"/>
      <c r="V452" s="14"/>
      <c r="W452" s="14"/>
      <c r="X452" s="14"/>
      <c r="Y452" s="14"/>
      <c r="Z452" s="13"/>
      <c r="AA452" s="13"/>
      <c r="AB452" s="13"/>
      <c r="AC452" s="13"/>
      <c r="AD452" s="13"/>
      <c r="AE452" s="14"/>
      <c r="AF452" s="14"/>
      <c r="AG452" s="14"/>
      <c r="AH452" s="14"/>
      <c r="AI452" s="14"/>
      <c r="AJ452" s="14"/>
      <c r="AK452" s="14"/>
    </row>
    <row r="453" spans="1:37">
      <c r="A453" s="23"/>
      <c r="B453" s="13"/>
      <c r="C453" s="13"/>
      <c r="D453" s="13"/>
      <c r="E453" s="13"/>
      <c r="F453" s="13"/>
      <c r="G453" s="14"/>
      <c r="H453" s="14"/>
      <c r="I453" s="14"/>
      <c r="J453" s="14"/>
      <c r="K453" s="14"/>
      <c r="L453" s="14"/>
      <c r="M453" s="14"/>
      <c r="N453" s="13"/>
      <c r="O453" s="13"/>
      <c r="P453" s="13"/>
      <c r="Q453" s="13"/>
      <c r="R453" s="13"/>
      <c r="S453" s="14"/>
      <c r="T453" s="14"/>
      <c r="U453" s="14"/>
      <c r="V453" s="14"/>
      <c r="W453" s="14"/>
      <c r="X453" s="14"/>
      <c r="Y453" s="14"/>
      <c r="Z453" s="13"/>
      <c r="AA453" s="13"/>
      <c r="AB453" s="13"/>
      <c r="AC453" s="13"/>
      <c r="AD453" s="13"/>
      <c r="AE453" s="14"/>
      <c r="AF453" s="14"/>
      <c r="AG453" s="14"/>
      <c r="AH453" s="14"/>
      <c r="AI453" s="14"/>
      <c r="AJ453" s="14"/>
      <c r="AK453" s="14"/>
    </row>
    <row r="454" spans="1:37">
      <c r="A454" s="23"/>
      <c r="B454" s="13"/>
      <c r="C454" s="13"/>
      <c r="D454" s="13"/>
      <c r="E454" s="13"/>
      <c r="F454" s="13"/>
      <c r="G454" s="14"/>
      <c r="H454" s="14"/>
      <c r="I454" s="14"/>
      <c r="J454" s="14"/>
      <c r="K454" s="14"/>
      <c r="L454" s="14"/>
      <c r="M454" s="14"/>
      <c r="N454" s="13"/>
      <c r="O454" s="13"/>
      <c r="P454" s="13"/>
      <c r="Q454" s="13"/>
      <c r="R454" s="13"/>
      <c r="S454" s="14"/>
      <c r="T454" s="14"/>
      <c r="U454" s="14"/>
      <c r="V454" s="14"/>
      <c r="W454" s="14"/>
      <c r="X454" s="14"/>
      <c r="Y454" s="14"/>
      <c r="Z454" s="13"/>
      <c r="AA454" s="13"/>
      <c r="AB454" s="13"/>
      <c r="AC454" s="13"/>
      <c r="AD454" s="13"/>
      <c r="AE454" s="14"/>
      <c r="AF454" s="14"/>
      <c r="AG454" s="14"/>
      <c r="AH454" s="14"/>
      <c r="AI454" s="14"/>
      <c r="AJ454" s="14"/>
      <c r="AK454" s="14"/>
    </row>
    <row r="455" spans="1:37">
      <c r="A455" s="23"/>
      <c r="B455" s="13"/>
      <c r="C455" s="13"/>
      <c r="D455" s="13"/>
      <c r="E455" s="13"/>
      <c r="F455" s="13"/>
      <c r="G455" s="14"/>
      <c r="H455" s="14"/>
      <c r="I455" s="14"/>
      <c r="J455" s="14"/>
      <c r="K455" s="14"/>
      <c r="L455" s="14"/>
      <c r="M455" s="14"/>
      <c r="N455" s="13"/>
      <c r="O455" s="13"/>
      <c r="P455" s="13"/>
      <c r="Q455" s="13"/>
      <c r="R455" s="13"/>
      <c r="S455" s="14"/>
      <c r="T455" s="14"/>
      <c r="U455" s="14"/>
      <c r="V455" s="14"/>
      <c r="W455" s="14"/>
      <c r="X455" s="14"/>
      <c r="Y455" s="14"/>
      <c r="Z455" s="13"/>
      <c r="AA455" s="13"/>
      <c r="AB455" s="13"/>
      <c r="AC455" s="13"/>
      <c r="AD455" s="13"/>
      <c r="AE455" s="14"/>
      <c r="AF455" s="14"/>
      <c r="AG455" s="14"/>
      <c r="AH455" s="14"/>
      <c r="AI455" s="14"/>
      <c r="AJ455" s="14"/>
      <c r="AK455" s="14"/>
    </row>
    <row r="456" spans="1:37">
      <c r="A456" s="23"/>
      <c r="B456" s="13"/>
      <c r="C456" s="13"/>
      <c r="D456" s="13"/>
      <c r="E456" s="13"/>
      <c r="F456" s="13"/>
      <c r="G456" s="14"/>
      <c r="H456" s="14"/>
      <c r="I456" s="14"/>
      <c r="J456" s="14"/>
      <c r="K456" s="14"/>
      <c r="L456" s="14"/>
      <c r="M456" s="14"/>
      <c r="N456" s="13"/>
      <c r="O456" s="13"/>
      <c r="P456" s="13"/>
      <c r="Q456" s="13"/>
      <c r="R456" s="13"/>
      <c r="S456" s="14"/>
      <c r="T456" s="14"/>
      <c r="U456" s="14"/>
      <c r="V456" s="14"/>
      <c r="W456" s="14"/>
      <c r="X456" s="14"/>
      <c r="Y456" s="14"/>
      <c r="Z456" s="13"/>
      <c r="AA456" s="13"/>
      <c r="AB456" s="13"/>
      <c r="AC456" s="13"/>
      <c r="AD456" s="13"/>
      <c r="AE456" s="14"/>
      <c r="AF456" s="14"/>
      <c r="AG456" s="14"/>
      <c r="AH456" s="14"/>
      <c r="AI456" s="14"/>
      <c r="AJ456" s="14"/>
      <c r="AK456" s="14"/>
    </row>
    <row r="457" spans="1:37">
      <c r="A457" s="23"/>
      <c r="B457" s="13"/>
      <c r="C457" s="13"/>
      <c r="D457" s="13"/>
      <c r="E457" s="13"/>
      <c r="F457" s="13"/>
      <c r="G457" s="14"/>
      <c r="H457" s="14"/>
      <c r="I457" s="14"/>
      <c r="J457" s="14"/>
      <c r="K457" s="14"/>
      <c r="L457" s="14"/>
      <c r="M457" s="14"/>
      <c r="N457" s="13"/>
      <c r="O457" s="13"/>
      <c r="P457" s="13"/>
      <c r="Q457" s="13"/>
      <c r="R457" s="13"/>
      <c r="S457" s="14"/>
      <c r="T457" s="14"/>
      <c r="U457" s="14"/>
      <c r="V457" s="14"/>
      <c r="W457" s="14"/>
      <c r="X457" s="14"/>
      <c r="Y457" s="14"/>
      <c r="Z457" s="13"/>
      <c r="AA457" s="13"/>
      <c r="AB457" s="13"/>
      <c r="AC457" s="13"/>
      <c r="AD457" s="13"/>
      <c r="AE457" s="14"/>
      <c r="AF457" s="14"/>
      <c r="AG457" s="14"/>
      <c r="AH457" s="14"/>
      <c r="AI457" s="14"/>
      <c r="AJ457" s="14"/>
      <c r="AK457" s="14"/>
    </row>
    <row r="458" spans="1:37">
      <c r="A458" s="23"/>
      <c r="B458" s="13"/>
      <c r="C458" s="13"/>
      <c r="D458" s="13"/>
      <c r="E458" s="13"/>
      <c r="F458" s="13"/>
      <c r="G458" s="14"/>
      <c r="H458" s="14"/>
      <c r="I458" s="14"/>
      <c r="J458" s="14"/>
      <c r="K458" s="14"/>
      <c r="L458" s="14"/>
      <c r="M458" s="14"/>
      <c r="N458" s="13"/>
      <c r="O458" s="13"/>
      <c r="P458" s="13"/>
      <c r="Q458" s="13"/>
      <c r="R458" s="13"/>
      <c r="S458" s="14"/>
      <c r="T458" s="14"/>
      <c r="U458" s="14"/>
      <c r="V458" s="14"/>
      <c r="W458" s="14"/>
      <c r="X458" s="14"/>
      <c r="Y458" s="14"/>
      <c r="Z458" s="13"/>
      <c r="AA458" s="13"/>
      <c r="AB458" s="13"/>
      <c r="AC458" s="13"/>
      <c r="AD458" s="13"/>
      <c r="AE458" s="14"/>
      <c r="AF458" s="14"/>
      <c r="AG458" s="14"/>
      <c r="AH458" s="14"/>
      <c r="AI458" s="14"/>
      <c r="AJ458" s="14"/>
      <c r="AK458" s="14"/>
    </row>
    <row r="459" spans="1:37">
      <c r="A459" s="23"/>
      <c r="B459" s="13"/>
      <c r="C459" s="13"/>
      <c r="D459" s="13"/>
      <c r="E459" s="13"/>
      <c r="F459" s="13"/>
      <c r="G459" s="14"/>
      <c r="H459" s="14"/>
      <c r="I459" s="14"/>
      <c r="J459" s="14"/>
      <c r="K459" s="14"/>
      <c r="L459" s="14"/>
      <c r="M459" s="14"/>
      <c r="N459" s="13"/>
      <c r="O459" s="13"/>
      <c r="P459" s="13"/>
      <c r="Q459" s="13"/>
      <c r="R459" s="13"/>
      <c r="S459" s="14"/>
      <c r="T459" s="14"/>
      <c r="U459" s="14"/>
      <c r="V459" s="14"/>
      <c r="W459" s="14"/>
      <c r="X459" s="14"/>
      <c r="Y459" s="14"/>
      <c r="Z459" s="13"/>
      <c r="AA459" s="13"/>
      <c r="AB459" s="13"/>
      <c r="AC459" s="13"/>
      <c r="AD459" s="13"/>
      <c r="AE459" s="14"/>
      <c r="AF459" s="14"/>
      <c r="AG459" s="14"/>
      <c r="AH459" s="14"/>
      <c r="AI459" s="14"/>
      <c r="AJ459" s="14"/>
      <c r="AK459" s="14"/>
    </row>
    <row r="460" spans="1:37">
      <c r="A460" s="23"/>
      <c r="B460" s="13"/>
      <c r="C460" s="13"/>
      <c r="D460" s="13"/>
      <c r="E460" s="13"/>
      <c r="F460" s="13"/>
      <c r="G460" s="14"/>
      <c r="H460" s="14"/>
      <c r="I460" s="14"/>
      <c r="J460" s="14"/>
      <c r="K460" s="14"/>
      <c r="L460" s="14"/>
      <c r="M460" s="14"/>
      <c r="N460" s="13"/>
      <c r="O460" s="13"/>
      <c r="P460" s="13"/>
      <c r="Q460" s="13"/>
      <c r="R460" s="13"/>
      <c r="S460" s="14"/>
      <c r="T460" s="14"/>
      <c r="U460" s="14"/>
      <c r="V460" s="14"/>
      <c r="W460" s="14"/>
      <c r="X460" s="14"/>
      <c r="Y460" s="14"/>
      <c r="Z460" s="13"/>
      <c r="AA460" s="13"/>
      <c r="AB460" s="13"/>
      <c r="AC460" s="13"/>
      <c r="AD460" s="13"/>
      <c r="AE460" s="14"/>
      <c r="AF460" s="14"/>
      <c r="AG460" s="14"/>
      <c r="AH460" s="14"/>
      <c r="AI460" s="14"/>
      <c r="AJ460" s="14"/>
      <c r="AK460" s="14"/>
    </row>
    <row r="461" spans="1:37">
      <c r="A461" s="23"/>
      <c r="B461" s="13"/>
      <c r="C461" s="13"/>
      <c r="D461" s="13"/>
      <c r="E461" s="13"/>
      <c r="F461" s="13"/>
      <c r="G461" s="14"/>
      <c r="H461" s="14"/>
      <c r="I461" s="14"/>
      <c r="J461" s="14"/>
      <c r="K461" s="14"/>
      <c r="L461" s="14"/>
      <c r="M461" s="14"/>
      <c r="N461" s="13"/>
      <c r="O461" s="13"/>
      <c r="P461" s="13"/>
      <c r="Q461" s="13"/>
      <c r="R461" s="13"/>
      <c r="S461" s="14"/>
      <c r="T461" s="14"/>
      <c r="U461" s="14"/>
      <c r="V461" s="14"/>
      <c r="W461" s="14"/>
      <c r="X461" s="14"/>
      <c r="Y461" s="14"/>
      <c r="Z461" s="13"/>
      <c r="AA461" s="13"/>
      <c r="AB461" s="13"/>
      <c r="AC461" s="13"/>
      <c r="AD461" s="13"/>
      <c r="AE461" s="14"/>
      <c r="AF461" s="14"/>
      <c r="AG461" s="14"/>
      <c r="AH461" s="14"/>
      <c r="AI461" s="14"/>
      <c r="AJ461" s="14"/>
      <c r="AK461" s="14"/>
    </row>
    <row r="462" spans="1:37">
      <c r="A462" s="23"/>
      <c r="B462" s="13"/>
      <c r="C462" s="13"/>
      <c r="D462" s="13"/>
      <c r="E462" s="13"/>
      <c r="F462" s="13"/>
      <c r="G462" s="14"/>
      <c r="H462" s="14"/>
      <c r="I462" s="14"/>
      <c r="J462" s="14"/>
      <c r="K462" s="14"/>
      <c r="L462" s="14"/>
      <c r="M462" s="14"/>
      <c r="N462" s="13"/>
      <c r="O462" s="13"/>
      <c r="P462" s="13"/>
      <c r="Q462" s="13"/>
      <c r="R462" s="13"/>
      <c r="S462" s="14"/>
      <c r="T462" s="14"/>
      <c r="U462" s="14"/>
      <c r="V462" s="14"/>
      <c r="W462" s="14"/>
      <c r="X462" s="14"/>
      <c r="Y462" s="14"/>
      <c r="Z462" s="13"/>
      <c r="AA462" s="13"/>
      <c r="AB462" s="13"/>
      <c r="AC462" s="13"/>
      <c r="AD462" s="13"/>
      <c r="AE462" s="14"/>
      <c r="AF462" s="14"/>
      <c r="AG462" s="14"/>
      <c r="AH462" s="14"/>
      <c r="AI462" s="14"/>
      <c r="AJ462" s="14"/>
      <c r="AK462" s="14"/>
    </row>
    <row r="463" spans="1:37">
      <c r="A463" s="23"/>
      <c r="B463" s="13"/>
      <c r="C463" s="13"/>
      <c r="D463" s="13"/>
      <c r="E463" s="13"/>
      <c r="F463" s="13"/>
      <c r="G463" s="14"/>
      <c r="H463" s="14"/>
      <c r="I463" s="14"/>
      <c r="J463" s="14"/>
      <c r="K463" s="14"/>
      <c r="L463" s="14"/>
      <c r="M463" s="14"/>
      <c r="N463" s="13"/>
      <c r="O463" s="13"/>
      <c r="P463" s="13"/>
      <c r="Q463" s="13"/>
      <c r="R463" s="13"/>
      <c r="S463" s="14"/>
      <c r="T463" s="14"/>
      <c r="U463" s="14"/>
      <c r="V463" s="14"/>
      <c r="W463" s="14"/>
      <c r="X463" s="14"/>
      <c r="Y463" s="14"/>
      <c r="Z463" s="13"/>
      <c r="AA463" s="13"/>
      <c r="AB463" s="13"/>
      <c r="AC463" s="13"/>
      <c r="AD463" s="13"/>
      <c r="AE463" s="14"/>
      <c r="AF463" s="14"/>
      <c r="AG463" s="14"/>
      <c r="AH463" s="14"/>
      <c r="AI463" s="14"/>
      <c r="AJ463" s="14"/>
      <c r="AK463" s="14"/>
    </row>
    <row r="464" spans="1:37">
      <c r="A464" s="23"/>
      <c r="B464" s="13"/>
      <c r="C464" s="13"/>
      <c r="D464" s="13"/>
      <c r="E464" s="13"/>
      <c r="F464" s="13"/>
      <c r="G464" s="14"/>
      <c r="H464" s="14"/>
      <c r="I464" s="14"/>
      <c r="J464" s="14"/>
      <c r="K464" s="14"/>
      <c r="L464" s="14"/>
      <c r="M464" s="14"/>
      <c r="N464" s="13"/>
      <c r="O464" s="13"/>
      <c r="P464" s="13"/>
      <c r="Q464" s="13"/>
      <c r="R464" s="13"/>
      <c r="S464" s="14"/>
      <c r="T464" s="14"/>
      <c r="U464" s="14"/>
      <c r="V464" s="14"/>
      <c r="W464" s="14"/>
      <c r="X464" s="14"/>
      <c r="Y464" s="14"/>
      <c r="Z464" s="13"/>
      <c r="AA464" s="13"/>
      <c r="AB464" s="13"/>
      <c r="AC464" s="13"/>
      <c r="AD464" s="13"/>
      <c r="AE464" s="14"/>
      <c r="AF464" s="14"/>
      <c r="AG464" s="14"/>
      <c r="AH464" s="14"/>
      <c r="AI464" s="14"/>
      <c r="AJ464" s="14"/>
      <c r="AK464" s="14"/>
    </row>
    <row r="465" spans="1:37">
      <c r="A465" s="23"/>
      <c r="B465" s="13"/>
      <c r="C465" s="13"/>
      <c r="D465" s="13"/>
      <c r="E465" s="13"/>
      <c r="F465" s="13"/>
      <c r="G465" s="14"/>
      <c r="H465" s="14"/>
      <c r="I465" s="14"/>
      <c r="J465" s="14"/>
      <c r="K465" s="14"/>
      <c r="L465" s="14"/>
      <c r="M465" s="14"/>
      <c r="N465" s="13"/>
      <c r="O465" s="13"/>
      <c r="P465" s="13"/>
      <c r="Q465" s="13"/>
      <c r="R465" s="13"/>
      <c r="S465" s="14"/>
      <c r="T465" s="14"/>
      <c r="U465" s="14"/>
      <c r="V465" s="14"/>
      <c r="W465" s="14"/>
      <c r="X465" s="14"/>
      <c r="Y465" s="14"/>
      <c r="Z465" s="13"/>
      <c r="AA465" s="13"/>
      <c r="AB465" s="13"/>
      <c r="AC465" s="13"/>
      <c r="AD465" s="13"/>
      <c r="AE465" s="14"/>
      <c r="AF465" s="14"/>
      <c r="AG465" s="14"/>
      <c r="AH465" s="14"/>
      <c r="AI465" s="14"/>
      <c r="AJ465" s="14"/>
      <c r="AK465" s="14"/>
    </row>
    <row r="466" spans="1:37">
      <c r="A466" s="23"/>
      <c r="B466" s="13"/>
      <c r="C466" s="13"/>
      <c r="D466" s="13"/>
      <c r="E466" s="13"/>
      <c r="F466" s="13"/>
      <c r="G466" s="14"/>
      <c r="H466" s="14"/>
      <c r="I466" s="14"/>
      <c r="J466" s="14"/>
      <c r="K466" s="14"/>
      <c r="L466" s="14"/>
      <c r="M466" s="14"/>
      <c r="N466" s="13"/>
      <c r="O466" s="13"/>
      <c r="P466" s="13"/>
      <c r="Q466" s="13"/>
      <c r="R466" s="13"/>
      <c r="S466" s="14"/>
      <c r="T466" s="14"/>
      <c r="U466" s="14"/>
      <c r="V466" s="14"/>
      <c r="W466" s="14"/>
      <c r="X466" s="14"/>
      <c r="Y466" s="14"/>
      <c r="Z466" s="13"/>
      <c r="AA466" s="13"/>
      <c r="AB466" s="13"/>
      <c r="AC466" s="13"/>
      <c r="AD466" s="13"/>
      <c r="AE466" s="14"/>
      <c r="AF466" s="14"/>
      <c r="AG466" s="14"/>
      <c r="AH466" s="14"/>
      <c r="AI466" s="14"/>
      <c r="AJ466" s="14"/>
      <c r="AK466" s="14"/>
    </row>
    <row r="467" spans="1:37">
      <c r="A467" s="23"/>
      <c r="B467" s="13"/>
      <c r="C467" s="13"/>
      <c r="D467" s="13"/>
      <c r="E467" s="13"/>
      <c r="F467" s="13"/>
      <c r="G467" s="14"/>
      <c r="H467" s="14"/>
      <c r="I467" s="14"/>
      <c r="J467" s="14"/>
      <c r="K467" s="14"/>
      <c r="L467" s="14"/>
      <c r="M467" s="14"/>
      <c r="N467" s="13"/>
      <c r="O467" s="13"/>
      <c r="P467" s="13"/>
      <c r="Q467" s="13"/>
      <c r="R467" s="13"/>
      <c r="S467" s="14"/>
      <c r="T467" s="14"/>
      <c r="U467" s="14"/>
      <c r="V467" s="14"/>
      <c r="W467" s="14"/>
      <c r="X467" s="14"/>
      <c r="Y467" s="14"/>
      <c r="Z467" s="13"/>
      <c r="AA467" s="13"/>
      <c r="AB467" s="13"/>
      <c r="AC467" s="13"/>
      <c r="AD467" s="13"/>
      <c r="AE467" s="14"/>
      <c r="AF467" s="14"/>
      <c r="AG467" s="14"/>
      <c r="AH467" s="14"/>
      <c r="AI467" s="14"/>
      <c r="AJ467" s="14"/>
      <c r="AK467" s="14"/>
    </row>
    <row r="468" spans="1:37">
      <c r="A468" s="23"/>
      <c r="B468" s="13"/>
      <c r="C468" s="13"/>
      <c r="D468" s="13"/>
      <c r="E468" s="13"/>
      <c r="F468" s="13"/>
      <c r="G468" s="14"/>
      <c r="H468" s="14"/>
      <c r="I468" s="14"/>
      <c r="J468" s="14"/>
      <c r="K468" s="14"/>
      <c r="L468" s="14"/>
      <c r="M468" s="14"/>
      <c r="N468" s="13"/>
      <c r="O468" s="13"/>
      <c r="P468" s="13"/>
      <c r="Q468" s="13"/>
      <c r="R468" s="13"/>
      <c r="S468" s="14"/>
      <c r="T468" s="14"/>
      <c r="U468" s="14"/>
      <c r="V468" s="14"/>
      <c r="W468" s="14"/>
      <c r="X468" s="14"/>
      <c r="Y468" s="14"/>
      <c r="Z468" s="13"/>
      <c r="AA468" s="13"/>
      <c r="AB468" s="13"/>
      <c r="AC468" s="13"/>
      <c r="AD468" s="13"/>
      <c r="AE468" s="14"/>
      <c r="AF468" s="14"/>
      <c r="AG468" s="14"/>
      <c r="AH468" s="14"/>
      <c r="AI468" s="14"/>
      <c r="AJ468" s="14"/>
      <c r="AK468" s="14"/>
    </row>
    <row r="469" spans="1:37">
      <c r="A469" s="23"/>
      <c r="B469" s="13"/>
      <c r="C469" s="13"/>
      <c r="D469" s="13"/>
      <c r="E469" s="13"/>
      <c r="F469" s="13"/>
      <c r="G469" s="14"/>
      <c r="H469" s="14"/>
      <c r="I469" s="14"/>
      <c r="J469" s="14"/>
      <c r="K469" s="14"/>
      <c r="L469" s="14"/>
      <c r="M469" s="14"/>
      <c r="N469" s="13"/>
      <c r="O469" s="13"/>
      <c r="P469" s="13"/>
      <c r="Q469" s="13"/>
      <c r="R469" s="13"/>
      <c r="S469" s="14"/>
      <c r="T469" s="14"/>
      <c r="U469" s="14"/>
      <c r="V469" s="14"/>
      <c r="W469" s="14"/>
      <c r="X469" s="14"/>
      <c r="Y469" s="14"/>
      <c r="Z469" s="13"/>
      <c r="AA469" s="13"/>
      <c r="AB469" s="13"/>
      <c r="AC469" s="13"/>
      <c r="AD469" s="13"/>
      <c r="AE469" s="14"/>
      <c r="AF469" s="14"/>
      <c r="AG469" s="14"/>
      <c r="AH469" s="14"/>
      <c r="AI469" s="14"/>
      <c r="AJ469" s="14"/>
      <c r="AK469" s="14"/>
    </row>
    <row r="470" spans="1:37">
      <c r="A470" s="23"/>
      <c r="B470" s="13"/>
      <c r="C470" s="13"/>
      <c r="D470" s="13"/>
      <c r="E470" s="13"/>
      <c r="F470" s="13"/>
      <c r="G470" s="14"/>
      <c r="H470" s="14"/>
      <c r="I470" s="14"/>
      <c r="J470" s="14"/>
      <c r="K470" s="14"/>
      <c r="L470" s="14"/>
      <c r="M470" s="14"/>
      <c r="N470" s="13"/>
      <c r="O470" s="13"/>
      <c r="P470" s="13"/>
      <c r="Q470" s="13"/>
      <c r="R470" s="13"/>
      <c r="S470" s="14"/>
      <c r="T470" s="14"/>
      <c r="U470" s="14"/>
      <c r="V470" s="14"/>
      <c r="W470" s="14"/>
      <c r="X470" s="14"/>
      <c r="Y470" s="14"/>
      <c r="Z470" s="13"/>
      <c r="AA470" s="13"/>
      <c r="AB470" s="13"/>
      <c r="AC470" s="13"/>
      <c r="AD470" s="13"/>
      <c r="AE470" s="14"/>
      <c r="AF470" s="14"/>
      <c r="AG470" s="14"/>
      <c r="AH470" s="14"/>
      <c r="AI470" s="14"/>
      <c r="AJ470" s="14"/>
      <c r="AK470" s="14"/>
    </row>
    <row r="471" spans="1:37">
      <c r="A471" s="23"/>
      <c r="B471" s="13"/>
      <c r="C471" s="13"/>
      <c r="D471" s="13"/>
      <c r="E471" s="13"/>
      <c r="F471" s="13"/>
      <c r="G471" s="14"/>
      <c r="H471" s="14"/>
      <c r="I471" s="14"/>
      <c r="J471" s="14"/>
      <c r="K471" s="14"/>
      <c r="L471" s="14"/>
      <c r="M471" s="14"/>
      <c r="N471" s="13"/>
      <c r="O471" s="13"/>
      <c r="P471" s="13"/>
      <c r="Q471" s="13"/>
      <c r="R471" s="13"/>
      <c r="S471" s="14"/>
      <c r="T471" s="14"/>
      <c r="U471" s="14"/>
      <c r="V471" s="14"/>
      <c r="W471" s="14"/>
      <c r="X471" s="14"/>
      <c r="Y471" s="14"/>
      <c r="Z471" s="13"/>
      <c r="AA471" s="13"/>
      <c r="AB471" s="13"/>
      <c r="AC471" s="13"/>
      <c r="AD471" s="13"/>
      <c r="AE471" s="14"/>
      <c r="AF471" s="14"/>
      <c r="AG471" s="14"/>
      <c r="AH471" s="14"/>
      <c r="AI471" s="14"/>
      <c r="AJ471" s="14"/>
      <c r="AK471" s="14"/>
    </row>
    <row r="472" spans="1:37">
      <c r="A472" s="23"/>
      <c r="B472" s="13"/>
      <c r="C472" s="13"/>
      <c r="D472" s="13"/>
      <c r="E472" s="13"/>
      <c r="F472" s="13"/>
      <c r="G472" s="14"/>
      <c r="H472" s="14"/>
      <c r="I472" s="14"/>
      <c r="J472" s="14"/>
      <c r="K472" s="14"/>
      <c r="L472" s="14"/>
      <c r="M472" s="14"/>
      <c r="N472" s="13"/>
      <c r="O472" s="13"/>
      <c r="P472" s="13"/>
      <c r="Q472" s="13"/>
      <c r="R472" s="13"/>
      <c r="S472" s="14"/>
      <c r="T472" s="14"/>
      <c r="U472" s="14"/>
      <c r="V472" s="14"/>
      <c r="W472" s="14"/>
      <c r="X472" s="14"/>
      <c r="Y472" s="14"/>
      <c r="Z472" s="13"/>
      <c r="AA472" s="13"/>
      <c r="AB472" s="13"/>
      <c r="AC472" s="13"/>
      <c r="AD472" s="13"/>
      <c r="AE472" s="14"/>
      <c r="AF472" s="14"/>
      <c r="AG472" s="14"/>
      <c r="AH472" s="14"/>
      <c r="AI472" s="14"/>
      <c r="AJ472" s="14"/>
      <c r="AK472" s="14"/>
    </row>
    <row r="473" spans="1:37">
      <c r="A473" s="23"/>
      <c r="B473" s="13"/>
      <c r="C473" s="13"/>
      <c r="D473" s="13"/>
      <c r="E473" s="13"/>
      <c r="F473" s="13"/>
      <c r="G473" s="14"/>
      <c r="H473" s="14"/>
      <c r="I473" s="14"/>
      <c r="J473" s="14"/>
      <c r="K473" s="14"/>
      <c r="L473" s="14"/>
      <c r="M473" s="14"/>
      <c r="N473" s="13"/>
      <c r="O473" s="13"/>
      <c r="P473" s="13"/>
      <c r="Q473" s="13"/>
      <c r="R473" s="13"/>
      <c r="S473" s="14"/>
      <c r="T473" s="14"/>
      <c r="U473" s="14"/>
      <c r="V473" s="14"/>
      <c r="W473" s="14"/>
      <c r="X473" s="14"/>
      <c r="Y473" s="14"/>
      <c r="Z473" s="13"/>
      <c r="AA473" s="13"/>
      <c r="AB473" s="13"/>
      <c r="AC473" s="13"/>
      <c r="AD473" s="13"/>
      <c r="AE473" s="14"/>
      <c r="AF473" s="14"/>
      <c r="AG473" s="14"/>
      <c r="AH473" s="14"/>
      <c r="AI473" s="14"/>
      <c r="AJ473" s="14"/>
      <c r="AK473" s="14"/>
    </row>
    <row r="474" spans="1:37">
      <c r="A474" s="23"/>
      <c r="B474" s="13"/>
      <c r="C474" s="13"/>
      <c r="D474" s="13"/>
      <c r="E474" s="13"/>
      <c r="F474" s="13"/>
      <c r="G474" s="14"/>
      <c r="H474" s="14"/>
      <c r="I474" s="14"/>
      <c r="J474" s="14"/>
      <c r="K474" s="14"/>
      <c r="L474" s="14"/>
      <c r="M474" s="14"/>
      <c r="N474" s="13"/>
      <c r="O474" s="13"/>
      <c r="P474" s="13"/>
      <c r="Q474" s="13"/>
      <c r="R474" s="13"/>
      <c r="S474" s="14"/>
      <c r="T474" s="14"/>
      <c r="U474" s="14"/>
      <c r="V474" s="14"/>
      <c r="W474" s="14"/>
      <c r="X474" s="14"/>
      <c r="Y474" s="14"/>
      <c r="Z474" s="13"/>
      <c r="AA474" s="13"/>
      <c r="AB474" s="13"/>
      <c r="AC474" s="13"/>
      <c r="AD474" s="13"/>
      <c r="AE474" s="14"/>
      <c r="AF474" s="14"/>
      <c r="AG474" s="14"/>
      <c r="AH474" s="14"/>
      <c r="AI474" s="14"/>
      <c r="AJ474" s="14"/>
      <c r="AK474" s="14"/>
    </row>
    <row r="475" spans="1:37">
      <c r="A475" s="23"/>
      <c r="B475" s="13"/>
      <c r="C475" s="13"/>
      <c r="D475" s="13"/>
      <c r="E475" s="13"/>
      <c r="F475" s="13"/>
      <c r="G475" s="14"/>
      <c r="H475" s="14"/>
      <c r="I475" s="14"/>
      <c r="J475" s="14"/>
      <c r="K475" s="14"/>
      <c r="L475" s="14"/>
      <c r="M475" s="14"/>
      <c r="N475" s="13"/>
      <c r="O475" s="13"/>
      <c r="P475" s="13"/>
      <c r="Q475" s="13"/>
      <c r="R475" s="13"/>
      <c r="S475" s="14"/>
      <c r="T475" s="14"/>
      <c r="U475" s="14"/>
      <c r="V475" s="14"/>
      <c r="W475" s="14"/>
      <c r="X475" s="14"/>
      <c r="Y475" s="14"/>
      <c r="Z475" s="13"/>
      <c r="AA475" s="13"/>
      <c r="AB475" s="13"/>
      <c r="AC475" s="13"/>
      <c r="AD475" s="13"/>
      <c r="AE475" s="14"/>
      <c r="AF475" s="14"/>
      <c r="AG475" s="14"/>
      <c r="AH475" s="14"/>
      <c r="AI475" s="14"/>
      <c r="AJ475" s="14"/>
      <c r="AK475" s="14"/>
    </row>
    <row r="476" spans="1:37">
      <c r="A476" s="23"/>
      <c r="B476" s="13"/>
      <c r="C476" s="13"/>
      <c r="D476" s="13"/>
      <c r="E476" s="13"/>
      <c r="F476" s="13"/>
      <c r="G476" s="14"/>
      <c r="H476" s="14"/>
      <c r="I476" s="14"/>
      <c r="J476" s="14"/>
      <c r="K476" s="14"/>
      <c r="L476" s="14"/>
      <c r="M476" s="14"/>
      <c r="N476" s="13"/>
      <c r="O476" s="13"/>
      <c r="P476" s="13"/>
      <c r="Q476" s="13"/>
      <c r="R476" s="13"/>
      <c r="S476" s="14"/>
      <c r="T476" s="14"/>
      <c r="U476" s="14"/>
      <c r="V476" s="14"/>
      <c r="W476" s="14"/>
      <c r="X476" s="14"/>
      <c r="Y476" s="14"/>
      <c r="Z476" s="13"/>
      <c r="AA476" s="13"/>
      <c r="AB476" s="13"/>
      <c r="AC476" s="13"/>
      <c r="AD476" s="13"/>
      <c r="AE476" s="14"/>
      <c r="AF476" s="14"/>
      <c r="AG476" s="14"/>
      <c r="AH476" s="14"/>
      <c r="AI476" s="14"/>
      <c r="AJ476" s="14"/>
      <c r="AK476" s="14"/>
    </row>
    <row r="477" spans="1:37">
      <c r="A477" s="23"/>
      <c r="B477" s="13"/>
      <c r="C477" s="13"/>
      <c r="D477" s="13"/>
      <c r="E477" s="13"/>
      <c r="F477" s="13"/>
      <c r="G477" s="14"/>
      <c r="H477" s="14"/>
      <c r="I477" s="14"/>
      <c r="J477" s="14"/>
      <c r="K477" s="14"/>
      <c r="L477" s="14"/>
      <c r="M477" s="14"/>
      <c r="N477" s="13"/>
      <c r="O477" s="13"/>
      <c r="P477" s="13"/>
      <c r="Q477" s="13"/>
      <c r="R477" s="13"/>
      <c r="S477" s="14"/>
      <c r="T477" s="14"/>
      <c r="U477" s="14"/>
      <c r="V477" s="14"/>
      <c r="W477" s="14"/>
      <c r="X477" s="14"/>
      <c r="Y477" s="14"/>
      <c r="Z477" s="13"/>
      <c r="AA477" s="13"/>
      <c r="AB477" s="13"/>
      <c r="AC477" s="13"/>
      <c r="AD477" s="13"/>
      <c r="AE477" s="14"/>
      <c r="AF477" s="14"/>
      <c r="AG477" s="14"/>
      <c r="AH477" s="14"/>
      <c r="AI477" s="14"/>
      <c r="AJ477" s="14"/>
      <c r="AK477" s="14"/>
    </row>
    <row r="478" spans="1:37">
      <c r="A478" s="23"/>
      <c r="B478" s="13"/>
      <c r="C478" s="13"/>
      <c r="D478" s="13"/>
      <c r="E478" s="13"/>
      <c r="F478" s="13"/>
      <c r="G478" s="14"/>
      <c r="H478" s="14"/>
      <c r="I478" s="14"/>
      <c r="J478" s="14"/>
      <c r="K478" s="14"/>
      <c r="L478" s="14"/>
      <c r="M478" s="14"/>
      <c r="N478" s="13"/>
      <c r="O478" s="13"/>
      <c r="P478" s="13"/>
      <c r="Q478" s="13"/>
      <c r="R478" s="13"/>
      <c r="S478" s="14"/>
      <c r="T478" s="14"/>
      <c r="U478" s="14"/>
      <c r="V478" s="14"/>
      <c r="W478" s="14"/>
      <c r="X478" s="14"/>
      <c r="Y478" s="14"/>
      <c r="Z478" s="13"/>
      <c r="AA478" s="13"/>
      <c r="AB478" s="13"/>
      <c r="AC478" s="13"/>
      <c r="AD478" s="13"/>
      <c r="AE478" s="14"/>
      <c r="AF478" s="14"/>
      <c r="AG478" s="14"/>
      <c r="AH478" s="14"/>
      <c r="AI478" s="14"/>
      <c r="AJ478" s="14"/>
      <c r="AK478" s="14"/>
    </row>
    <row r="479" spans="1:37">
      <c r="A479" s="23"/>
      <c r="B479" s="13"/>
      <c r="C479" s="13"/>
      <c r="D479" s="13"/>
      <c r="E479" s="13"/>
      <c r="F479" s="13"/>
      <c r="G479" s="14"/>
      <c r="H479" s="14"/>
      <c r="I479" s="14"/>
      <c r="J479" s="14"/>
      <c r="K479" s="14"/>
      <c r="L479" s="14"/>
      <c r="M479" s="14"/>
      <c r="N479" s="13"/>
      <c r="O479" s="13"/>
      <c r="P479" s="13"/>
      <c r="Q479" s="13"/>
      <c r="R479" s="13"/>
      <c r="S479" s="14"/>
      <c r="T479" s="14"/>
      <c r="U479" s="14"/>
      <c r="V479" s="14"/>
      <c r="W479" s="14"/>
      <c r="X479" s="14"/>
      <c r="Y479" s="14"/>
      <c r="Z479" s="13"/>
      <c r="AA479" s="13"/>
      <c r="AB479" s="13"/>
      <c r="AC479" s="13"/>
      <c r="AD479" s="13"/>
      <c r="AE479" s="14"/>
      <c r="AF479" s="14"/>
      <c r="AG479" s="14"/>
      <c r="AH479" s="14"/>
      <c r="AI479" s="14"/>
      <c r="AJ479" s="14"/>
      <c r="AK479" s="14"/>
    </row>
    <row r="480" spans="1:37">
      <c r="A480" s="23"/>
      <c r="B480" s="13"/>
      <c r="C480" s="13"/>
      <c r="D480" s="13"/>
      <c r="E480" s="13"/>
      <c r="F480" s="13"/>
      <c r="G480" s="14"/>
      <c r="H480" s="14"/>
      <c r="I480" s="14"/>
      <c r="J480" s="14"/>
      <c r="K480" s="14"/>
      <c r="L480" s="14"/>
      <c r="M480" s="14"/>
      <c r="N480" s="13"/>
      <c r="O480" s="13"/>
      <c r="P480" s="13"/>
      <c r="Q480" s="13"/>
      <c r="R480" s="13"/>
      <c r="S480" s="14"/>
      <c r="T480" s="14"/>
      <c r="U480" s="14"/>
      <c r="V480" s="14"/>
      <c r="W480" s="14"/>
      <c r="X480" s="14"/>
      <c r="Y480" s="14"/>
      <c r="Z480" s="13"/>
      <c r="AA480" s="13"/>
      <c r="AB480" s="13"/>
      <c r="AC480" s="13"/>
      <c r="AD480" s="13"/>
      <c r="AE480" s="14"/>
      <c r="AF480" s="14"/>
      <c r="AG480" s="14"/>
      <c r="AH480" s="14"/>
      <c r="AI480" s="14"/>
      <c r="AJ480" s="14"/>
      <c r="AK480" s="14"/>
    </row>
    <row r="481" spans="1:37">
      <c r="A481" s="23"/>
      <c r="B481" s="13"/>
      <c r="C481" s="13"/>
      <c r="D481" s="13"/>
      <c r="E481" s="13"/>
      <c r="F481" s="13"/>
      <c r="G481" s="14"/>
      <c r="H481" s="14"/>
      <c r="I481" s="14"/>
      <c r="J481" s="14"/>
      <c r="K481" s="14"/>
      <c r="L481" s="14"/>
      <c r="M481" s="14"/>
      <c r="N481" s="13"/>
      <c r="O481" s="13"/>
      <c r="P481" s="13"/>
      <c r="Q481" s="13"/>
      <c r="R481" s="13"/>
      <c r="S481" s="14"/>
      <c r="T481" s="14"/>
      <c r="U481" s="14"/>
      <c r="V481" s="14"/>
      <c r="W481" s="14"/>
      <c r="X481" s="14"/>
      <c r="Y481" s="14"/>
      <c r="Z481" s="13"/>
      <c r="AA481" s="13"/>
      <c r="AB481" s="13"/>
      <c r="AC481" s="13"/>
      <c r="AD481" s="13"/>
      <c r="AE481" s="14"/>
      <c r="AF481" s="14"/>
      <c r="AG481" s="14"/>
      <c r="AH481" s="14"/>
      <c r="AI481" s="14"/>
      <c r="AJ481" s="14"/>
      <c r="AK481" s="14"/>
    </row>
    <row r="482" spans="1:37">
      <c r="A482" s="23"/>
      <c r="B482" s="13"/>
      <c r="C482" s="13"/>
      <c r="D482" s="13"/>
      <c r="E482" s="13"/>
      <c r="F482" s="13"/>
      <c r="G482" s="14"/>
      <c r="H482" s="14"/>
      <c r="I482" s="14"/>
      <c r="J482" s="14"/>
      <c r="K482" s="14"/>
      <c r="L482" s="14"/>
      <c r="M482" s="14"/>
      <c r="N482" s="13"/>
      <c r="O482" s="13"/>
      <c r="P482" s="13"/>
      <c r="Q482" s="13"/>
      <c r="R482" s="13"/>
      <c r="S482" s="14"/>
      <c r="T482" s="14"/>
      <c r="U482" s="14"/>
      <c r="V482" s="14"/>
      <c r="W482" s="14"/>
      <c r="X482" s="14"/>
      <c r="Y482" s="14"/>
      <c r="Z482" s="13"/>
      <c r="AA482" s="13"/>
      <c r="AB482" s="13"/>
      <c r="AC482" s="13"/>
      <c r="AD482" s="13"/>
      <c r="AE482" s="14"/>
      <c r="AF482" s="14"/>
      <c r="AG482" s="14"/>
      <c r="AH482" s="14"/>
      <c r="AI482" s="14"/>
      <c r="AJ482" s="14"/>
      <c r="AK482" s="14"/>
    </row>
    <row r="483" spans="1:37">
      <c r="A483" s="23"/>
      <c r="B483" s="13"/>
      <c r="C483" s="13"/>
      <c r="D483" s="13"/>
      <c r="E483" s="13"/>
      <c r="F483" s="13"/>
      <c r="G483" s="14"/>
      <c r="H483" s="14"/>
      <c r="I483" s="14"/>
      <c r="J483" s="14"/>
      <c r="K483" s="14"/>
      <c r="L483" s="14"/>
      <c r="M483" s="14"/>
      <c r="N483" s="13"/>
      <c r="O483" s="13"/>
      <c r="P483" s="13"/>
      <c r="Q483" s="13"/>
      <c r="R483" s="13"/>
      <c r="S483" s="14"/>
      <c r="T483" s="14"/>
      <c r="U483" s="14"/>
      <c r="V483" s="14"/>
      <c r="W483" s="14"/>
      <c r="X483" s="14"/>
      <c r="Y483" s="14"/>
      <c r="Z483" s="13"/>
      <c r="AA483" s="13"/>
      <c r="AB483" s="13"/>
      <c r="AC483" s="13"/>
      <c r="AD483" s="13"/>
      <c r="AE483" s="14"/>
      <c r="AF483" s="14"/>
      <c r="AG483" s="14"/>
      <c r="AH483" s="14"/>
      <c r="AI483" s="14"/>
      <c r="AJ483" s="14"/>
      <c r="AK483" s="14"/>
    </row>
    <row r="484" spans="1:37">
      <c r="A484" s="23"/>
      <c r="B484" s="13"/>
      <c r="C484" s="13"/>
      <c r="D484" s="13"/>
      <c r="E484" s="13"/>
      <c r="F484" s="13"/>
      <c r="G484" s="14"/>
      <c r="H484" s="14"/>
      <c r="I484" s="14"/>
      <c r="J484" s="14"/>
      <c r="K484" s="14"/>
      <c r="L484" s="14"/>
      <c r="M484" s="14"/>
      <c r="N484" s="13"/>
      <c r="O484" s="13"/>
      <c r="P484" s="13"/>
      <c r="Q484" s="13"/>
      <c r="R484" s="13"/>
      <c r="S484" s="14"/>
      <c r="T484" s="14"/>
      <c r="U484" s="14"/>
      <c r="V484" s="14"/>
      <c r="W484" s="14"/>
      <c r="X484" s="14"/>
      <c r="Y484" s="14"/>
      <c r="Z484" s="13"/>
      <c r="AA484" s="13"/>
      <c r="AB484" s="13"/>
      <c r="AC484" s="13"/>
      <c r="AD484" s="13"/>
      <c r="AE484" s="14"/>
      <c r="AF484" s="14"/>
      <c r="AG484" s="14"/>
      <c r="AH484" s="14"/>
      <c r="AI484" s="14"/>
      <c r="AJ484" s="14"/>
      <c r="AK484" s="14"/>
    </row>
    <row r="485" spans="1:37">
      <c r="A485" s="23"/>
      <c r="B485" s="13"/>
      <c r="C485" s="13"/>
      <c r="D485" s="13"/>
      <c r="E485" s="13"/>
      <c r="F485" s="13"/>
      <c r="G485" s="14"/>
      <c r="H485" s="14"/>
      <c r="I485" s="14"/>
      <c r="J485" s="14"/>
      <c r="K485" s="14"/>
      <c r="L485" s="14"/>
      <c r="M485" s="14"/>
      <c r="N485" s="13"/>
      <c r="O485" s="13"/>
      <c r="P485" s="13"/>
      <c r="Q485" s="13"/>
      <c r="R485" s="13"/>
      <c r="S485" s="14"/>
      <c r="T485" s="14"/>
      <c r="U485" s="14"/>
      <c r="V485" s="14"/>
      <c r="W485" s="14"/>
      <c r="X485" s="14"/>
      <c r="Y485" s="14"/>
      <c r="Z485" s="13"/>
      <c r="AA485" s="13"/>
      <c r="AB485" s="13"/>
      <c r="AC485" s="13"/>
      <c r="AD485" s="13"/>
      <c r="AE485" s="14"/>
      <c r="AF485" s="14"/>
      <c r="AG485" s="14"/>
      <c r="AH485" s="14"/>
      <c r="AI485" s="14"/>
      <c r="AJ485" s="14"/>
      <c r="AK485" s="14"/>
    </row>
    <row r="486" spans="1:37">
      <c r="A486" s="23"/>
      <c r="B486" s="13"/>
      <c r="C486" s="13"/>
      <c r="D486" s="13"/>
      <c r="E486" s="13"/>
      <c r="F486" s="13"/>
      <c r="G486" s="14"/>
      <c r="H486" s="14"/>
      <c r="I486" s="14"/>
      <c r="J486" s="14"/>
      <c r="K486" s="14"/>
      <c r="L486" s="14"/>
      <c r="M486" s="14"/>
      <c r="N486" s="13"/>
      <c r="O486" s="13"/>
      <c r="P486" s="13"/>
      <c r="Q486" s="13"/>
      <c r="R486" s="13"/>
      <c r="S486" s="14"/>
      <c r="T486" s="14"/>
      <c r="U486" s="14"/>
      <c r="V486" s="14"/>
      <c r="W486" s="14"/>
      <c r="X486" s="14"/>
      <c r="Y486" s="14"/>
      <c r="Z486" s="13"/>
      <c r="AA486" s="13"/>
      <c r="AB486" s="13"/>
      <c r="AC486" s="13"/>
      <c r="AD486" s="13"/>
      <c r="AE486" s="14"/>
      <c r="AF486" s="14"/>
      <c r="AG486" s="14"/>
      <c r="AH486" s="14"/>
      <c r="AI486" s="14"/>
      <c r="AJ486" s="14"/>
      <c r="AK486" s="14"/>
    </row>
    <row r="487" spans="1:37">
      <c r="A487" s="23"/>
      <c r="B487" s="13"/>
      <c r="C487" s="13"/>
      <c r="D487" s="13"/>
      <c r="E487" s="13"/>
      <c r="F487" s="13"/>
      <c r="G487" s="14"/>
      <c r="H487" s="14"/>
      <c r="I487" s="14"/>
      <c r="J487" s="14"/>
      <c r="K487" s="14"/>
      <c r="L487" s="14"/>
      <c r="M487" s="14"/>
      <c r="N487" s="13"/>
      <c r="O487" s="13"/>
      <c r="P487" s="13"/>
      <c r="Q487" s="13"/>
      <c r="R487" s="13"/>
      <c r="S487" s="14"/>
      <c r="T487" s="14"/>
      <c r="U487" s="14"/>
      <c r="V487" s="14"/>
      <c r="W487" s="14"/>
      <c r="X487" s="14"/>
      <c r="Y487" s="14"/>
      <c r="Z487" s="13"/>
      <c r="AA487" s="13"/>
      <c r="AB487" s="13"/>
      <c r="AC487" s="13"/>
      <c r="AD487" s="13"/>
      <c r="AE487" s="14"/>
      <c r="AF487" s="14"/>
      <c r="AG487" s="14"/>
      <c r="AH487" s="14"/>
      <c r="AI487" s="14"/>
      <c r="AJ487" s="14"/>
      <c r="AK487" s="14"/>
    </row>
    <row r="488" spans="1:37">
      <c r="A488" s="23"/>
      <c r="B488" s="13"/>
      <c r="C488" s="13"/>
      <c r="D488" s="13"/>
      <c r="E488" s="13"/>
      <c r="F488" s="13"/>
      <c r="G488" s="14"/>
      <c r="H488" s="14"/>
      <c r="I488" s="14"/>
      <c r="J488" s="14"/>
      <c r="K488" s="14"/>
      <c r="L488" s="14"/>
      <c r="M488" s="14"/>
      <c r="N488" s="13"/>
      <c r="O488" s="13"/>
      <c r="P488" s="13"/>
      <c r="Q488" s="13"/>
      <c r="R488" s="13"/>
      <c r="S488" s="14"/>
      <c r="T488" s="14"/>
      <c r="U488" s="14"/>
      <c r="V488" s="14"/>
      <c r="W488" s="14"/>
      <c r="X488" s="14"/>
      <c r="Y488" s="14"/>
      <c r="Z488" s="13"/>
      <c r="AA488" s="13"/>
      <c r="AB488" s="13"/>
      <c r="AC488" s="13"/>
      <c r="AD488" s="13"/>
      <c r="AE488" s="14"/>
      <c r="AF488" s="14"/>
      <c r="AG488" s="14"/>
      <c r="AH488" s="14"/>
      <c r="AI488" s="14"/>
      <c r="AJ488" s="14"/>
      <c r="AK488" s="14"/>
    </row>
    <row r="489" spans="1:37">
      <c r="A489" s="23"/>
      <c r="B489" s="13"/>
      <c r="C489" s="13"/>
      <c r="D489" s="13"/>
      <c r="E489" s="13"/>
      <c r="F489" s="13"/>
      <c r="G489" s="14"/>
      <c r="H489" s="14"/>
      <c r="I489" s="14"/>
      <c r="J489" s="14"/>
      <c r="K489" s="14"/>
      <c r="L489" s="14"/>
      <c r="M489" s="14"/>
      <c r="N489" s="13"/>
      <c r="O489" s="13"/>
      <c r="P489" s="13"/>
      <c r="Q489" s="13"/>
      <c r="R489" s="13"/>
      <c r="S489" s="14"/>
      <c r="T489" s="14"/>
      <c r="U489" s="14"/>
      <c r="V489" s="14"/>
      <c r="W489" s="14"/>
      <c r="X489" s="14"/>
      <c r="Y489" s="14"/>
      <c r="Z489" s="13"/>
      <c r="AA489" s="13"/>
      <c r="AB489" s="13"/>
      <c r="AC489" s="13"/>
      <c r="AD489" s="13"/>
      <c r="AE489" s="14"/>
      <c r="AF489" s="14"/>
      <c r="AG489" s="14"/>
      <c r="AH489" s="14"/>
      <c r="AI489" s="14"/>
      <c r="AJ489" s="14"/>
      <c r="AK489" s="14"/>
    </row>
    <row r="490" spans="1:37">
      <c r="A490" s="23"/>
      <c r="B490" s="13"/>
      <c r="C490" s="13"/>
      <c r="D490" s="13"/>
      <c r="E490" s="13"/>
      <c r="F490" s="13"/>
      <c r="G490" s="14"/>
      <c r="H490" s="14"/>
      <c r="I490" s="14"/>
      <c r="J490" s="14"/>
      <c r="K490" s="14"/>
      <c r="L490" s="14"/>
      <c r="M490" s="14"/>
      <c r="N490" s="13"/>
      <c r="O490" s="13"/>
      <c r="P490" s="13"/>
      <c r="Q490" s="13"/>
      <c r="R490" s="13"/>
      <c r="S490" s="14"/>
      <c r="T490" s="14"/>
      <c r="U490" s="14"/>
      <c r="V490" s="14"/>
      <c r="W490" s="14"/>
      <c r="X490" s="14"/>
      <c r="Y490" s="14"/>
      <c r="Z490" s="13"/>
      <c r="AA490" s="13"/>
      <c r="AB490" s="13"/>
      <c r="AC490" s="13"/>
      <c r="AD490" s="13"/>
      <c r="AE490" s="14"/>
      <c r="AF490" s="14"/>
      <c r="AG490" s="14"/>
      <c r="AH490" s="14"/>
      <c r="AI490" s="14"/>
      <c r="AJ490" s="14"/>
      <c r="AK490" s="14"/>
    </row>
    <row r="491" spans="1:37">
      <c r="A491" s="23"/>
      <c r="B491" s="13"/>
      <c r="C491" s="13"/>
      <c r="D491" s="13"/>
      <c r="E491" s="13"/>
      <c r="F491" s="13"/>
      <c r="G491" s="14"/>
      <c r="H491" s="14"/>
      <c r="I491" s="14"/>
      <c r="J491" s="14"/>
      <c r="K491" s="14"/>
      <c r="L491" s="14"/>
      <c r="M491" s="14"/>
      <c r="N491" s="13"/>
      <c r="O491" s="13"/>
      <c r="P491" s="13"/>
      <c r="Q491" s="13"/>
      <c r="R491" s="13"/>
      <c r="S491" s="14"/>
      <c r="T491" s="14"/>
      <c r="U491" s="14"/>
      <c r="V491" s="14"/>
      <c r="W491" s="14"/>
      <c r="X491" s="14"/>
      <c r="Y491" s="14"/>
      <c r="Z491" s="13"/>
      <c r="AA491" s="13"/>
      <c r="AB491" s="13"/>
      <c r="AC491" s="13"/>
      <c r="AD491" s="13"/>
      <c r="AE491" s="14"/>
      <c r="AF491" s="14"/>
      <c r="AG491" s="14"/>
      <c r="AH491" s="14"/>
      <c r="AI491" s="14"/>
      <c r="AJ491" s="14"/>
      <c r="AK491" s="14"/>
    </row>
    <row r="492" spans="1:37">
      <c r="A492" s="23"/>
      <c r="B492" s="13"/>
      <c r="C492" s="13"/>
      <c r="D492" s="13"/>
      <c r="E492" s="13"/>
      <c r="F492" s="13"/>
      <c r="G492" s="14"/>
      <c r="H492" s="14"/>
      <c r="I492" s="14"/>
      <c r="J492" s="14"/>
      <c r="K492" s="14"/>
      <c r="L492" s="14"/>
      <c r="M492" s="14"/>
      <c r="N492" s="13"/>
      <c r="O492" s="13"/>
      <c r="P492" s="13"/>
      <c r="Q492" s="13"/>
      <c r="R492" s="13"/>
      <c r="S492" s="14"/>
      <c r="T492" s="14"/>
      <c r="U492" s="14"/>
      <c r="V492" s="14"/>
      <c r="W492" s="14"/>
      <c r="X492" s="14"/>
      <c r="Y492" s="14"/>
      <c r="Z492" s="13"/>
      <c r="AA492" s="13"/>
      <c r="AB492" s="13"/>
      <c r="AC492" s="13"/>
      <c r="AD492" s="13"/>
      <c r="AE492" s="14"/>
      <c r="AF492" s="14"/>
      <c r="AG492" s="14"/>
      <c r="AH492" s="14"/>
      <c r="AI492" s="14"/>
      <c r="AJ492" s="14"/>
      <c r="AK492" s="14"/>
    </row>
    <row r="493" spans="1:37">
      <c r="A493" s="23"/>
      <c r="B493" s="13"/>
      <c r="C493" s="13"/>
      <c r="D493" s="13"/>
      <c r="E493" s="13"/>
      <c r="F493" s="13"/>
      <c r="G493" s="14"/>
      <c r="H493" s="14"/>
      <c r="I493" s="14"/>
      <c r="J493" s="14"/>
      <c r="K493" s="14"/>
      <c r="L493" s="14"/>
      <c r="M493" s="14"/>
      <c r="N493" s="13"/>
      <c r="O493" s="13"/>
      <c r="P493" s="13"/>
      <c r="Q493" s="13"/>
      <c r="R493" s="13"/>
      <c r="S493" s="14"/>
      <c r="T493" s="14"/>
      <c r="U493" s="14"/>
      <c r="V493" s="14"/>
      <c r="W493" s="14"/>
      <c r="X493" s="14"/>
      <c r="Y493" s="14"/>
      <c r="Z493" s="13"/>
      <c r="AA493" s="13"/>
      <c r="AB493" s="13"/>
      <c r="AC493" s="13"/>
      <c r="AD493" s="13"/>
      <c r="AE493" s="14"/>
      <c r="AF493" s="14"/>
      <c r="AG493" s="14"/>
      <c r="AH493" s="14"/>
      <c r="AI493" s="14"/>
      <c r="AJ493" s="14"/>
      <c r="AK493" s="14"/>
    </row>
    <row r="494" spans="1:37">
      <c r="A494" s="23"/>
      <c r="B494" s="13"/>
      <c r="C494" s="13"/>
      <c r="D494" s="13"/>
      <c r="E494" s="13"/>
      <c r="F494" s="13"/>
      <c r="G494" s="14"/>
      <c r="H494" s="14"/>
      <c r="I494" s="14"/>
      <c r="J494" s="14"/>
      <c r="K494" s="14"/>
      <c r="L494" s="14"/>
      <c r="M494" s="14"/>
      <c r="N494" s="13"/>
      <c r="O494" s="13"/>
      <c r="P494" s="13"/>
      <c r="Q494" s="13"/>
      <c r="R494" s="13"/>
      <c r="S494" s="14"/>
      <c r="T494" s="14"/>
      <c r="U494" s="14"/>
      <c r="V494" s="14"/>
      <c r="W494" s="14"/>
      <c r="X494" s="14"/>
      <c r="Y494" s="14"/>
      <c r="Z494" s="13"/>
      <c r="AA494" s="13"/>
      <c r="AB494" s="13"/>
      <c r="AC494" s="13"/>
      <c r="AD494" s="13"/>
      <c r="AE494" s="14"/>
      <c r="AF494" s="14"/>
      <c r="AG494" s="14"/>
      <c r="AH494" s="14"/>
      <c r="AI494" s="14"/>
      <c r="AJ494" s="14"/>
      <c r="AK494" s="14"/>
    </row>
    <row r="495" spans="1:37">
      <c r="A495" s="23"/>
      <c r="B495" s="13"/>
      <c r="C495" s="13"/>
      <c r="D495" s="13"/>
      <c r="E495" s="13"/>
      <c r="F495" s="13"/>
      <c r="G495" s="14"/>
      <c r="H495" s="14"/>
      <c r="I495" s="14"/>
      <c r="J495" s="14"/>
      <c r="K495" s="14"/>
      <c r="L495" s="14"/>
      <c r="M495" s="14"/>
      <c r="N495" s="13"/>
      <c r="O495" s="13"/>
      <c r="P495" s="13"/>
      <c r="Q495" s="13"/>
      <c r="R495" s="13"/>
      <c r="S495" s="14"/>
      <c r="T495" s="14"/>
      <c r="U495" s="14"/>
      <c r="V495" s="14"/>
      <c r="W495" s="14"/>
      <c r="X495" s="14"/>
      <c r="Y495" s="14"/>
      <c r="Z495" s="13"/>
      <c r="AA495" s="13"/>
      <c r="AB495" s="13"/>
      <c r="AC495" s="13"/>
      <c r="AD495" s="13"/>
      <c r="AE495" s="14"/>
      <c r="AF495" s="14"/>
      <c r="AG495" s="14"/>
      <c r="AH495" s="14"/>
      <c r="AI495" s="14"/>
      <c r="AJ495" s="14"/>
      <c r="AK495" s="14"/>
    </row>
    <row r="496" spans="1:37">
      <c r="A496" s="23"/>
      <c r="B496" s="13"/>
      <c r="C496" s="13"/>
      <c r="D496" s="13"/>
      <c r="E496" s="13"/>
      <c r="F496" s="13"/>
      <c r="G496" s="14"/>
      <c r="H496" s="14"/>
      <c r="I496" s="14"/>
      <c r="J496" s="14"/>
      <c r="K496" s="14"/>
      <c r="L496" s="14"/>
      <c r="M496" s="14"/>
      <c r="N496" s="13"/>
      <c r="O496" s="13"/>
      <c r="P496" s="13"/>
      <c r="Q496" s="13"/>
      <c r="R496" s="13"/>
      <c r="S496" s="14"/>
      <c r="T496" s="14"/>
      <c r="U496" s="14"/>
      <c r="V496" s="14"/>
      <c r="W496" s="14"/>
      <c r="X496" s="14"/>
      <c r="Y496" s="14"/>
      <c r="Z496" s="13"/>
      <c r="AA496" s="13"/>
      <c r="AB496" s="13"/>
      <c r="AC496" s="13"/>
      <c r="AD496" s="13"/>
      <c r="AE496" s="14"/>
      <c r="AF496" s="14"/>
      <c r="AG496" s="14"/>
      <c r="AH496" s="14"/>
      <c r="AI496" s="14"/>
      <c r="AJ496" s="14"/>
      <c r="AK496" s="14"/>
    </row>
    <row r="497" spans="1:37">
      <c r="A497" s="23"/>
      <c r="B497" s="13"/>
      <c r="C497" s="13"/>
      <c r="D497" s="13"/>
      <c r="E497" s="13"/>
      <c r="F497" s="13"/>
      <c r="G497" s="14"/>
      <c r="H497" s="14"/>
      <c r="I497" s="14"/>
      <c r="J497" s="14"/>
      <c r="K497" s="14"/>
      <c r="L497" s="14"/>
      <c r="M497" s="14"/>
      <c r="N497" s="13"/>
      <c r="O497" s="13"/>
      <c r="P497" s="13"/>
      <c r="Q497" s="13"/>
      <c r="R497" s="13"/>
      <c r="S497" s="14"/>
      <c r="T497" s="14"/>
      <c r="U497" s="14"/>
      <c r="V497" s="14"/>
      <c r="W497" s="14"/>
      <c r="X497" s="14"/>
      <c r="Y497" s="14"/>
      <c r="Z497" s="13"/>
      <c r="AA497" s="13"/>
      <c r="AB497" s="13"/>
      <c r="AC497" s="13"/>
      <c r="AD497" s="13"/>
      <c r="AE497" s="14"/>
      <c r="AF497" s="14"/>
      <c r="AG497" s="14"/>
      <c r="AH497" s="14"/>
      <c r="AI497" s="14"/>
      <c r="AJ497" s="14"/>
      <c r="AK497" s="14"/>
    </row>
    <row r="498" spans="1:37">
      <c r="A498" s="23"/>
      <c r="B498" s="13"/>
      <c r="C498" s="13"/>
      <c r="D498" s="13"/>
      <c r="E498" s="13"/>
      <c r="F498" s="13"/>
      <c r="G498" s="14"/>
      <c r="H498" s="14"/>
      <c r="I498" s="14"/>
      <c r="J498" s="14"/>
      <c r="K498" s="14"/>
      <c r="L498" s="14"/>
      <c r="M498" s="14"/>
      <c r="N498" s="13"/>
      <c r="O498" s="13"/>
      <c r="P498" s="13"/>
      <c r="Q498" s="13"/>
      <c r="R498" s="13"/>
      <c r="S498" s="14"/>
      <c r="T498" s="14"/>
      <c r="U498" s="14"/>
      <c r="V498" s="14"/>
      <c r="W498" s="14"/>
      <c r="X498" s="14"/>
      <c r="Y498" s="14"/>
      <c r="Z498" s="13"/>
      <c r="AA498" s="13"/>
      <c r="AB498" s="13"/>
      <c r="AC498" s="13"/>
      <c r="AD498" s="13"/>
      <c r="AE498" s="14"/>
      <c r="AF498" s="14"/>
      <c r="AG498" s="14"/>
      <c r="AH498" s="14"/>
      <c r="AI498" s="14"/>
      <c r="AJ498" s="14"/>
      <c r="AK498" s="14"/>
    </row>
    <row r="499" spans="1:37">
      <c r="A499" s="23"/>
      <c r="B499" s="13"/>
      <c r="C499" s="13"/>
      <c r="D499" s="13"/>
      <c r="E499" s="13"/>
      <c r="F499" s="13"/>
      <c r="G499" s="14"/>
      <c r="H499" s="14"/>
      <c r="I499" s="14"/>
      <c r="J499" s="14"/>
      <c r="K499" s="14"/>
      <c r="L499" s="14"/>
      <c r="M499" s="14"/>
      <c r="N499" s="13"/>
      <c r="O499" s="13"/>
      <c r="P499" s="13"/>
      <c r="Q499" s="13"/>
      <c r="R499" s="13"/>
      <c r="S499" s="14"/>
      <c r="T499" s="14"/>
      <c r="U499" s="14"/>
      <c r="V499" s="14"/>
      <c r="W499" s="14"/>
      <c r="X499" s="14"/>
      <c r="Y499" s="14"/>
      <c r="Z499" s="13"/>
      <c r="AA499" s="13"/>
      <c r="AB499" s="13"/>
      <c r="AC499" s="13"/>
      <c r="AD499" s="13"/>
      <c r="AE499" s="14"/>
      <c r="AF499" s="14"/>
      <c r="AG499" s="14"/>
      <c r="AH499" s="14"/>
      <c r="AI499" s="14"/>
      <c r="AJ499" s="14"/>
      <c r="AK499" s="14"/>
    </row>
    <row r="500" spans="1:37">
      <c r="A500" s="23"/>
      <c r="B500" s="13"/>
      <c r="C500" s="13"/>
      <c r="D500" s="13"/>
      <c r="E500" s="13"/>
      <c r="F500" s="13"/>
      <c r="G500" s="14"/>
      <c r="H500" s="14"/>
      <c r="I500" s="14"/>
      <c r="J500" s="14"/>
      <c r="K500" s="14"/>
      <c r="L500" s="14"/>
      <c r="M500" s="14"/>
      <c r="N500" s="13"/>
      <c r="O500" s="13"/>
      <c r="P500" s="13"/>
      <c r="Q500" s="13"/>
      <c r="R500" s="13"/>
      <c r="S500" s="14"/>
      <c r="T500" s="14"/>
      <c r="U500" s="14"/>
      <c r="V500" s="14"/>
      <c r="W500" s="14"/>
      <c r="X500" s="14"/>
      <c r="Y500" s="14"/>
      <c r="Z500" s="13"/>
      <c r="AA500" s="13"/>
      <c r="AB500" s="13"/>
      <c r="AC500" s="13"/>
      <c r="AD500" s="13"/>
      <c r="AE500" s="14"/>
      <c r="AF500" s="14"/>
      <c r="AG500" s="14"/>
      <c r="AH500" s="14"/>
      <c r="AI500" s="14"/>
      <c r="AJ500" s="14"/>
      <c r="AK500" s="14"/>
    </row>
    <row r="501" spans="1:37">
      <c r="A501" s="23"/>
      <c r="B501" s="13"/>
      <c r="C501" s="13"/>
      <c r="D501" s="13"/>
      <c r="E501" s="13"/>
      <c r="F501" s="13"/>
      <c r="G501" s="14"/>
      <c r="H501" s="14"/>
      <c r="I501" s="14"/>
      <c r="J501" s="14"/>
      <c r="K501" s="14"/>
      <c r="L501" s="14"/>
      <c r="M501" s="14"/>
      <c r="N501" s="13"/>
      <c r="O501" s="13"/>
      <c r="P501" s="13"/>
      <c r="Q501" s="13"/>
      <c r="R501" s="13"/>
      <c r="S501" s="14"/>
      <c r="T501" s="14"/>
      <c r="U501" s="14"/>
      <c r="V501" s="14"/>
      <c r="W501" s="14"/>
      <c r="X501" s="14"/>
      <c r="Y501" s="14"/>
      <c r="Z501" s="13"/>
      <c r="AA501" s="13"/>
      <c r="AB501" s="13"/>
      <c r="AC501" s="13"/>
      <c r="AD501" s="13"/>
      <c r="AE501" s="14"/>
      <c r="AF501" s="14"/>
      <c r="AG501" s="14"/>
      <c r="AH501" s="14"/>
      <c r="AI501" s="14"/>
      <c r="AJ501" s="14"/>
      <c r="AK501" s="14"/>
    </row>
    <row r="502" spans="1:37">
      <c r="A502" s="23"/>
      <c r="B502" s="13"/>
      <c r="C502" s="13"/>
      <c r="D502" s="13"/>
      <c r="E502" s="13"/>
      <c r="F502" s="13"/>
      <c r="G502" s="14"/>
      <c r="H502" s="14"/>
      <c r="I502" s="14"/>
      <c r="J502" s="14"/>
      <c r="K502" s="14"/>
      <c r="L502" s="14"/>
      <c r="M502" s="14"/>
      <c r="N502" s="13"/>
      <c r="O502" s="13"/>
      <c r="P502" s="13"/>
      <c r="Q502" s="13"/>
      <c r="R502" s="13"/>
      <c r="S502" s="14"/>
      <c r="T502" s="14"/>
      <c r="U502" s="14"/>
      <c r="V502" s="14"/>
      <c r="W502" s="14"/>
      <c r="X502" s="14"/>
      <c r="Y502" s="14"/>
      <c r="Z502" s="13"/>
      <c r="AA502" s="13"/>
      <c r="AB502" s="13"/>
      <c r="AC502" s="13"/>
      <c r="AD502" s="13"/>
      <c r="AE502" s="14"/>
      <c r="AF502" s="14"/>
      <c r="AG502" s="14"/>
      <c r="AH502" s="14"/>
      <c r="AI502" s="14"/>
      <c r="AJ502" s="14"/>
      <c r="AK502" s="14"/>
    </row>
    <row r="503" spans="1:37">
      <c r="A503" s="23"/>
      <c r="B503" s="13"/>
      <c r="C503" s="13"/>
      <c r="D503" s="13"/>
      <c r="E503" s="13"/>
      <c r="F503" s="13"/>
      <c r="G503" s="14"/>
      <c r="H503" s="14"/>
      <c r="I503" s="14"/>
      <c r="J503" s="14"/>
      <c r="K503" s="14"/>
      <c r="L503" s="14"/>
      <c r="M503" s="14"/>
      <c r="N503" s="13"/>
      <c r="O503" s="13"/>
      <c r="P503" s="13"/>
      <c r="Q503" s="13"/>
      <c r="R503" s="13"/>
      <c r="S503" s="14"/>
      <c r="T503" s="14"/>
      <c r="U503" s="14"/>
      <c r="V503" s="14"/>
      <c r="W503" s="14"/>
      <c r="X503" s="14"/>
      <c r="Y503" s="14"/>
      <c r="Z503" s="13"/>
      <c r="AA503" s="13"/>
      <c r="AB503" s="13"/>
      <c r="AC503" s="13"/>
      <c r="AD503" s="13"/>
      <c r="AE503" s="14"/>
      <c r="AF503" s="14"/>
      <c r="AG503" s="14"/>
      <c r="AH503" s="14"/>
      <c r="AI503" s="14"/>
      <c r="AJ503" s="14"/>
      <c r="AK503" s="14"/>
    </row>
    <row r="504" spans="1:37">
      <c r="A504" s="23"/>
      <c r="B504" s="13"/>
      <c r="C504" s="13"/>
      <c r="D504" s="13"/>
      <c r="E504" s="13"/>
      <c r="F504" s="13"/>
      <c r="G504" s="14"/>
      <c r="H504" s="14"/>
      <c r="I504" s="14"/>
      <c r="J504" s="14"/>
      <c r="K504" s="14"/>
      <c r="L504" s="14"/>
      <c r="M504" s="14"/>
      <c r="N504" s="13"/>
      <c r="O504" s="13"/>
      <c r="P504" s="13"/>
      <c r="Q504" s="13"/>
      <c r="R504" s="13"/>
      <c r="S504" s="14"/>
      <c r="T504" s="14"/>
      <c r="U504" s="14"/>
      <c r="V504" s="14"/>
      <c r="W504" s="14"/>
      <c r="X504" s="14"/>
      <c r="Y504" s="14"/>
      <c r="Z504" s="13"/>
      <c r="AA504" s="13"/>
      <c r="AB504" s="13"/>
      <c r="AC504" s="13"/>
      <c r="AD504" s="13"/>
      <c r="AE504" s="14"/>
      <c r="AF504" s="14"/>
      <c r="AG504" s="14"/>
      <c r="AH504" s="14"/>
      <c r="AI504" s="14"/>
      <c r="AJ504" s="14"/>
      <c r="AK504" s="14"/>
    </row>
    <row r="505" spans="1:37">
      <c r="A505" s="23"/>
      <c r="B505" s="13"/>
      <c r="C505" s="13"/>
      <c r="D505" s="13"/>
      <c r="E505" s="13"/>
      <c r="F505" s="13"/>
      <c r="G505" s="14"/>
      <c r="H505" s="14"/>
      <c r="I505" s="14"/>
      <c r="J505" s="14"/>
      <c r="K505" s="14"/>
      <c r="L505" s="14"/>
      <c r="M505" s="14"/>
      <c r="N505" s="13"/>
      <c r="O505" s="13"/>
      <c r="P505" s="13"/>
      <c r="Q505" s="13"/>
      <c r="R505" s="13"/>
      <c r="S505" s="14"/>
      <c r="T505" s="14"/>
      <c r="U505" s="14"/>
      <c r="V505" s="14"/>
      <c r="W505" s="14"/>
      <c r="X505" s="14"/>
      <c r="Y505" s="14"/>
      <c r="Z505" s="13"/>
      <c r="AA505" s="13"/>
      <c r="AB505" s="13"/>
      <c r="AC505" s="13"/>
      <c r="AD505" s="13"/>
      <c r="AE505" s="14"/>
      <c r="AF505" s="14"/>
      <c r="AG505" s="14"/>
      <c r="AH505" s="14"/>
      <c r="AI505" s="14"/>
      <c r="AJ505" s="14"/>
      <c r="AK505" s="14"/>
    </row>
    <row r="506" spans="1:37">
      <c r="A506" s="23"/>
      <c r="B506" s="13"/>
      <c r="C506" s="13"/>
      <c r="D506" s="13"/>
      <c r="E506" s="13"/>
      <c r="F506" s="13"/>
      <c r="G506" s="14"/>
      <c r="H506" s="14"/>
      <c r="I506" s="14"/>
      <c r="J506" s="14"/>
      <c r="K506" s="14"/>
      <c r="L506" s="14"/>
      <c r="M506" s="14"/>
      <c r="N506" s="13"/>
      <c r="O506" s="13"/>
      <c r="P506" s="13"/>
      <c r="Q506" s="13"/>
      <c r="R506" s="13"/>
      <c r="S506" s="14"/>
      <c r="T506" s="14"/>
      <c r="U506" s="14"/>
      <c r="V506" s="14"/>
      <c r="W506" s="14"/>
      <c r="X506" s="14"/>
      <c r="Y506" s="14"/>
      <c r="Z506" s="13"/>
      <c r="AA506" s="13"/>
      <c r="AB506" s="13"/>
      <c r="AC506" s="13"/>
      <c r="AD506" s="13"/>
      <c r="AE506" s="14"/>
      <c r="AF506" s="14"/>
      <c r="AG506" s="14"/>
      <c r="AH506" s="14"/>
      <c r="AI506" s="14"/>
      <c r="AJ506" s="14"/>
      <c r="AK506" s="14"/>
    </row>
    <row r="507" spans="1:37">
      <c r="A507" s="23"/>
      <c r="B507" s="13"/>
      <c r="C507" s="13"/>
      <c r="D507" s="13"/>
      <c r="E507" s="13"/>
      <c r="F507" s="13"/>
      <c r="G507" s="14"/>
      <c r="H507" s="14"/>
      <c r="I507" s="14"/>
      <c r="J507" s="14"/>
      <c r="K507" s="14"/>
      <c r="L507" s="14"/>
      <c r="M507" s="14"/>
      <c r="N507" s="13"/>
      <c r="O507" s="13"/>
      <c r="P507" s="13"/>
      <c r="Q507" s="13"/>
      <c r="R507" s="13"/>
      <c r="S507" s="14"/>
      <c r="T507" s="14"/>
      <c r="U507" s="14"/>
      <c r="V507" s="14"/>
      <c r="W507" s="14"/>
      <c r="X507" s="14"/>
      <c r="Y507" s="14"/>
      <c r="Z507" s="13"/>
      <c r="AA507" s="13"/>
      <c r="AB507" s="13"/>
      <c r="AC507" s="13"/>
      <c r="AD507" s="13"/>
      <c r="AE507" s="14"/>
      <c r="AF507" s="14"/>
      <c r="AG507" s="14"/>
      <c r="AH507" s="14"/>
      <c r="AI507" s="14"/>
      <c r="AJ507" s="14"/>
      <c r="AK507" s="14"/>
    </row>
    <row r="508" spans="1:37">
      <c r="A508" s="23"/>
      <c r="B508" s="13"/>
      <c r="C508" s="13"/>
      <c r="D508" s="13"/>
      <c r="E508" s="13"/>
      <c r="F508" s="13"/>
      <c r="G508" s="14"/>
      <c r="H508" s="14"/>
      <c r="I508" s="14"/>
      <c r="J508" s="14"/>
      <c r="K508" s="14"/>
      <c r="L508" s="14"/>
      <c r="M508" s="14"/>
      <c r="N508" s="13"/>
      <c r="O508" s="13"/>
      <c r="P508" s="13"/>
      <c r="Q508" s="13"/>
      <c r="R508" s="13"/>
      <c r="S508" s="14"/>
      <c r="T508" s="14"/>
      <c r="U508" s="14"/>
      <c r="V508" s="14"/>
      <c r="W508" s="14"/>
      <c r="X508" s="14"/>
      <c r="Y508" s="14"/>
      <c r="Z508" s="13"/>
      <c r="AA508" s="13"/>
      <c r="AB508" s="13"/>
      <c r="AC508" s="13"/>
      <c r="AD508" s="13"/>
      <c r="AE508" s="14"/>
      <c r="AF508" s="14"/>
      <c r="AG508" s="14"/>
      <c r="AH508" s="14"/>
      <c r="AI508" s="14"/>
      <c r="AJ508" s="14"/>
      <c r="AK508" s="14"/>
    </row>
    <row r="509" spans="1:37">
      <c r="A509" s="23"/>
      <c r="B509" s="13"/>
      <c r="C509" s="13"/>
      <c r="D509" s="13"/>
      <c r="E509" s="13"/>
      <c r="F509" s="13"/>
      <c r="G509" s="14"/>
      <c r="H509" s="14"/>
      <c r="I509" s="14"/>
      <c r="J509" s="14"/>
      <c r="K509" s="14"/>
      <c r="L509" s="14"/>
      <c r="M509" s="14"/>
      <c r="N509" s="13"/>
      <c r="O509" s="13"/>
      <c r="P509" s="13"/>
      <c r="Q509" s="13"/>
      <c r="R509" s="13"/>
      <c r="S509" s="14"/>
      <c r="T509" s="14"/>
      <c r="U509" s="14"/>
      <c r="V509" s="14"/>
      <c r="W509" s="14"/>
      <c r="X509" s="14"/>
      <c r="Y509" s="14"/>
      <c r="Z509" s="13"/>
      <c r="AA509" s="13"/>
      <c r="AB509" s="13"/>
      <c r="AC509" s="13"/>
      <c r="AD509" s="13"/>
      <c r="AE509" s="14"/>
      <c r="AF509" s="14"/>
      <c r="AG509" s="14"/>
      <c r="AH509" s="14"/>
      <c r="AI509" s="14"/>
      <c r="AJ509" s="14"/>
      <c r="AK509" s="14"/>
    </row>
    <row r="510" spans="1:37">
      <c r="A510" s="23"/>
      <c r="B510" s="13"/>
      <c r="C510" s="13"/>
      <c r="D510" s="13"/>
      <c r="E510" s="13"/>
      <c r="F510" s="13"/>
      <c r="G510" s="14"/>
      <c r="H510" s="14"/>
      <c r="I510" s="14"/>
      <c r="J510" s="14"/>
      <c r="K510" s="14"/>
      <c r="L510" s="14"/>
      <c r="M510" s="14"/>
      <c r="N510" s="13"/>
      <c r="O510" s="13"/>
      <c r="P510" s="13"/>
      <c r="Q510" s="13"/>
      <c r="R510" s="13"/>
      <c r="S510" s="14"/>
      <c r="T510" s="14"/>
      <c r="U510" s="14"/>
      <c r="V510" s="14"/>
      <c r="W510" s="14"/>
      <c r="X510" s="14"/>
      <c r="Y510" s="14"/>
      <c r="Z510" s="13"/>
      <c r="AA510" s="13"/>
      <c r="AB510" s="13"/>
      <c r="AC510" s="13"/>
      <c r="AD510" s="13"/>
      <c r="AE510" s="14"/>
      <c r="AF510" s="14"/>
      <c r="AG510" s="14"/>
      <c r="AH510" s="14"/>
      <c r="AI510" s="14"/>
      <c r="AJ510" s="14"/>
      <c r="AK510" s="14"/>
    </row>
    <row r="511" spans="1:37">
      <c r="A511" s="23"/>
      <c r="B511" s="13"/>
      <c r="C511" s="13"/>
      <c r="D511" s="13"/>
      <c r="E511" s="13"/>
      <c r="F511" s="13"/>
      <c r="G511" s="14"/>
      <c r="H511" s="14"/>
      <c r="I511" s="14"/>
      <c r="J511" s="14"/>
      <c r="K511" s="14"/>
      <c r="L511" s="14"/>
      <c r="M511" s="14"/>
      <c r="N511" s="13"/>
      <c r="O511" s="13"/>
      <c r="P511" s="13"/>
      <c r="Q511" s="13"/>
      <c r="R511" s="13"/>
      <c r="S511" s="14"/>
      <c r="T511" s="14"/>
      <c r="U511" s="14"/>
      <c r="V511" s="14"/>
      <c r="W511" s="14"/>
      <c r="X511" s="14"/>
      <c r="Y511" s="14"/>
      <c r="Z511" s="13"/>
      <c r="AA511" s="13"/>
      <c r="AB511" s="13"/>
      <c r="AC511" s="13"/>
      <c r="AD511" s="13"/>
      <c r="AE511" s="14"/>
      <c r="AF511" s="14"/>
      <c r="AG511" s="14"/>
      <c r="AH511" s="14"/>
      <c r="AI511" s="14"/>
      <c r="AJ511" s="14"/>
      <c r="AK511" s="14"/>
    </row>
    <row r="512" spans="1:37">
      <c r="A512" s="23"/>
      <c r="B512" s="13"/>
      <c r="C512" s="13"/>
      <c r="D512" s="13"/>
      <c r="E512" s="13"/>
      <c r="F512" s="13"/>
      <c r="G512" s="14"/>
      <c r="H512" s="14"/>
      <c r="I512" s="14"/>
      <c r="J512" s="14"/>
      <c r="K512" s="14"/>
      <c r="L512" s="14"/>
      <c r="M512" s="14"/>
      <c r="N512" s="13"/>
      <c r="O512" s="13"/>
      <c r="P512" s="13"/>
      <c r="Q512" s="13"/>
      <c r="R512" s="13"/>
      <c r="S512" s="14"/>
      <c r="T512" s="14"/>
      <c r="U512" s="14"/>
      <c r="V512" s="14"/>
      <c r="W512" s="14"/>
      <c r="X512" s="14"/>
      <c r="Y512" s="14"/>
      <c r="Z512" s="13"/>
      <c r="AA512" s="13"/>
      <c r="AB512" s="13"/>
      <c r="AC512" s="13"/>
      <c r="AD512" s="13"/>
      <c r="AE512" s="14"/>
      <c r="AF512" s="14"/>
      <c r="AG512" s="14"/>
      <c r="AH512" s="14"/>
      <c r="AI512" s="14"/>
      <c r="AJ512" s="14"/>
      <c r="AK512" s="14"/>
    </row>
    <row r="513" spans="1:37">
      <c r="A513" s="23"/>
      <c r="B513" s="13"/>
      <c r="C513" s="13"/>
      <c r="D513" s="13"/>
      <c r="E513" s="13"/>
      <c r="F513" s="13"/>
      <c r="G513" s="14"/>
      <c r="H513" s="14"/>
      <c r="I513" s="14"/>
      <c r="J513" s="14"/>
      <c r="K513" s="14"/>
      <c r="L513" s="14"/>
      <c r="M513" s="14"/>
      <c r="N513" s="13"/>
      <c r="O513" s="13"/>
      <c r="P513" s="13"/>
      <c r="Q513" s="13"/>
      <c r="R513" s="13"/>
      <c r="S513" s="14"/>
      <c r="T513" s="14"/>
      <c r="U513" s="14"/>
      <c r="V513" s="14"/>
      <c r="W513" s="14"/>
      <c r="X513" s="14"/>
      <c r="Y513" s="14"/>
      <c r="Z513" s="13"/>
      <c r="AA513" s="13"/>
      <c r="AB513" s="13"/>
      <c r="AC513" s="13"/>
      <c r="AD513" s="13"/>
      <c r="AE513" s="14"/>
      <c r="AF513" s="14"/>
      <c r="AG513" s="14"/>
      <c r="AH513" s="14"/>
      <c r="AI513" s="14"/>
      <c r="AJ513" s="14"/>
      <c r="AK513" s="14"/>
    </row>
    <row r="514" spans="1:37">
      <c r="A514" s="23"/>
      <c r="B514" s="13"/>
      <c r="C514" s="13"/>
      <c r="D514" s="13"/>
      <c r="E514" s="13"/>
      <c r="F514" s="13"/>
      <c r="G514" s="14"/>
      <c r="H514" s="14"/>
      <c r="I514" s="14"/>
      <c r="J514" s="14"/>
      <c r="K514" s="14"/>
      <c r="L514" s="14"/>
      <c r="M514" s="14"/>
      <c r="N514" s="13"/>
      <c r="O514" s="13"/>
      <c r="P514" s="13"/>
      <c r="Q514" s="13"/>
      <c r="R514" s="13"/>
      <c r="S514" s="14"/>
      <c r="T514" s="14"/>
      <c r="U514" s="14"/>
      <c r="V514" s="14"/>
      <c r="W514" s="14"/>
      <c r="X514" s="14"/>
      <c r="Y514" s="14"/>
      <c r="Z514" s="13"/>
      <c r="AA514" s="13"/>
      <c r="AB514" s="13"/>
      <c r="AC514" s="13"/>
      <c r="AD514" s="13"/>
      <c r="AE514" s="14"/>
      <c r="AF514" s="14"/>
      <c r="AG514" s="14"/>
      <c r="AH514" s="14"/>
      <c r="AI514" s="14"/>
      <c r="AJ514" s="14"/>
      <c r="AK514" s="14"/>
    </row>
    <row r="515" spans="1:37">
      <c r="A515" s="23"/>
      <c r="B515" s="13"/>
      <c r="C515" s="13"/>
      <c r="D515" s="13"/>
      <c r="E515" s="13"/>
      <c r="F515" s="13"/>
      <c r="G515" s="14"/>
      <c r="H515" s="14"/>
      <c r="I515" s="14"/>
      <c r="J515" s="14"/>
      <c r="K515" s="14"/>
      <c r="L515" s="14"/>
      <c r="M515" s="14"/>
      <c r="N515" s="13"/>
      <c r="O515" s="13"/>
      <c r="P515" s="13"/>
      <c r="Q515" s="13"/>
      <c r="R515" s="13"/>
      <c r="S515" s="14"/>
      <c r="T515" s="14"/>
      <c r="U515" s="14"/>
      <c r="V515" s="14"/>
      <c r="W515" s="14"/>
      <c r="X515" s="14"/>
      <c r="Y515" s="14"/>
      <c r="Z515" s="13"/>
      <c r="AA515" s="13"/>
      <c r="AB515" s="13"/>
      <c r="AC515" s="13"/>
      <c r="AD515" s="13"/>
      <c r="AE515" s="14"/>
      <c r="AF515" s="14"/>
      <c r="AG515" s="14"/>
      <c r="AH515" s="14"/>
      <c r="AI515" s="14"/>
      <c r="AJ515" s="14"/>
      <c r="AK515" s="14"/>
    </row>
    <row r="516" spans="1:37">
      <c r="A516" s="23"/>
      <c r="B516" s="13"/>
      <c r="C516" s="13"/>
      <c r="D516" s="13"/>
      <c r="E516" s="13"/>
      <c r="F516" s="13"/>
      <c r="G516" s="14"/>
      <c r="H516" s="14"/>
      <c r="I516" s="14"/>
      <c r="J516" s="14"/>
      <c r="K516" s="14"/>
      <c r="L516" s="14"/>
      <c r="M516" s="14"/>
      <c r="N516" s="13"/>
      <c r="O516" s="13"/>
      <c r="P516" s="13"/>
      <c r="Q516" s="13"/>
      <c r="R516" s="13"/>
      <c r="S516" s="14"/>
      <c r="T516" s="14"/>
      <c r="U516" s="14"/>
      <c r="V516" s="14"/>
      <c r="W516" s="14"/>
      <c r="X516" s="14"/>
      <c r="Y516" s="14"/>
      <c r="Z516" s="13"/>
      <c r="AA516" s="13"/>
      <c r="AB516" s="13"/>
      <c r="AC516" s="13"/>
      <c r="AD516" s="13"/>
      <c r="AE516" s="14"/>
      <c r="AF516" s="14"/>
      <c r="AG516" s="14"/>
      <c r="AH516" s="14"/>
      <c r="AI516" s="14"/>
      <c r="AJ516" s="14"/>
      <c r="AK516" s="14"/>
    </row>
    <row r="517" spans="1:37">
      <c r="A517" s="23"/>
      <c r="B517" s="13"/>
      <c r="C517" s="13"/>
      <c r="D517" s="13"/>
      <c r="E517" s="13"/>
      <c r="F517" s="13"/>
      <c r="G517" s="14"/>
      <c r="H517" s="14"/>
      <c r="I517" s="14"/>
      <c r="J517" s="14"/>
      <c r="K517" s="14"/>
      <c r="L517" s="14"/>
      <c r="M517" s="14"/>
      <c r="N517" s="13"/>
      <c r="O517" s="13"/>
      <c r="P517" s="13"/>
      <c r="Q517" s="13"/>
      <c r="R517" s="13"/>
      <c r="S517" s="14"/>
      <c r="T517" s="14"/>
      <c r="U517" s="14"/>
      <c r="V517" s="14"/>
      <c r="W517" s="14"/>
      <c r="X517" s="14"/>
      <c r="Y517" s="14"/>
      <c r="Z517" s="13"/>
      <c r="AA517" s="13"/>
      <c r="AB517" s="13"/>
      <c r="AC517" s="13"/>
      <c r="AD517" s="13"/>
      <c r="AE517" s="14"/>
      <c r="AF517" s="14"/>
      <c r="AG517" s="14"/>
      <c r="AH517" s="14"/>
      <c r="AI517" s="14"/>
      <c r="AJ517" s="14"/>
      <c r="AK517" s="14"/>
    </row>
    <row r="518" spans="1:37">
      <c r="A518" s="23"/>
      <c r="B518" s="13"/>
      <c r="C518" s="13"/>
      <c r="D518" s="13"/>
      <c r="E518" s="13"/>
      <c r="F518" s="13"/>
      <c r="G518" s="14"/>
      <c r="H518" s="14"/>
      <c r="I518" s="14"/>
      <c r="J518" s="14"/>
      <c r="K518" s="14"/>
      <c r="L518" s="14"/>
      <c r="M518" s="14"/>
      <c r="N518" s="13"/>
      <c r="O518" s="13"/>
      <c r="P518" s="13"/>
      <c r="Q518" s="13"/>
      <c r="R518" s="13"/>
      <c r="S518" s="14"/>
      <c r="T518" s="14"/>
      <c r="U518" s="14"/>
      <c r="V518" s="14"/>
      <c r="W518" s="14"/>
      <c r="X518" s="14"/>
      <c r="Y518" s="14"/>
      <c r="Z518" s="13"/>
      <c r="AA518" s="13"/>
      <c r="AB518" s="13"/>
      <c r="AC518" s="13"/>
      <c r="AD518" s="13"/>
      <c r="AE518" s="14"/>
      <c r="AF518" s="14"/>
      <c r="AG518" s="14"/>
      <c r="AH518" s="14"/>
      <c r="AI518" s="14"/>
      <c r="AJ518" s="14"/>
      <c r="AK518" s="14"/>
    </row>
    <row r="519" spans="1:37">
      <c r="A519" s="23"/>
      <c r="B519" s="13"/>
      <c r="C519" s="13"/>
      <c r="D519" s="13"/>
      <c r="E519" s="13"/>
      <c r="F519" s="13"/>
      <c r="G519" s="14"/>
      <c r="H519" s="14"/>
      <c r="I519" s="14"/>
      <c r="J519" s="14"/>
      <c r="K519" s="14"/>
      <c r="L519" s="14"/>
      <c r="M519" s="14"/>
      <c r="N519" s="13"/>
      <c r="O519" s="13"/>
      <c r="P519" s="13"/>
      <c r="Q519" s="13"/>
      <c r="R519" s="13"/>
      <c r="S519" s="14"/>
      <c r="T519" s="14"/>
      <c r="U519" s="14"/>
      <c r="V519" s="14"/>
      <c r="W519" s="14"/>
      <c r="X519" s="14"/>
      <c r="Y519" s="14"/>
      <c r="Z519" s="13"/>
      <c r="AA519" s="13"/>
      <c r="AB519" s="13"/>
      <c r="AC519" s="13"/>
      <c r="AD519" s="13"/>
      <c r="AE519" s="14"/>
      <c r="AF519" s="14"/>
      <c r="AG519" s="14"/>
      <c r="AH519" s="14"/>
      <c r="AI519" s="14"/>
      <c r="AJ519" s="14"/>
      <c r="AK519" s="14"/>
    </row>
    <row r="520" spans="1:37">
      <c r="A520" s="23"/>
      <c r="B520" s="13"/>
      <c r="C520" s="13"/>
      <c r="D520" s="13"/>
      <c r="E520" s="13"/>
      <c r="F520" s="13"/>
      <c r="G520" s="14"/>
      <c r="H520" s="14"/>
      <c r="I520" s="14"/>
      <c r="J520" s="14"/>
      <c r="K520" s="14"/>
      <c r="L520" s="14"/>
      <c r="M520" s="14"/>
      <c r="N520" s="13"/>
      <c r="O520" s="13"/>
      <c r="P520" s="13"/>
      <c r="Q520" s="13"/>
      <c r="R520" s="13"/>
      <c r="S520" s="14"/>
      <c r="T520" s="14"/>
      <c r="U520" s="14"/>
      <c r="V520" s="14"/>
      <c r="W520" s="14"/>
      <c r="X520" s="14"/>
      <c r="Y520" s="14"/>
      <c r="Z520" s="13"/>
      <c r="AA520" s="13"/>
      <c r="AB520" s="13"/>
      <c r="AC520" s="13"/>
      <c r="AD520" s="13"/>
      <c r="AE520" s="14"/>
      <c r="AF520" s="14"/>
      <c r="AG520" s="14"/>
      <c r="AH520" s="14"/>
      <c r="AI520" s="14"/>
      <c r="AJ520" s="14"/>
      <c r="AK520" s="14"/>
    </row>
    <row r="521" spans="1:37">
      <c r="A521" s="23"/>
      <c r="B521" s="13"/>
      <c r="C521" s="13"/>
      <c r="D521" s="13"/>
      <c r="E521" s="13"/>
      <c r="F521" s="13"/>
      <c r="G521" s="14"/>
      <c r="H521" s="14"/>
      <c r="I521" s="14"/>
      <c r="J521" s="14"/>
      <c r="K521" s="14"/>
      <c r="L521" s="14"/>
      <c r="M521" s="14"/>
      <c r="N521" s="13"/>
      <c r="O521" s="13"/>
      <c r="P521" s="13"/>
      <c r="Q521" s="13"/>
      <c r="R521" s="13"/>
      <c r="S521" s="14"/>
      <c r="T521" s="14"/>
      <c r="U521" s="14"/>
      <c r="V521" s="14"/>
      <c r="W521" s="14"/>
      <c r="X521" s="14"/>
      <c r="Y521" s="14"/>
      <c r="Z521" s="13"/>
      <c r="AA521" s="13"/>
      <c r="AB521" s="13"/>
      <c r="AC521" s="13"/>
      <c r="AD521" s="13"/>
      <c r="AE521" s="14"/>
      <c r="AF521" s="14"/>
      <c r="AG521" s="14"/>
      <c r="AH521" s="14"/>
      <c r="AI521" s="14"/>
      <c r="AJ521" s="14"/>
      <c r="AK521" s="14"/>
    </row>
    <row r="522" spans="1:37">
      <c r="A522" s="23"/>
      <c r="B522" s="13"/>
      <c r="C522" s="13"/>
      <c r="D522" s="13"/>
      <c r="E522" s="13"/>
      <c r="F522" s="13"/>
      <c r="G522" s="14"/>
      <c r="H522" s="14"/>
      <c r="I522" s="14"/>
      <c r="J522" s="14"/>
      <c r="K522" s="14"/>
      <c r="L522" s="14"/>
      <c r="M522" s="14"/>
      <c r="N522" s="13"/>
      <c r="O522" s="13"/>
      <c r="P522" s="13"/>
      <c r="Q522" s="13"/>
      <c r="R522" s="13"/>
      <c r="S522" s="14"/>
      <c r="T522" s="14"/>
      <c r="U522" s="14"/>
      <c r="V522" s="14"/>
      <c r="W522" s="14"/>
      <c r="X522" s="14"/>
      <c r="Y522" s="14"/>
      <c r="Z522" s="13"/>
      <c r="AA522" s="13"/>
      <c r="AB522" s="13"/>
      <c r="AC522" s="13"/>
      <c r="AD522" s="13"/>
      <c r="AE522" s="14"/>
      <c r="AF522" s="14"/>
      <c r="AG522" s="14"/>
      <c r="AH522" s="14"/>
      <c r="AI522" s="14"/>
      <c r="AJ522" s="14"/>
      <c r="AK522" s="14"/>
    </row>
    <row r="523" spans="1:37">
      <c r="A523" s="23"/>
      <c r="B523" s="13"/>
      <c r="C523" s="13"/>
      <c r="D523" s="13"/>
      <c r="E523" s="13"/>
      <c r="F523" s="13"/>
      <c r="G523" s="14"/>
      <c r="H523" s="14"/>
      <c r="I523" s="14"/>
      <c r="J523" s="14"/>
      <c r="K523" s="14"/>
      <c r="L523" s="14"/>
      <c r="M523" s="14"/>
      <c r="N523" s="13"/>
      <c r="O523" s="13"/>
      <c r="P523" s="13"/>
      <c r="Q523" s="13"/>
      <c r="R523" s="13"/>
      <c r="S523" s="14"/>
      <c r="T523" s="14"/>
      <c r="U523" s="14"/>
      <c r="V523" s="14"/>
      <c r="W523" s="14"/>
      <c r="X523" s="14"/>
      <c r="Y523" s="14"/>
      <c r="Z523" s="13"/>
      <c r="AA523" s="13"/>
      <c r="AB523" s="13"/>
      <c r="AC523" s="13"/>
      <c r="AD523" s="13"/>
      <c r="AE523" s="14"/>
      <c r="AF523" s="14"/>
      <c r="AG523" s="14"/>
      <c r="AH523" s="14"/>
      <c r="AI523" s="14"/>
      <c r="AJ523" s="14"/>
      <c r="AK523" s="14"/>
    </row>
    <row r="524" spans="1:37">
      <c r="A524" s="23"/>
      <c r="B524" s="13"/>
      <c r="C524" s="13"/>
      <c r="D524" s="13"/>
      <c r="E524" s="13"/>
      <c r="F524" s="13"/>
      <c r="G524" s="14"/>
      <c r="H524" s="14"/>
      <c r="I524" s="14"/>
      <c r="J524" s="14"/>
      <c r="K524" s="14"/>
      <c r="L524" s="14"/>
      <c r="M524" s="14"/>
      <c r="N524" s="13"/>
      <c r="O524" s="13"/>
      <c r="P524" s="13"/>
      <c r="Q524" s="13"/>
      <c r="R524" s="13"/>
      <c r="S524" s="14"/>
      <c r="T524" s="14"/>
      <c r="U524" s="14"/>
      <c r="V524" s="14"/>
      <c r="W524" s="14"/>
      <c r="X524" s="14"/>
      <c r="Y524" s="14"/>
      <c r="Z524" s="13"/>
      <c r="AA524" s="13"/>
      <c r="AB524" s="13"/>
      <c r="AC524" s="13"/>
      <c r="AD524" s="13"/>
      <c r="AE524" s="14"/>
      <c r="AF524" s="14"/>
      <c r="AG524" s="14"/>
      <c r="AH524" s="14"/>
      <c r="AI524" s="14"/>
      <c r="AJ524" s="14"/>
      <c r="AK524" s="14"/>
    </row>
    <row r="525" spans="1:37">
      <c r="A525" s="23"/>
      <c r="B525" s="13"/>
      <c r="C525" s="13"/>
      <c r="D525" s="13"/>
      <c r="E525" s="13"/>
      <c r="F525" s="13"/>
      <c r="G525" s="14"/>
      <c r="H525" s="14"/>
      <c r="I525" s="14"/>
      <c r="J525" s="14"/>
      <c r="K525" s="14"/>
      <c r="L525" s="14"/>
      <c r="M525" s="14"/>
      <c r="N525" s="13"/>
      <c r="O525" s="13"/>
      <c r="P525" s="13"/>
      <c r="Q525" s="13"/>
      <c r="R525" s="13"/>
      <c r="S525" s="14"/>
      <c r="T525" s="14"/>
      <c r="U525" s="14"/>
      <c r="V525" s="14"/>
      <c r="W525" s="14"/>
      <c r="X525" s="14"/>
      <c r="Y525" s="14"/>
      <c r="Z525" s="13"/>
      <c r="AA525" s="13"/>
      <c r="AB525" s="13"/>
      <c r="AC525" s="13"/>
      <c r="AD525" s="13"/>
      <c r="AE525" s="14"/>
      <c r="AF525" s="14"/>
      <c r="AG525" s="14"/>
      <c r="AH525" s="14"/>
      <c r="AI525" s="14"/>
      <c r="AJ525" s="14"/>
      <c r="AK525" s="14"/>
    </row>
    <row r="526" spans="1:37">
      <c r="A526" s="23"/>
      <c r="B526" s="13"/>
      <c r="C526" s="13"/>
      <c r="D526" s="13"/>
      <c r="E526" s="13"/>
      <c r="F526" s="13"/>
      <c r="G526" s="14"/>
      <c r="H526" s="14"/>
      <c r="I526" s="14"/>
      <c r="J526" s="14"/>
      <c r="K526" s="14"/>
      <c r="L526" s="14"/>
      <c r="M526" s="14"/>
      <c r="N526" s="13"/>
      <c r="O526" s="13"/>
      <c r="P526" s="13"/>
      <c r="Q526" s="13"/>
      <c r="R526" s="13"/>
      <c r="S526" s="14"/>
      <c r="T526" s="14"/>
      <c r="U526" s="14"/>
      <c r="V526" s="14"/>
      <c r="W526" s="14"/>
      <c r="X526" s="14"/>
      <c r="Y526" s="14"/>
      <c r="Z526" s="13"/>
      <c r="AA526" s="13"/>
      <c r="AB526" s="13"/>
      <c r="AC526" s="13"/>
      <c r="AD526" s="13"/>
      <c r="AE526" s="14"/>
      <c r="AF526" s="14"/>
      <c r="AG526" s="14"/>
      <c r="AH526" s="14"/>
      <c r="AI526" s="14"/>
      <c r="AJ526" s="14"/>
      <c r="AK526" s="14"/>
    </row>
    <row r="527" spans="1:37">
      <c r="A527" s="23"/>
      <c r="B527" s="13"/>
      <c r="C527" s="13"/>
      <c r="D527" s="13"/>
      <c r="E527" s="13"/>
      <c r="F527" s="13"/>
      <c r="G527" s="14"/>
      <c r="H527" s="14"/>
      <c r="I527" s="14"/>
      <c r="J527" s="14"/>
      <c r="K527" s="14"/>
      <c r="L527" s="14"/>
      <c r="M527" s="14"/>
      <c r="N527" s="13"/>
      <c r="O527" s="13"/>
      <c r="P527" s="13"/>
      <c r="Q527" s="13"/>
      <c r="R527" s="13"/>
      <c r="S527" s="14"/>
      <c r="T527" s="14"/>
      <c r="U527" s="14"/>
      <c r="V527" s="14"/>
      <c r="W527" s="14"/>
      <c r="X527" s="14"/>
      <c r="Y527" s="14"/>
      <c r="Z527" s="13"/>
      <c r="AA527" s="13"/>
      <c r="AB527" s="13"/>
      <c r="AC527" s="13"/>
      <c r="AD527" s="13"/>
      <c r="AE527" s="14"/>
      <c r="AF527" s="14"/>
      <c r="AG527" s="14"/>
      <c r="AH527" s="14"/>
      <c r="AI527" s="14"/>
      <c r="AJ527" s="14"/>
      <c r="AK527" s="14"/>
    </row>
    <row r="528" spans="1:37">
      <c r="A528" s="23"/>
      <c r="B528" s="13"/>
      <c r="C528" s="13"/>
      <c r="D528" s="13"/>
      <c r="E528" s="13"/>
      <c r="F528" s="13"/>
      <c r="G528" s="14"/>
      <c r="H528" s="14"/>
      <c r="I528" s="14"/>
      <c r="J528" s="14"/>
      <c r="K528" s="14"/>
      <c r="L528" s="14"/>
      <c r="M528" s="14"/>
      <c r="N528" s="13"/>
      <c r="O528" s="13"/>
      <c r="P528" s="13"/>
      <c r="Q528" s="13"/>
      <c r="R528" s="13"/>
      <c r="S528" s="14"/>
      <c r="T528" s="14"/>
      <c r="U528" s="14"/>
      <c r="V528" s="14"/>
      <c r="W528" s="14"/>
      <c r="X528" s="14"/>
      <c r="Y528" s="14"/>
      <c r="Z528" s="13"/>
      <c r="AA528" s="13"/>
      <c r="AB528" s="13"/>
      <c r="AC528" s="13"/>
      <c r="AD528" s="13"/>
      <c r="AE528" s="14"/>
      <c r="AF528" s="14"/>
      <c r="AG528" s="14"/>
      <c r="AH528" s="14"/>
      <c r="AI528" s="14"/>
      <c r="AJ528" s="14"/>
      <c r="AK528" s="14"/>
    </row>
    <row r="529" spans="1:37">
      <c r="A529" s="23"/>
      <c r="B529" s="13"/>
      <c r="C529" s="13"/>
      <c r="D529" s="13"/>
      <c r="E529" s="13"/>
      <c r="F529" s="13"/>
      <c r="G529" s="14"/>
      <c r="H529" s="14"/>
      <c r="I529" s="14"/>
      <c r="J529" s="14"/>
      <c r="K529" s="14"/>
      <c r="L529" s="14"/>
      <c r="M529" s="14"/>
      <c r="N529" s="13"/>
      <c r="O529" s="13"/>
      <c r="P529" s="13"/>
      <c r="Q529" s="13"/>
      <c r="R529" s="13"/>
      <c r="S529" s="14"/>
      <c r="T529" s="14"/>
      <c r="U529" s="14"/>
      <c r="V529" s="14"/>
      <c r="W529" s="14"/>
      <c r="X529" s="14"/>
      <c r="Y529" s="14"/>
      <c r="Z529" s="13"/>
      <c r="AA529" s="13"/>
      <c r="AB529" s="13"/>
      <c r="AC529" s="13"/>
      <c r="AD529" s="13"/>
      <c r="AE529" s="14"/>
      <c r="AF529" s="14"/>
      <c r="AG529" s="14"/>
      <c r="AH529" s="14"/>
      <c r="AI529" s="14"/>
      <c r="AJ529" s="14"/>
      <c r="AK529" s="14"/>
    </row>
    <row r="530" spans="1:37">
      <c r="A530" s="23"/>
      <c r="B530" s="13"/>
      <c r="C530" s="13"/>
      <c r="D530" s="13"/>
      <c r="E530" s="13"/>
      <c r="F530" s="13"/>
      <c r="G530" s="14"/>
      <c r="H530" s="14"/>
      <c r="I530" s="14"/>
      <c r="J530" s="14"/>
      <c r="K530" s="14"/>
      <c r="L530" s="14"/>
      <c r="M530" s="14"/>
      <c r="N530" s="13"/>
      <c r="O530" s="13"/>
      <c r="P530" s="13"/>
      <c r="Q530" s="13"/>
      <c r="R530" s="13"/>
      <c r="S530" s="14"/>
      <c r="T530" s="14"/>
      <c r="U530" s="14"/>
      <c r="V530" s="14"/>
      <c r="W530" s="14"/>
      <c r="X530" s="14"/>
      <c r="Y530" s="14"/>
      <c r="Z530" s="13"/>
      <c r="AA530" s="13"/>
      <c r="AB530" s="13"/>
      <c r="AC530" s="13"/>
      <c r="AD530" s="13"/>
      <c r="AE530" s="14"/>
      <c r="AF530" s="14"/>
      <c r="AG530" s="14"/>
      <c r="AH530" s="14"/>
      <c r="AI530" s="14"/>
      <c r="AJ530" s="14"/>
      <c r="AK530" s="14"/>
    </row>
    <row r="531" spans="1:37">
      <c r="A531" s="23"/>
      <c r="B531" s="13"/>
      <c r="C531" s="13"/>
      <c r="D531" s="13"/>
      <c r="E531" s="13"/>
      <c r="F531" s="13"/>
      <c r="G531" s="14"/>
      <c r="H531" s="14"/>
      <c r="I531" s="14"/>
      <c r="J531" s="14"/>
      <c r="K531" s="14"/>
      <c r="L531" s="14"/>
      <c r="M531" s="14"/>
      <c r="N531" s="13"/>
      <c r="O531" s="13"/>
      <c r="P531" s="13"/>
      <c r="Q531" s="13"/>
      <c r="R531" s="13"/>
      <c r="S531" s="14"/>
      <c r="T531" s="14"/>
      <c r="U531" s="14"/>
      <c r="V531" s="14"/>
      <c r="W531" s="14"/>
      <c r="X531" s="14"/>
      <c r="Y531" s="14"/>
      <c r="Z531" s="13"/>
      <c r="AA531" s="13"/>
      <c r="AB531" s="13"/>
      <c r="AC531" s="13"/>
      <c r="AD531" s="13"/>
      <c r="AE531" s="14"/>
      <c r="AF531" s="14"/>
      <c r="AG531" s="14"/>
      <c r="AH531" s="14"/>
      <c r="AI531" s="14"/>
      <c r="AJ531" s="14"/>
      <c r="AK531" s="14"/>
    </row>
    <row r="532" spans="1:37">
      <c r="A532" s="23"/>
      <c r="B532" s="13"/>
      <c r="C532" s="13"/>
      <c r="D532" s="13"/>
      <c r="E532" s="13"/>
      <c r="F532" s="13"/>
      <c r="G532" s="14"/>
      <c r="H532" s="14"/>
      <c r="I532" s="14"/>
      <c r="J532" s="14"/>
      <c r="K532" s="14"/>
      <c r="L532" s="14"/>
      <c r="M532" s="14"/>
      <c r="N532" s="13"/>
      <c r="O532" s="13"/>
      <c r="P532" s="13"/>
      <c r="Q532" s="13"/>
      <c r="R532" s="13"/>
      <c r="S532" s="14"/>
      <c r="T532" s="14"/>
      <c r="U532" s="14"/>
      <c r="V532" s="14"/>
      <c r="W532" s="14"/>
      <c r="X532" s="14"/>
      <c r="Y532" s="14"/>
      <c r="Z532" s="13"/>
      <c r="AA532" s="13"/>
      <c r="AB532" s="13"/>
      <c r="AC532" s="13"/>
      <c r="AD532" s="13"/>
      <c r="AE532" s="14"/>
      <c r="AF532" s="14"/>
      <c r="AG532" s="14"/>
      <c r="AH532" s="14"/>
      <c r="AI532" s="14"/>
      <c r="AJ532" s="14"/>
      <c r="AK532" s="14"/>
    </row>
    <row r="533" spans="1:37">
      <c r="A533" s="23"/>
      <c r="B533" s="13"/>
      <c r="C533" s="13"/>
      <c r="D533" s="13"/>
      <c r="E533" s="13"/>
      <c r="F533" s="13"/>
      <c r="G533" s="14"/>
      <c r="H533" s="14"/>
      <c r="I533" s="14"/>
      <c r="J533" s="14"/>
      <c r="K533" s="14"/>
      <c r="L533" s="14"/>
      <c r="M533" s="14"/>
      <c r="N533" s="13"/>
      <c r="O533" s="13"/>
      <c r="P533" s="13"/>
      <c r="Q533" s="13"/>
      <c r="R533" s="13"/>
      <c r="S533" s="14"/>
      <c r="T533" s="14"/>
      <c r="U533" s="14"/>
      <c r="V533" s="14"/>
      <c r="W533" s="14"/>
      <c r="X533" s="14"/>
      <c r="Y533" s="14"/>
      <c r="Z533" s="13"/>
      <c r="AA533" s="13"/>
      <c r="AB533" s="13"/>
      <c r="AC533" s="13"/>
      <c r="AD533" s="13"/>
      <c r="AE533" s="14"/>
      <c r="AF533" s="14"/>
      <c r="AG533" s="14"/>
      <c r="AH533" s="14"/>
      <c r="AI533" s="14"/>
      <c r="AJ533" s="14"/>
      <c r="AK533" s="14"/>
    </row>
    <row r="534" spans="1:37">
      <c r="A534" s="23"/>
      <c r="B534" s="13"/>
      <c r="C534" s="13"/>
      <c r="D534" s="13"/>
      <c r="E534" s="13"/>
      <c r="F534" s="13"/>
      <c r="G534" s="14"/>
      <c r="H534" s="14"/>
      <c r="I534" s="14"/>
      <c r="J534" s="14"/>
      <c r="K534" s="14"/>
      <c r="L534" s="14"/>
      <c r="M534" s="14"/>
      <c r="N534" s="13"/>
      <c r="O534" s="13"/>
      <c r="P534" s="13"/>
      <c r="Q534" s="13"/>
      <c r="R534" s="13"/>
      <c r="S534" s="14"/>
      <c r="T534" s="14"/>
      <c r="U534" s="14"/>
      <c r="V534" s="14"/>
      <c r="W534" s="14"/>
      <c r="X534" s="14"/>
      <c r="Y534" s="14"/>
      <c r="Z534" s="13"/>
      <c r="AA534" s="13"/>
      <c r="AB534" s="13"/>
      <c r="AC534" s="13"/>
      <c r="AD534" s="13"/>
      <c r="AE534" s="14"/>
      <c r="AF534" s="14"/>
      <c r="AG534" s="14"/>
      <c r="AH534" s="14"/>
      <c r="AI534" s="14"/>
      <c r="AJ534" s="14"/>
      <c r="AK534" s="14"/>
    </row>
    <row r="535" spans="1:37">
      <c r="A535" s="23"/>
      <c r="B535" s="13"/>
      <c r="C535" s="13"/>
      <c r="D535" s="13"/>
      <c r="E535" s="13"/>
      <c r="F535" s="13"/>
      <c r="G535" s="14"/>
      <c r="H535" s="14"/>
      <c r="I535" s="14"/>
      <c r="J535" s="14"/>
      <c r="K535" s="14"/>
      <c r="L535" s="14"/>
      <c r="M535" s="14"/>
      <c r="N535" s="13"/>
      <c r="O535" s="13"/>
      <c r="P535" s="13"/>
      <c r="Q535" s="13"/>
      <c r="R535" s="13"/>
      <c r="S535" s="14"/>
      <c r="T535" s="14"/>
      <c r="U535" s="14"/>
      <c r="V535" s="14"/>
      <c r="W535" s="14"/>
      <c r="X535" s="14"/>
      <c r="Y535" s="14"/>
      <c r="Z535" s="13"/>
      <c r="AA535" s="13"/>
      <c r="AB535" s="13"/>
      <c r="AC535" s="13"/>
      <c r="AD535" s="13"/>
      <c r="AE535" s="14"/>
      <c r="AF535" s="14"/>
      <c r="AG535" s="14"/>
      <c r="AH535" s="14"/>
      <c r="AI535" s="14"/>
      <c r="AJ535" s="14"/>
      <c r="AK535" s="14"/>
    </row>
    <row r="536" spans="1:37">
      <c r="A536" s="23"/>
      <c r="B536" s="13"/>
      <c r="C536" s="13"/>
      <c r="D536" s="13"/>
      <c r="E536" s="13"/>
      <c r="F536" s="13"/>
      <c r="G536" s="14"/>
      <c r="H536" s="14"/>
      <c r="I536" s="14"/>
      <c r="J536" s="14"/>
      <c r="K536" s="14"/>
      <c r="L536" s="14"/>
      <c r="M536" s="14"/>
      <c r="N536" s="13"/>
      <c r="O536" s="13"/>
      <c r="P536" s="13"/>
      <c r="Q536" s="13"/>
      <c r="R536" s="13"/>
      <c r="S536" s="14"/>
      <c r="T536" s="14"/>
      <c r="U536" s="14"/>
      <c r="V536" s="14"/>
      <c r="W536" s="14"/>
      <c r="X536" s="14"/>
      <c r="Y536" s="14"/>
      <c r="Z536" s="13"/>
      <c r="AA536" s="13"/>
      <c r="AB536" s="13"/>
      <c r="AC536" s="13"/>
      <c r="AD536" s="13"/>
      <c r="AE536" s="14"/>
      <c r="AF536" s="14"/>
      <c r="AG536" s="14"/>
      <c r="AH536" s="14"/>
      <c r="AI536" s="14"/>
      <c r="AJ536" s="14"/>
      <c r="AK536" s="14"/>
    </row>
    <row r="537" spans="1:37">
      <c r="A537" s="23"/>
      <c r="B537" s="13"/>
      <c r="C537" s="13"/>
      <c r="D537" s="13"/>
      <c r="E537" s="13"/>
      <c r="F537" s="13"/>
      <c r="G537" s="14"/>
      <c r="H537" s="14"/>
      <c r="I537" s="14"/>
      <c r="J537" s="14"/>
      <c r="K537" s="14"/>
      <c r="L537" s="14"/>
      <c r="M537" s="14"/>
      <c r="N537" s="13"/>
      <c r="O537" s="13"/>
      <c r="P537" s="13"/>
      <c r="Q537" s="13"/>
      <c r="R537" s="13"/>
      <c r="S537" s="14"/>
      <c r="T537" s="14"/>
      <c r="U537" s="14"/>
      <c r="V537" s="14"/>
      <c r="W537" s="14"/>
      <c r="X537" s="14"/>
      <c r="Y537" s="14"/>
      <c r="Z537" s="13"/>
      <c r="AA537" s="13"/>
      <c r="AB537" s="13"/>
      <c r="AC537" s="13"/>
      <c r="AD537" s="13"/>
      <c r="AE537" s="14"/>
      <c r="AF537" s="14"/>
      <c r="AG537" s="14"/>
      <c r="AH537" s="14"/>
      <c r="AI537" s="14"/>
      <c r="AJ537" s="14"/>
      <c r="AK537" s="14"/>
    </row>
    <row r="538" spans="1:37">
      <c r="A538" s="23"/>
      <c r="B538" s="13"/>
      <c r="C538" s="13"/>
      <c r="D538" s="13"/>
      <c r="E538" s="13"/>
      <c r="F538" s="13"/>
      <c r="G538" s="14"/>
      <c r="H538" s="14"/>
      <c r="I538" s="14"/>
      <c r="J538" s="14"/>
      <c r="K538" s="14"/>
      <c r="L538" s="14"/>
      <c r="M538" s="14"/>
      <c r="N538" s="13"/>
      <c r="O538" s="13"/>
      <c r="P538" s="13"/>
      <c r="Q538" s="13"/>
      <c r="R538" s="13"/>
      <c r="S538" s="14"/>
      <c r="T538" s="14"/>
      <c r="U538" s="14"/>
      <c r="V538" s="14"/>
      <c r="W538" s="14"/>
      <c r="X538" s="14"/>
      <c r="Y538" s="14"/>
      <c r="Z538" s="13"/>
      <c r="AA538" s="13"/>
      <c r="AB538" s="13"/>
      <c r="AC538" s="13"/>
      <c r="AD538" s="13"/>
      <c r="AE538" s="14"/>
      <c r="AF538" s="14"/>
      <c r="AG538" s="14"/>
      <c r="AH538" s="14"/>
      <c r="AI538" s="14"/>
      <c r="AJ538" s="14"/>
      <c r="AK538" s="14"/>
    </row>
    <row r="539" spans="1:37">
      <c r="A539" s="23"/>
      <c r="B539" s="13"/>
      <c r="C539" s="13"/>
      <c r="D539" s="13"/>
      <c r="E539" s="13"/>
      <c r="F539" s="13"/>
      <c r="G539" s="14"/>
      <c r="H539" s="14"/>
      <c r="I539" s="14"/>
      <c r="J539" s="14"/>
      <c r="K539" s="14"/>
      <c r="L539" s="14"/>
      <c r="M539" s="14"/>
      <c r="N539" s="13"/>
      <c r="O539" s="13"/>
      <c r="P539" s="13"/>
      <c r="Q539" s="13"/>
      <c r="R539" s="13"/>
      <c r="S539" s="14"/>
      <c r="T539" s="14"/>
      <c r="U539" s="14"/>
      <c r="V539" s="14"/>
      <c r="W539" s="14"/>
      <c r="X539" s="14"/>
      <c r="Y539" s="14"/>
      <c r="Z539" s="13"/>
      <c r="AA539" s="13"/>
      <c r="AB539" s="13"/>
      <c r="AC539" s="13"/>
      <c r="AD539" s="13"/>
      <c r="AE539" s="14"/>
      <c r="AF539" s="14"/>
      <c r="AG539" s="14"/>
      <c r="AH539" s="14"/>
      <c r="AI539" s="14"/>
      <c r="AJ539" s="14"/>
      <c r="AK539" s="14"/>
    </row>
    <row r="540" spans="1:37">
      <c r="A540" s="23"/>
      <c r="B540" s="13"/>
      <c r="C540" s="13"/>
      <c r="D540" s="13"/>
      <c r="E540" s="13"/>
      <c r="F540" s="13"/>
      <c r="G540" s="14"/>
      <c r="H540" s="14"/>
      <c r="I540" s="14"/>
      <c r="J540" s="14"/>
      <c r="K540" s="14"/>
      <c r="L540" s="14"/>
      <c r="M540" s="14"/>
      <c r="N540" s="13"/>
      <c r="O540" s="13"/>
      <c r="P540" s="13"/>
      <c r="Q540" s="13"/>
      <c r="R540" s="13"/>
      <c r="S540" s="14"/>
      <c r="T540" s="14"/>
      <c r="U540" s="14"/>
      <c r="V540" s="14"/>
      <c r="W540" s="14"/>
      <c r="X540" s="14"/>
      <c r="Y540" s="14"/>
      <c r="Z540" s="13"/>
      <c r="AA540" s="13"/>
      <c r="AB540" s="13"/>
      <c r="AC540" s="13"/>
      <c r="AD540" s="13"/>
      <c r="AE540" s="14"/>
      <c r="AF540" s="14"/>
      <c r="AG540" s="14"/>
      <c r="AH540" s="14"/>
      <c r="AI540" s="14"/>
      <c r="AJ540" s="14"/>
      <c r="AK540" s="14"/>
    </row>
    <row r="541" spans="1:37">
      <c r="A541" s="23"/>
      <c r="B541" s="13"/>
      <c r="C541" s="13"/>
      <c r="D541" s="13"/>
      <c r="E541" s="13"/>
      <c r="F541" s="13"/>
      <c r="G541" s="14"/>
      <c r="H541" s="14"/>
      <c r="I541" s="14"/>
      <c r="J541" s="14"/>
      <c r="K541" s="14"/>
      <c r="L541" s="14"/>
      <c r="M541" s="14"/>
      <c r="N541" s="13"/>
      <c r="O541" s="13"/>
      <c r="P541" s="13"/>
      <c r="Q541" s="13"/>
      <c r="R541" s="13"/>
      <c r="S541" s="14"/>
      <c r="T541" s="14"/>
      <c r="U541" s="14"/>
      <c r="V541" s="14"/>
      <c r="W541" s="14"/>
      <c r="X541" s="14"/>
      <c r="Y541" s="14"/>
      <c r="Z541" s="13"/>
      <c r="AA541" s="13"/>
      <c r="AB541" s="13"/>
      <c r="AC541" s="13"/>
      <c r="AD541" s="13"/>
      <c r="AE541" s="14"/>
      <c r="AF541" s="14"/>
      <c r="AG541" s="14"/>
      <c r="AH541" s="14"/>
      <c r="AI541" s="14"/>
      <c r="AJ541" s="14"/>
      <c r="AK541" s="14"/>
    </row>
    <row r="542" spans="1:37">
      <c r="A542" s="23"/>
      <c r="B542" s="13"/>
      <c r="C542" s="13"/>
      <c r="D542" s="13"/>
      <c r="E542" s="13"/>
      <c r="F542" s="13"/>
      <c r="G542" s="14"/>
      <c r="H542" s="14"/>
      <c r="I542" s="14"/>
      <c r="J542" s="14"/>
      <c r="K542" s="14"/>
      <c r="L542" s="14"/>
      <c r="M542" s="14"/>
      <c r="N542" s="13"/>
      <c r="O542" s="13"/>
      <c r="P542" s="13"/>
      <c r="Q542" s="13"/>
      <c r="R542" s="13"/>
      <c r="S542" s="14"/>
      <c r="T542" s="14"/>
      <c r="U542" s="14"/>
      <c r="V542" s="14"/>
      <c r="W542" s="14"/>
      <c r="X542" s="14"/>
      <c r="Y542" s="14"/>
      <c r="Z542" s="13"/>
      <c r="AA542" s="13"/>
      <c r="AB542" s="13"/>
      <c r="AC542" s="13"/>
      <c r="AD542" s="13"/>
      <c r="AE542" s="14"/>
      <c r="AF542" s="14"/>
      <c r="AG542" s="14"/>
      <c r="AH542" s="14"/>
      <c r="AI542" s="14"/>
      <c r="AJ542" s="14"/>
      <c r="AK542" s="14"/>
    </row>
    <row r="543" spans="1:37">
      <c r="A543" s="23"/>
      <c r="B543" s="13"/>
      <c r="C543" s="13"/>
      <c r="D543" s="13"/>
      <c r="E543" s="13"/>
      <c r="F543" s="13"/>
      <c r="G543" s="14"/>
      <c r="H543" s="14"/>
      <c r="I543" s="14"/>
      <c r="J543" s="14"/>
      <c r="K543" s="14"/>
      <c r="L543" s="14"/>
      <c r="M543" s="14"/>
      <c r="N543" s="13"/>
      <c r="O543" s="13"/>
      <c r="P543" s="13"/>
      <c r="Q543" s="13"/>
      <c r="R543" s="13"/>
      <c r="S543" s="14"/>
      <c r="T543" s="14"/>
      <c r="U543" s="14"/>
      <c r="V543" s="14"/>
      <c r="W543" s="14"/>
      <c r="X543" s="14"/>
      <c r="Y543" s="14"/>
      <c r="Z543" s="13"/>
      <c r="AA543" s="13"/>
      <c r="AB543" s="13"/>
      <c r="AC543" s="13"/>
      <c r="AD543" s="13"/>
      <c r="AE543" s="14"/>
      <c r="AF543" s="14"/>
      <c r="AG543" s="14"/>
      <c r="AH543" s="14"/>
      <c r="AI543" s="14"/>
      <c r="AJ543" s="14"/>
      <c r="AK543" s="14"/>
    </row>
    <row r="544" spans="1:37">
      <c r="A544" s="23"/>
      <c r="B544" s="13"/>
      <c r="C544" s="13"/>
      <c r="D544" s="13"/>
      <c r="E544" s="13"/>
      <c r="F544" s="13"/>
      <c r="G544" s="14"/>
      <c r="H544" s="14"/>
      <c r="I544" s="14"/>
      <c r="J544" s="14"/>
      <c r="K544" s="14"/>
      <c r="L544" s="14"/>
      <c r="M544" s="14"/>
      <c r="N544" s="13"/>
      <c r="O544" s="13"/>
      <c r="P544" s="13"/>
      <c r="Q544" s="13"/>
      <c r="R544" s="13"/>
      <c r="S544" s="14"/>
      <c r="T544" s="14"/>
      <c r="U544" s="14"/>
      <c r="V544" s="14"/>
      <c r="W544" s="14"/>
      <c r="X544" s="14"/>
      <c r="Y544" s="14"/>
      <c r="Z544" s="13"/>
      <c r="AA544" s="13"/>
      <c r="AB544" s="13"/>
      <c r="AC544" s="13"/>
      <c r="AD544" s="13"/>
      <c r="AE544" s="14"/>
      <c r="AF544" s="14"/>
      <c r="AG544" s="14"/>
      <c r="AH544" s="14"/>
      <c r="AI544" s="14"/>
      <c r="AJ544" s="14"/>
      <c r="AK544" s="14"/>
    </row>
    <row r="545" spans="1:37">
      <c r="A545" s="23"/>
      <c r="B545" s="13"/>
      <c r="C545" s="13"/>
      <c r="D545" s="13"/>
      <c r="E545" s="13"/>
      <c r="F545" s="13"/>
      <c r="G545" s="14"/>
      <c r="H545" s="14"/>
      <c r="I545" s="14"/>
      <c r="J545" s="14"/>
      <c r="K545" s="14"/>
      <c r="L545" s="14"/>
      <c r="M545" s="14"/>
      <c r="N545" s="13"/>
      <c r="O545" s="13"/>
      <c r="P545" s="13"/>
      <c r="Q545" s="13"/>
      <c r="R545" s="13"/>
      <c r="S545" s="14"/>
      <c r="T545" s="14"/>
      <c r="U545" s="14"/>
      <c r="V545" s="14"/>
      <c r="W545" s="14"/>
      <c r="X545" s="14"/>
      <c r="Y545" s="14"/>
      <c r="Z545" s="13"/>
      <c r="AA545" s="13"/>
      <c r="AB545" s="13"/>
      <c r="AC545" s="13"/>
      <c r="AD545" s="13"/>
      <c r="AE545" s="14"/>
      <c r="AF545" s="14"/>
      <c r="AG545" s="14"/>
      <c r="AH545" s="14"/>
      <c r="AI545" s="14"/>
      <c r="AJ545" s="14"/>
      <c r="AK545" s="14"/>
    </row>
    <row r="546" spans="1:37">
      <c r="A546" s="23"/>
      <c r="B546" s="13"/>
      <c r="C546" s="13"/>
      <c r="D546" s="13"/>
      <c r="E546" s="13"/>
      <c r="F546" s="13"/>
      <c r="G546" s="14"/>
      <c r="H546" s="14"/>
      <c r="I546" s="14"/>
      <c r="J546" s="14"/>
      <c r="K546" s="14"/>
      <c r="L546" s="14"/>
      <c r="M546" s="14"/>
      <c r="N546" s="13"/>
      <c r="O546" s="13"/>
      <c r="P546" s="13"/>
      <c r="Q546" s="13"/>
      <c r="R546" s="13"/>
      <c r="S546" s="14"/>
      <c r="T546" s="14"/>
      <c r="U546" s="14"/>
      <c r="V546" s="14"/>
      <c r="W546" s="14"/>
      <c r="X546" s="14"/>
      <c r="Y546" s="14"/>
      <c r="Z546" s="13"/>
      <c r="AA546" s="13"/>
      <c r="AB546" s="13"/>
      <c r="AC546" s="13"/>
      <c r="AD546" s="13"/>
      <c r="AE546" s="14"/>
      <c r="AF546" s="14"/>
      <c r="AG546" s="14"/>
      <c r="AH546" s="14"/>
      <c r="AI546" s="14"/>
      <c r="AJ546" s="14"/>
      <c r="AK546" s="14"/>
    </row>
    <row r="547" spans="1:37">
      <c r="A547" s="23"/>
      <c r="B547" s="13"/>
      <c r="C547" s="13"/>
      <c r="D547" s="13"/>
      <c r="E547" s="13"/>
      <c r="F547" s="13"/>
      <c r="G547" s="14"/>
      <c r="H547" s="14"/>
      <c r="I547" s="14"/>
      <c r="J547" s="14"/>
      <c r="K547" s="14"/>
      <c r="L547" s="14"/>
      <c r="M547" s="14"/>
      <c r="N547" s="13"/>
      <c r="O547" s="13"/>
      <c r="P547" s="13"/>
      <c r="Q547" s="13"/>
      <c r="R547" s="13"/>
      <c r="S547" s="14"/>
      <c r="T547" s="14"/>
      <c r="U547" s="14"/>
      <c r="V547" s="14"/>
      <c r="W547" s="14"/>
      <c r="X547" s="14"/>
      <c r="Y547" s="14"/>
      <c r="Z547" s="13"/>
      <c r="AA547" s="13"/>
      <c r="AB547" s="13"/>
      <c r="AC547" s="13"/>
      <c r="AD547" s="13"/>
      <c r="AE547" s="14"/>
      <c r="AF547" s="14"/>
      <c r="AG547" s="14"/>
      <c r="AH547" s="14"/>
      <c r="AI547" s="14"/>
      <c r="AJ547" s="14"/>
      <c r="AK547" s="14"/>
    </row>
    <row r="548" spans="1:37">
      <c r="A548" s="23"/>
      <c r="B548" s="13"/>
      <c r="C548" s="13"/>
      <c r="D548" s="13"/>
      <c r="E548" s="13"/>
      <c r="F548" s="13"/>
      <c r="G548" s="14"/>
      <c r="H548" s="14"/>
      <c r="I548" s="14"/>
      <c r="J548" s="14"/>
      <c r="K548" s="14"/>
      <c r="L548" s="14"/>
      <c r="M548" s="14"/>
      <c r="N548" s="13"/>
      <c r="O548" s="13"/>
      <c r="P548" s="13"/>
      <c r="Q548" s="13"/>
      <c r="R548" s="13"/>
      <c r="S548" s="14"/>
      <c r="T548" s="14"/>
      <c r="U548" s="14"/>
      <c r="V548" s="14"/>
      <c r="W548" s="14"/>
      <c r="X548" s="14"/>
      <c r="Y548" s="14"/>
      <c r="Z548" s="13"/>
      <c r="AA548" s="13"/>
      <c r="AB548" s="13"/>
      <c r="AC548" s="13"/>
      <c r="AD548" s="13"/>
      <c r="AE548" s="14"/>
      <c r="AF548" s="14"/>
      <c r="AG548" s="14"/>
      <c r="AH548" s="14"/>
      <c r="AI548" s="14"/>
      <c r="AJ548" s="14"/>
      <c r="AK548" s="14"/>
    </row>
    <row r="549" spans="1:37">
      <c r="A549" s="23"/>
      <c r="B549" s="13"/>
      <c r="C549" s="13"/>
      <c r="D549" s="13"/>
      <c r="E549" s="13"/>
      <c r="F549" s="13"/>
      <c r="G549" s="14"/>
      <c r="H549" s="14"/>
      <c r="I549" s="14"/>
      <c r="J549" s="14"/>
      <c r="K549" s="14"/>
      <c r="L549" s="14"/>
      <c r="M549" s="14"/>
      <c r="N549" s="13"/>
      <c r="O549" s="13"/>
      <c r="P549" s="13"/>
      <c r="Q549" s="13"/>
      <c r="R549" s="13"/>
      <c r="S549" s="14"/>
      <c r="T549" s="14"/>
      <c r="U549" s="14"/>
      <c r="V549" s="14"/>
      <c r="W549" s="14"/>
      <c r="X549" s="14"/>
      <c r="Y549" s="14"/>
      <c r="Z549" s="13"/>
      <c r="AA549" s="13"/>
      <c r="AB549" s="13"/>
      <c r="AC549" s="13"/>
      <c r="AD549" s="13"/>
      <c r="AE549" s="14"/>
      <c r="AF549" s="14"/>
      <c r="AG549" s="14"/>
      <c r="AH549" s="14"/>
      <c r="AI549" s="14"/>
      <c r="AJ549" s="14"/>
      <c r="AK549" s="14"/>
    </row>
    <row r="550" spans="1:37">
      <c r="A550" s="23"/>
      <c r="B550" s="13"/>
      <c r="C550" s="13"/>
      <c r="D550" s="13"/>
      <c r="E550" s="13"/>
      <c r="F550" s="13"/>
      <c r="G550" s="14"/>
      <c r="H550" s="14"/>
      <c r="I550" s="14"/>
      <c r="J550" s="14"/>
      <c r="K550" s="14"/>
      <c r="L550" s="14"/>
      <c r="M550" s="14"/>
      <c r="N550" s="13"/>
      <c r="O550" s="13"/>
      <c r="P550" s="13"/>
      <c r="Q550" s="13"/>
      <c r="R550" s="13"/>
      <c r="S550" s="14"/>
      <c r="T550" s="14"/>
      <c r="U550" s="14"/>
      <c r="V550" s="14"/>
      <c r="W550" s="14"/>
      <c r="X550" s="14"/>
      <c r="Y550" s="14"/>
      <c r="Z550" s="13"/>
      <c r="AA550" s="13"/>
      <c r="AB550" s="13"/>
      <c r="AC550" s="13"/>
      <c r="AD550" s="13"/>
      <c r="AE550" s="14"/>
      <c r="AF550" s="14"/>
      <c r="AG550" s="14"/>
      <c r="AH550" s="14"/>
      <c r="AI550" s="14"/>
      <c r="AJ550" s="14"/>
      <c r="AK550" s="14"/>
    </row>
    <row r="551" spans="1:37">
      <c r="A551" s="23"/>
      <c r="B551" s="13"/>
      <c r="C551" s="13"/>
      <c r="D551" s="13"/>
      <c r="E551" s="13"/>
      <c r="F551" s="13"/>
      <c r="G551" s="14"/>
      <c r="H551" s="14"/>
      <c r="I551" s="14"/>
      <c r="J551" s="14"/>
      <c r="K551" s="14"/>
      <c r="L551" s="14"/>
      <c r="M551" s="14"/>
      <c r="N551" s="13"/>
      <c r="O551" s="13"/>
      <c r="P551" s="13"/>
      <c r="Q551" s="13"/>
      <c r="R551" s="13"/>
      <c r="S551" s="14"/>
      <c r="T551" s="14"/>
      <c r="U551" s="14"/>
      <c r="V551" s="14"/>
      <c r="W551" s="14"/>
      <c r="X551" s="14"/>
      <c r="Y551" s="14"/>
      <c r="Z551" s="13"/>
      <c r="AA551" s="13"/>
      <c r="AB551" s="13"/>
      <c r="AC551" s="13"/>
      <c r="AD551" s="13"/>
      <c r="AE551" s="14"/>
      <c r="AF551" s="14"/>
      <c r="AG551" s="14"/>
      <c r="AH551" s="14"/>
      <c r="AI551" s="14"/>
      <c r="AJ551" s="14"/>
      <c r="AK551" s="14"/>
    </row>
    <row r="552" spans="1:37">
      <c r="A552" s="23"/>
      <c r="B552" s="13"/>
      <c r="C552" s="13"/>
      <c r="D552" s="13"/>
      <c r="E552" s="13"/>
      <c r="F552" s="13"/>
      <c r="G552" s="14"/>
      <c r="H552" s="14"/>
      <c r="I552" s="14"/>
      <c r="J552" s="14"/>
      <c r="K552" s="14"/>
      <c r="L552" s="14"/>
      <c r="M552" s="14"/>
      <c r="N552" s="13"/>
      <c r="O552" s="13"/>
      <c r="P552" s="13"/>
      <c r="Q552" s="13"/>
      <c r="R552" s="13"/>
      <c r="S552" s="14"/>
      <c r="T552" s="14"/>
      <c r="U552" s="14"/>
      <c r="V552" s="14"/>
      <c r="W552" s="14"/>
      <c r="X552" s="14"/>
      <c r="Y552" s="14"/>
      <c r="Z552" s="13"/>
      <c r="AA552" s="13"/>
      <c r="AB552" s="13"/>
      <c r="AC552" s="13"/>
      <c r="AD552" s="13"/>
      <c r="AE552" s="14"/>
      <c r="AF552" s="14"/>
      <c r="AG552" s="14"/>
      <c r="AH552" s="14"/>
      <c r="AI552" s="14"/>
      <c r="AJ552" s="14"/>
      <c r="AK552" s="14"/>
    </row>
    <row r="553" spans="1:37">
      <c r="A553" s="23"/>
      <c r="B553" s="13"/>
      <c r="C553" s="13"/>
      <c r="D553" s="13"/>
      <c r="E553" s="13"/>
      <c r="F553" s="13"/>
      <c r="G553" s="14"/>
      <c r="H553" s="14"/>
      <c r="I553" s="14"/>
      <c r="J553" s="14"/>
      <c r="K553" s="14"/>
      <c r="L553" s="14"/>
      <c r="M553" s="14"/>
      <c r="N553" s="13"/>
      <c r="O553" s="13"/>
      <c r="P553" s="13"/>
      <c r="Q553" s="13"/>
      <c r="R553" s="13"/>
      <c r="S553" s="14"/>
      <c r="T553" s="14"/>
      <c r="U553" s="14"/>
      <c r="V553" s="14"/>
      <c r="W553" s="14"/>
      <c r="X553" s="14"/>
      <c r="Y553" s="14"/>
      <c r="Z553" s="13"/>
      <c r="AA553" s="13"/>
      <c r="AB553" s="13"/>
      <c r="AC553" s="13"/>
      <c r="AD553" s="13"/>
      <c r="AE553" s="14"/>
      <c r="AF553" s="14"/>
      <c r="AG553" s="14"/>
      <c r="AH553" s="14"/>
      <c r="AI553" s="14"/>
      <c r="AJ553" s="14"/>
      <c r="AK553" s="14"/>
    </row>
    <row r="554" spans="1:37">
      <c r="A554" s="23"/>
      <c r="B554" s="13"/>
      <c r="C554" s="13"/>
      <c r="D554" s="13"/>
      <c r="E554" s="13"/>
      <c r="F554" s="13"/>
      <c r="G554" s="14"/>
      <c r="H554" s="14"/>
      <c r="I554" s="14"/>
      <c r="J554" s="14"/>
      <c r="K554" s="14"/>
      <c r="L554" s="14"/>
      <c r="M554" s="14"/>
      <c r="N554" s="13"/>
      <c r="O554" s="13"/>
      <c r="P554" s="13"/>
      <c r="Q554" s="13"/>
      <c r="R554" s="13"/>
      <c r="S554" s="14"/>
      <c r="T554" s="14"/>
      <c r="U554" s="14"/>
      <c r="V554" s="14"/>
      <c r="W554" s="14"/>
      <c r="X554" s="14"/>
      <c r="Y554" s="14"/>
      <c r="Z554" s="13"/>
      <c r="AA554" s="13"/>
      <c r="AB554" s="13"/>
      <c r="AC554" s="13"/>
      <c r="AD554" s="13"/>
      <c r="AE554" s="14"/>
      <c r="AF554" s="14"/>
      <c r="AG554" s="14"/>
      <c r="AH554" s="14"/>
      <c r="AI554" s="14"/>
      <c r="AJ554" s="14"/>
      <c r="AK554" s="14"/>
    </row>
    <row r="555" spans="1:37">
      <c r="A555" s="23"/>
      <c r="B555" s="13"/>
      <c r="C555" s="13"/>
      <c r="D555" s="13"/>
      <c r="E555" s="13"/>
      <c r="F555" s="13"/>
      <c r="G555" s="14"/>
      <c r="H555" s="14"/>
      <c r="I555" s="14"/>
      <c r="J555" s="14"/>
      <c r="K555" s="14"/>
      <c r="L555" s="14"/>
      <c r="M555" s="14"/>
      <c r="N555" s="13"/>
      <c r="O555" s="13"/>
      <c r="P555" s="13"/>
      <c r="Q555" s="13"/>
      <c r="R555" s="13"/>
      <c r="S555" s="14"/>
      <c r="T555" s="14"/>
      <c r="U555" s="14"/>
      <c r="V555" s="14"/>
      <c r="W555" s="14"/>
      <c r="X555" s="14"/>
      <c r="Y555" s="14"/>
      <c r="Z555" s="13"/>
      <c r="AA555" s="13"/>
      <c r="AB555" s="13"/>
      <c r="AC555" s="13"/>
      <c r="AD555" s="13"/>
      <c r="AE555" s="14"/>
      <c r="AF555" s="14"/>
      <c r="AG555" s="14"/>
      <c r="AH555" s="14"/>
      <c r="AI555" s="14"/>
      <c r="AJ555" s="14"/>
      <c r="AK555" s="14"/>
    </row>
    <row r="556" spans="1:37">
      <c r="A556" s="23"/>
      <c r="B556" s="13"/>
      <c r="C556" s="13"/>
      <c r="D556" s="13"/>
      <c r="E556" s="13"/>
      <c r="F556" s="13"/>
      <c r="G556" s="14"/>
      <c r="H556" s="14"/>
      <c r="I556" s="14"/>
      <c r="J556" s="14"/>
      <c r="K556" s="14"/>
      <c r="L556" s="14"/>
      <c r="M556" s="14"/>
      <c r="N556" s="13"/>
      <c r="O556" s="13"/>
      <c r="P556" s="13"/>
      <c r="Q556" s="13"/>
      <c r="R556" s="13"/>
      <c r="S556" s="14"/>
      <c r="T556" s="14"/>
      <c r="U556" s="14"/>
      <c r="V556" s="14"/>
      <c r="W556" s="14"/>
      <c r="X556" s="14"/>
      <c r="Y556" s="14"/>
      <c r="Z556" s="13"/>
      <c r="AA556" s="13"/>
      <c r="AB556" s="13"/>
      <c r="AC556" s="13"/>
      <c r="AD556" s="13"/>
      <c r="AE556" s="14"/>
      <c r="AF556" s="14"/>
      <c r="AG556" s="14"/>
      <c r="AH556" s="14"/>
      <c r="AI556" s="14"/>
      <c r="AJ556" s="14"/>
      <c r="AK556" s="14"/>
    </row>
    <row r="557" spans="1:37">
      <c r="A557" s="23"/>
      <c r="B557" s="13"/>
      <c r="C557" s="13"/>
      <c r="D557" s="13"/>
      <c r="E557" s="13"/>
      <c r="F557" s="13"/>
      <c r="G557" s="14"/>
      <c r="H557" s="14"/>
      <c r="I557" s="14"/>
      <c r="J557" s="14"/>
      <c r="K557" s="14"/>
      <c r="L557" s="14"/>
      <c r="M557" s="14"/>
      <c r="N557" s="13"/>
      <c r="O557" s="13"/>
      <c r="P557" s="13"/>
      <c r="Q557" s="13"/>
      <c r="R557" s="13"/>
      <c r="S557" s="14"/>
      <c r="T557" s="14"/>
      <c r="U557" s="14"/>
      <c r="V557" s="14"/>
      <c r="W557" s="14"/>
      <c r="X557" s="14"/>
      <c r="Y557" s="14"/>
      <c r="Z557" s="13"/>
      <c r="AA557" s="13"/>
      <c r="AB557" s="13"/>
      <c r="AC557" s="13"/>
      <c r="AD557" s="13"/>
      <c r="AE557" s="14"/>
      <c r="AF557" s="14"/>
      <c r="AG557" s="14"/>
      <c r="AH557" s="14"/>
      <c r="AI557" s="14"/>
      <c r="AJ557" s="14"/>
      <c r="AK557" s="14"/>
    </row>
    <row r="558" spans="1:37">
      <c r="A558" s="23"/>
      <c r="B558" s="13"/>
      <c r="C558" s="13"/>
      <c r="D558" s="13"/>
      <c r="E558" s="13"/>
      <c r="F558" s="13"/>
      <c r="G558" s="14"/>
      <c r="H558" s="14"/>
      <c r="I558" s="14"/>
      <c r="J558" s="14"/>
      <c r="K558" s="14"/>
      <c r="L558" s="14"/>
      <c r="M558" s="14"/>
      <c r="N558" s="13"/>
      <c r="O558" s="13"/>
      <c r="P558" s="13"/>
      <c r="Q558" s="13"/>
      <c r="R558" s="13"/>
      <c r="S558" s="14"/>
      <c r="T558" s="14"/>
      <c r="U558" s="14"/>
      <c r="V558" s="14"/>
      <c r="W558" s="14"/>
      <c r="X558" s="14"/>
      <c r="Y558" s="14"/>
      <c r="Z558" s="13"/>
      <c r="AA558" s="13"/>
      <c r="AB558" s="13"/>
      <c r="AC558" s="13"/>
      <c r="AD558" s="13"/>
      <c r="AE558" s="14"/>
      <c r="AF558" s="14"/>
      <c r="AG558" s="14"/>
      <c r="AH558" s="14"/>
      <c r="AI558" s="14"/>
      <c r="AJ558" s="14"/>
      <c r="AK558" s="14"/>
    </row>
    <row r="559" spans="1:37">
      <c r="A559" s="23"/>
      <c r="B559" s="13"/>
      <c r="C559" s="13"/>
      <c r="D559" s="13"/>
      <c r="E559" s="13"/>
      <c r="F559" s="13"/>
      <c r="G559" s="14"/>
      <c r="H559" s="14"/>
      <c r="I559" s="14"/>
      <c r="J559" s="14"/>
      <c r="K559" s="14"/>
      <c r="L559" s="14"/>
      <c r="M559" s="14"/>
      <c r="N559" s="13"/>
      <c r="O559" s="13"/>
      <c r="P559" s="13"/>
      <c r="Q559" s="13"/>
      <c r="R559" s="13"/>
      <c r="S559" s="14"/>
      <c r="T559" s="14"/>
      <c r="U559" s="14"/>
      <c r="V559" s="14"/>
      <c r="W559" s="14"/>
      <c r="X559" s="14"/>
      <c r="Y559" s="14"/>
      <c r="Z559" s="13"/>
      <c r="AA559" s="13"/>
      <c r="AB559" s="13"/>
      <c r="AC559" s="13"/>
      <c r="AD559" s="13"/>
      <c r="AE559" s="14"/>
      <c r="AF559" s="14"/>
      <c r="AG559" s="14"/>
      <c r="AH559" s="14"/>
      <c r="AI559" s="14"/>
      <c r="AJ559" s="14"/>
      <c r="AK559" s="14"/>
    </row>
    <row r="560" spans="1:37">
      <c r="A560" s="23"/>
      <c r="B560" s="13"/>
      <c r="C560" s="13"/>
      <c r="D560" s="13"/>
      <c r="E560" s="13"/>
      <c r="F560" s="13"/>
      <c r="G560" s="14"/>
      <c r="H560" s="14"/>
      <c r="I560" s="14"/>
      <c r="J560" s="14"/>
      <c r="K560" s="14"/>
      <c r="L560" s="14"/>
      <c r="M560" s="14"/>
      <c r="N560" s="13"/>
      <c r="O560" s="13"/>
      <c r="P560" s="13"/>
      <c r="Q560" s="13"/>
      <c r="R560" s="13"/>
      <c r="S560" s="14"/>
      <c r="T560" s="14"/>
      <c r="U560" s="14"/>
      <c r="V560" s="14"/>
      <c r="W560" s="14"/>
      <c r="X560" s="14"/>
      <c r="Y560" s="14"/>
      <c r="Z560" s="13"/>
      <c r="AA560" s="13"/>
      <c r="AB560" s="13"/>
      <c r="AC560" s="13"/>
      <c r="AD560" s="13"/>
      <c r="AE560" s="14"/>
      <c r="AF560" s="14"/>
      <c r="AG560" s="14"/>
      <c r="AH560" s="14"/>
      <c r="AI560" s="14"/>
      <c r="AJ560" s="14"/>
      <c r="AK560" s="14"/>
    </row>
    <row r="561" spans="1:37">
      <c r="A561" s="23"/>
      <c r="B561" s="13"/>
      <c r="C561" s="13"/>
      <c r="D561" s="13"/>
      <c r="E561" s="13"/>
      <c r="F561" s="13"/>
      <c r="G561" s="14"/>
      <c r="H561" s="14"/>
      <c r="I561" s="14"/>
      <c r="J561" s="14"/>
      <c r="K561" s="14"/>
      <c r="L561" s="14"/>
      <c r="M561" s="14"/>
      <c r="N561" s="13"/>
      <c r="O561" s="13"/>
      <c r="P561" s="13"/>
      <c r="Q561" s="13"/>
      <c r="R561" s="13"/>
      <c r="S561" s="14"/>
      <c r="T561" s="14"/>
      <c r="U561" s="14"/>
      <c r="V561" s="14"/>
      <c r="W561" s="14"/>
      <c r="X561" s="14"/>
      <c r="Y561" s="14"/>
      <c r="Z561" s="13"/>
      <c r="AA561" s="13"/>
      <c r="AB561" s="13"/>
      <c r="AC561" s="13"/>
      <c r="AD561" s="13"/>
      <c r="AE561" s="14"/>
      <c r="AF561" s="14"/>
      <c r="AG561" s="14"/>
      <c r="AH561" s="14"/>
      <c r="AI561" s="14"/>
      <c r="AJ561" s="14"/>
      <c r="AK561" s="14"/>
    </row>
    <row r="562" spans="1:37">
      <c r="A562" s="23"/>
      <c r="B562" s="13"/>
      <c r="C562" s="13"/>
      <c r="D562" s="13"/>
      <c r="E562" s="13"/>
      <c r="F562" s="13"/>
      <c r="G562" s="14"/>
      <c r="H562" s="14"/>
      <c r="I562" s="14"/>
      <c r="J562" s="14"/>
      <c r="K562" s="14"/>
      <c r="L562" s="14"/>
      <c r="M562" s="14"/>
      <c r="N562" s="13"/>
      <c r="O562" s="13"/>
      <c r="P562" s="13"/>
      <c r="Q562" s="13"/>
      <c r="R562" s="13"/>
      <c r="S562" s="14"/>
      <c r="T562" s="14"/>
      <c r="U562" s="14"/>
      <c r="V562" s="14"/>
      <c r="W562" s="14"/>
      <c r="X562" s="14"/>
      <c r="Y562" s="14"/>
      <c r="Z562" s="13"/>
      <c r="AA562" s="13"/>
      <c r="AB562" s="13"/>
      <c r="AC562" s="13"/>
      <c r="AD562" s="13"/>
      <c r="AE562" s="14"/>
      <c r="AF562" s="14"/>
      <c r="AG562" s="14"/>
      <c r="AH562" s="14"/>
      <c r="AI562" s="14"/>
      <c r="AJ562" s="14"/>
      <c r="AK562" s="14"/>
    </row>
    <row r="563" spans="1:37">
      <c r="A563" s="23"/>
      <c r="B563" s="13"/>
      <c r="C563" s="13"/>
      <c r="D563" s="13"/>
      <c r="E563" s="13"/>
      <c r="F563" s="13"/>
      <c r="G563" s="14"/>
      <c r="H563" s="14"/>
      <c r="I563" s="14"/>
      <c r="J563" s="14"/>
      <c r="K563" s="14"/>
      <c r="L563" s="14"/>
      <c r="M563" s="14"/>
      <c r="N563" s="13"/>
      <c r="O563" s="13"/>
      <c r="P563" s="13"/>
      <c r="Q563" s="13"/>
      <c r="R563" s="13"/>
      <c r="S563" s="14"/>
      <c r="T563" s="14"/>
      <c r="U563" s="14"/>
      <c r="V563" s="14"/>
      <c r="W563" s="14"/>
      <c r="X563" s="14"/>
      <c r="Y563" s="14"/>
      <c r="Z563" s="13"/>
      <c r="AA563" s="13"/>
      <c r="AB563" s="13"/>
      <c r="AC563" s="13"/>
      <c r="AD563" s="13"/>
      <c r="AE563" s="14"/>
      <c r="AF563" s="14"/>
      <c r="AG563" s="14"/>
      <c r="AH563" s="14"/>
      <c r="AI563" s="14"/>
      <c r="AJ563" s="14"/>
      <c r="AK563" s="14"/>
    </row>
    <row r="564" spans="1:37">
      <c r="A564" s="23"/>
      <c r="B564" s="13"/>
      <c r="C564" s="13"/>
      <c r="D564" s="13"/>
      <c r="E564" s="13"/>
      <c r="F564" s="13"/>
      <c r="G564" s="14"/>
      <c r="H564" s="14"/>
      <c r="I564" s="14"/>
      <c r="J564" s="14"/>
      <c r="K564" s="14"/>
      <c r="L564" s="14"/>
      <c r="M564" s="14"/>
      <c r="N564" s="13"/>
      <c r="O564" s="13"/>
      <c r="P564" s="13"/>
      <c r="Q564" s="13"/>
      <c r="R564" s="13"/>
      <c r="S564" s="14"/>
      <c r="T564" s="14"/>
      <c r="U564" s="14"/>
      <c r="V564" s="14"/>
      <c r="W564" s="14"/>
      <c r="X564" s="14"/>
      <c r="Y564" s="14"/>
      <c r="Z564" s="13"/>
      <c r="AA564" s="13"/>
      <c r="AB564" s="13"/>
      <c r="AC564" s="13"/>
      <c r="AD564" s="13"/>
      <c r="AE564" s="14"/>
      <c r="AF564" s="14"/>
      <c r="AG564" s="14"/>
      <c r="AH564" s="14"/>
      <c r="AI564" s="14"/>
      <c r="AJ564" s="14"/>
      <c r="AK564" s="14"/>
    </row>
    <row r="565" spans="1:37">
      <c r="A565" s="23"/>
      <c r="B565" s="13"/>
      <c r="C565" s="13"/>
      <c r="D565" s="13"/>
      <c r="E565" s="13"/>
      <c r="F565" s="13"/>
      <c r="G565" s="14"/>
      <c r="H565" s="14"/>
      <c r="I565" s="14"/>
      <c r="J565" s="14"/>
      <c r="K565" s="14"/>
      <c r="L565" s="14"/>
      <c r="M565" s="14"/>
      <c r="N565" s="13"/>
      <c r="O565" s="13"/>
      <c r="P565" s="13"/>
      <c r="Q565" s="13"/>
      <c r="R565" s="13"/>
      <c r="S565" s="14"/>
      <c r="T565" s="14"/>
      <c r="U565" s="14"/>
      <c r="V565" s="14"/>
      <c r="W565" s="14"/>
      <c r="X565" s="14"/>
      <c r="Y565" s="14"/>
      <c r="Z565" s="13"/>
      <c r="AA565" s="13"/>
      <c r="AB565" s="13"/>
      <c r="AC565" s="13"/>
      <c r="AD565" s="13"/>
      <c r="AE565" s="14"/>
      <c r="AF565" s="14"/>
      <c r="AG565" s="14"/>
      <c r="AH565" s="14"/>
      <c r="AI565" s="14"/>
      <c r="AJ565" s="14"/>
      <c r="AK565" s="14"/>
    </row>
    <row r="566" spans="1:37">
      <c r="A566" s="23"/>
      <c r="B566" s="13"/>
      <c r="C566" s="13"/>
      <c r="D566" s="13"/>
      <c r="E566" s="13"/>
      <c r="F566" s="13"/>
      <c r="G566" s="14"/>
      <c r="H566" s="14"/>
      <c r="I566" s="14"/>
      <c r="J566" s="14"/>
      <c r="K566" s="14"/>
      <c r="L566" s="14"/>
      <c r="M566" s="14"/>
      <c r="N566" s="13"/>
      <c r="O566" s="13"/>
      <c r="P566" s="13"/>
      <c r="Q566" s="13"/>
      <c r="R566" s="13"/>
      <c r="S566" s="14"/>
      <c r="T566" s="14"/>
      <c r="U566" s="14"/>
      <c r="V566" s="14"/>
      <c r="W566" s="14"/>
      <c r="X566" s="14"/>
      <c r="Y566" s="14"/>
      <c r="Z566" s="13"/>
      <c r="AA566" s="13"/>
      <c r="AB566" s="13"/>
      <c r="AC566" s="13"/>
      <c r="AD566" s="13"/>
      <c r="AE566" s="14"/>
      <c r="AF566" s="14"/>
      <c r="AG566" s="14"/>
      <c r="AH566" s="14"/>
      <c r="AI566" s="14"/>
      <c r="AJ566" s="14"/>
      <c r="AK566" s="14"/>
    </row>
    <row r="567" spans="1:37">
      <c r="A567" s="23"/>
      <c r="B567" s="13"/>
      <c r="C567" s="13"/>
      <c r="D567" s="13"/>
      <c r="E567" s="13"/>
      <c r="F567" s="13"/>
      <c r="G567" s="14"/>
      <c r="H567" s="14"/>
      <c r="I567" s="14"/>
      <c r="J567" s="14"/>
      <c r="K567" s="14"/>
      <c r="L567" s="14"/>
      <c r="M567" s="14"/>
      <c r="N567" s="13"/>
      <c r="O567" s="13"/>
      <c r="P567" s="13"/>
      <c r="Q567" s="13"/>
      <c r="R567" s="13"/>
      <c r="S567" s="14"/>
      <c r="T567" s="14"/>
      <c r="U567" s="14"/>
      <c r="V567" s="14"/>
      <c r="W567" s="14"/>
      <c r="X567" s="14"/>
      <c r="Y567" s="14"/>
      <c r="Z567" s="13"/>
      <c r="AA567" s="13"/>
      <c r="AB567" s="13"/>
      <c r="AC567" s="13"/>
      <c r="AD567" s="13"/>
      <c r="AE567" s="14"/>
      <c r="AF567" s="14"/>
      <c r="AG567" s="14"/>
      <c r="AH567" s="14"/>
      <c r="AI567" s="14"/>
      <c r="AJ567" s="14"/>
      <c r="AK567" s="14"/>
    </row>
    <row r="568" spans="1:37">
      <c r="A568" s="23"/>
      <c r="B568" s="13"/>
      <c r="C568" s="13"/>
      <c r="D568" s="13"/>
      <c r="E568" s="13"/>
      <c r="F568" s="13"/>
      <c r="G568" s="14"/>
      <c r="H568" s="14"/>
      <c r="I568" s="14"/>
      <c r="J568" s="14"/>
      <c r="K568" s="14"/>
      <c r="L568" s="14"/>
      <c r="M568" s="14"/>
      <c r="N568" s="13"/>
      <c r="O568" s="13"/>
      <c r="P568" s="13"/>
      <c r="Q568" s="13"/>
      <c r="R568" s="13"/>
      <c r="S568" s="14"/>
      <c r="T568" s="14"/>
      <c r="U568" s="14"/>
      <c r="V568" s="14"/>
      <c r="W568" s="14"/>
      <c r="X568" s="14"/>
      <c r="Y568" s="14"/>
      <c r="Z568" s="13"/>
      <c r="AA568" s="13"/>
      <c r="AB568" s="13"/>
      <c r="AC568" s="13"/>
      <c r="AD568" s="13"/>
      <c r="AE568" s="14"/>
      <c r="AF568" s="14"/>
      <c r="AG568" s="14"/>
      <c r="AH568" s="14"/>
      <c r="AI568" s="14"/>
      <c r="AJ568" s="14"/>
      <c r="AK568" s="14"/>
    </row>
    <row r="569" spans="1:37">
      <c r="A569" s="23"/>
      <c r="B569" s="13"/>
      <c r="C569" s="13"/>
      <c r="D569" s="13"/>
      <c r="E569" s="13"/>
      <c r="F569" s="13"/>
      <c r="G569" s="14"/>
      <c r="H569" s="14"/>
      <c r="I569" s="14"/>
      <c r="J569" s="14"/>
      <c r="K569" s="14"/>
      <c r="L569" s="14"/>
      <c r="M569" s="14"/>
      <c r="N569" s="13"/>
      <c r="O569" s="13"/>
      <c r="P569" s="13"/>
      <c r="Q569" s="13"/>
      <c r="R569" s="13"/>
      <c r="S569" s="14"/>
      <c r="T569" s="14"/>
      <c r="U569" s="14"/>
      <c r="V569" s="14"/>
      <c r="W569" s="14"/>
      <c r="X569" s="14"/>
      <c r="Y569" s="14"/>
      <c r="Z569" s="13"/>
      <c r="AA569" s="13"/>
      <c r="AB569" s="13"/>
      <c r="AC569" s="13"/>
      <c r="AD569" s="13"/>
      <c r="AE569" s="14"/>
      <c r="AF569" s="14"/>
      <c r="AG569" s="14"/>
      <c r="AH569" s="14"/>
      <c r="AI569" s="14"/>
      <c r="AJ569" s="14"/>
      <c r="AK569" s="14"/>
    </row>
    <row r="570" spans="1:37">
      <c r="A570" s="23"/>
      <c r="B570" s="13"/>
      <c r="C570" s="13"/>
      <c r="D570" s="13"/>
      <c r="E570" s="13"/>
      <c r="F570" s="13"/>
      <c r="G570" s="14"/>
      <c r="H570" s="14"/>
      <c r="I570" s="14"/>
      <c r="J570" s="14"/>
      <c r="K570" s="14"/>
      <c r="L570" s="14"/>
      <c r="M570" s="14"/>
      <c r="N570" s="13"/>
      <c r="O570" s="13"/>
      <c r="P570" s="13"/>
      <c r="Q570" s="13"/>
      <c r="R570" s="13"/>
      <c r="S570" s="14"/>
      <c r="T570" s="14"/>
      <c r="U570" s="14"/>
      <c r="V570" s="14"/>
      <c r="W570" s="14"/>
      <c r="X570" s="14"/>
      <c r="Y570" s="14"/>
      <c r="Z570" s="13"/>
      <c r="AA570" s="13"/>
      <c r="AB570" s="13"/>
      <c r="AC570" s="13"/>
      <c r="AD570" s="13"/>
      <c r="AE570" s="14"/>
      <c r="AF570" s="14"/>
      <c r="AG570" s="14"/>
      <c r="AH570" s="14"/>
      <c r="AI570" s="14"/>
      <c r="AJ570" s="14"/>
      <c r="AK570" s="14"/>
    </row>
    <row r="571" spans="1:37">
      <c r="A571" s="23"/>
      <c r="B571" s="13"/>
      <c r="C571" s="13"/>
      <c r="D571" s="13"/>
      <c r="E571" s="13"/>
      <c r="F571" s="13"/>
      <c r="G571" s="14"/>
      <c r="H571" s="14"/>
      <c r="I571" s="14"/>
      <c r="J571" s="14"/>
      <c r="K571" s="14"/>
      <c r="L571" s="14"/>
      <c r="M571" s="14"/>
      <c r="N571" s="13"/>
      <c r="O571" s="13"/>
      <c r="P571" s="13"/>
      <c r="Q571" s="13"/>
      <c r="R571" s="13"/>
      <c r="S571" s="14"/>
      <c r="T571" s="14"/>
      <c r="U571" s="14"/>
      <c r="V571" s="14"/>
      <c r="W571" s="14"/>
      <c r="X571" s="14"/>
      <c r="Y571" s="14"/>
      <c r="Z571" s="13"/>
      <c r="AA571" s="13"/>
      <c r="AB571" s="13"/>
      <c r="AC571" s="13"/>
      <c r="AD571" s="13"/>
      <c r="AE571" s="14"/>
      <c r="AF571" s="14"/>
      <c r="AG571" s="14"/>
      <c r="AH571" s="14"/>
      <c r="AI571" s="14"/>
      <c r="AJ571" s="14"/>
      <c r="AK571" s="14"/>
    </row>
    <row r="572" spans="1:37">
      <c r="A572" s="23"/>
      <c r="B572" s="13"/>
      <c r="C572" s="13"/>
      <c r="D572" s="13"/>
      <c r="E572" s="13"/>
      <c r="F572" s="13"/>
      <c r="G572" s="14"/>
      <c r="H572" s="14"/>
      <c r="I572" s="14"/>
      <c r="J572" s="14"/>
      <c r="K572" s="14"/>
      <c r="L572" s="14"/>
      <c r="M572" s="14"/>
      <c r="N572" s="13"/>
      <c r="O572" s="13"/>
      <c r="P572" s="13"/>
      <c r="Q572" s="13"/>
      <c r="R572" s="13"/>
      <c r="S572" s="14"/>
      <c r="T572" s="14"/>
      <c r="U572" s="14"/>
      <c r="V572" s="14"/>
      <c r="W572" s="14"/>
      <c r="X572" s="14"/>
      <c r="Y572" s="14"/>
      <c r="Z572" s="13"/>
      <c r="AA572" s="13"/>
      <c r="AB572" s="13"/>
      <c r="AC572" s="13"/>
      <c r="AD572" s="13"/>
      <c r="AE572" s="14"/>
      <c r="AF572" s="14"/>
      <c r="AG572" s="14"/>
      <c r="AH572" s="14"/>
      <c r="AI572" s="14"/>
      <c r="AJ572" s="14"/>
      <c r="AK572" s="14"/>
    </row>
    <row r="573" spans="1:37">
      <c r="A573" s="23"/>
      <c r="B573" s="13"/>
      <c r="C573" s="13"/>
      <c r="D573" s="13"/>
      <c r="E573" s="13"/>
      <c r="F573" s="13"/>
      <c r="G573" s="14"/>
      <c r="H573" s="14"/>
      <c r="I573" s="14"/>
      <c r="J573" s="14"/>
      <c r="K573" s="14"/>
      <c r="L573" s="14"/>
      <c r="M573" s="14"/>
      <c r="N573" s="13"/>
      <c r="O573" s="13"/>
      <c r="P573" s="13"/>
      <c r="Q573" s="13"/>
      <c r="R573" s="13"/>
      <c r="S573" s="14"/>
      <c r="T573" s="14"/>
      <c r="U573" s="14"/>
      <c r="V573" s="14"/>
      <c r="W573" s="14"/>
      <c r="X573" s="14"/>
      <c r="Y573" s="14"/>
      <c r="Z573" s="13"/>
      <c r="AA573" s="13"/>
      <c r="AB573" s="13"/>
      <c r="AC573" s="13"/>
      <c r="AD573" s="13"/>
      <c r="AE573" s="14"/>
      <c r="AF573" s="14"/>
      <c r="AG573" s="14"/>
      <c r="AH573" s="14"/>
      <c r="AI573" s="14"/>
      <c r="AJ573" s="14"/>
      <c r="AK573" s="14"/>
    </row>
    <row r="574" spans="1:37">
      <c r="A574" s="23"/>
      <c r="B574" s="13"/>
      <c r="C574" s="13"/>
      <c r="D574" s="13"/>
      <c r="E574" s="13"/>
      <c r="F574" s="13"/>
      <c r="G574" s="14"/>
      <c r="H574" s="14"/>
      <c r="I574" s="14"/>
      <c r="J574" s="14"/>
      <c r="K574" s="14"/>
      <c r="L574" s="14"/>
      <c r="M574" s="14"/>
      <c r="N574" s="13"/>
      <c r="O574" s="13"/>
      <c r="P574" s="13"/>
      <c r="Q574" s="13"/>
      <c r="R574" s="13"/>
      <c r="S574" s="14"/>
      <c r="T574" s="14"/>
      <c r="U574" s="14"/>
      <c r="V574" s="14"/>
      <c r="W574" s="14"/>
      <c r="X574" s="14"/>
      <c r="Y574" s="14"/>
      <c r="Z574" s="13"/>
      <c r="AA574" s="13"/>
      <c r="AB574" s="13"/>
      <c r="AC574" s="13"/>
      <c r="AD574" s="13"/>
      <c r="AE574" s="14"/>
      <c r="AF574" s="14"/>
      <c r="AG574" s="14"/>
      <c r="AH574" s="14"/>
      <c r="AI574" s="14"/>
      <c r="AJ574" s="14"/>
      <c r="AK574" s="14"/>
    </row>
    <row r="575" spans="1:37">
      <c r="A575" s="23"/>
      <c r="B575" s="13"/>
      <c r="C575" s="13"/>
      <c r="D575" s="13"/>
      <c r="E575" s="13"/>
      <c r="F575" s="13"/>
      <c r="G575" s="14"/>
      <c r="H575" s="14"/>
      <c r="I575" s="14"/>
      <c r="J575" s="14"/>
      <c r="K575" s="14"/>
      <c r="L575" s="14"/>
      <c r="M575" s="14"/>
      <c r="N575" s="13"/>
      <c r="O575" s="13"/>
      <c r="P575" s="13"/>
      <c r="Q575" s="13"/>
      <c r="R575" s="13"/>
      <c r="S575" s="14"/>
      <c r="T575" s="14"/>
      <c r="U575" s="14"/>
      <c r="V575" s="14"/>
      <c r="W575" s="14"/>
      <c r="X575" s="14"/>
      <c r="Y575" s="14"/>
      <c r="Z575" s="13"/>
      <c r="AA575" s="13"/>
      <c r="AB575" s="13"/>
      <c r="AC575" s="13"/>
      <c r="AD575" s="13"/>
      <c r="AE575" s="14"/>
      <c r="AF575" s="14"/>
      <c r="AG575" s="14"/>
      <c r="AH575" s="14"/>
      <c r="AI575" s="14"/>
      <c r="AJ575" s="14"/>
      <c r="AK575" s="14"/>
    </row>
    <row r="576" spans="1:37">
      <c r="A576" s="23"/>
      <c r="B576" s="13"/>
      <c r="C576" s="13"/>
      <c r="D576" s="13"/>
      <c r="E576" s="13"/>
      <c r="F576" s="13"/>
      <c r="G576" s="14"/>
      <c r="H576" s="14"/>
      <c r="I576" s="14"/>
      <c r="J576" s="14"/>
      <c r="K576" s="14"/>
      <c r="L576" s="14"/>
      <c r="M576" s="14"/>
      <c r="N576" s="13"/>
      <c r="O576" s="13"/>
      <c r="P576" s="13"/>
      <c r="Q576" s="13"/>
      <c r="R576" s="13"/>
      <c r="S576" s="14"/>
      <c r="T576" s="14"/>
      <c r="U576" s="14"/>
      <c r="V576" s="14"/>
      <c r="W576" s="14"/>
      <c r="X576" s="14"/>
      <c r="Y576" s="14"/>
      <c r="Z576" s="13"/>
      <c r="AA576" s="13"/>
      <c r="AB576" s="13"/>
      <c r="AC576" s="13"/>
      <c r="AD576" s="13"/>
      <c r="AE576" s="14"/>
      <c r="AF576" s="14"/>
      <c r="AG576" s="14"/>
      <c r="AH576" s="14"/>
      <c r="AI576" s="14"/>
      <c r="AJ576" s="14"/>
      <c r="AK576" s="14"/>
    </row>
    <row r="577" spans="1:37">
      <c r="A577" s="23"/>
      <c r="B577" s="13"/>
      <c r="C577" s="13"/>
      <c r="D577" s="13"/>
      <c r="E577" s="13"/>
      <c r="F577" s="13"/>
      <c r="G577" s="14"/>
      <c r="H577" s="14"/>
      <c r="I577" s="14"/>
      <c r="J577" s="14"/>
      <c r="K577" s="14"/>
      <c r="L577" s="14"/>
      <c r="M577" s="14"/>
      <c r="N577" s="13"/>
      <c r="O577" s="13"/>
      <c r="P577" s="13"/>
      <c r="Q577" s="13"/>
      <c r="R577" s="13"/>
      <c r="S577" s="14"/>
      <c r="T577" s="14"/>
      <c r="U577" s="14"/>
      <c r="V577" s="14"/>
      <c r="W577" s="14"/>
      <c r="X577" s="14"/>
      <c r="Y577" s="14"/>
      <c r="Z577" s="13"/>
      <c r="AA577" s="13"/>
      <c r="AB577" s="13"/>
      <c r="AC577" s="13"/>
      <c r="AD577" s="13"/>
      <c r="AE577" s="14"/>
      <c r="AF577" s="14"/>
      <c r="AG577" s="14"/>
      <c r="AH577" s="14"/>
      <c r="AI577" s="14"/>
      <c r="AJ577" s="14"/>
      <c r="AK577" s="14"/>
    </row>
    <row r="578" spans="1:37">
      <c r="A578" s="23"/>
      <c r="B578" s="13"/>
      <c r="C578" s="13"/>
      <c r="D578" s="13"/>
      <c r="E578" s="13"/>
      <c r="F578" s="13"/>
      <c r="G578" s="14"/>
      <c r="H578" s="14"/>
      <c r="I578" s="14"/>
      <c r="J578" s="14"/>
      <c r="K578" s="14"/>
      <c r="L578" s="14"/>
      <c r="M578" s="14"/>
      <c r="N578" s="13"/>
      <c r="O578" s="13"/>
      <c r="P578" s="13"/>
      <c r="Q578" s="13"/>
      <c r="R578" s="13"/>
      <c r="S578" s="14"/>
      <c r="T578" s="14"/>
      <c r="U578" s="14"/>
      <c r="V578" s="14"/>
      <c r="W578" s="14"/>
      <c r="X578" s="14"/>
      <c r="Y578" s="14"/>
      <c r="Z578" s="13"/>
      <c r="AA578" s="13"/>
      <c r="AB578" s="13"/>
      <c r="AC578" s="13"/>
      <c r="AD578" s="13"/>
      <c r="AE578" s="14"/>
      <c r="AF578" s="14"/>
      <c r="AG578" s="14"/>
      <c r="AH578" s="14"/>
      <c r="AI578" s="14"/>
      <c r="AJ578" s="14"/>
      <c r="AK578" s="14"/>
    </row>
    <row r="579" spans="1:37">
      <c r="A579" s="23"/>
      <c r="B579" s="13"/>
      <c r="C579" s="13"/>
      <c r="D579" s="13"/>
      <c r="E579" s="13"/>
      <c r="F579" s="13"/>
      <c r="G579" s="14"/>
      <c r="H579" s="14"/>
      <c r="I579" s="14"/>
      <c r="J579" s="14"/>
      <c r="K579" s="14"/>
      <c r="L579" s="14"/>
      <c r="M579" s="14"/>
      <c r="N579" s="13"/>
      <c r="O579" s="13"/>
      <c r="P579" s="13"/>
      <c r="Q579" s="13"/>
      <c r="R579" s="13"/>
      <c r="S579" s="14"/>
      <c r="T579" s="14"/>
      <c r="U579" s="14"/>
      <c r="V579" s="14"/>
      <c r="W579" s="14"/>
      <c r="X579" s="14"/>
      <c r="Y579" s="14"/>
      <c r="Z579" s="13"/>
      <c r="AA579" s="13"/>
      <c r="AB579" s="13"/>
      <c r="AC579" s="13"/>
      <c r="AD579" s="13"/>
      <c r="AE579" s="14"/>
      <c r="AF579" s="14"/>
      <c r="AG579" s="14"/>
      <c r="AH579" s="14"/>
      <c r="AI579" s="14"/>
      <c r="AJ579" s="14"/>
      <c r="AK579" s="14"/>
    </row>
    <row r="580" spans="1:37">
      <c r="A580" s="23"/>
      <c r="B580" s="13"/>
      <c r="C580" s="13"/>
      <c r="D580" s="13"/>
      <c r="E580" s="13"/>
      <c r="F580" s="13"/>
      <c r="G580" s="14"/>
      <c r="H580" s="14"/>
      <c r="I580" s="14"/>
      <c r="J580" s="14"/>
      <c r="K580" s="14"/>
      <c r="L580" s="14"/>
      <c r="M580" s="14"/>
      <c r="N580" s="13"/>
      <c r="O580" s="13"/>
      <c r="P580" s="13"/>
      <c r="Q580" s="13"/>
      <c r="R580" s="13"/>
      <c r="S580" s="14"/>
      <c r="T580" s="14"/>
      <c r="U580" s="14"/>
      <c r="V580" s="14"/>
      <c r="W580" s="14"/>
      <c r="X580" s="14"/>
      <c r="Y580" s="14"/>
      <c r="Z580" s="13"/>
      <c r="AA580" s="13"/>
      <c r="AB580" s="13"/>
      <c r="AC580" s="13"/>
      <c r="AD580" s="13"/>
      <c r="AE580" s="14"/>
      <c r="AF580" s="14"/>
      <c r="AG580" s="14"/>
      <c r="AH580" s="14"/>
      <c r="AI580" s="14"/>
      <c r="AJ580" s="14"/>
      <c r="AK580" s="14"/>
    </row>
    <row r="581" spans="1:37">
      <c r="A581" s="23"/>
      <c r="B581" s="13"/>
      <c r="C581" s="13"/>
      <c r="D581" s="13"/>
      <c r="E581" s="13"/>
      <c r="F581" s="13"/>
      <c r="G581" s="14"/>
      <c r="H581" s="14"/>
      <c r="I581" s="14"/>
      <c r="J581" s="14"/>
      <c r="K581" s="14"/>
      <c r="L581" s="14"/>
      <c r="M581" s="14"/>
      <c r="N581" s="13"/>
      <c r="O581" s="13"/>
      <c r="P581" s="13"/>
      <c r="Q581" s="13"/>
      <c r="R581" s="13"/>
      <c r="S581" s="14"/>
      <c r="T581" s="14"/>
      <c r="U581" s="14"/>
      <c r="V581" s="14"/>
      <c r="W581" s="14"/>
      <c r="X581" s="14"/>
      <c r="Y581" s="14"/>
      <c r="Z581" s="13"/>
      <c r="AA581" s="13"/>
      <c r="AB581" s="13"/>
      <c r="AC581" s="13"/>
      <c r="AD581" s="13"/>
      <c r="AE581" s="14"/>
      <c r="AF581" s="14"/>
      <c r="AG581" s="14"/>
      <c r="AH581" s="14"/>
      <c r="AI581" s="14"/>
      <c r="AJ581" s="14"/>
      <c r="AK581" s="14"/>
    </row>
    <row r="582" spans="1:37">
      <c r="A582" s="23"/>
      <c r="B582" s="13"/>
      <c r="C582" s="13"/>
      <c r="D582" s="13"/>
      <c r="E582" s="13"/>
      <c r="F582" s="13"/>
      <c r="G582" s="14"/>
      <c r="H582" s="14"/>
      <c r="I582" s="14"/>
      <c r="J582" s="14"/>
      <c r="K582" s="14"/>
      <c r="L582" s="14"/>
      <c r="M582" s="14"/>
      <c r="N582" s="13"/>
      <c r="O582" s="13"/>
      <c r="P582" s="13"/>
      <c r="Q582" s="13"/>
      <c r="R582" s="13"/>
      <c r="S582" s="14"/>
      <c r="T582" s="14"/>
      <c r="U582" s="14"/>
      <c r="V582" s="14"/>
      <c r="W582" s="14"/>
      <c r="X582" s="14"/>
      <c r="Y582" s="14"/>
      <c r="Z582" s="13"/>
      <c r="AA582" s="13"/>
      <c r="AB582" s="13"/>
      <c r="AC582" s="13"/>
      <c r="AD582" s="13"/>
      <c r="AE582" s="14"/>
      <c r="AF582" s="14"/>
      <c r="AG582" s="14"/>
      <c r="AH582" s="14"/>
      <c r="AI582" s="14"/>
      <c r="AJ582" s="14"/>
      <c r="AK582" s="14"/>
    </row>
    <row r="583" spans="1:37">
      <c r="A583" s="23"/>
      <c r="B583" s="13"/>
      <c r="C583" s="13"/>
      <c r="D583" s="13"/>
      <c r="E583" s="13"/>
      <c r="F583" s="13"/>
      <c r="G583" s="14"/>
      <c r="H583" s="14"/>
      <c r="I583" s="14"/>
      <c r="J583" s="14"/>
      <c r="K583" s="14"/>
      <c r="L583" s="14"/>
      <c r="M583" s="14"/>
      <c r="N583" s="13"/>
      <c r="O583" s="13"/>
      <c r="P583" s="13"/>
      <c r="Q583" s="13"/>
      <c r="R583" s="13"/>
      <c r="S583" s="14"/>
      <c r="T583" s="14"/>
      <c r="U583" s="14"/>
      <c r="V583" s="14"/>
      <c r="W583" s="14"/>
      <c r="X583" s="14"/>
      <c r="Y583" s="14"/>
      <c r="Z583" s="13"/>
      <c r="AA583" s="13"/>
      <c r="AB583" s="13"/>
      <c r="AC583" s="13"/>
      <c r="AD583" s="13"/>
      <c r="AE583" s="14"/>
      <c r="AF583" s="14"/>
      <c r="AG583" s="14"/>
      <c r="AH583" s="14"/>
      <c r="AI583" s="14"/>
      <c r="AJ583" s="14"/>
      <c r="AK583" s="14"/>
    </row>
    <row r="584" spans="1:37">
      <c r="A584" s="23"/>
      <c r="B584" s="13"/>
      <c r="C584" s="13"/>
      <c r="D584" s="13"/>
      <c r="E584" s="13"/>
      <c r="F584" s="13"/>
      <c r="G584" s="14"/>
      <c r="H584" s="14"/>
      <c r="I584" s="14"/>
      <c r="J584" s="14"/>
      <c r="K584" s="14"/>
      <c r="L584" s="14"/>
      <c r="M584" s="14"/>
      <c r="N584" s="13"/>
      <c r="O584" s="13"/>
      <c r="P584" s="13"/>
      <c r="Q584" s="13"/>
      <c r="R584" s="13"/>
      <c r="S584" s="14"/>
      <c r="T584" s="14"/>
      <c r="U584" s="14"/>
      <c r="V584" s="14"/>
      <c r="W584" s="14"/>
      <c r="X584" s="14"/>
      <c r="Y584" s="14"/>
      <c r="Z584" s="13"/>
      <c r="AA584" s="13"/>
      <c r="AB584" s="13"/>
      <c r="AC584" s="13"/>
      <c r="AD584" s="13"/>
      <c r="AE584" s="14"/>
      <c r="AF584" s="14"/>
      <c r="AG584" s="14"/>
      <c r="AH584" s="14"/>
      <c r="AI584" s="14"/>
      <c r="AJ584" s="14"/>
      <c r="AK584" s="14"/>
    </row>
    <row r="585" spans="1:37">
      <c r="A585" s="23"/>
      <c r="B585" s="13"/>
      <c r="C585" s="13"/>
      <c r="D585" s="13"/>
      <c r="E585" s="13"/>
      <c r="F585" s="13"/>
      <c r="G585" s="14"/>
      <c r="H585" s="14"/>
      <c r="I585" s="14"/>
      <c r="J585" s="14"/>
      <c r="K585" s="14"/>
      <c r="L585" s="14"/>
      <c r="M585" s="14"/>
      <c r="N585" s="13"/>
      <c r="O585" s="13"/>
      <c r="P585" s="13"/>
      <c r="Q585" s="13"/>
      <c r="R585" s="13"/>
      <c r="S585" s="14"/>
      <c r="T585" s="14"/>
      <c r="U585" s="14"/>
      <c r="V585" s="14"/>
      <c r="W585" s="14"/>
      <c r="X585" s="14"/>
      <c r="Y585" s="14"/>
      <c r="Z585" s="13"/>
      <c r="AA585" s="13"/>
      <c r="AB585" s="13"/>
      <c r="AC585" s="13"/>
      <c r="AD585" s="13"/>
      <c r="AE585" s="14"/>
      <c r="AF585" s="14"/>
      <c r="AG585" s="14"/>
      <c r="AH585" s="14"/>
      <c r="AI585" s="14"/>
      <c r="AJ585" s="14"/>
      <c r="AK585" s="14"/>
    </row>
    <row r="586" spans="1:37">
      <c r="A586" s="23"/>
      <c r="B586" s="13"/>
      <c r="C586" s="13"/>
      <c r="D586" s="13"/>
      <c r="E586" s="13"/>
      <c r="F586" s="13"/>
      <c r="G586" s="14"/>
      <c r="H586" s="14"/>
      <c r="I586" s="14"/>
      <c r="J586" s="14"/>
      <c r="K586" s="14"/>
      <c r="L586" s="14"/>
      <c r="M586" s="14"/>
      <c r="N586" s="13"/>
      <c r="O586" s="13"/>
      <c r="P586" s="13"/>
      <c r="Q586" s="13"/>
      <c r="R586" s="13"/>
      <c r="S586" s="14"/>
      <c r="T586" s="14"/>
      <c r="U586" s="14"/>
      <c r="V586" s="14"/>
      <c r="W586" s="14"/>
      <c r="X586" s="14"/>
      <c r="Y586" s="14"/>
      <c r="Z586" s="13"/>
      <c r="AA586" s="13"/>
      <c r="AB586" s="13"/>
      <c r="AC586" s="13"/>
      <c r="AD586" s="13"/>
      <c r="AE586" s="14"/>
      <c r="AF586" s="14"/>
      <c r="AG586" s="14"/>
      <c r="AH586" s="14"/>
      <c r="AI586" s="14"/>
      <c r="AJ586" s="14"/>
      <c r="AK586" s="14"/>
    </row>
    <row r="587" spans="1:37">
      <c r="A587" s="23"/>
      <c r="B587" s="13"/>
      <c r="C587" s="13"/>
      <c r="D587" s="13"/>
      <c r="E587" s="13"/>
      <c r="F587" s="13"/>
      <c r="G587" s="14"/>
      <c r="H587" s="14"/>
      <c r="I587" s="14"/>
      <c r="J587" s="14"/>
      <c r="K587" s="14"/>
      <c r="L587" s="14"/>
      <c r="M587" s="14"/>
      <c r="N587" s="13"/>
      <c r="O587" s="13"/>
      <c r="P587" s="13"/>
      <c r="Q587" s="13"/>
      <c r="R587" s="13"/>
      <c r="S587" s="14"/>
      <c r="T587" s="14"/>
      <c r="U587" s="14"/>
      <c r="V587" s="14"/>
      <c r="W587" s="14"/>
      <c r="X587" s="14"/>
      <c r="Y587" s="14"/>
      <c r="Z587" s="13"/>
      <c r="AA587" s="13"/>
      <c r="AB587" s="13"/>
      <c r="AC587" s="13"/>
      <c r="AD587" s="13"/>
      <c r="AE587" s="14"/>
      <c r="AF587" s="14"/>
      <c r="AG587" s="14"/>
      <c r="AH587" s="14"/>
      <c r="AI587" s="14"/>
      <c r="AJ587" s="14"/>
      <c r="AK587" s="14"/>
    </row>
    <row r="588" spans="1:37">
      <c r="A588" s="23"/>
      <c r="B588" s="13"/>
      <c r="C588" s="13"/>
      <c r="D588" s="13"/>
      <c r="E588" s="13"/>
      <c r="F588" s="13"/>
      <c r="G588" s="14"/>
      <c r="H588" s="14"/>
      <c r="I588" s="14"/>
      <c r="J588" s="14"/>
      <c r="K588" s="14"/>
      <c r="L588" s="14"/>
      <c r="M588" s="14"/>
      <c r="N588" s="13"/>
      <c r="O588" s="13"/>
      <c r="P588" s="13"/>
      <c r="Q588" s="13"/>
      <c r="R588" s="13"/>
      <c r="S588" s="14"/>
      <c r="T588" s="14"/>
      <c r="U588" s="14"/>
      <c r="V588" s="14"/>
      <c r="W588" s="14"/>
      <c r="X588" s="14"/>
      <c r="Y588" s="14"/>
      <c r="Z588" s="13"/>
      <c r="AA588" s="13"/>
      <c r="AB588" s="13"/>
      <c r="AC588" s="13"/>
      <c r="AD588" s="13"/>
      <c r="AE588" s="14"/>
      <c r="AF588" s="14"/>
      <c r="AG588" s="14"/>
      <c r="AH588" s="14"/>
      <c r="AI588" s="14"/>
      <c r="AJ588" s="14"/>
      <c r="AK588" s="14"/>
    </row>
    <row r="589" spans="1:37">
      <c r="A589" s="23"/>
      <c r="B589" s="13"/>
      <c r="C589" s="13"/>
      <c r="D589" s="13"/>
      <c r="E589" s="13"/>
      <c r="F589" s="13"/>
      <c r="G589" s="14"/>
      <c r="H589" s="14"/>
      <c r="I589" s="14"/>
      <c r="J589" s="14"/>
      <c r="K589" s="14"/>
      <c r="L589" s="14"/>
      <c r="M589" s="14"/>
      <c r="N589" s="13"/>
      <c r="O589" s="13"/>
      <c r="P589" s="13"/>
      <c r="Q589" s="13"/>
      <c r="R589" s="13"/>
      <c r="S589" s="14"/>
      <c r="T589" s="14"/>
      <c r="U589" s="14"/>
      <c r="V589" s="14"/>
      <c r="W589" s="14"/>
      <c r="X589" s="14"/>
      <c r="Y589" s="14"/>
      <c r="Z589" s="13"/>
      <c r="AA589" s="13"/>
      <c r="AB589" s="13"/>
      <c r="AC589" s="13"/>
      <c r="AD589" s="13"/>
      <c r="AE589" s="14"/>
      <c r="AF589" s="14"/>
      <c r="AG589" s="14"/>
      <c r="AH589" s="14"/>
      <c r="AI589" s="14"/>
      <c r="AJ589" s="14"/>
      <c r="AK589" s="14"/>
    </row>
    <row r="590" spans="1:37">
      <c r="A590" s="23"/>
      <c r="B590" s="13"/>
      <c r="C590" s="13"/>
      <c r="D590" s="13"/>
      <c r="E590" s="13"/>
      <c r="F590" s="13"/>
      <c r="G590" s="14"/>
      <c r="H590" s="14"/>
      <c r="I590" s="14"/>
      <c r="J590" s="14"/>
      <c r="K590" s="14"/>
      <c r="L590" s="14"/>
      <c r="M590" s="14"/>
      <c r="N590" s="13"/>
      <c r="O590" s="13"/>
      <c r="P590" s="13"/>
      <c r="Q590" s="13"/>
      <c r="R590" s="13"/>
      <c r="S590" s="14"/>
      <c r="T590" s="14"/>
      <c r="U590" s="14"/>
      <c r="V590" s="14"/>
      <c r="W590" s="14"/>
      <c r="X590" s="14"/>
      <c r="Y590" s="14"/>
      <c r="Z590" s="13"/>
      <c r="AA590" s="13"/>
      <c r="AB590" s="13"/>
      <c r="AC590" s="13"/>
      <c r="AD590" s="13"/>
      <c r="AE590" s="14"/>
      <c r="AF590" s="14"/>
      <c r="AG590" s="14"/>
      <c r="AH590" s="14"/>
      <c r="AI590" s="14"/>
      <c r="AJ590" s="14"/>
      <c r="AK590" s="14"/>
    </row>
    <row r="591" spans="1:37">
      <c r="A591" s="23"/>
      <c r="B591" s="13"/>
      <c r="C591" s="13"/>
      <c r="D591" s="13"/>
      <c r="E591" s="13"/>
      <c r="F591" s="13"/>
      <c r="G591" s="14"/>
      <c r="H591" s="14"/>
      <c r="I591" s="14"/>
      <c r="J591" s="14"/>
      <c r="K591" s="14"/>
      <c r="L591" s="14"/>
      <c r="M591" s="14"/>
      <c r="N591" s="13"/>
      <c r="O591" s="13"/>
      <c r="P591" s="13"/>
      <c r="Q591" s="13"/>
      <c r="R591" s="13"/>
      <c r="S591" s="14"/>
      <c r="T591" s="14"/>
      <c r="U591" s="14"/>
      <c r="V591" s="14"/>
      <c r="W591" s="14"/>
      <c r="X591" s="14"/>
      <c r="Y591" s="14"/>
      <c r="Z591" s="13"/>
      <c r="AA591" s="13"/>
      <c r="AB591" s="13"/>
      <c r="AC591" s="13"/>
      <c r="AD591" s="13"/>
      <c r="AE591" s="14"/>
      <c r="AF591" s="14"/>
      <c r="AG591" s="14"/>
      <c r="AH591" s="14"/>
      <c r="AI591" s="14"/>
      <c r="AJ591" s="14"/>
      <c r="AK591" s="14"/>
    </row>
    <row r="592" spans="1:37">
      <c r="A592" s="23"/>
      <c r="B592" s="13"/>
      <c r="C592" s="13"/>
      <c r="D592" s="13"/>
      <c r="E592" s="13"/>
      <c r="F592" s="13"/>
      <c r="G592" s="14"/>
      <c r="H592" s="14"/>
      <c r="I592" s="14"/>
      <c r="J592" s="14"/>
      <c r="K592" s="14"/>
      <c r="L592" s="14"/>
      <c r="M592" s="14"/>
      <c r="N592" s="13"/>
      <c r="O592" s="13"/>
      <c r="P592" s="13"/>
      <c r="Q592" s="13"/>
      <c r="R592" s="13"/>
      <c r="S592" s="14"/>
      <c r="T592" s="14"/>
      <c r="U592" s="14"/>
      <c r="V592" s="14"/>
      <c r="W592" s="14"/>
      <c r="X592" s="14"/>
      <c r="Y592" s="14"/>
      <c r="Z592" s="13"/>
      <c r="AA592" s="13"/>
      <c r="AB592" s="13"/>
      <c r="AC592" s="13"/>
      <c r="AD592" s="13"/>
      <c r="AE592" s="14"/>
      <c r="AF592" s="14"/>
      <c r="AG592" s="14"/>
      <c r="AH592" s="14"/>
      <c r="AI592" s="14"/>
      <c r="AJ592" s="14"/>
      <c r="AK592" s="14"/>
    </row>
    <row r="593" spans="1:37">
      <c r="A593" s="23"/>
      <c r="B593" s="13"/>
      <c r="C593" s="13"/>
      <c r="D593" s="13"/>
      <c r="E593" s="13"/>
      <c r="F593" s="13"/>
      <c r="G593" s="14"/>
      <c r="H593" s="14"/>
      <c r="I593" s="14"/>
      <c r="J593" s="14"/>
      <c r="K593" s="14"/>
      <c r="L593" s="14"/>
      <c r="M593" s="14"/>
      <c r="N593" s="13"/>
      <c r="O593" s="13"/>
      <c r="P593" s="13"/>
      <c r="Q593" s="13"/>
      <c r="R593" s="13"/>
      <c r="S593" s="14"/>
      <c r="T593" s="14"/>
      <c r="U593" s="14"/>
      <c r="V593" s="14"/>
      <c r="W593" s="14"/>
      <c r="X593" s="14"/>
      <c r="Y593" s="14"/>
      <c r="Z593" s="13"/>
      <c r="AA593" s="13"/>
      <c r="AB593" s="13"/>
      <c r="AC593" s="13"/>
      <c r="AD593" s="13"/>
      <c r="AE593" s="14"/>
      <c r="AF593" s="14"/>
      <c r="AG593" s="14"/>
      <c r="AH593" s="14"/>
      <c r="AI593" s="14"/>
      <c r="AJ593" s="14"/>
      <c r="AK593" s="14"/>
    </row>
    <row r="594" spans="1:37">
      <c r="A594" s="23"/>
      <c r="B594" s="13"/>
      <c r="C594" s="13"/>
      <c r="D594" s="13"/>
      <c r="E594" s="13"/>
      <c r="F594" s="13"/>
      <c r="G594" s="14"/>
      <c r="H594" s="14"/>
      <c r="I594" s="14"/>
      <c r="J594" s="14"/>
      <c r="K594" s="14"/>
      <c r="L594" s="14"/>
      <c r="M594" s="14"/>
      <c r="N594" s="13"/>
      <c r="O594" s="13"/>
      <c r="P594" s="13"/>
      <c r="Q594" s="13"/>
      <c r="R594" s="13"/>
      <c r="S594" s="14"/>
      <c r="T594" s="14"/>
      <c r="U594" s="14"/>
      <c r="V594" s="14"/>
      <c r="W594" s="14"/>
      <c r="X594" s="14"/>
      <c r="Y594" s="14"/>
      <c r="Z594" s="13"/>
      <c r="AA594" s="13"/>
      <c r="AB594" s="13"/>
      <c r="AC594" s="13"/>
      <c r="AD594" s="13"/>
      <c r="AE594" s="14"/>
      <c r="AF594" s="14"/>
      <c r="AG594" s="14"/>
      <c r="AH594" s="14"/>
      <c r="AI594" s="14"/>
      <c r="AJ594" s="14"/>
      <c r="AK594" s="14"/>
    </row>
    <row r="595" spans="1:37">
      <c r="A595" s="23"/>
      <c r="B595" s="13"/>
      <c r="C595" s="13"/>
      <c r="D595" s="13"/>
      <c r="E595" s="13"/>
      <c r="F595" s="13"/>
      <c r="G595" s="14"/>
      <c r="H595" s="14"/>
      <c r="I595" s="14"/>
      <c r="J595" s="14"/>
      <c r="K595" s="14"/>
      <c r="L595" s="14"/>
      <c r="M595" s="14"/>
      <c r="N595" s="13"/>
      <c r="O595" s="13"/>
      <c r="P595" s="13"/>
      <c r="Q595" s="13"/>
      <c r="R595" s="13"/>
      <c r="S595" s="14"/>
      <c r="T595" s="14"/>
      <c r="U595" s="14"/>
      <c r="V595" s="14"/>
      <c r="W595" s="14"/>
      <c r="X595" s="14"/>
      <c r="Y595" s="14"/>
      <c r="Z595" s="13"/>
      <c r="AA595" s="13"/>
      <c r="AB595" s="13"/>
      <c r="AC595" s="13"/>
      <c r="AD595" s="13"/>
      <c r="AE595" s="14"/>
      <c r="AF595" s="14"/>
      <c r="AG595" s="14"/>
      <c r="AH595" s="14"/>
      <c r="AI595" s="14"/>
      <c r="AJ595" s="14"/>
      <c r="AK595" s="14"/>
    </row>
    <row r="596" spans="1:37">
      <c r="A596" s="23"/>
      <c r="B596" s="13"/>
      <c r="C596" s="13"/>
      <c r="D596" s="13"/>
      <c r="E596" s="13"/>
      <c r="F596" s="13"/>
      <c r="G596" s="14"/>
      <c r="H596" s="14"/>
      <c r="I596" s="14"/>
      <c r="J596" s="14"/>
      <c r="K596" s="14"/>
      <c r="L596" s="14"/>
      <c r="M596" s="14"/>
      <c r="N596" s="13"/>
      <c r="O596" s="13"/>
      <c r="P596" s="13"/>
      <c r="Q596" s="13"/>
      <c r="R596" s="13"/>
      <c r="S596" s="14"/>
      <c r="T596" s="14"/>
      <c r="U596" s="14"/>
      <c r="V596" s="14"/>
      <c r="W596" s="14"/>
      <c r="X596" s="14"/>
      <c r="Y596" s="14"/>
      <c r="Z596" s="13"/>
      <c r="AA596" s="13"/>
      <c r="AB596" s="13"/>
      <c r="AC596" s="13"/>
      <c r="AD596" s="13"/>
      <c r="AE596" s="14"/>
      <c r="AF596" s="14"/>
      <c r="AG596" s="14"/>
      <c r="AH596" s="14"/>
      <c r="AI596" s="14"/>
      <c r="AJ596" s="14"/>
      <c r="AK596" s="14"/>
    </row>
    <row r="597" spans="1:37">
      <c r="A597" s="23"/>
      <c r="B597" s="13"/>
      <c r="C597" s="13"/>
      <c r="D597" s="13"/>
      <c r="E597" s="13"/>
      <c r="F597" s="13"/>
      <c r="G597" s="14"/>
      <c r="H597" s="14"/>
      <c r="I597" s="14"/>
      <c r="J597" s="14"/>
      <c r="K597" s="14"/>
      <c r="L597" s="14"/>
      <c r="M597" s="14"/>
      <c r="N597" s="13"/>
      <c r="O597" s="13"/>
      <c r="P597" s="13"/>
      <c r="Q597" s="13"/>
      <c r="R597" s="13"/>
      <c r="S597" s="14"/>
      <c r="T597" s="14"/>
      <c r="U597" s="14"/>
      <c r="V597" s="14"/>
      <c r="W597" s="14"/>
      <c r="X597" s="14"/>
      <c r="Y597" s="14"/>
      <c r="Z597" s="13"/>
      <c r="AA597" s="13"/>
      <c r="AB597" s="13"/>
      <c r="AC597" s="13"/>
      <c r="AD597" s="13"/>
      <c r="AE597" s="14"/>
      <c r="AF597" s="14"/>
      <c r="AG597" s="14"/>
      <c r="AH597" s="14"/>
      <c r="AI597" s="14"/>
      <c r="AJ597" s="14"/>
      <c r="AK597" s="14"/>
    </row>
    <row r="598" spans="1:37">
      <c r="A598" s="23"/>
      <c r="B598" s="13"/>
      <c r="C598" s="13"/>
      <c r="D598" s="13"/>
      <c r="E598" s="13"/>
      <c r="F598" s="13"/>
      <c r="G598" s="14"/>
      <c r="H598" s="14"/>
      <c r="I598" s="14"/>
      <c r="J598" s="14"/>
      <c r="K598" s="14"/>
      <c r="L598" s="14"/>
      <c r="M598" s="14"/>
      <c r="N598" s="13"/>
      <c r="O598" s="13"/>
      <c r="P598" s="13"/>
      <c r="Q598" s="13"/>
      <c r="R598" s="13"/>
      <c r="S598" s="14"/>
      <c r="T598" s="14"/>
      <c r="U598" s="14"/>
      <c r="V598" s="14"/>
      <c r="W598" s="14"/>
      <c r="X598" s="14"/>
      <c r="Y598" s="14"/>
      <c r="Z598" s="13"/>
      <c r="AA598" s="13"/>
      <c r="AB598" s="13"/>
      <c r="AC598" s="13"/>
      <c r="AD598" s="13"/>
      <c r="AE598" s="14"/>
      <c r="AF598" s="14"/>
      <c r="AG598" s="14"/>
      <c r="AH598" s="14"/>
      <c r="AI598" s="14"/>
      <c r="AJ598" s="14"/>
      <c r="AK598" s="14"/>
    </row>
    <row r="599" spans="1:37">
      <c r="A599" s="23"/>
      <c r="B599" s="13"/>
      <c r="C599" s="13"/>
      <c r="D599" s="13"/>
      <c r="E599" s="13"/>
      <c r="F599" s="13"/>
      <c r="G599" s="14"/>
      <c r="H599" s="14"/>
      <c r="I599" s="14"/>
      <c r="J599" s="14"/>
      <c r="K599" s="14"/>
      <c r="L599" s="14"/>
      <c r="M599" s="14"/>
      <c r="N599" s="13"/>
      <c r="O599" s="13"/>
      <c r="P599" s="13"/>
      <c r="Q599" s="13"/>
      <c r="R599" s="13"/>
      <c r="S599" s="14"/>
      <c r="T599" s="14"/>
      <c r="U599" s="14"/>
      <c r="V599" s="14"/>
      <c r="W599" s="14"/>
      <c r="X599" s="14"/>
      <c r="Y599" s="14"/>
      <c r="Z599" s="13"/>
      <c r="AA599" s="13"/>
      <c r="AB599" s="13"/>
      <c r="AC599" s="13"/>
      <c r="AD599" s="13"/>
      <c r="AE599" s="14"/>
      <c r="AF599" s="14"/>
      <c r="AG599" s="14"/>
      <c r="AH599" s="14"/>
      <c r="AI599" s="14"/>
      <c r="AJ599" s="14"/>
      <c r="AK599" s="14"/>
    </row>
    <row r="600" spans="1:37">
      <c r="A600" s="23"/>
      <c r="B600" s="13"/>
      <c r="C600" s="13"/>
      <c r="D600" s="13"/>
      <c r="E600" s="13"/>
      <c r="F600" s="13"/>
      <c r="G600" s="14"/>
      <c r="H600" s="14"/>
      <c r="I600" s="14"/>
      <c r="J600" s="14"/>
      <c r="K600" s="14"/>
      <c r="L600" s="14"/>
      <c r="M600" s="14"/>
      <c r="N600" s="13"/>
      <c r="O600" s="13"/>
      <c r="P600" s="13"/>
      <c r="Q600" s="13"/>
      <c r="R600" s="13"/>
      <c r="S600" s="14"/>
      <c r="T600" s="14"/>
      <c r="U600" s="14"/>
      <c r="V600" s="14"/>
      <c r="W600" s="14"/>
      <c r="X600" s="14"/>
      <c r="Y600" s="14"/>
      <c r="Z600" s="13"/>
      <c r="AA600" s="13"/>
      <c r="AB600" s="13"/>
      <c r="AC600" s="13"/>
      <c r="AD600" s="13"/>
      <c r="AE600" s="14"/>
      <c r="AF600" s="14"/>
      <c r="AG600" s="14"/>
      <c r="AH600" s="14"/>
      <c r="AI600" s="14"/>
      <c r="AJ600" s="14"/>
      <c r="AK600" s="14"/>
    </row>
    <row r="601" spans="1:37">
      <c r="A601" s="23"/>
      <c r="B601" s="13"/>
      <c r="C601" s="13"/>
      <c r="D601" s="13"/>
      <c r="E601" s="13"/>
      <c r="F601" s="13"/>
      <c r="G601" s="14"/>
      <c r="H601" s="14"/>
      <c r="I601" s="14"/>
      <c r="J601" s="14"/>
      <c r="K601" s="14"/>
      <c r="L601" s="14"/>
      <c r="M601" s="14"/>
      <c r="N601" s="13"/>
      <c r="O601" s="13"/>
      <c r="P601" s="13"/>
      <c r="Q601" s="13"/>
      <c r="R601" s="13"/>
      <c r="S601" s="14"/>
      <c r="T601" s="14"/>
      <c r="U601" s="14"/>
      <c r="V601" s="14"/>
      <c r="W601" s="14"/>
      <c r="X601" s="14"/>
      <c r="Y601" s="14"/>
      <c r="Z601" s="13"/>
      <c r="AA601" s="13"/>
      <c r="AB601" s="13"/>
      <c r="AC601" s="13"/>
      <c r="AD601" s="13"/>
      <c r="AE601" s="14"/>
      <c r="AF601" s="14"/>
      <c r="AG601" s="14"/>
      <c r="AH601" s="14"/>
      <c r="AI601" s="14"/>
      <c r="AJ601" s="14"/>
      <c r="AK601" s="14"/>
    </row>
    <row r="602" spans="1:37">
      <c r="A602" s="23"/>
      <c r="B602" s="13"/>
      <c r="C602" s="13"/>
      <c r="D602" s="13"/>
      <c r="E602" s="13"/>
      <c r="F602" s="13"/>
      <c r="G602" s="14"/>
      <c r="H602" s="14"/>
      <c r="I602" s="14"/>
      <c r="J602" s="14"/>
      <c r="K602" s="14"/>
      <c r="L602" s="14"/>
      <c r="M602" s="14"/>
      <c r="N602" s="13"/>
      <c r="O602" s="13"/>
      <c r="P602" s="13"/>
      <c r="Q602" s="13"/>
      <c r="R602" s="13"/>
      <c r="S602" s="14"/>
      <c r="T602" s="14"/>
      <c r="U602" s="14"/>
      <c r="V602" s="14"/>
      <c r="W602" s="14"/>
      <c r="X602" s="14"/>
      <c r="Y602" s="14"/>
      <c r="Z602" s="13"/>
      <c r="AA602" s="13"/>
      <c r="AB602" s="13"/>
      <c r="AC602" s="13"/>
      <c r="AD602" s="13"/>
      <c r="AE602" s="14"/>
      <c r="AF602" s="14"/>
      <c r="AG602" s="14"/>
      <c r="AH602" s="14"/>
      <c r="AI602" s="14"/>
      <c r="AJ602" s="14"/>
      <c r="AK602" s="14"/>
    </row>
    <row r="603" spans="1:37">
      <c r="A603" s="23"/>
      <c r="B603" s="13"/>
      <c r="C603" s="13"/>
      <c r="D603" s="13"/>
      <c r="E603" s="13"/>
      <c r="F603" s="13"/>
      <c r="G603" s="14"/>
      <c r="H603" s="14"/>
      <c r="I603" s="14"/>
      <c r="J603" s="14"/>
      <c r="K603" s="14"/>
      <c r="L603" s="14"/>
      <c r="M603" s="14"/>
      <c r="N603" s="13"/>
      <c r="O603" s="13"/>
      <c r="P603" s="13"/>
      <c r="Q603" s="13"/>
      <c r="R603" s="13"/>
      <c r="S603" s="14"/>
      <c r="T603" s="14"/>
      <c r="U603" s="14"/>
      <c r="V603" s="14"/>
      <c r="W603" s="14"/>
      <c r="X603" s="14"/>
      <c r="Y603" s="14"/>
      <c r="Z603" s="13"/>
      <c r="AA603" s="13"/>
      <c r="AB603" s="13"/>
      <c r="AC603" s="13"/>
      <c r="AD603" s="13"/>
      <c r="AE603" s="14"/>
      <c r="AF603" s="14"/>
      <c r="AG603" s="14"/>
      <c r="AH603" s="14"/>
      <c r="AI603" s="14"/>
      <c r="AJ603" s="14"/>
      <c r="AK603" s="14"/>
    </row>
    <row r="604" spans="1:37">
      <c r="A604" s="23"/>
      <c r="B604" s="13"/>
      <c r="C604" s="13"/>
      <c r="D604" s="13"/>
      <c r="E604" s="13"/>
      <c r="F604" s="13"/>
      <c r="G604" s="14"/>
      <c r="H604" s="14"/>
      <c r="I604" s="14"/>
      <c r="J604" s="14"/>
      <c r="K604" s="14"/>
      <c r="L604" s="14"/>
      <c r="M604" s="14"/>
      <c r="N604" s="13"/>
      <c r="O604" s="13"/>
      <c r="P604" s="13"/>
      <c r="Q604" s="13"/>
      <c r="R604" s="13"/>
      <c r="S604" s="14"/>
      <c r="T604" s="14"/>
      <c r="U604" s="14"/>
      <c r="V604" s="14"/>
      <c r="W604" s="14"/>
      <c r="X604" s="14"/>
      <c r="Y604" s="14"/>
      <c r="Z604" s="13"/>
      <c r="AA604" s="13"/>
      <c r="AB604" s="13"/>
      <c r="AC604" s="13"/>
      <c r="AD604" s="13"/>
      <c r="AE604" s="14"/>
      <c r="AF604" s="14"/>
      <c r="AG604" s="14"/>
      <c r="AH604" s="14"/>
      <c r="AI604" s="14"/>
      <c r="AJ604" s="14"/>
      <c r="AK604" s="14"/>
    </row>
    <row r="605" spans="1:37">
      <c r="A605" s="23"/>
      <c r="B605" s="13"/>
      <c r="C605" s="13"/>
      <c r="D605" s="13"/>
      <c r="E605" s="13"/>
      <c r="F605" s="13"/>
      <c r="G605" s="14"/>
      <c r="H605" s="14"/>
      <c r="I605" s="14"/>
      <c r="J605" s="14"/>
      <c r="K605" s="14"/>
      <c r="L605" s="14"/>
      <c r="M605" s="14"/>
      <c r="N605" s="13"/>
      <c r="O605" s="13"/>
      <c r="P605" s="13"/>
      <c r="Q605" s="13"/>
      <c r="R605" s="13"/>
      <c r="S605" s="14"/>
      <c r="T605" s="14"/>
      <c r="U605" s="14"/>
      <c r="V605" s="14"/>
      <c r="W605" s="14"/>
      <c r="X605" s="14"/>
      <c r="Y605" s="14"/>
      <c r="Z605" s="13"/>
      <c r="AA605" s="13"/>
      <c r="AB605" s="13"/>
      <c r="AC605" s="13"/>
      <c r="AD605" s="13"/>
      <c r="AE605" s="14"/>
      <c r="AF605" s="14"/>
      <c r="AG605" s="14"/>
      <c r="AH605" s="14"/>
      <c r="AI605" s="14"/>
      <c r="AJ605" s="14"/>
      <c r="AK605" s="14"/>
    </row>
    <row r="606" spans="1:37">
      <c r="A606" s="23"/>
      <c r="B606" s="13"/>
      <c r="C606" s="13"/>
      <c r="D606" s="13"/>
      <c r="E606" s="13"/>
      <c r="F606" s="13"/>
      <c r="G606" s="14"/>
      <c r="H606" s="14"/>
      <c r="I606" s="14"/>
      <c r="J606" s="14"/>
      <c r="K606" s="14"/>
      <c r="L606" s="14"/>
      <c r="M606" s="14"/>
      <c r="N606" s="13"/>
      <c r="O606" s="13"/>
      <c r="P606" s="13"/>
      <c r="Q606" s="13"/>
      <c r="R606" s="13"/>
      <c r="S606" s="14"/>
      <c r="T606" s="14"/>
      <c r="U606" s="14"/>
      <c r="V606" s="14"/>
      <c r="W606" s="14"/>
      <c r="X606" s="14"/>
      <c r="Y606" s="14"/>
      <c r="Z606" s="13"/>
      <c r="AA606" s="13"/>
      <c r="AB606" s="13"/>
      <c r="AC606" s="13"/>
      <c r="AD606" s="13"/>
      <c r="AE606" s="14"/>
      <c r="AF606" s="14"/>
      <c r="AG606" s="14"/>
      <c r="AH606" s="14"/>
      <c r="AI606" s="14"/>
      <c r="AJ606" s="14"/>
      <c r="AK606" s="14"/>
    </row>
    <row r="607" spans="1:37">
      <c r="A607" s="23"/>
      <c r="B607" s="13"/>
      <c r="C607" s="13"/>
      <c r="D607" s="13"/>
      <c r="E607" s="13"/>
      <c r="F607" s="13"/>
      <c r="G607" s="14"/>
      <c r="H607" s="14"/>
      <c r="I607" s="14"/>
      <c r="J607" s="14"/>
      <c r="K607" s="14"/>
      <c r="L607" s="14"/>
      <c r="M607" s="14"/>
      <c r="N607" s="13"/>
      <c r="O607" s="13"/>
      <c r="P607" s="13"/>
      <c r="Q607" s="13"/>
      <c r="R607" s="13"/>
      <c r="S607" s="14"/>
      <c r="T607" s="14"/>
      <c r="U607" s="14"/>
      <c r="V607" s="14"/>
      <c r="W607" s="14"/>
      <c r="X607" s="14"/>
      <c r="Y607" s="14"/>
      <c r="Z607" s="13"/>
      <c r="AA607" s="13"/>
      <c r="AB607" s="13"/>
      <c r="AC607" s="13"/>
      <c r="AD607" s="13"/>
      <c r="AE607" s="14"/>
      <c r="AF607" s="14"/>
      <c r="AG607" s="14"/>
      <c r="AH607" s="14"/>
      <c r="AI607" s="14"/>
      <c r="AJ607" s="14"/>
      <c r="AK607" s="14"/>
    </row>
    <row r="608" spans="1:37">
      <c r="A608" s="23"/>
      <c r="B608" s="13"/>
      <c r="C608" s="13"/>
      <c r="D608" s="13"/>
      <c r="E608" s="13"/>
      <c r="F608" s="13"/>
      <c r="G608" s="14"/>
      <c r="H608" s="14"/>
      <c r="I608" s="14"/>
      <c r="J608" s="14"/>
      <c r="K608" s="14"/>
      <c r="L608" s="14"/>
      <c r="M608" s="14"/>
      <c r="N608" s="13"/>
      <c r="O608" s="13"/>
      <c r="P608" s="13"/>
      <c r="Q608" s="13"/>
      <c r="R608" s="13"/>
      <c r="S608" s="14"/>
      <c r="T608" s="14"/>
      <c r="U608" s="14"/>
      <c r="V608" s="14"/>
      <c r="W608" s="14"/>
      <c r="X608" s="14"/>
      <c r="Y608" s="14"/>
      <c r="Z608" s="13"/>
      <c r="AA608" s="13"/>
      <c r="AB608" s="13"/>
      <c r="AC608" s="13"/>
      <c r="AD608" s="13"/>
      <c r="AE608" s="14"/>
      <c r="AF608" s="14"/>
      <c r="AG608" s="14"/>
      <c r="AH608" s="14"/>
      <c r="AI608" s="14"/>
      <c r="AJ608" s="14"/>
      <c r="AK608" s="14"/>
    </row>
    <row r="609" spans="1:37">
      <c r="A609" s="23"/>
      <c r="B609" s="13"/>
      <c r="C609" s="13"/>
      <c r="D609" s="13"/>
      <c r="E609" s="13"/>
      <c r="F609" s="13"/>
      <c r="G609" s="14"/>
      <c r="H609" s="14"/>
      <c r="I609" s="14"/>
      <c r="J609" s="14"/>
      <c r="K609" s="14"/>
      <c r="L609" s="14"/>
      <c r="M609" s="14"/>
      <c r="N609" s="13"/>
      <c r="O609" s="13"/>
      <c r="P609" s="13"/>
      <c r="Q609" s="13"/>
      <c r="R609" s="13"/>
      <c r="S609" s="14"/>
      <c r="T609" s="14"/>
      <c r="U609" s="14"/>
      <c r="V609" s="14"/>
      <c r="W609" s="14"/>
      <c r="X609" s="14"/>
      <c r="Y609" s="14"/>
      <c r="Z609" s="13"/>
      <c r="AA609" s="13"/>
      <c r="AB609" s="13"/>
      <c r="AC609" s="13"/>
      <c r="AD609" s="13"/>
      <c r="AE609" s="14"/>
      <c r="AF609" s="14"/>
      <c r="AG609" s="14"/>
      <c r="AH609" s="14"/>
      <c r="AI609" s="14"/>
      <c r="AJ609" s="14"/>
      <c r="AK609" s="14"/>
    </row>
    <row r="610" spans="1:37">
      <c r="A610" s="23"/>
      <c r="B610" s="13"/>
      <c r="C610" s="13"/>
      <c r="D610" s="13"/>
      <c r="E610" s="13"/>
      <c r="F610" s="13"/>
      <c r="G610" s="14"/>
      <c r="H610" s="14"/>
      <c r="I610" s="14"/>
      <c r="J610" s="14"/>
      <c r="K610" s="14"/>
      <c r="L610" s="14"/>
      <c r="M610" s="14"/>
      <c r="N610" s="13"/>
      <c r="O610" s="13"/>
      <c r="P610" s="13"/>
      <c r="Q610" s="13"/>
      <c r="R610" s="13"/>
      <c r="S610" s="14"/>
      <c r="T610" s="14"/>
      <c r="U610" s="14"/>
      <c r="V610" s="14"/>
      <c r="W610" s="14"/>
      <c r="X610" s="14"/>
      <c r="Y610" s="14"/>
      <c r="Z610" s="13"/>
      <c r="AA610" s="13"/>
      <c r="AB610" s="13"/>
      <c r="AC610" s="13"/>
      <c r="AD610" s="13"/>
      <c r="AE610" s="14"/>
      <c r="AF610" s="14"/>
      <c r="AG610" s="14"/>
      <c r="AH610" s="14"/>
      <c r="AI610" s="14"/>
      <c r="AJ610" s="14"/>
      <c r="AK610" s="14"/>
    </row>
    <row r="611" spans="1:37">
      <c r="A611" s="23"/>
      <c r="B611" s="13"/>
      <c r="C611" s="13"/>
      <c r="D611" s="13"/>
      <c r="E611" s="13"/>
      <c r="F611" s="13"/>
      <c r="G611" s="14"/>
      <c r="H611" s="14"/>
      <c r="I611" s="14"/>
      <c r="J611" s="14"/>
      <c r="K611" s="14"/>
      <c r="L611" s="14"/>
      <c r="M611" s="14"/>
      <c r="N611" s="13"/>
      <c r="O611" s="13"/>
      <c r="P611" s="13"/>
      <c r="Q611" s="13"/>
      <c r="R611" s="13"/>
      <c r="S611" s="14"/>
      <c r="T611" s="14"/>
      <c r="U611" s="14"/>
      <c r="V611" s="14"/>
      <c r="W611" s="14"/>
      <c r="X611" s="14"/>
      <c r="Y611" s="14"/>
      <c r="Z611" s="13"/>
      <c r="AA611" s="13"/>
      <c r="AB611" s="13"/>
      <c r="AC611" s="13"/>
      <c r="AD611" s="13"/>
      <c r="AE611" s="14"/>
      <c r="AF611" s="14"/>
      <c r="AG611" s="14"/>
      <c r="AH611" s="14"/>
      <c r="AI611" s="14"/>
      <c r="AJ611" s="14"/>
      <c r="AK611" s="14"/>
    </row>
    <row r="612" spans="1:37">
      <c r="A612" s="23"/>
      <c r="B612" s="13"/>
      <c r="C612" s="13"/>
      <c r="D612" s="13"/>
      <c r="E612" s="13"/>
      <c r="F612" s="13"/>
      <c r="G612" s="14"/>
      <c r="H612" s="14"/>
      <c r="I612" s="14"/>
      <c r="J612" s="14"/>
      <c r="K612" s="14"/>
      <c r="L612" s="14"/>
      <c r="M612" s="14"/>
      <c r="N612" s="13"/>
      <c r="O612" s="13"/>
      <c r="P612" s="13"/>
      <c r="Q612" s="13"/>
      <c r="R612" s="13"/>
      <c r="S612" s="14"/>
      <c r="T612" s="14"/>
      <c r="U612" s="14"/>
      <c r="V612" s="14"/>
      <c r="W612" s="14"/>
      <c r="X612" s="14"/>
      <c r="Y612" s="14"/>
      <c r="Z612" s="13"/>
      <c r="AA612" s="13"/>
      <c r="AB612" s="13"/>
      <c r="AC612" s="13"/>
      <c r="AD612" s="13"/>
      <c r="AE612" s="14"/>
      <c r="AF612" s="14"/>
      <c r="AG612" s="14"/>
      <c r="AH612" s="14"/>
      <c r="AI612" s="14"/>
      <c r="AJ612" s="14"/>
      <c r="AK612" s="14"/>
    </row>
    <row r="613" spans="1:37">
      <c r="A613" s="23"/>
      <c r="B613" s="13"/>
      <c r="C613" s="13"/>
      <c r="D613" s="13"/>
      <c r="E613" s="13"/>
      <c r="F613" s="13"/>
      <c r="G613" s="14"/>
      <c r="H613" s="14"/>
      <c r="I613" s="14"/>
      <c r="J613" s="14"/>
      <c r="K613" s="14"/>
      <c r="L613" s="14"/>
      <c r="M613" s="14"/>
      <c r="N613" s="13"/>
      <c r="O613" s="13"/>
      <c r="P613" s="13"/>
      <c r="Q613" s="13"/>
      <c r="R613" s="13"/>
      <c r="S613" s="14"/>
      <c r="T613" s="14"/>
      <c r="U613" s="14"/>
      <c r="V613" s="14"/>
      <c r="W613" s="14"/>
      <c r="X613" s="14"/>
      <c r="Y613" s="14"/>
      <c r="Z613" s="13"/>
      <c r="AA613" s="13"/>
      <c r="AB613" s="13"/>
      <c r="AC613" s="13"/>
      <c r="AD613" s="13"/>
      <c r="AE613" s="14"/>
      <c r="AF613" s="14"/>
      <c r="AG613" s="14"/>
      <c r="AH613" s="14"/>
      <c r="AI613" s="14"/>
      <c r="AJ613" s="14"/>
      <c r="AK613" s="14"/>
    </row>
    <row r="614" spans="1:37">
      <c r="A614" s="23"/>
      <c r="B614" s="13"/>
      <c r="C614" s="13"/>
      <c r="D614" s="13"/>
      <c r="E614" s="13"/>
      <c r="F614" s="13"/>
      <c r="G614" s="14"/>
      <c r="H614" s="14"/>
      <c r="I614" s="14"/>
      <c r="J614" s="14"/>
      <c r="K614" s="14"/>
      <c r="L614" s="14"/>
      <c r="M614" s="14"/>
      <c r="N614" s="13"/>
      <c r="O614" s="13"/>
      <c r="P614" s="13"/>
      <c r="Q614" s="13"/>
      <c r="R614" s="13"/>
      <c r="S614" s="14"/>
      <c r="T614" s="14"/>
      <c r="U614" s="14"/>
      <c r="V614" s="14"/>
      <c r="W614" s="14"/>
      <c r="X614" s="14"/>
      <c r="Y614" s="14"/>
      <c r="Z614" s="13"/>
      <c r="AA614" s="13"/>
      <c r="AB614" s="13"/>
      <c r="AC614" s="13"/>
      <c r="AD614" s="13"/>
      <c r="AE614" s="14"/>
      <c r="AF614" s="14"/>
      <c r="AG614" s="14"/>
      <c r="AH614" s="14"/>
      <c r="AI614" s="14"/>
      <c r="AJ614" s="14"/>
      <c r="AK614" s="14"/>
    </row>
    <row r="615" spans="1:37">
      <c r="A615" s="23"/>
      <c r="B615" s="13"/>
      <c r="C615" s="13"/>
      <c r="D615" s="13"/>
      <c r="E615" s="13"/>
      <c r="F615" s="13"/>
      <c r="G615" s="14"/>
      <c r="H615" s="14"/>
      <c r="I615" s="14"/>
      <c r="J615" s="14"/>
      <c r="K615" s="14"/>
      <c r="L615" s="14"/>
      <c r="M615" s="14"/>
      <c r="N615" s="13"/>
      <c r="O615" s="13"/>
      <c r="P615" s="13"/>
      <c r="Q615" s="13"/>
      <c r="R615" s="13"/>
      <c r="S615" s="14"/>
      <c r="T615" s="14"/>
      <c r="U615" s="14"/>
      <c r="V615" s="14"/>
      <c r="W615" s="14"/>
      <c r="X615" s="14"/>
      <c r="Y615" s="14"/>
      <c r="Z615" s="13"/>
      <c r="AA615" s="13"/>
      <c r="AB615" s="13"/>
      <c r="AC615" s="13"/>
      <c r="AD615" s="13"/>
      <c r="AE615" s="14"/>
      <c r="AF615" s="14"/>
      <c r="AG615" s="14"/>
      <c r="AH615" s="14"/>
      <c r="AI615" s="14"/>
      <c r="AJ615" s="14"/>
      <c r="AK615" s="14"/>
    </row>
    <row r="616" spans="1:37">
      <c r="A616" s="23"/>
      <c r="B616" s="13"/>
      <c r="C616" s="13"/>
      <c r="D616" s="13"/>
      <c r="E616" s="13"/>
      <c r="F616" s="13"/>
      <c r="G616" s="14"/>
      <c r="H616" s="14"/>
      <c r="I616" s="14"/>
      <c r="J616" s="14"/>
      <c r="K616" s="14"/>
      <c r="L616" s="14"/>
      <c r="M616" s="14"/>
      <c r="N616" s="13"/>
      <c r="O616" s="13"/>
      <c r="P616" s="13"/>
      <c r="Q616" s="13"/>
      <c r="R616" s="13"/>
      <c r="S616" s="14"/>
      <c r="T616" s="14"/>
      <c r="U616" s="14"/>
      <c r="V616" s="14"/>
      <c r="W616" s="14"/>
      <c r="X616" s="14"/>
      <c r="Y616" s="14"/>
      <c r="Z616" s="13"/>
      <c r="AA616" s="13"/>
      <c r="AB616" s="13"/>
      <c r="AC616" s="13"/>
      <c r="AD616" s="13"/>
      <c r="AE616" s="14"/>
      <c r="AF616" s="14"/>
      <c r="AG616" s="14"/>
      <c r="AH616" s="14"/>
      <c r="AI616" s="14"/>
      <c r="AJ616" s="14"/>
      <c r="AK616" s="14"/>
    </row>
    <row r="617" spans="1:37">
      <c r="A617" s="23"/>
      <c r="B617" s="13"/>
      <c r="C617" s="13"/>
      <c r="D617" s="13"/>
      <c r="E617" s="13"/>
      <c r="F617" s="13"/>
      <c r="G617" s="14"/>
      <c r="H617" s="14"/>
      <c r="I617" s="14"/>
      <c r="J617" s="14"/>
      <c r="K617" s="14"/>
      <c r="L617" s="14"/>
      <c r="M617" s="14"/>
      <c r="N617" s="13"/>
      <c r="O617" s="13"/>
      <c r="P617" s="13"/>
      <c r="Q617" s="13"/>
      <c r="R617" s="13"/>
      <c r="S617" s="14"/>
      <c r="T617" s="14"/>
      <c r="U617" s="14"/>
      <c r="V617" s="14"/>
      <c r="W617" s="14"/>
      <c r="X617" s="14"/>
      <c r="Y617" s="14"/>
      <c r="Z617" s="13"/>
      <c r="AA617" s="13"/>
      <c r="AB617" s="13"/>
      <c r="AC617" s="13"/>
      <c r="AD617" s="13"/>
      <c r="AE617" s="14"/>
      <c r="AF617" s="14"/>
      <c r="AG617" s="14"/>
      <c r="AH617" s="14"/>
      <c r="AI617" s="14"/>
      <c r="AJ617" s="14"/>
      <c r="AK617" s="14"/>
    </row>
    <row r="618" spans="1:37">
      <c r="A618" s="23"/>
      <c r="B618" s="13"/>
      <c r="C618" s="13"/>
      <c r="D618" s="13"/>
      <c r="E618" s="13"/>
      <c r="F618" s="13"/>
      <c r="G618" s="14"/>
      <c r="H618" s="14"/>
      <c r="I618" s="14"/>
      <c r="J618" s="14"/>
      <c r="K618" s="14"/>
      <c r="L618" s="14"/>
      <c r="M618" s="14"/>
      <c r="N618" s="13"/>
      <c r="O618" s="13"/>
      <c r="P618" s="13"/>
      <c r="Q618" s="13"/>
      <c r="R618" s="13"/>
      <c r="S618" s="14"/>
      <c r="T618" s="14"/>
      <c r="U618" s="14"/>
      <c r="V618" s="14"/>
      <c r="W618" s="14"/>
      <c r="X618" s="14"/>
      <c r="Y618" s="14"/>
      <c r="Z618" s="13"/>
      <c r="AA618" s="13"/>
      <c r="AB618" s="13"/>
      <c r="AC618" s="13"/>
      <c r="AD618" s="13"/>
      <c r="AE618" s="14"/>
      <c r="AF618" s="14"/>
      <c r="AG618" s="14"/>
      <c r="AH618" s="14"/>
      <c r="AI618" s="14"/>
      <c r="AJ618" s="14"/>
      <c r="AK618" s="14"/>
    </row>
    <row r="619" spans="1:37">
      <c r="A619" s="23"/>
      <c r="B619" s="13"/>
      <c r="C619" s="13"/>
      <c r="D619" s="13"/>
      <c r="E619" s="13"/>
      <c r="F619" s="13"/>
      <c r="G619" s="14"/>
      <c r="H619" s="14"/>
      <c r="I619" s="14"/>
      <c r="J619" s="14"/>
      <c r="K619" s="14"/>
      <c r="L619" s="14"/>
      <c r="M619" s="14"/>
      <c r="N619" s="13"/>
      <c r="O619" s="13"/>
      <c r="P619" s="13"/>
      <c r="Q619" s="13"/>
      <c r="R619" s="13"/>
      <c r="S619" s="14"/>
      <c r="T619" s="14"/>
      <c r="U619" s="14"/>
      <c r="V619" s="14"/>
      <c r="W619" s="14"/>
      <c r="X619" s="14"/>
      <c r="Y619" s="14"/>
      <c r="Z619" s="13"/>
      <c r="AA619" s="13"/>
      <c r="AB619" s="13"/>
      <c r="AC619" s="13"/>
      <c r="AD619" s="13"/>
      <c r="AE619" s="14"/>
      <c r="AF619" s="14"/>
      <c r="AG619" s="14"/>
      <c r="AH619" s="14"/>
      <c r="AI619" s="14"/>
      <c r="AJ619" s="14"/>
      <c r="AK619" s="14"/>
    </row>
    <row r="620" spans="1:37">
      <c r="A620" s="23"/>
      <c r="B620" s="13"/>
      <c r="C620" s="13"/>
      <c r="D620" s="13"/>
      <c r="E620" s="13"/>
      <c r="F620" s="13"/>
      <c r="G620" s="14"/>
      <c r="H620" s="14"/>
      <c r="I620" s="14"/>
      <c r="J620" s="14"/>
      <c r="K620" s="14"/>
      <c r="L620" s="14"/>
      <c r="M620" s="14"/>
      <c r="N620" s="13"/>
      <c r="O620" s="13"/>
      <c r="P620" s="13"/>
      <c r="Q620" s="13"/>
      <c r="R620" s="13"/>
      <c r="S620" s="14"/>
      <c r="T620" s="14"/>
      <c r="U620" s="14"/>
      <c r="V620" s="14"/>
      <c r="W620" s="14"/>
      <c r="X620" s="14"/>
      <c r="Y620" s="14"/>
      <c r="Z620" s="13"/>
      <c r="AA620" s="13"/>
      <c r="AB620" s="13"/>
      <c r="AC620" s="13"/>
      <c r="AD620" s="13"/>
      <c r="AE620" s="14"/>
      <c r="AF620" s="14"/>
      <c r="AG620" s="14"/>
      <c r="AH620" s="14"/>
      <c r="AI620" s="14"/>
      <c r="AJ620" s="14"/>
      <c r="AK620" s="14"/>
    </row>
    <row r="621" spans="1:37">
      <c r="A621" s="23"/>
      <c r="B621" s="13"/>
      <c r="C621" s="13"/>
      <c r="D621" s="13"/>
      <c r="E621" s="13"/>
      <c r="F621" s="13"/>
      <c r="G621" s="14"/>
      <c r="H621" s="14"/>
      <c r="I621" s="14"/>
      <c r="J621" s="14"/>
      <c r="K621" s="14"/>
      <c r="L621" s="14"/>
      <c r="M621" s="14"/>
      <c r="N621" s="13"/>
      <c r="O621" s="13"/>
      <c r="P621" s="13"/>
      <c r="Q621" s="13"/>
      <c r="R621" s="13"/>
      <c r="S621" s="14"/>
      <c r="T621" s="14"/>
      <c r="U621" s="14"/>
      <c r="V621" s="14"/>
      <c r="W621" s="14"/>
      <c r="X621" s="14"/>
      <c r="Y621" s="14"/>
      <c r="Z621" s="13"/>
      <c r="AA621" s="13"/>
      <c r="AB621" s="13"/>
      <c r="AC621" s="13"/>
      <c r="AD621" s="13"/>
      <c r="AE621" s="14"/>
      <c r="AF621" s="14"/>
      <c r="AG621" s="14"/>
      <c r="AH621" s="14"/>
      <c r="AI621" s="14"/>
      <c r="AJ621" s="14"/>
      <c r="AK621" s="14"/>
    </row>
    <row r="622" spans="1:37">
      <c r="A622" s="23"/>
      <c r="B622" s="13"/>
      <c r="C622" s="13"/>
      <c r="D622" s="13"/>
      <c r="E622" s="13"/>
      <c r="F622" s="13"/>
      <c r="G622" s="14"/>
      <c r="H622" s="14"/>
      <c r="I622" s="14"/>
      <c r="J622" s="14"/>
      <c r="K622" s="14"/>
      <c r="L622" s="14"/>
      <c r="M622" s="14"/>
      <c r="N622" s="13"/>
      <c r="O622" s="13"/>
      <c r="P622" s="13"/>
      <c r="Q622" s="13"/>
      <c r="R622" s="13"/>
      <c r="S622" s="14"/>
      <c r="T622" s="14"/>
      <c r="U622" s="14"/>
      <c r="V622" s="14"/>
      <c r="W622" s="14"/>
      <c r="X622" s="14"/>
      <c r="Y622" s="14"/>
      <c r="Z622" s="13"/>
      <c r="AA622" s="13"/>
      <c r="AB622" s="13"/>
      <c r="AC622" s="13"/>
      <c r="AD622" s="13"/>
      <c r="AE622" s="14"/>
      <c r="AF622" s="14"/>
      <c r="AG622" s="14"/>
      <c r="AH622" s="14"/>
      <c r="AI622" s="14"/>
      <c r="AJ622" s="14"/>
      <c r="AK622" s="14"/>
    </row>
    <row r="623" spans="1:37">
      <c r="A623" s="23"/>
      <c r="B623" s="13"/>
      <c r="C623" s="13"/>
      <c r="D623" s="13"/>
      <c r="E623" s="13"/>
      <c r="F623" s="13"/>
      <c r="G623" s="14"/>
      <c r="H623" s="14"/>
      <c r="I623" s="14"/>
      <c r="J623" s="14"/>
      <c r="K623" s="14"/>
      <c r="L623" s="14"/>
      <c r="M623" s="14"/>
      <c r="N623" s="13"/>
      <c r="O623" s="13"/>
      <c r="P623" s="13"/>
      <c r="Q623" s="13"/>
      <c r="R623" s="13"/>
      <c r="S623" s="14"/>
      <c r="T623" s="14"/>
      <c r="U623" s="14"/>
      <c r="V623" s="14"/>
      <c r="W623" s="14"/>
      <c r="X623" s="14"/>
      <c r="Y623" s="14"/>
      <c r="Z623" s="13"/>
      <c r="AA623" s="13"/>
      <c r="AB623" s="13"/>
      <c r="AC623" s="13"/>
      <c r="AD623" s="13"/>
      <c r="AE623" s="14"/>
      <c r="AF623" s="14"/>
      <c r="AG623" s="14"/>
      <c r="AH623" s="14"/>
      <c r="AI623" s="14"/>
      <c r="AJ623" s="14"/>
      <c r="AK623" s="14"/>
    </row>
    <row r="624" spans="1:37">
      <c r="A624" s="23"/>
      <c r="B624" s="13"/>
      <c r="C624" s="13"/>
      <c r="D624" s="13"/>
      <c r="E624" s="13"/>
      <c r="F624" s="13"/>
      <c r="G624" s="14"/>
      <c r="H624" s="14"/>
      <c r="I624" s="14"/>
      <c r="J624" s="14"/>
      <c r="K624" s="14"/>
      <c r="L624" s="14"/>
      <c r="M624" s="14"/>
      <c r="N624" s="13"/>
      <c r="O624" s="13"/>
      <c r="P624" s="13"/>
      <c r="Q624" s="13"/>
      <c r="R624" s="13"/>
      <c r="S624" s="14"/>
      <c r="T624" s="14"/>
      <c r="U624" s="14"/>
      <c r="V624" s="14"/>
      <c r="W624" s="14"/>
      <c r="X624" s="14"/>
      <c r="Y624" s="14"/>
      <c r="Z624" s="13"/>
      <c r="AA624" s="13"/>
      <c r="AB624" s="13"/>
      <c r="AC624" s="13"/>
      <c r="AD624" s="13"/>
      <c r="AE624" s="14"/>
      <c r="AF624" s="14"/>
      <c r="AG624" s="14"/>
      <c r="AH624" s="14"/>
      <c r="AI624" s="14"/>
      <c r="AJ624" s="14"/>
      <c r="AK624" s="14"/>
    </row>
    <row r="625" spans="1:37">
      <c r="A625" s="23"/>
      <c r="B625" s="13"/>
      <c r="C625" s="13"/>
      <c r="D625" s="13"/>
      <c r="E625" s="13"/>
      <c r="F625" s="13"/>
      <c r="G625" s="14"/>
      <c r="H625" s="14"/>
      <c r="I625" s="14"/>
      <c r="J625" s="14"/>
      <c r="K625" s="14"/>
      <c r="L625" s="14"/>
      <c r="M625" s="14"/>
      <c r="N625" s="13"/>
      <c r="O625" s="13"/>
      <c r="P625" s="13"/>
      <c r="Q625" s="13"/>
      <c r="R625" s="13"/>
      <c r="S625" s="14"/>
      <c r="T625" s="14"/>
      <c r="U625" s="14"/>
      <c r="V625" s="14"/>
      <c r="W625" s="14"/>
      <c r="X625" s="14"/>
      <c r="Y625" s="14"/>
      <c r="Z625" s="13"/>
      <c r="AA625" s="13"/>
      <c r="AB625" s="13"/>
      <c r="AC625" s="13"/>
      <c r="AD625" s="13"/>
      <c r="AE625" s="14"/>
      <c r="AF625" s="14"/>
      <c r="AG625" s="14"/>
      <c r="AH625" s="14"/>
      <c r="AI625" s="14"/>
      <c r="AJ625" s="14"/>
      <c r="AK625" s="14"/>
    </row>
    <row r="626" spans="1:37">
      <c r="A626" s="23"/>
      <c r="B626" s="13"/>
      <c r="C626" s="13"/>
      <c r="D626" s="13"/>
      <c r="E626" s="13"/>
      <c r="F626" s="13"/>
      <c r="G626" s="14"/>
      <c r="H626" s="14"/>
      <c r="I626" s="14"/>
      <c r="J626" s="14"/>
      <c r="K626" s="14"/>
      <c r="L626" s="14"/>
      <c r="M626" s="14"/>
      <c r="N626" s="13"/>
      <c r="O626" s="13"/>
      <c r="P626" s="13"/>
      <c r="Q626" s="13"/>
      <c r="R626" s="13"/>
      <c r="S626" s="14"/>
      <c r="T626" s="14"/>
      <c r="U626" s="14"/>
      <c r="V626" s="14"/>
      <c r="W626" s="14"/>
      <c r="X626" s="14"/>
      <c r="Y626" s="14"/>
      <c r="Z626" s="13"/>
      <c r="AA626" s="13"/>
      <c r="AB626" s="13"/>
      <c r="AC626" s="13"/>
      <c r="AD626" s="13"/>
      <c r="AE626" s="14"/>
      <c r="AF626" s="14"/>
      <c r="AG626" s="14"/>
      <c r="AH626" s="14"/>
      <c r="AI626" s="14"/>
      <c r="AJ626" s="14"/>
      <c r="AK626" s="14"/>
    </row>
    <row r="627" spans="1:37">
      <c r="A627" s="23"/>
      <c r="B627" s="13"/>
      <c r="C627" s="13"/>
      <c r="D627" s="13"/>
      <c r="E627" s="13"/>
      <c r="F627" s="13"/>
      <c r="G627" s="14"/>
      <c r="H627" s="14"/>
      <c r="I627" s="14"/>
      <c r="J627" s="14"/>
      <c r="K627" s="14"/>
      <c r="L627" s="14"/>
      <c r="M627" s="14"/>
      <c r="N627" s="13"/>
      <c r="O627" s="13"/>
      <c r="P627" s="13"/>
      <c r="Q627" s="13"/>
      <c r="R627" s="13"/>
      <c r="S627" s="14"/>
      <c r="T627" s="14"/>
      <c r="U627" s="14"/>
      <c r="V627" s="14"/>
      <c r="W627" s="14"/>
      <c r="X627" s="14"/>
      <c r="Y627" s="14"/>
      <c r="Z627" s="13"/>
      <c r="AA627" s="13"/>
      <c r="AB627" s="13"/>
      <c r="AC627" s="13"/>
      <c r="AD627" s="13"/>
      <c r="AE627" s="14"/>
      <c r="AF627" s="14"/>
      <c r="AG627" s="14"/>
      <c r="AH627" s="14"/>
      <c r="AI627" s="14"/>
      <c r="AJ627" s="14"/>
      <c r="AK627" s="14"/>
    </row>
    <row r="628" spans="1:37">
      <c r="A628" s="23"/>
      <c r="B628" s="13"/>
      <c r="C628" s="13"/>
      <c r="D628" s="13"/>
      <c r="E628" s="13"/>
      <c r="F628" s="13"/>
      <c r="G628" s="14"/>
      <c r="H628" s="14"/>
      <c r="I628" s="14"/>
      <c r="J628" s="14"/>
      <c r="K628" s="14"/>
      <c r="L628" s="14"/>
      <c r="M628" s="14"/>
      <c r="N628" s="13"/>
      <c r="O628" s="13"/>
      <c r="P628" s="13"/>
      <c r="Q628" s="13"/>
      <c r="R628" s="13"/>
      <c r="S628" s="14"/>
      <c r="T628" s="14"/>
      <c r="U628" s="14"/>
      <c r="V628" s="14"/>
      <c r="W628" s="14"/>
      <c r="X628" s="14"/>
      <c r="Y628" s="14"/>
      <c r="Z628" s="13"/>
      <c r="AA628" s="13"/>
      <c r="AB628" s="13"/>
      <c r="AC628" s="13"/>
      <c r="AD628" s="13"/>
      <c r="AE628" s="14"/>
      <c r="AF628" s="14"/>
      <c r="AG628" s="14"/>
      <c r="AH628" s="14"/>
      <c r="AI628" s="14"/>
      <c r="AJ628" s="14"/>
      <c r="AK628" s="14"/>
    </row>
    <row r="629" spans="1:37">
      <c r="A629" s="23"/>
      <c r="B629" s="13"/>
      <c r="C629" s="13"/>
      <c r="D629" s="13"/>
      <c r="E629" s="13"/>
      <c r="F629" s="13"/>
      <c r="G629" s="14"/>
      <c r="H629" s="14"/>
      <c r="I629" s="14"/>
      <c r="J629" s="14"/>
      <c r="K629" s="14"/>
      <c r="L629" s="14"/>
      <c r="M629" s="14"/>
      <c r="N629" s="13"/>
      <c r="O629" s="13"/>
      <c r="P629" s="13"/>
      <c r="Q629" s="13"/>
      <c r="R629" s="13"/>
      <c r="S629" s="14"/>
      <c r="T629" s="14"/>
      <c r="U629" s="14"/>
      <c r="V629" s="14"/>
      <c r="W629" s="14"/>
      <c r="X629" s="14"/>
      <c r="Y629" s="14"/>
      <c r="Z629" s="13"/>
      <c r="AA629" s="13"/>
      <c r="AB629" s="13"/>
      <c r="AC629" s="13"/>
      <c r="AD629" s="13"/>
      <c r="AE629" s="14"/>
      <c r="AF629" s="14"/>
      <c r="AG629" s="14"/>
      <c r="AH629" s="14"/>
      <c r="AI629" s="14"/>
      <c r="AJ629" s="14"/>
      <c r="AK629" s="14"/>
    </row>
    <row r="630" spans="1:37">
      <c r="A630" s="23"/>
      <c r="B630" s="13"/>
      <c r="C630" s="13"/>
      <c r="D630" s="13"/>
      <c r="E630" s="13"/>
      <c r="F630" s="13"/>
      <c r="G630" s="14"/>
      <c r="H630" s="14"/>
      <c r="I630" s="14"/>
      <c r="J630" s="14"/>
      <c r="K630" s="14"/>
      <c r="L630" s="14"/>
      <c r="M630" s="14"/>
      <c r="N630" s="13"/>
      <c r="O630" s="13"/>
      <c r="P630" s="13"/>
      <c r="Q630" s="13"/>
      <c r="R630" s="13"/>
      <c r="S630" s="14"/>
      <c r="T630" s="14"/>
      <c r="U630" s="14"/>
      <c r="V630" s="14"/>
      <c r="W630" s="14"/>
      <c r="X630" s="14"/>
      <c r="Y630" s="14"/>
      <c r="Z630" s="13"/>
      <c r="AA630" s="13"/>
      <c r="AB630" s="13"/>
      <c r="AC630" s="13"/>
      <c r="AD630" s="13"/>
      <c r="AE630" s="14"/>
      <c r="AF630" s="14"/>
      <c r="AG630" s="14"/>
      <c r="AH630" s="14"/>
      <c r="AI630" s="14"/>
      <c r="AJ630" s="14"/>
      <c r="AK630" s="14"/>
    </row>
    <row r="631" spans="1:37">
      <c r="A631" s="23"/>
      <c r="B631" s="13"/>
      <c r="C631" s="13"/>
      <c r="D631" s="13"/>
      <c r="E631" s="13"/>
      <c r="F631" s="13"/>
      <c r="G631" s="14"/>
      <c r="H631" s="14"/>
      <c r="I631" s="14"/>
      <c r="J631" s="14"/>
      <c r="K631" s="14"/>
      <c r="L631" s="14"/>
      <c r="M631" s="14"/>
      <c r="N631" s="13"/>
      <c r="O631" s="13"/>
      <c r="P631" s="13"/>
      <c r="Q631" s="13"/>
      <c r="R631" s="13"/>
      <c r="S631" s="14"/>
      <c r="T631" s="14"/>
      <c r="U631" s="14"/>
      <c r="V631" s="14"/>
      <c r="W631" s="14"/>
      <c r="X631" s="14"/>
      <c r="Y631" s="14"/>
      <c r="Z631" s="13"/>
      <c r="AA631" s="13"/>
      <c r="AB631" s="13"/>
      <c r="AC631" s="13"/>
      <c r="AD631" s="13"/>
      <c r="AE631" s="14"/>
      <c r="AF631" s="14"/>
      <c r="AG631" s="14"/>
      <c r="AH631" s="14"/>
      <c r="AI631" s="14"/>
      <c r="AJ631" s="14"/>
      <c r="AK631" s="14"/>
    </row>
    <row r="632" spans="1:37">
      <c r="A632" s="23"/>
      <c r="B632" s="13"/>
      <c r="C632" s="13"/>
      <c r="D632" s="13"/>
      <c r="E632" s="13"/>
      <c r="F632" s="13"/>
      <c r="G632" s="14"/>
      <c r="H632" s="14"/>
      <c r="I632" s="14"/>
      <c r="J632" s="14"/>
      <c r="K632" s="14"/>
      <c r="L632" s="14"/>
      <c r="M632" s="14"/>
      <c r="N632" s="13"/>
      <c r="O632" s="13"/>
      <c r="P632" s="13"/>
      <c r="Q632" s="13"/>
      <c r="R632" s="13"/>
      <c r="S632" s="14"/>
      <c r="T632" s="14"/>
      <c r="U632" s="14"/>
      <c r="V632" s="14"/>
      <c r="W632" s="14"/>
      <c r="X632" s="14"/>
      <c r="Y632" s="14"/>
      <c r="Z632" s="13"/>
      <c r="AA632" s="13"/>
      <c r="AB632" s="13"/>
      <c r="AC632" s="13"/>
      <c r="AD632" s="13"/>
      <c r="AE632" s="14"/>
      <c r="AF632" s="14"/>
      <c r="AG632" s="14"/>
      <c r="AH632" s="14"/>
      <c r="AI632" s="14"/>
      <c r="AJ632" s="14"/>
      <c r="AK632" s="14"/>
    </row>
    <row r="633" spans="1:37">
      <c r="A633" s="23"/>
      <c r="B633" s="13"/>
      <c r="C633" s="13"/>
      <c r="D633" s="13"/>
      <c r="E633" s="13"/>
      <c r="F633" s="13"/>
      <c r="G633" s="14"/>
      <c r="H633" s="14"/>
      <c r="I633" s="14"/>
      <c r="J633" s="14"/>
      <c r="K633" s="14"/>
      <c r="L633" s="14"/>
      <c r="M633" s="14"/>
      <c r="N633" s="13"/>
      <c r="O633" s="13"/>
      <c r="P633" s="13"/>
      <c r="Q633" s="13"/>
      <c r="R633" s="13"/>
      <c r="S633" s="14"/>
      <c r="T633" s="14"/>
      <c r="U633" s="14"/>
      <c r="V633" s="14"/>
      <c r="W633" s="14"/>
      <c r="X633" s="14"/>
      <c r="Y633" s="14"/>
      <c r="Z633" s="13"/>
      <c r="AA633" s="13"/>
      <c r="AB633" s="13"/>
      <c r="AC633" s="13"/>
      <c r="AD633" s="13"/>
      <c r="AE633" s="14"/>
      <c r="AF633" s="14"/>
      <c r="AG633" s="14"/>
      <c r="AH633" s="14"/>
      <c r="AI633" s="14"/>
      <c r="AJ633" s="14"/>
      <c r="AK633" s="14"/>
    </row>
    <row r="634" spans="1:37">
      <c r="A634" s="23"/>
      <c r="B634" s="13"/>
      <c r="C634" s="13"/>
      <c r="D634" s="13"/>
      <c r="E634" s="13"/>
      <c r="F634" s="13"/>
      <c r="G634" s="14"/>
      <c r="H634" s="14"/>
      <c r="I634" s="14"/>
      <c r="J634" s="14"/>
      <c r="K634" s="14"/>
      <c r="L634" s="14"/>
      <c r="M634" s="14"/>
      <c r="N634" s="13"/>
      <c r="O634" s="13"/>
      <c r="P634" s="13"/>
      <c r="Q634" s="13"/>
      <c r="R634" s="13"/>
      <c r="S634" s="14"/>
      <c r="T634" s="14"/>
      <c r="U634" s="14"/>
      <c r="V634" s="14"/>
      <c r="W634" s="14"/>
      <c r="X634" s="14"/>
      <c r="Y634" s="14"/>
      <c r="Z634" s="13"/>
      <c r="AA634" s="13"/>
      <c r="AB634" s="13"/>
      <c r="AC634" s="13"/>
      <c r="AD634" s="13"/>
      <c r="AE634" s="14"/>
      <c r="AF634" s="14"/>
      <c r="AG634" s="14"/>
      <c r="AH634" s="14"/>
      <c r="AI634" s="14"/>
      <c r="AJ634" s="14"/>
      <c r="AK634" s="14"/>
    </row>
    <row r="635" spans="1:37">
      <c r="A635" s="23"/>
      <c r="B635" s="13"/>
      <c r="C635" s="13"/>
      <c r="D635" s="13"/>
      <c r="E635" s="13"/>
      <c r="F635" s="13"/>
      <c r="G635" s="14"/>
      <c r="H635" s="14"/>
      <c r="I635" s="14"/>
      <c r="J635" s="14"/>
      <c r="K635" s="14"/>
      <c r="L635" s="14"/>
      <c r="M635" s="14"/>
      <c r="N635" s="13"/>
      <c r="O635" s="13"/>
      <c r="P635" s="13"/>
      <c r="Q635" s="13"/>
      <c r="R635" s="13"/>
      <c r="S635" s="14"/>
      <c r="T635" s="14"/>
      <c r="U635" s="14"/>
      <c r="V635" s="14"/>
      <c r="W635" s="14"/>
      <c r="X635" s="14"/>
      <c r="Y635" s="14"/>
      <c r="Z635" s="13"/>
      <c r="AA635" s="13"/>
      <c r="AB635" s="13"/>
      <c r="AC635" s="13"/>
      <c r="AD635" s="13"/>
      <c r="AE635" s="14"/>
      <c r="AF635" s="14"/>
      <c r="AG635" s="14"/>
      <c r="AH635" s="14"/>
      <c r="AI635" s="14"/>
      <c r="AJ635" s="14"/>
      <c r="AK635" s="14"/>
    </row>
    <row r="636" spans="1:37">
      <c r="A636" s="23"/>
      <c r="B636" s="13"/>
      <c r="C636" s="13"/>
      <c r="D636" s="13"/>
      <c r="E636" s="13"/>
      <c r="F636" s="13"/>
      <c r="G636" s="14"/>
      <c r="H636" s="14"/>
      <c r="I636" s="14"/>
      <c r="J636" s="14"/>
      <c r="K636" s="14"/>
      <c r="L636" s="14"/>
      <c r="M636" s="14"/>
      <c r="N636" s="13"/>
      <c r="O636" s="13"/>
      <c r="P636" s="13"/>
      <c r="Q636" s="13"/>
      <c r="R636" s="13"/>
      <c r="S636" s="14"/>
      <c r="T636" s="14"/>
      <c r="U636" s="14"/>
      <c r="V636" s="14"/>
      <c r="W636" s="14"/>
      <c r="X636" s="14"/>
      <c r="Y636" s="14"/>
      <c r="Z636" s="13"/>
      <c r="AA636" s="13"/>
      <c r="AB636" s="13"/>
      <c r="AC636" s="13"/>
      <c r="AD636" s="13"/>
      <c r="AE636" s="14"/>
      <c r="AF636" s="14"/>
      <c r="AG636" s="14"/>
      <c r="AH636" s="14"/>
      <c r="AI636" s="14"/>
      <c r="AJ636" s="14"/>
      <c r="AK636" s="14"/>
    </row>
    <row r="637" spans="1:37">
      <c r="A637" s="23"/>
      <c r="B637" s="13"/>
      <c r="C637" s="13"/>
      <c r="D637" s="13"/>
      <c r="E637" s="13"/>
      <c r="F637" s="13"/>
      <c r="G637" s="14"/>
      <c r="H637" s="14"/>
      <c r="I637" s="14"/>
      <c r="J637" s="14"/>
      <c r="K637" s="14"/>
      <c r="L637" s="14"/>
      <c r="M637" s="14"/>
      <c r="N637" s="13"/>
      <c r="O637" s="13"/>
      <c r="P637" s="13"/>
      <c r="Q637" s="13"/>
      <c r="R637" s="13"/>
      <c r="S637" s="14"/>
      <c r="T637" s="14"/>
      <c r="U637" s="14"/>
      <c r="V637" s="14"/>
      <c r="W637" s="14"/>
      <c r="X637" s="14"/>
      <c r="Y637" s="14"/>
      <c r="Z637" s="13"/>
      <c r="AA637" s="13"/>
      <c r="AB637" s="13"/>
      <c r="AC637" s="13"/>
      <c r="AD637" s="13"/>
      <c r="AE637" s="14"/>
      <c r="AF637" s="14"/>
      <c r="AG637" s="14"/>
      <c r="AH637" s="14"/>
      <c r="AI637" s="14"/>
      <c r="AJ637" s="14"/>
      <c r="AK637" s="14"/>
    </row>
    <row r="638" spans="1:37">
      <c r="A638" s="23"/>
      <c r="B638" s="13"/>
      <c r="C638" s="13"/>
      <c r="D638" s="13"/>
      <c r="E638" s="13"/>
      <c r="F638" s="13"/>
      <c r="G638" s="14"/>
      <c r="H638" s="14"/>
      <c r="I638" s="14"/>
      <c r="J638" s="14"/>
      <c r="K638" s="14"/>
      <c r="L638" s="14"/>
      <c r="M638" s="14"/>
      <c r="N638" s="13"/>
      <c r="O638" s="13"/>
      <c r="P638" s="13"/>
      <c r="Q638" s="13"/>
      <c r="R638" s="13"/>
      <c r="S638" s="14"/>
      <c r="T638" s="14"/>
      <c r="U638" s="14"/>
      <c r="V638" s="14"/>
      <c r="W638" s="14"/>
      <c r="X638" s="14"/>
      <c r="Y638" s="14"/>
      <c r="Z638" s="13"/>
      <c r="AA638" s="13"/>
      <c r="AB638" s="13"/>
      <c r="AC638" s="13"/>
      <c r="AD638" s="13"/>
      <c r="AE638" s="14"/>
      <c r="AF638" s="14"/>
      <c r="AG638" s="14"/>
      <c r="AH638" s="14"/>
      <c r="AI638" s="14"/>
      <c r="AJ638" s="14"/>
      <c r="AK638" s="14"/>
    </row>
    <row r="639" spans="1:37">
      <c r="A639" s="23"/>
      <c r="B639" s="13"/>
      <c r="C639" s="13"/>
      <c r="D639" s="13"/>
      <c r="E639" s="13"/>
      <c r="F639" s="13"/>
      <c r="G639" s="14"/>
      <c r="H639" s="14"/>
      <c r="I639" s="14"/>
      <c r="J639" s="14"/>
      <c r="K639" s="14"/>
      <c r="L639" s="14"/>
      <c r="M639" s="14"/>
      <c r="N639" s="13"/>
      <c r="O639" s="13"/>
      <c r="P639" s="13"/>
      <c r="Q639" s="13"/>
      <c r="R639" s="13"/>
      <c r="S639" s="14"/>
      <c r="T639" s="14"/>
      <c r="U639" s="14"/>
      <c r="V639" s="14"/>
      <c r="W639" s="14"/>
      <c r="X639" s="14"/>
      <c r="Y639" s="14"/>
      <c r="Z639" s="13"/>
      <c r="AA639" s="13"/>
      <c r="AB639" s="13"/>
      <c r="AC639" s="13"/>
      <c r="AD639" s="13"/>
      <c r="AE639" s="14"/>
      <c r="AF639" s="14"/>
      <c r="AG639" s="14"/>
      <c r="AH639" s="14"/>
      <c r="AI639" s="14"/>
      <c r="AJ639" s="14"/>
      <c r="AK639" s="14"/>
    </row>
    <row r="640" spans="1:37">
      <c r="A640" s="23"/>
      <c r="B640" s="13"/>
      <c r="C640" s="13"/>
      <c r="D640" s="13"/>
      <c r="E640" s="13"/>
      <c r="F640" s="13"/>
      <c r="G640" s="14"/>
      <c r="H640" s="14"/>
      <c r="I640" s="14"/>
      <c r="J640" s="14"/>
      <c r="K640" s="14"/>
      <c r="L640" s="14"/>
      <c r="M640" s="14"/>
      <c r="N640" s="13"/>
      <c r="O640" s="13"/>
      <c r="P640" s="13"/>
      <c r="Q640" s="13"/>
      <c r="R640" s="13"/>
      <c r="S640" s="14"/>
      <c r="T640" s="14"/>
      <c r="U640" s="14"/>
      <c r="V640" s="14"/>
      <c r="W640" s="14"/>
      <c r="X640" s="14"/>
      <c r="Y640" s="14"/>
      <c r="Z640" s="13"/>
      <c r="AA640" s="13"/>
      <c r="AB640" s="13"/>
      <c r="AC640" s="13"/>
      <c r="AD640" s="13"/>
      <c r="AE640" s="14"/>
      <c r="AF640" s="14"/>
      <c r="AG640" s="14"/>
      <c r="AH640" s="14"/>
      <c r="AI640" s="14"/>
      <c r="AJ640" s="14"/>
      <c r="AK640" s="14"/>
    </row>
    <row r="641" spans="1:37">
      <c r="A641" s="23"/>
      <c r="B641" s="13"/>
      <c r="C641" s="13"/>
      <c r="D641" s="13"/>
      <c r="E641" s="13"/>
      <c r="F641" s="13"/>
      <c r="G641" s="14"/>
      <c r="H641" s="14"/>
      <c r="I641" s="14"/>
      <c r="J641" s="14"/>
      <c r="K641" s="14"/>
      <c r="L641" s="14"/>
      <c r="M641" s="14"/>
      <c r="N641" s="13"/>
      <c r="O641" s="13"/>
      <c r="P641" s="13"/>
      <c r="Q641" s="13"/>
      <c r="R641" s="13"/>
      <c r="S641" s="14"/>
      <c r="T641" s="14"/>
      <c r="U641" s="14"/>
      <c r="V641" s="14"/>
      <c r="W641" s="14"/>
      <c r="X641" s="14"/>
      <c r="Y641" s="14"/>
      <c r="Z641" s="13"/>
      <c r="AA641" s="13"/>
      <c r="AB641" s="13"/>
      <c r="AC641" s="13"/>
      <c r="AD641" s="13"/>
      <c r="AE641" s="14"/>
      <c r="AF641" s="14"/>
      <c r="AG641" s="14"/>
      <c r="AH641" s="14"/>
      <c r="AI641" s="14"/>
      <c r="AJ641" s="14"/>
      <c r="AK641" s="14"/>
    </row>
    <row r="642" spans="1:37">
      <c r="A642" s="23"/>
      <c r="B642" s="13"/>
      <c r="C642" s="13"/>
      <c r="D642" s="13"/>
      <c r="E642" s="13"/>
      <c r="F642" s="13"/>
      <c r="G642" s="14"/>
      <c r="H642" s="14"/>
      <c r="I642" s="14"/>
      <c r="J642" s="14"/>
      <c r="K642" s="14"/>
      <c r="L642" s="14"/>
      <c r="M642" s="14"/>
      <c r="N642" s="13"/>
      <c r="O642" s="13"/>
      <c r="P642" s="13"/>
      <c r="Q642" s="13"/>
      <c r="R642" s="13"/>
      <c r="S642" s="14"/>
      <c r="T642" s="14"/>
      <c r="U642" s="14"/>
      <c r="V642" s="14"/>
      <c r="W642" s="14"/>
      <c r="X642" s="14"/>
      <c r="Y642" s="14"/>
      <c r="Z642" s="13"/>
      <c r="AA642" s="13"/>
      <c r="AB642" s="13"/>
      <c r="AC642" s="13"/>
      <c r="AD642" s="13"/>
      <c r="AE642" s="14"/>
      <c r="AF642" s="14"/>
      <c r="AG642" s="14"/>
      <c r="AH642" s="14"/>
      <c r="AI642" s="14"/>
      <c r="AJ642" s="14"/>
      <c r="AK642" s="14"/>
    </row>
    <row r="643" spans="1:37">
      <c r="A643" s="23"/>
      <c r="B643" s="13"/>
      <c r="C643" s="13"/>
      <c r="D643" s="13"/>
      <c r="E643" s="13"/>
      <c r="F643" s="13"/>
      <c r="G643" s="14"/>
      <c r="H643" s="14"/>
      <c r="I643" s="14"/>
      <c r="J643" s="14"/>
      <c r="K643" s="14"/>
      <c r="L643" s="14"/>
      <c r="M643" s="14"/>
      <c r="N643" s="13"/>
      <c r="O643" s="13"/>
      <c r="P643" s="13"/>
      <c r="Q643" s="13"/>
      <c r="R643" s="13"/>
      <c r="S643" s="14"/>
      <c r="T643" s="14"/>
      <c r="U643" s="14"/>
      <c r="V643" s="14"/>
      <c r="W643" s="14"/>
      <c r="X643" s="14"/>
      <c r="Y643" s="14"/>
      <c r="Z643" s="13"/>
      <c r="AA643" s="13"/>
      <c r="AB643" s="13"/>
      <c r="AC643" s="13"/>
      <c r="AD643" s="13"/>
      <c r="AE643" s="14"/>
      <c r="AF643" s="14"/>
      <c r="AG643" s="14"/>
      <c r="AH643" s="14"/>
      <c r="AI643" s="14"/>
      <c r="AJ643" s="14"/>
      <c r="AK643" s="14"/>
    </row>
    <row r="644" spans="1:37">
      <c r="A644" s="23"/>
      <c r="B644" s="13"/>
      <c r="C644" s="13"/>
      <c r="D644" s="13"/>
      <c r="E644" s="13"/>
      <c r="F644" s="13"/>
      <c r="G644" s="14"/>
      <c r="H644" s="14"/>
      <c r="I644" s="14"/>
      <c r="J644" s="14"/>
      <c r="K644" s="14"/>
      <c r="L644" s="14"/>
      <c r="M644" s="14"/>
      <c r="N644" s="13"/>
      <c r="O644" s="13"/>
      <c r="P644" s="13"/>
      <c r="Q644" s="13"/>
      <c r="R644" s="13"/>
      <c r="S644" s="14"/>
      <c r="T644" s="14"/>
      <c r="U644" s="14"/>
      <c r="V644" s="14"/>
      <c r="W644" s="14"/>
      <c r="X644" s="14"/>
      <c r="Y644" s="14"/>
      <c r="Z644" s="13"/>
      <c r="AA644" s="13"/>
      <c r="AB644" s="13"/>
      <c r="AC644" s="13"/>
      <c r="AD644" s="13"/>
      <c r="AE644" s="14"/>
      <c r="AF644" s="14"/>
      <c r="AG644" s="14"/>
      <c r="AH644" s="14"/>
      <c r="AI644" s="14"/>
      <c r="AJ644" s="14"/>
      <c r="AK644" s="14"/>
    </row>
    <row r="645" spans="1:37">
      <c r="A645" s="23"/>
      <c r="B645" s="13"/>
      <c r="C645" s="13"/>
      <c r="D645" s="13"/>
      <c r="E645" s="13"/>
      <c r="F645" s="13"/>
      <c r="G645" s="14"/>
      <c r="H645" s="14"/>
      <c r="I645" s="14"/>
      <c r="J645" s="14"/>
      <c r="K645" s="14"/>
      <c r="L645" s="14"/>
      <c r="M645" s="14"/>
      <c r="N645" s="13"/>
      <c r="O645" s="13"/>
      <c r="P645" s="13"/>
      <c r="Q645" s="13"/>
      <c r="R645" s="13"/>
      <c r="S645" s="14"/>
      <c r="T645" s="14"/>
      <c r="U645" s="14"/>
      <c r="V645" s="14"/>
      <c r="W645" s="14"/>
      <c r="X645" s="14"/>
      <c r="Y645" s="14"/>
      <c r="Z645" s="13"/>
      <c r="AA645" s="13"/>
      <c r="AB645" s="13"/>
      <c r="AC645" s="13"/>
      <c r="AD645" s="13"/>
      <c r="AE645" s="14"/>
      <c r="AF645" s="14"/>
      <c r="AG645" s="14"/>
      <c r="AH645" s="14"/>
      <c r="AI645" s="14"/>
      <c r="AJ645" s="14"/>
      <c r="AK645" s="14"/>
    </row>
    <row r="646" spans="1:37">
      <c r="A646" s="23"/>
      <c r="B646" s="13"/>
      <c r="C646" s="13"/>
      <c r="D646" s="13"/>
      <c r="E646" s="13"/>
      <c r="F646" s="13"/>
      <c r="G646" s="14"/>
      <c r="H646" s="14"/>
      <c r="I646" s="14"/>
      <c r="J646" s="14"/>
      <c r="K646" s="14"/>
      <c r="L646" s="14"/>
      <c r="M646" s="14"/>
      <c r="N646" s="13"/>
      <c r="O646" s="13"/>
      <c r="P646" s="13"/>
      <c r="Q646" s="13"/>
      <c r="R646" s="13"/>
      <c r="S646" s="14"/>
      <c r="T646" s="14"/>
      <c r="U646" s="14"/>
      <c r="V646" s="14"/>
      <c r="W646" s="14"/>
      <c r="X646" s="14"/>
      <c r="Y646" s="14"/>
      <c r="Z646" s="13"/>
      <c r="AA646" s="13"/>
      <c r="AB646" s="13"/>
      <c r="AC646" s="13"/>
      <c r="AD646" s="13"/>
      <c r="AE646" s="14"/>
      <c r="AF646" s="14"/>
      <c r="AG646" s="14"/>
      <c r="AH646" s="14"/>
      <c r="AI646" s="14"/>
      <c r="AJ646" s="14"/>
      <c r="AK646" s="14"/>
    </row>
    <row r="647" spans="1:37">
      <c r="A647" s="23"/>
      <c r="B647" s="13"/>
      <c r="C647" s="13"/>
      <c r="D647" s="13"/>
      <c r="E647" s="13"/>
      <c r="F647" s="13"/>
      <c r="G647" s="14"/>
      <c r="H647" s="14"/>
      <c r="I647" s="14"/>
      <c r="J647" s="14"/>
      <c r="K647" s="14"/>
      <c r="L647" s="14"/>
      <c r="M647" s="14"/>
      <c r="N647" s="13"/>
      <c r="O647" s="13"/>
      <c r="P647" s="13"/>
      <c r="Q647" s="13"/>
      <c r="R647" s="13"/>
      <c r="S647" s="14"/>
      <c r="T647" s="14"/>
      <c r="U647" s="14"/>
      <c r="V647" s="14"/>
      <c r="W647" s="14"/>
      <c r="X647" s="14"/>
      <c r="Y647" s="14"/>
      <c r="Z647" s="13"/>
      <c r="AA647" s="13"/>
      <c r="AB647" s="13"/>
      <c r="AC647" s="13"/>
      <c r="AD647" s="13"/>
      <c r="AE647" s="14"/>
      <c r="AF647" s="14"/>
      <c r="AG647" s="14"/>
      <c r="AH647" s="14"/>
      <c r="AI647" s="14"/>
      <c r="AJ647" s="14"/>
      <c r="AK647" s="14"/>
    </row>
    <row r="648" spans="1:37">
      <c r="A648" s="23"/>
      <c r="B648" s="13"/>
      <c r="C648" s="13"/>
      <c r="D648" s="13"/>
      <c r="E648" s="13"/>
      <c r="F648" s="13"/>
      <c r="G648" s="14"/>
      <c r="H648" s="14"/>
      <c r="I648" s="14"/>
      <c r="J648" s="14"/>
      <c r="K648" s="14"/>
      <c r="L648" s="14"/>
      <c r="M648" s="14"/>
      <c r="N648" s="13"/>
      <c r="O648" s="13"/>
      <c r="P648" s="13"/>
      <c r="Q648" s="13"/>
      <c r="R648" s="13"/>
      <c r="S648" s="14"/>
      <c r="T648" s="14"/>
      <c r="U648" s="14"/>
      <c r="V648" s="14"/>
      <c r="W648" s="14"/>
      <c r="X648" s="14"/>
      <c r="Y648" s="14"/>
      <c r="Z648" s="13"/>
      <c r="AA648" s="13"/>
      <c r="AB648" s="13"/>
      <c r="AC648" s="13"/>
      <c r="AD648" s="13"/>
      <c r="AE648" s="14"/>
      <c r="AF648" s="14"/>
      <c r="AG648" s="14"/>
      <c r="AH648" s="14"/>
      <c r="AI648" s="14"/>
      <c r="AJ648" s="14"/>
      <c r="AK648" s="14"/>
    </row>
    <row r="649" spans="1:37">
      <c r="A649" s="23"/>
      <c r="B649" s="13"/>
      <c r="C649" s="13"/>
      <c r="D649" s="13"/>
      <c r="E649" s="13"/>
      <c r="F649" s="13"/>
      <c r="G649" s="14"/>
      <c r="H649" s="14"/>
      <c r="I649" s="14"/>
      <c r="J649" s="14"/>
      <c r="K649" s="14"/>
      <c r="L649" s="14"/>
      <c r="M649" s="14"/>
      <c r="N649" s="13"/>
      <c r="O649" s="13"/>
      <c r="P649" s="13"/>
      <c r="Q649" s="13"/>
      <c r="R649" s="13"/>
      <c r="S649" s="14"/>
      <c r="T649" s="14"/>
      <c r="U649" s="14"/>
      <c r="V649" s="14"/>
      <c r="W649" s="14"/>
      <c r="X649" s="14"/>
      <c r="Y649" s="14"/>
      <c r="Z649" s="13"/>
      <c r="AA649" s="13"/>
      <c r="AB649" s="13"/>
      <c r="AC649" s="13"/>
      <c r="AD649" s="13"/>
      <c r="AE649" s="14"/>
      <c r="AF649" s="14"/>
      <c r="AG649" s="14"/>
      <c r="AH649" s="14"/>
      <c r="AI649" s="14"/>
      <c r="AJ649" s="14"/>
      <c r="AK649" s="14"/>
    </row>
    <row r="650" spans="1:37">
      <c r="A650" s="23"/>
      <c r="B650" s="13"/>
      <c r="C650" s="13"/>
      <c r="D650" s="13"/>
      <c r="E650" s="13"/>
      <c r="F650" s="13"/>
      <c r="G650" s="14"/>
      <c r="H650" s="14"/>
      <c r="I650" s="14"/>
      <c r="J650" s="14"/>
      <c r="K650" s="14"/>
      <c r="L650" s="14"/>
      <c r="M650" s="14"/>
      <c r="N650" s="13"/>
      <c r="O650" s="13"/>
      <c r="P650" s="13"/>
      <c r="Q650" s="13"/>
      <c r="R650" s="13"/>
      <c r="S650" s="14"/>
      <c r="T650" s="14"/>
      <c r="U650" s="14"/>
      <c r="V650" s="14"/>
      <c r="W650" s="14"/>
      <c r="X650" s="14"/>
      <c r="Y650" s="14"/>
      <c r="Z650" s="13"/>
      <c r="AA650" s="13"/>
      <c r="AB650" s="13"/>
      <c r="AC650" s="13"/>
      <c r="AD650" s="13"/>
      <c r="AE650" s="14"/>
      <c r="AF650" s="14"/>
      <c r="AG650" s="14"/>
      <c r="AH650" s="14"/>
      <c r="AI650" s="14"/>
      <c r="AJ650" s="14"/>
      <c r="AK650" s="14"/>
    </row>
    <row r="651" spans="1:37">
      <c r="A651" s="23"/>
      <c r="B651" s="13"/>
      <c r="C651" s="13"/>
      <c r="D651" s="13"/>
      <c r="E651" s="13"/>
      <c r="F651" s="13"/>
      <c r="G651" s="14"/>
      <c r="H651" s="14"/>
      <c r="I651" s="14"/>
      <c r="J651" s="14"/>
      <c r="K651" s="14"/>
      <c r="L651" s="14"/>
      <c r="M651" s="14"/>
      <c r="N651" s="13"/>
      <c r="O651" s="13"/>
      <c r="P651" s="13"/>
      <c r="Q651" s="13"/>
      <c r="R651" s="13"/>
      <c r="S651" s="14"/>
      <c r="T651" s="14"/>
      <c r="U651" s="14"/>
      <c r="V651" s="14"/>
      <c r="W651" s="14"/>
      <c r="X651" s="14"/>
      <c r="Y651" s="14"/>
      <c r="Z651" s="13"/>
      <c r="AA651" s="13"/>
      <c r="AB651" s="13"/>
      <c r="AC651" s="13"/>
      <c r="AD651" s="13"/>
      <c r="AE651" s="14"/>
      <c r="AF651" s="14"/>
      <c r="AG651" s="14"/>
      <c r="AH651" s="14"/>
      <c r="AI651" s="14"/>
      <c r="AJ651" s="14"/>
      <c r="AK651" s="14"/>
    </row>
    <row r="652" spans="1:37">
      <c r="A652" s="23"/>
      <c r="B652" s="13"/>
      <c r="C652" s="13"/>
      <c r="D652" s="13"/>
      <c r="E652" s="13"/>
      <c r="F652" s="13"/>
      <c r="G652" s="14"/>
      <c r="H652" s="14"/>
      <c r="I652" s="14"/>
      <c r="J652" s="14"/>
      <c r="K652" s="14"/>
      <c r="L652" s="14"/>
      <c r="M652" s="14"/>
      <c r="N652" s="13"/>
      <c r="O652" s="13"/>
      <c r="P652" s="13"/>
      <c r="Q652" s="13"/>
      <c r="R652" s="13"/>
      <c r="S652" s="14"/>
      <c r="T652" s="14"/>
      <c r="U652" s="14"/>
      <c r="V652" s="14"/>
      <c r="W652" s="14"/>
      <c r="X652" s="14"/>
      <c r="Y652" s="14"/>
      <c r="Z652" s="13"/>
      <c r="AA652" s="13"/>
      <c r="AB652" s="13"/>
      <c r="AC652" s="13"/>
      <c r="AD652" s="13"/>
      <c r="AE652" s="14"/>
      <c r="AF652" s="14"/>
      <c r="AG652" s="14"/>
      <c r="AH652" s="14"/>
      <c r="AI652" s="14"/>
      <c r="AJ652" s="14"/>
      <c r="AK652" s="14"/>
    </row>
    <row r="653" spans="1:37">
      <c r="A653" s="23"/>
      <c r="B653" s="13"/>
      <c r="C653" s="13"/>
      <c r="D653" s="13"/>
      <c r="E653" s="13"/>
      <c r="F653" s="13"/>
      <c r="G653" s="14"/>
      <c r="H653" s="14"/>
      <c r="I653" s="14"/>
      <c r="J653" s="14"/>
      <c r="K653" s="14"/>
      <c r="L653" s="14"/>
      <c r="M653" s="14"/>
      <c r="N653" s="13"/>
      <c r="O653" s="13"/>
      <c r="P653" s="13"/>
      <c r="Q653" s="13"/>
      <c r="R653" s="13"/>
      <c r="S653" s="14"/>
      <c r="T653" s="14"/>
      <c r="U653" s="14"/>
      <c r="V653" s="14"/>
      <c r="W653" s="14"/>
      <c r="X653" s="14"/>
      <c r="Y653" s="14"/>
      <c r="Z653" s="13"/>
      <c r="AA653" s="13"/>
      <c r="AB653" s="13"/>
      <c r="AC653" s="13"/>
      <c r="AD653" s="13"/>
      <c r="AE653" s="14"/>
      <c r="AF653" s="14"/>
      <c r="AG653" s="14"/>
      <c r="AH653" s="14"/>
      <c r="AI653" s="14"/>
      <c r="AJ653" s="14"/>
      <c r="AK653" s="14"/>
    </row>
    <row r="654" spans="1:37">
      <c r="A654" s="23"/>
      <c r="B654" s="13"/>
      <c r="C654" s="13"/>
      <c r="D654" s="13"/>
      <c r="E654" s="13"/>
      <c r="F654" s="13"/>
      <c r="G654" s="14"/>
      <c r="H654" s="14"/>
      <c r="I654" s="14"/>
      <c r="J654" s="14"/>
      <c r="K654" s="14"/>
      <c r="L654" s="14"/>
      <c r="M654" s="14"/>
      <c r="N654" s="13"/>
      <c r="O654" s="13"/>
      <c r="P654" s="13"/>
      <c r="Q654" s="13"/>
      <c r="R654" s="13"/>
      <c r="S654" s="14"/>
      <c r="T654" s="14"/>
      <c r="U654" s="14"/>
      <c r="V654" s="14"/>
      <c r="W654" s="14"/>
      <c r="X654" s="14"/>
      <c r="Y654" s="14"/>
      <c r="Z654" s="13"/>
      <c r="AA654" s="13"/>
      <c r="AB654" s="13"/>
      <c r="AC654" s="13"/>
      <c r="AD654" s="13"/>
      <c r="AE654" s="14"/>
      <c r="AF654" s="14"/>
      <c r="AG654" s="14"/>
      <c r="AH654" s="14"/>
      <c r="AI654" s="14"/>
      <c r="AJ654" s="14"/>
      <c r="AK654" s="14"/>
    </row>
    <row r="655" spans="1:37">
      <c r="A655" s="23"/>
      <c r="B655" s="13"/>
      <c r="C655" s="13"/>
      <c r="D655" s="13"/>
      <c r="E655" s="13"/>
      <c r="F655" s="13"/>
      <c r="G655" s="14"/>
      <c r="H655" s="14"/>
      <c r="I655" s="14"/>
      <c r="J655" s="14"/>
      <c r="K655" s="14"/>
      <c r="L655" s="14"/>
      <c r="M655" s="14"/>
      <c r="N655" s="13"/>
      <c r="O655" s="13"/>
      <c r="P655" s="13"/>
      <c r="Q655" s="13"/>
      <c r="R655" s="13"/>
      <c r="S655" s="14"/>
      <c r="T655" s="14"/>
      <c r="U655" s="14"/>
      <c r="V655" s="14"/>
      <c r="W655" s="14"/>
      <c r="X655" s="14"/>
      <c r="Y655" s="14"/>
      <c r="Z655" s="13"/>
      <c r="AA655" s="13"/>
      <c r="AB655" s="13"/>
      <c r="AC655" s="13"/>
      <c r="AD655" s="13"/>
      <c r="AE655" s="14"/>
      <c r="AF655" s="14"/>
      <c r="AG655" s="14"/>
      <c r="AH655" s="14"/>
      <c r="AI655" s="14"/>
      <c r="AJ655" s="14"/>
      <c r="AK655" s="14"/>
    </row>
    <row r="656" spans="1:37">
      <c r="A656" s="23"/>
      <c r="B656" s="13"/>
      <c r="C656" s="13"/>
      <c r="D656" s="13"/>
      <c r="E656" s="13"/>
      <c r="F656" s="13"/>
      <c r="G656" s="14"/>
      <c r="H656" s="14"/>
      <c r="I656" s="14"/>
      <c r="J656" s="14"/>
      <c r="K656" s="14"/>
      <c r="L656" s="14"/>
      <c r="M656" s="14"/>
      <c r="N656" s="13"/>
      <c r="O656" s="13"/>
      <c r="P656" s="13"/>
      <c r="Q656" s="13"/>
      <c r="R656" s="13"/>
      <c r="S656" s="14"/>
      <c r="T656" s="14"/>
      <c r="U656" s="14"/>
      <c r="V656" s="14"/>
      <c r="W656" s="14"/>
      <c r="X656" s="14"/>
      <c r="Y656" s="14"/>
      <c r="Z656" s="13"/>
      <c r="AA656" s="13"/>
      <c r="AB656" s="13"/>
      <c r="AC656" s="13"/>
      <c r="AD656" s="13"/>
      <c r="AE656" s="14"/>
      <c r="AF656" s="14"/>
      <c r="AG656" s="14"/>
      <c r="AH656" s="14"/>
      <c r="AI656" s="14"/>
      <c r="AJ656" s="14"/>
      <c r="AK656" s="14"/>
    </row>
    <row r="657" spans="1:37">
      <c r="A657" s="23"/>
      <c r="B657" s="13"/>
      <c r="C657" s="13"/>
      <c r="D657" s="13"/>
      <c r="E657" s="13"/>
      <c r="F657" s="13"/>
      <c r="G657" s="14"/>
      <c r="H657" s="14"/>
      <c r="I657" s="14"/>
      <c r="J657" s="14"/>
      <c r="K657" s="14"/>
      <c r="L657" s="14"/>
      <c r="M657" s="14"/>
      <c r="N657" s="13"/>
      <c r="O657" s="13"/>
      <c r="P657" s="13"/>
      <c r="Q657" s="13"/>
      <c r="R657" s="13"/>
      <c r="S657" s="14"/>
      <c r="T657" s="14"/>
      <c r="U657" s="14"/>
      <c r="V657" s="14"/>
      <c r="W657" s="14"/>
      <c r="X657" s="14"/>
      <c r="Y657" s="14"/>
      <c r="Z657" s="13"/>
      <c r="AA657" s="13"/>
      <c r="AB657" s="13"/>
      <c r="AC657" s="13"/>
      <c r="AD657" s="13"/>
      <c r="AE657" s="14"/>
      <c r="AF657" s="14"/>
      <c r="AG657" s="14"/>
      <c r="AH657" s="14"/>
      <c r="AI657" s="14"/>
      <c r="AJ657" s="14"/>
      <c r="AK657" s="14"/>
    </row>
    <row r="658" spans="1:37">
      <c r="A658" s="23"/>
      <c r="B658" s="13"/>
      <c r="C658" s="13"/>
      <c r="D658" s="13"/>
      <c r="E658" s="13"/>
      <c r="F658" s="13"/>
      <c r="G658" s="14"/>
      <c r="H658" s="14"/>
      <c r="I658" s="14"/>
      <c r="J658" s="14"/>
      <c r="K658" s="14"/>
      <c r="L658" s="14"/>
      <c r="M658" s="14"/>
      <c r="N658" s="13"/>
      <c r="O658" s="13"/>
      <c r="P658" s="13"/>
      <c r="Q658" s="13"/>
      <c r="R658" s="13"/>
      <c r="S658" s="14"/>
      <c r="T658" s="14"/>
      <c r="U658" s="14"/>
      <c r="V658" s="14"/>
      <c r="W658" s="14"/>
      <c r="X658" s="14"/>
      <c r="Y658" s="14"/>
      <c r="Z658" s="13"/>
      <c r="AA658" s="13"/>
      <c r="AB658" s="13"/>
      <c r="AC658" s="13"/>
      <c r="AD658" s="13"/>
      <c r="AE658" s="14"/>
      <c r="AF658" s="14"/>
      <c r="AG658" s="14"/>
      <c r="AH658" s="14"/>
      <c r="AI658" s="14"/>
      <c r="AJ658" s="14"/>
      <c r="AK658" s="14"/>
    </row>
    <row r="659" spans="1:37">
      <c r="A659" s="23"/>
      <c r="B659" s="13"/>
      <c r="C659" s="13"/>
      <c r="D659" s="13"/>
      <c r="E659" s="13"/>
      <c r="F659" s="13"/>
      <c r="G659" s="14"/>
      <c r="H659" s="14"/>
      <c r="I659" s="14"/>
      <c r="J659" s="14"/>
      <c r="K659" s="14"/>
      <c r="L659" s="14"/>
      <c r="M659" s="14"/>
      <c r="N659" s="13"/>
      <c r="O659" s="13"/>
      <c r="P659" s="13"/>
      <c r="Q659" s="13"/>
      <c r="R659" s="13"/>
      <c r="S659" s="14"/>
      <c r="T659" s="14"/>
      <c r="U659" s="14"/>
      <c r="V659" s="14"/>
      <c r="W659" s="14"/>
      <c r="X659" s="14"/>
      <c r="Y659" s="14"/>
      <c r="Z659" s="13"/>
      <c r="AA659" s="13"/>
      <c r="AB659" s="13"/>
      <c r="AC659" s="13"/>
      <c r="AD659" s="13"/>
      <c r="AE659" s="14"/>
      <c r="AF659" s="14"/>
      <c r="AG659" s="14"/>
      <c r="AH659" s="14"/>
      <c r="AI659" s="14"/>
      <c r="AJ659" s="14"/>
      <c r="AK659" s="14"/>
    </row>
    <row r="660" spans="1:37">
      <c r="A660" s="23"/>
      <c r="B660" s="13"/>
      <c r="C660" s="13"/>
      <c r="D660" s="13"/>
      <c r="E660" s="13"/>
      <c r="F660" s="13"/>
      <c r="G660" s="14"/>
      <c r="H660" s="14"/>
      <c r="I660" s="14"/>
      <c r="J660" s="14"/>
      <c r="K660" s="14"/>
      <c r="L660" s="14"/>
      <c r="M660" s="14"/>
      <c r="N660" s="13"/>
      <c r="O660" s="13"/>
      <c r="P660" s="13"/>
      <c r="Q660" s="13"/>
      <c r="R660" s="13"/>
      <c r="S660" s="14"/>
      <c r="T660" s="14"/>
      <c r="U660" s="14"/>
      <c r="V660" s="14"/>
      <c r="W660" s="14"/>
      <c r="X660" s="14"/>
      <c r="Y660" s="14"/>
      <c r="Z660" s="13"/>
      <c r="AA660" s="13"/>
      <c r="AB660" s="13"/>
      <c r="AC660" s="13"/>
      <c r="AD660" s="13"/>
      <c r="AE660" s="14"/>
      <c r="AF660" s="14"/>
      <c r="AG660" s="14"/>
      <c r="AH660" s="14"/>
      <c r="AI660" s="14"/>
      <c r="AJ660" s="14"/>
      <c r="AK660" s="14"/>
    </row>
    <row r="661" spans="1:37">
      <c r="A661" s="23"/>
      <c r="B661" s="13"/>
      <c r="C661" s="13"/>
      <c r="D661" s="13"/>
      <c r="E661" s="13"/>
      <c r="F661" s="13"/>
      <c r="G661" s="14"/>
      <c r="H661" s="14"/>
      <c r="I661" s="14"/>
      <c r="J661" s="14"/>
      <c r="K661" s="14"/>
      <c r="L661" s="14"/>
      <c r="M661" s="14"/>
      <c r="N661" s="13"/>
      <c r="O661" s="13"/>
      <c r="P661" s="13"/>
      <c r="Q661" s="13"/>
      <c r="R661" s="13"/>
      <c r="S661" s="14"/>
      <c r="T661" s="14"/>
      <c r="U661" s="14"/>
      <c r="V661" s="14"/>
      <c r="W661" s="14"/>
      <c r="X661" s="14"/>
      <c r="Y661" s="14"/>
      <c r="Z661" s="13"/>
      <c r="AA661" s="13"/>
      <c r="AB661" s="13"/>
      <c r="AC661" s="13"/>
      <c r="AD661" s="13"/>
      <c r="AE661" s="14"/>
      <c r="AF661" s="14"/>
      <c r="AG661" s="14"/>
      <c r="AH661" s="14"/>
      <c r="AI661" s="14"/>
      <c r="AJ661" s="14"/>
      <c r="AK661" s="14"/>
    </row>
    <row r="662" spans="1:37">
      <c r="A662" s="23"/>
      <c r="B662" s="13"/>
      <c r="C662" s="13"/>
      <c r="D662" s="13"/>
      <c r="E662" s="13"/>
      <c r="F662" s="13"/>
      <c r="G662" s="14"/>
      <c r="H662" s="14"/>
      <c r="I662" s="14"/>
      <c r="J662" s="14"/>
      <c r="K662" s="14"/>
      <c r="L662" s="14"/>
      <c r="M662" s="14"/>
      <c r="N662" s="13"/>
      <c r="O662" s="13"/>
      <c r="P662" s="13"/>
      <c r="Q662" s="13"/>
      <c r="R662" s="13"/>
      <c r="S662" s="14"/>
      <c r="T662" s="14"/>
      <c r="U662" s="14"/>
      <c r="V662" s="14"/>
      <c r="W662" s="14"/>
      <c r="X662" s="14"/>
      <c r="Y662" s="14"/>
      <c r="Z662" s="13"/>
      <c r="AA662" s="13"/>
      <c r="AB662" s="13"/>
      <c r="AC662" s="13"/>
      <c r="AD662" s="13"/>
      <c r="AE662" s="14"/>
      <c r="AF662" s="14"/>
      <c r="AG662" s="14"/>
      <c r="AH662" s="14"/>
      <c r="AI662" s="14"/>
      <c r="AJ662" s="14"/>
      <c r="AK662" s="14"/>
    </row>
    <row r="663" spans="1:37">
      <c r="A663" s="23"/>
      <c r="B663" s="13"/>
      <c r="C663" s="13"/>
      <c r="D663" s="13"/>
      <c r="E663" s="13"/>
      <c r="F663" s="13"/>
      <c r="G663" s="14"/>
      <c r="H663" s="14"/>
      <c r="I663" s="14"/>
      <c r="J663" s="14"/>
      <c r="K663" s="14"/>
      <c r="L663" s="14"/>
      <c r="M663" s="14"/>
      <c r="N663" s="13"/>
      <c r="O663" s="13"/>
      <c r="P663" s="13"/>
      <c r="Q663" s="13"/>
      <c r="R663" s="13"/>
      <c r="S663" s="14"/>
      <c r="T663" s="14"/>
      <c r="U663" s="14"/>
      <c r="V663" s="14"/>
      <c r="W663" s="14"/>
      <c r="X663" s="14"/>
      <c r="Y663" s="14"/>
      <c r="Z663" s="13"/>
      <c r="AA663" s="13"/>
      <c r="AB663" s="13"/>
      <c r="AC663" s="13"/>
      <c r="AD663" s="13"/>
      <c r="AE663" s="14"/>
      <c r="AF663" s="14"/>
      <c r="AG663" s="14"/>
      <c r="AH663" s="14"/>
      <c r="AI663" s="14"/>
      <c r="AJ663" s="14"/>
      <c r="AK663" s="14"/>
    </row>
    <row r="664" spans="1:37">
      <c r="A664" s="23"/>
      <c r="B664" s="13"/>
      <c r="C664" s="13"/>
      <c r="D664" s="13"/>
      <c r="E664" s="13"/>
      <c r="F664" s="13"/>
      <c r="G664" s="14"/>
      <c r="H664" s="14"/>
      <c r="I664" s="14"/>
      <c r="J664" s="14"/>
      <c r="K664" s="14"/>
      <c r="L664" s="14"/>
      <c r="M664" s="14"/>
      <c r="N664" s="13"/>
      <c r="O664" s="13"/>
      <c r="P664" s="13"/>
      <c r="Q664" s="13"/>
      <c r="R664" s="13"/>
      <c r="S664" s="14"/>
      <c r="T664" s="14"/>
      <c r="U664" s="14"/>
      <c r="V664" s="14"/>
      <c r="W664" s="14"/>
      <c r="X664" s="14"/>
      <c r="Y664" s="14"/>
      <c r="Z664" s="13"/>
      <c r="AA664" s="13"/>
      <c r="AB664" s="13"/>
      <c r="AC664" s="13"/>
      <c r="AD664" s="13"/>
      <c r="AE664" s="14"/>
      <c r="AF664" s="14"/>
      <c r="AG664" s="14"/>
      <c r="AH664" s="14"/>
      <c r="AI664" s="14"/>
      <c r="AJ664" s="14"/>
      <c r="AK664" s="14"/>
    </row>
    <row r="665" spans="1:37">
      <c r="A665" s="23"/>
      <c r="B665" s="13"/>
      <c r="C665" s="13"/>
      <c r="D665" s="13"/>
      <c r="E665" s="13"/>
      <c r="F665" s="13"/>
      <c r="G665" s="14"/>
      <c r="H665" s="14"/>
      <c r="I665" s="14"/>
      <c r="J665" s="14"/>
      <c r="K665" s="14"/>
      <c r="L665" s="14"/>
      <c r="M665" s="14"/>
      <c r="N665" s="13"/>
      <c r="O665" s="13"/>
      <c r="P665" s="13"/>
      <c r="Q665" s="13"/>
      <c r="R665" s="13"/>
      <c r="S665" s="14"/>
      <c r="T665" s="14"/>
      <c r="U665" s="14"/>
      <c r="V665" s="14"/>
      <c r="W665" s="14"/>
      <c r="X665" s="14"/>
      <c r="Y665" s="14"/>
      <c r="Z665" s="13"/>
      <c r="AA665" s="13"/>
      <c r="AB665" s="13"/>
      <c r="AC665" s="13"/>
      <c r="AD665" s="13"/>
      <c r="AE665" s="14"/>
      <c r="AF665" s="14"/>
      <c r="AG665" s="14"/>
      <c r="AH665" s="14"/>
      <c r="AI665" s="14"/>
      <c r="AJ665" s="14"/>
      <c r="AK665" s="14"/>
    </row>
    <row r="666" spans="1:37">
      <c r="A666" s="23"/>
      <c r="B666" s="13"/>
      <c r="C666" s="13"/>
      <c r="D666" s="13"/>
      <c r="E666" s="13"/>
      <c r="F666" s="13"/>
      <c r="G666" s="14"/>
      <c r="H666" s="14"/>
      <c r="I666" s="14"/>
      <c r="J666" s="14"/>
      <c r="K666" s="14"/>
      <c r="L666" s="14"/>
      <c r="M666" s="14"/>
      <c r="N666" s="13"/>
      <c r="O666" s="13"/>
      <c r="P666" s="13"/>
      <c r="Q666" s="13"/>
      <c r="R666" s="13"/>
      <c r="S666" s="14"/>
      <c r="T666" s="14"/>
      <c r="U666" s="14"/>
      <c r="V666" s="14"/>
      <c r="W666" s="14"/>
      <c r="X666" s="14"/>
      <c r="Y666" s="14"/>
      <c r="Z666" s="13"/>
      <c r="AA666" s="13"/>
      <c r="AB666" s="13"/>
      <c r="AC666" s="13"/>
      <c r="AD666" s="13"/>
      <c r="AE666" s="14"/>
      <c r="AF666" s="14"/>
      <c r="AG666" s="14"/>
      <c r="AH666" s="14"/>
      <c r="AI666" s="14"/>
      <c r="AJ666" s="14"/>
      <c r="AK666" s="14"/>
    </row>
    <row r="667" spans="1:37">
      <c r="A667" s="23"/>
      <c r="B667" s="13"/>
      <c r="C667" s="13"/>
      <c r="D667" s="13"/>
      <c r="E667" s="13"/>
      <c r="F667" s="13"/>
      <c r="G667" s="14"/>
      <c r="H667" s="14"/>
      <c r="I667" s="14"/>
      <c r="J667" s="14"/>
      <c r="K667" s="14"/>
      <c r="L667" s="14"/>
      <c r="M667" s="14"/>
      <c r="N667" s="13"/>
      <c r="O667" s="13"/>
      <c r="P667" s="13"/>
      <c r="Q667" s="13"/>
      <c r="R667" s="13"/>
      <c r="S667" s="14"/>
      <c r="T667" s="14"/>
      <c r="U667" s="14"/>
      <c r="V667" s="14"/>
      <c r="W667" s="14"/>
      <c r="X667" s="14"/>
      <c r="Y667" s="14"/>
      <c r="Z667" s="13"/>
      <c r="AA667" s="13"/>
      <c r="AB667" s="13"/>
      <c r="AC667" s="13"/>
      <c r="AD667" s="13"/>
      <c r="AE667" s="14"/>
      <c r="AF667" s="14"/>
      <c r="AG667" s="14"/>
      <c r="AH667" s="14"/>
      <c r="AI667" s="14"/>
      <c r="AJ667" s="14"/>
      <c r="AK667" s="14"/>
    </row>
    <row r="668" spans="1:37">
      <c r="A668" s="23"/>
      <c r="B668" s="13"/>
      <c r="C668" s="13"/>
      <c r="D668" s="13"/>
      <c r="E668" s="13"/>
      <c r="F668" s="13"/>
      <c r="G668" s="14"/>
      <c r="H668" s="14"/>
      <c r="I668" s="14"/>
      <c r="J668" s="14"/>
      <c r="K668" s="14"/>
      <c r="L668" s="14"/>
      <c r="M668" s="14"/>
      <c r="N668" s="13"/>
      <c r="O668" s="13"/>
      <c r="P668" s="13"/>
      <c r="Q668" s="13"/>
      <c r="R668" s="13"/>
      <c r="S668" s="14"/>
      <c r="T668" s="14"/>
      <c r="U668" s="14"/>
      <c r="V668" s="14"/>
      <c r="W668" s="14"/>
      <c r="X668" s="14"/>
      <c r="Y668" s="14"/>
      <c r="Z668" s="13"/>
      <c r="AA668" s="13"/>
      <c r="AB668" s="13"/>
      <c r="AC668" s="13"/>
      <c r="AD668" s="13"/>
      <c r="AE668" s="14"/>
      <c r="AF668" s="14"/>
      <c r="AG668" s="14"/>
      <c r="AH668" s="14"/>
      <c r="AI668" s="14"/>
      <c r="AJ668" s="14"/>
      <c r="AK668" s="14"/>
    </row>
    <row r="669" spans="1:37">
      <c r="A669" s="23"/>
      <c r="B669" s="13"/>
      <c r="C669" s="13"/>
      <c r="D669" s="13"/>
      <c r="E669" s="13"/>
      <c r="F669" s="13"/>
      <c r="G669" s="14"/>
      <c r="H669" s="14"/>
      <c r="I669" s="14"/>
      <c r="J669" s="14"/>
      <c r="K669" s="14"/>
      <c r="L669" s="14"/>
      <c r="M669" s="14"/>
      <c r="N669" s="13"/>
      <c r="O669" s="13"/>
      <c r="P669" s="13"/>
      <c r="Q669" s="13"/>
      <c r="R669" s="13"/>
      <c r="S669" s="14"/>
      <c r="T669" s="14"/>
      <c r="U669" s="14"/>
      <c r="V669" s="14"/>
      <c r="W669" s="14"/>
      <c r="X669" s="14"/>
      <c r="Y669" s="14"/>
      <c r="Z669" s="13"/>
      <c r="AA669" s="13"/>
      <c r="AB669" s="13"/>
      <c r="AC669" s="13"/>
      <c r="AD669" s="13"/>
      <c r="AE669" s="14"/>
      <c r="AF669" s="14"/>
      <c r="AG669" s="14"/>
      <c r="AH669" s="14"/>
      <c r="AI669" s="14"/>
      <c r="AJ669" s="14"/>
      <c r="AK669" s="14"/>
    </row>
    <row r="670" spans="1:37">
      <c r="A670" s="23"/>
      <c r="B670" s="13"/>
      <c r="C670" s="13"/>
      <c r="D670" s="13"/>
      <c r="E670" s="13"/>
      <c r="F670" s="13"/>
      <c r="G670" s="14"/>
      <c r="H670" s="14"/>
      <c r="I670" s="14"/>
      <c r="J670" s="14"/>
      <c r="K670" s="14"/>
      <c r="L670" s="14"/>
      <c r="M670" s="14"/>
      <c r="N670" s="13"/>
      <c r="O670" s="13"/>
      <c r="P670" s="13"/>
      <c r="Q670" s="13"/>
      <c r="R670" s="13"/>
      <c r="S670" s="14"/>
      <c r="T670" s="14"/>
      <c r="U670" s="14"/>
      <c r="V670" s="14"/>
      <c r="W670" s="14"/>
      <c r="X670" s="14"/>
      <c r="Y670" s="14"/>
      <c r="Z670" s="13"/>
      <c r="AA670" s="13"/>
      <c r="AB670" s="13"/>
      <c r="AC670" s="13"/>
      <c r="AD670" s="13"/>
      <c r="AE670" s="14"/>
      <c r="AF670" s="14"/>
      <c r="AG670" s="14"/>
      <c r="AH670" s="14"/>
      <c r="AI670" s="14"/>
      <c r="AJ670" s="14"/>
      <c r="AK670" s="14"/>
    </row>
    <row r="671" spans="1:37">
      <c r="A671" s="23"/>
      <c r="B671" s="13"/>
      <c r="C671" s="13"/>
      <c r="D671" s="13"/>
      <c r="E671" s="13"/>
      <c r="F671" s="13"/>
      <c r="G671" s="14"/>
      <c r="H671" s="14"/>
      <c r="I671" s="14"/>
      <c r="J671" s="14"/>
      <c r="K671" s="14"/>
      <c r="L671" s="14"/>
      <c r="M671" s="14"/>
      <c r="N671" s="13"/>
      <c r="O671" s="13"/>
      <c r="P671" s="13"/>
      <c r="Q671" s="13"/>
      <c r="R671" s="13"/>
      <c r="S671" s="14"/>
      <c r="T671" s="14"/>
      <c r="U671" s="14"/>
      <c r="V671" s="14"/>
      <c r="W671" s="14"/>
      <c r="X671" s="14"/>
      <c r="Y671" s="14"/>
      <c r="Z671" s="13"/>
      <c r="AA671" s="13"/>
      <c r="AB671" s="13"/>
      <c r="AC671" s="13"/>
      <c r="AD671" s="13"/>
      <c r="AE671" s="14"/>
      <c r="AF671" s="14"/>
      <c r="AG671" s="14"/>
      <c r="AH671" s="14"/>
      <c r="AI671" s="14"/>
      <c r="AJ671" s="14"/>
      <c r="AK671" s="14"/>
    </row>
    <row r="672" spans="1:37">
      <c r="A672" s="23"/>
      <c r="B672" s="13"/>
      <c r="C672" s="13"/>
      <c r="D672" s="13"/>
      <c r="E672" s="13"/>
      <c r="F672" s="13"/>
      <c r="G672" s="14"/>
      <c r="H672" s="14"/>
      <c r="I672" s="14"/>
      <c r="J672" s="14"/>
      <c r="K672" s="14"/>
      <c r="L672" s="14"/>
      <c r="M672" s="14"/>
      <c r="N672" s="13"/>
      <c r="O672" s="13"/>
      <c r="P672" s="13"/>
      <c r="Q672" s="13"/>
      <c r="R672" s="13"/>
      <c r="S672" s="14"/>
      <c r="T672" s="14"/>
      <c r="U672" s="14"/>
      <c r="V672" s="14"/>
      <c r="W672" s="14"/>
      <c r="X672" s="14"/>
      <c r="Y672" s="14"/>
      <c r="Z672" s="13"/>
      <c r="AA672" s="13"/>
      <c r="AB672" s="13"/>
      <c r="AC672" s="13"/>
      <c r="AD672" s="13"/>
      <c r="AE672" s="14"/>
      <c r="AF672" s="14"/>
      <c r="AG672" s="14"/>
      <c r="AH672" s="14"/>
      <c r="AI672" s="14"/>
      <c r="AJ672" s="14"/>
      <c r="AK672" s="14"/>
    </row>
    <row r="673" spans="1:37">
      <c r="A673" s="23"/>
      <c r="B673" s="13"/>
      <c r="C673" s="13"/>
      <c r="D673" s="13"/>
      <c r="E673" s="13"/>
      <c r="F673" s="13"/>
      <c r="G673" s="14"/>
      <c r="H673" s="14"/>
      <c r="I673" s="14"/>
      <c r="J673" s="14"/>
      <c r="K673" s="14"/>
      <c r="L673" s="14"/>
      <c r="M673" s="14"/>
      <c r="N673" s="13"/>
      <c r="O673" s="13"/>
      <c r="P673" s="13"/>
      <c r="Q673" s="13"/>
      <c r="R673" s="13"/>
      <c r="S673" s="14"/>
      <c r="T673" s="14"/>
      <c r="U673" s="14"/>
      <c r="V673" s="14"/>
      <c r="W673" s="14"/>
      <c r="X673" s="14"/>
      <c r="Y673" s="14"/>
      <c r="Z673" s="13"/>
      <c r="AA673" s="13"/>
      <c r="AB673" s="13"/>
      <c r="AC673" s="13"/>
      <c r="AD673" s="13"/>
      <c r="AE673" s="14"/>
      <c r="AF673" s="14"/>
      <c r="AG673" s="14"/>
      <c r="AH673" s="14"/>
      <c r="AI673" s="14"/>
      <c r="AJ673" s="14"/>
      <c r="AK673" s="14"/>
    </row>
    <row r="674" spans="1:37">
      <c r="A674" s="23"/>
      <c r="B674" s="13"/>
      <c r="C674" s="13"/>
      <c r="D674" s="13"/>
      <c r="E674" s="13"/>
      <c r="F674" s="13"/>
      <c r="G674" s="14"/>
      <c r="H674" s="14"/>
      <c r="I674" s="14"/>
      <c r="J674" s="14"/>
      <c r="K674" s="14"/>
      <c r="L674" s="14"/>
      <c r="M674" s="14"/>
      <c r="N674" s="13"/>
      <c r="O674" s="13"/>
      <c r="P674" s="13"/>
      <c r="Q674" s="13"/>
      <c r="R674" s="13"/>
      <c r="S674" s="14"/>
      <c r="T674" s="14"/>
      <c r="U674" s="14"/>
      <c r="V674" s="14"/>
      <c r="W674" s="14"/>
      <c r="X674" s="14"/>
      <c r="Y674" s="14"/>
      <c r="Z674" s="13"/>
      <c r="AA674" s="13"/>
      <c r="AB674" s="13"/>
      <c r="AC674" s="13"/>
      <c r="AD674" s="13"/>
      <c r="AE674" s="14"/>
      <c r="AF674" s="14"/>
      <c r="AG674" s="14"/>
      <c r="AH674" s="14"/>
      <c r="AI674" s="14"/>
      <c r="AJ674" s="14"/>
      <c r="AK674" s="14"/>
    </row>
    <row r="675" spans="1:37">
      <c r="A675" s="23"/>
      <c r="B675" s="13"/>
      <c r="C675" s="13"/>
      <c r="D675" s="13"/>
      <c r="E675" s="13"/>
      <c r="F675" s="13"/>
      <c r="G675" s="14"/>
      <c r="H675" s="14"/>
      <c r="I675" s="14"/>
      <c r="J675" s="14"/>
      <c r="K675" s="14"/>
      <c r="L675" s="14"/>
      <c r="M675" s="14"/>
      <c r="N675" s="13"/>
      <c r="O675" s="13"/>
      <c r="P675" s="13"/>
      <c r="Q675" s="13"/>
      <c r="R675" s="13"/>
      <c r="S675" s="14"/>
      <c r="T675" s="14"/>
      <c r="U675" s="14"/>
      <c r="V675" s="14"/>
      <c r="W675" s="14"/>
      <c r="X675" s="14"/>
      <c r="Y675" s="14"/>
      <c r="Z675" s="13"/>
      <c r="AA675" s="13"/>
      <c r="AB675" s="13"/>
      <c r="AC675" s="13"/>
      <c r="AD675" s="13"/>
      <c r="AE675" s="14"/>
      <c r="AF675" s="14"/>
      <c r="AG675" s="14"/>
      <c r="AH675" s="14"/>
      <c r="AI675" s="14"/>
      <c r="AJ675" s="14"/>
      <c r="AK675" s="14"/>
    </row>
    <row r="676" spans="1:37">
      <c r="A676" s="23"/>
      <c r="B676" s="13"/>
      <c r="C676" s="13"/>
      <c r="D676" s="13"/>
      <c r="E676" s="13"/>
      <c r="F676" s="13"/>
      <c r="G676" s="14"/>
      <c r="H676" s="14"/>
      <c r="I676" s="14"/>
      <c r="J676" s="14"/>
      <c r="K676" s="14"/>
      <c r="L676" s="14"/>
      <c r="M676" s="14"/>
      <c r="N676" s="13"/>
      <c r="O676" s="13"/>
      <c r="P676" s="13"/>
      <c r="Q676" s="13"/>
      <c r="R676" s="13"/>
      <c r="S676" s="14"/>
      <c r="T676" s="14"/>
      <c r="U676" s="14"/>
      <c r="V676" s="14"/>
      <c r="W676" s="14"/>
      <c r="X676" s="14"/>
      <c r="Y676" s="14"/>
      <c r="Z676" s="13"/>
      <c r="AA676" s="13"/>
      <c r="AB676" s="13"/>
      <c r="AC676" s="13"/>
      <c r="AD676" s="13"/>
      <c r="AE676" s="14"/>
      <c r="AF676" s="14"/>
      <c r="AG676" s="14"/>
      <c r="AH676" s="14"/>
      <c r="AI676" s="14"/>
      <c r="AJ676" s="14"/>
      <c r="AK676" s="14"/>
    </row>
    <row r="677" spans="1:37">
      <c r="A677" s="23"/>
      <c r="B677" s="13"/>
      <c r="C677" s="13"/>
      <c r="D677" s="13"/>
      <c r="E677" s="13"/>
      <c r="F677" s="13"/>
      <c r="G677" s="14"/>
      <c r="H677" s="14"/>
      <c r="I677" s="14"/>
      <c r="J677" s="14"/>
      <c r="K677" s="14"/>
      <c r="L677" s="14"/>
      <c r="M677" s="14"/>
      <c r="N677" s="13"/>
      <c r="O677" s="13"/>
      <c r="P677" s="13"/>
      <c r="Q677" s="13"/>
      <c r="R677" s="13"/>
      <c r="S677" s="14"/>
      <c r="T677" s="14"/>
      <c r="U677" s="14"/>
      <c r="V677" s="14"/>
      <c r="W677" s="14"/>
      <c r="X677" s="14"/>
      <c r="Y677" s="14"/>
      <c r="Z677" s="13"/>
      <c r="AA677" s="13"/>
      <c r="AB677" s="13"/>
      <c r="AC677" s="13"/>
      <c r="AD677" s="13"/>
      <c r="AE677" s="14"/>
      <c r="AF677" s="14"/>
      <c r="AG677" s="14"/>
      <c r="AH677" s="14"/>
      <c r="AI677" s="14"/>
      <c r="AJ677" s="14"/>
      <c r="AK677" s="14"/>
    </row>
    <row r="678" spans="1:37">
      <c r="A678" s="23"/>
      <c r="B678" s="13"/>
      <c r="C678" s="13"/>
      <c r="D678" s="13"/>
      <c r="E678" s="13"/>
      <c r="F678" s="13"/>
      <c r="G678" s="14"/>
      <c r="H678" s="14"/>
      <c r="I678" s="14"/>
      <c r="J678" s="14"/>
      <c r="K678" s="14"/>
      <c r="L678" s="14"/>
      <c r="M678" s="14"/>
      <c r="N678" s="13"/>
      <c r="O678" s="13"/>
      <c r="P678" s="13"/>
      <c r="Q678" s="13"/>
      <c r="R678" s="13"/>
      <c r="S678" s="14"/>
      <c r="T678" s="14"/>
      <c r="U678" s="14"/>
      <c r="V678" s="14"/>
      <c r="W678" s="14"/>
      <c r="X678" s="14"/>
      <c r="Y678" s="14"/>
      <c r="Z678" s="13"/>
      <c r="AA678" s="13"/>
      <c r="AB678" s="13"/>
      <c r="AC678" s="13"/>
      <c r="AD678" s="13"/>
      <c r="AE678" s="14"/>
      <c r="AF678" s="14"/>
      <c r="AG678" s="14"/>
      <c r="AH678" s="14"/>
      <c r="AI678" s="14"/>
      <c r="AJ678" s="14"/>
      <c r="AK678" s="14"/>
    </row>
    <row r="679" spans="1:37">
      <c r="A679" s="23"/>
      <c r="B679" s="13"/>
      <c r="C679" s="13"/>
      <c r="D679" s="13"/>
      <c r="E679" s="13"/>
      <c r="F679" s="13"/>
      <c r="G679" s="14"/>
      <c r="H679" s="14"/>
      <c r="I679" s="14"/>
      <c r="J679" s="14"/>
      <c r="K679" s="14"/>
      <c r="L679" s="14"/>
      <c r="M679" s="14"/>
      <c r="N679" s="13"/>
      <c r="O679" s="13"/>
      <c r="P679" s="13"/>
      <c r="Q679" s="13"/>
      <c r="R679" s="13"/>
      <c r="S679" s="14"/>
      <c r="T679" s="14"/>
      <c r="U679" s="14"/>
      <c r="V679" s="14"/>
      <c r="W679" s="14"/>
      <c r="X679" s="14"/>
      <c r="Y679" s="14"/>
      <c r="Z679" s="13"/>
      <c r="AA679" s="13"/>
      <c r="AB679" s="13"/>
      <c r="AC679" s="13"/>
      <c r="AD679" s="13"/>
      <c r="AE679" s="14"/>
      <c r="AF679" s="14"/>
      <c r="AG679" s="14"/>
      <c r="AH679" s="14"/>
      <c r="AI679" s="14"/>
      <c r="AJ679" s="14"/>
      <c r="AK679" s="14"/>
    </row>
    <row r="680" spans="1:37">
      <c r="A680" s="23"/>
      <c r="B680" s="13"/>
      <c r="C680" s="13"/>
      <c r="D680" s="13"/>
      <c r="E680" s="13"/>
      <c r="F680" s="13"/>
      <c r="G680" s="14"/>
      <c r="H680" s="14"/>
      <c r="I680" s="14"/>
      <c r="J680" s="14"/>
      <c r="K680" s="14"/>
      <c r="L680" s="14"/>
      <c r="M680" s="14"/>
      <c r="N680" s="13"/>
      <c r="O680" s="13"/>
      <c r="P680" s="13"/>
      <c r="Q680" s="13"/>
      <c r="R680" s="13"/>
      <c r="S680" s="14"/>
      <c r="T680" s="14"/>
      <c r="U680" s="14"/>
      <c r="V680" s="14"/>
      <c r="W680" s="14"/>
      <c r="X680" s="14"/>
      <c r="Y680" s="14"/>
      <c r="Z680" s="13"/>
      <c r="AA680" s="13"/>
      <c r="AB680" s="13"/>
      <c r="AC680" s="13"/>
      <c r="AD680" s="13"/>
      <c r="AE680" s="14"/>
      <c r="AF680" s="14"/>
      <c r="AG680" s="14"/>
      <c r="AH680" s="14"/>
      <c r="AI680" s="14"/>
      <c r="AJ680" s="14"/>
      <c r="AK680" s="14"/>
    </row>
    <row r="681" spans="1:37">
      <c r="A681" s="23"/>
      <c r="B681" s="13"/>
      <c r="C681" s="13"/>
      <c r="D681" s="13"/>
      <c r="E681" s="13"/>
      <c r="F681" s="13"/>
      <c r="G681" s="14"/>
      <c r="H681" s="14"/>
      <c r="I681" s="14"/>
      <c r="J681" s="14"/>
      <c r="K681" s="14"/>
      <c r="L681" s="14"/>
      <c r="M681" s="14"/>
      <c r="N681" s="13"/>
      <c r="O681" s="13"/>
      <c r="P681" s="13"/>
      <c r="Q681" s="13"/>
      <c r="R681" s="13"/>
      <c r="S681" s="14"/>
      <c r="T681" s="14"/>
      <c r="U681" s="14"/>
      <c r="V681" s="14"/>
      <c r="W681" s="14"/>
      <c r="X681" s="14"/>
      <c r="Y681" s="14"/>
      <c r="Z681" s="13"/>
      <c r="AA681" s="13"/>
      <c r="AB681" s="13"/>
      <c r="AC681" s="13"/>
      <c r="AD681" s="13"/>
      <c r="AE681" s="14"/>
      <c r="AF681" s="14"/>
      <c r="AG681" s="14"/>
      <c r="AH681" s="14"/>
      <c r="AI681" s="14"/>
      <c r="AJ681" s="14"/>
      <c r="AK681" s="14"/>
    </row>
    <row r="682" spans="1:37">
      <c r="A682" s="23"/>
      <c r="B682" s="13"/>
      <c r="C682" s="13"/>
      <c r="D682" s="13"/>
      <c r="E682" s="13"/>
      <c r="F682" s="13"/>
      <c r="G682" s="14"/>
      <c r="H682" s="14"/>
      <c r="I682" s="14"/>
      <c r="J682" s="14"/>
      <c r="K682" s="14"/>
      <c r="L682" s="14"/>
      <c r="M682" s="14"/>
      <c r="N682" s="13"/>
      <c r="O682" s="13"/>
      <c r="P682" s="13"/>
      <c r="Q682" s="13"/>
      <c r="R682" s="13"/>
      <c r="S682" s="14"/>
      <c r="T682" s="14"/>
      <c r="U682" s="14"/>
      <c r="V682" s="14"/>
      <c r="W682" s="14"/>
      <c r="X682" s="14"/>
      <c r="Y682" s="14"/>
      <c r="Z682" s="13"/>
      <c r="AA682" s="13"/>
      <c r="AB682" s="13"/>
      <c r="AC682" s="13"/>
      <c r="AD682" s="13"/>
      <c r="AE682" s="14"/>
      <c r="AF682" s="14"/>
      <c r="AG682" s="14"/>
      <c r="AH682" s="14"/>
      <c r="AI682" s="14"/>
      <c r="AJ682" s="14"/>
      <c r="AK682" s="14"/>
    </row>
    <row r="683" spans="1:37">
      <c r="A683" s="23"/>
      <c r="B683" s="13"/>
      <c r="C683" s="13"/>
      <c r="D683" s="13"/>
      <c r="E683" s="13"/>
      <c r="F683" s="13"/>
      <c r="G683" s="14"/>
      <c r="H683" s="14"/>
      <c r="I683" s="14"/>
      <c r="J683" s="14"/>
      <c r="K683" s="14"/>
      <c r="L683" s="14"/>
      <c r="M683" s="14"/>
      <c r="N683" s="13"/>
      <c r="O683" s="13"/>
      <c r="P683" s="13"/>
      <c r="Q683" s="13"/>
      <c r="R683" s="13"/>
      <c r="S683" s="14"/>
      <c r="T683" s="14"/>
      <c r="U683" s="14"/>
      <c r="V683" s="14"/>
      <c r="W683" s="14"/>
      <c r="X683" s="14"/>
      <c r="Y683" s="14"/>
      <c r="Z683" s="13"/>
      <c r="AA683" s="13"/>
      <c r="AB683" s="13"/>
      <c r="AC683" s="13"/>
      <c r="AD683" s="13"/>
      <c r="AE683" s="14"/>
      <c r="AF683" s="14"/>
      <c r="AG683" s="14"/>
      <c r="AH683" s="14"/>
      <c r="AI683" s="14"/>
      <c r="AJ683" s="14"/>
      <c r="AK683" s="14"/>
    </row>
    <row r="684" spans="1:37">
      <c r="A684" s="23"/>
      <c r="B684" s="13"/>
      <c r="C684" s="13"/>
      <c r="D684" s="13"/>
      <c r="E684" s="13"/>
      <c r="F684" s="13"/>
      <c r="G684" s="14"/>
      <c r="H684" s="14"/>
      <c r="I684" s="14"/>
      <c r="J684" s="14"/>
      <c r="K684" s="14"/>
      <c r="L684" s="14"/>
      <c r="M684" s="14"/>
      <c r="N684" s="13"/>
      <c r="O684" s="13"/>
      <c r="P684" s="13"/>
      <c r="Q684" s="13"/>
      <c r="R684" s="13"/>
      <c r="S684" s="14"/>
      <c r="T684" s="14"/>
      <c r="U684" s="14"/>
      <c r="V684" s="14"/>
      <c r="W684" s="14"/>
      <c r="X684" s="14"/>
      <c r="Y684" s="14"/>
      <c r="Z684" s="13"/>
      <c r="AA684" s="13"/>
      <c r="AB684" s="13"/>
      <c r="AC684" s="13"/>
      <c r="AD684" s="13"/>
      <c r="AE684" s="14"/>
      <c r="AF684" s="14"/>
      <c r="AG684" s="14"/>
      <c r="AH684" s="14"/>
      <c r="AI684" s="14"/>
      <c r="AJ684" s="14"/>
      <c r="AK684" s="14"/>
    </row>
    <row r="685" spans="1:37">
      <c r="A685" s="23"/>
      <c r="B685" s="13"/>
      <c r="C685" s="13"/>
      <c r="D685" s="13"/>
      <c r="E685" s="13"/>
      <c r="F685" s="13"/>
      <c r="G685" s="14"/>
      <c r="H685" s="14"/>
      <c r="I685" s="14"/>
      <c r="J685" s="14"/>
      <c r="K685" s="14"/>
      <c r="L685" s="14"/>
      <c r="M685" s="14"/>
      <c r="N685" s="13"/>
      <c r="O685" s="13"/>
      <c r="P685" s="13"/>
      <c r="Q685" s="13"/>
      <c r="R685" s="13"/>
      <c r="S685" s="14"/>
      <c r="T685" s="14"/>
      <c r="U685" s="14"/>
      <c r="V685" s="14"/>
      <c r="W685" s="14"/>
      <c r="X685" s="14"/>
      <c r="Y685" s="14"/>
      <c r="Z685" s="13"/>
      <c r="AA685" s="13"/>
      <c r="AB685" s="13"/>
      <c r="AC685" s="13"/>
      <c r="AD685" s="13"/>
      <c r="AE685" s="14"/>
      <c r="AF685" s="14"/>
      <c r="AG685" s="14"/>
      <c r="AH685" s="14"/>
      <c r="AI685" s="14"/>
      <c r="AJ685" s="14"/>
      <c r="AK685" s="14"/>
    </row>
    <row r="686" spans="1:37">
      <c r="A686" s="23"/>
      <c r="B686" s="13"/>
      <c r="C686" s="13"/>
      <c r="D686" s="13"/>
      <c r="E686" s="13"/>
      <c r="F686" s="13"/>
      <c r="G686" s="14"/>
      <c r="H686" s="14"/>
      <c r="I686" s="14"/>
      <c r="J686" s="14"/>
      <c r="K686" s="14"/>
      <c r="L686" s="14"/>
      <c r="M686" s="14"/>
      <c r="N686" s="13"/>
      <c r="O686" s="13"/>
      <c r="P686" s="13"/>
      <c r="Q686" s="13"/>
      <c r="R686" s="13"/>
      <c r="S686" s="14"/>
      <c r="T686" s="14"/>
      <c r="U686" s="14"/>
      <c r="V686" s="14"/>
      <c r="W686" s="14"/>
      <c r="X686" s="14"/>
      <c r="Y686" s="14"/>
      <c r="Z686" s="13"/>
      <c r="AA686" s="13"/>
      <c r="AB686" s="13"/>
      <c r="AC686" s="13"/>
      <c r="AD686" s="13"/>
      <c r="AE686" s="14"/>
      <c r="AF686" s="14"/>
      <c r="AG686" s="14"/>
      <c r="AH686" s="14"/>
      <c r="AI686" s="14"/>
      <c r="AJ686" s="14"/>
      <c r="AK686" s="14"/>
    </row>
    <row r="687" spans="1:37">
      <c r="A687" s="23"/>
      <c r="B687" s="13"/>
      <c r="C687" s="13"/>
      <c r="D687" s="13"/>
      <c r="E687" s="13"/>
      <c r="F687" s="13"/>
      <c r="G687" s="14"/>
      <c r="H687" s="14"/>
      <c r="I687" s="14"/>
      <c r="J687" s="14"/>
      <c r="K687" s="14"/>
      <c r="L687" s="14"/>
      <c r="M687" s="14"/>
      <c r="N687" s="13"/>
      <c r="O687" s="13"/>
      <c r="P687" s="13"/>
      <c r="Q687" s="13"/>
      <c r="R687" s="13"/>
      <c r="S687" s="14"/>
      <c r="T687" s="14"/>
      <c r="U687" s="14"/>
      <c r="V687" s="14"/>
      <c r="W687" s="14"/>
      <c r="X687" s="14"/>
      <c r="Y687" s="14"/>
      <c r="Z687" s="13"/>
      <c r="AA687" s="13"/>
      <c r="AB687" s="13"/>
      <c r="AC687" s="13"/>
      <c r="AD687" s="13"/>
      <c r="AE687" s="14"/>
      <c r="AF687" s="14"/>
      <c r="AG687" s="14"/>
      <c r="AH687" s="14"/>
      <c r="AI687" s="14"/>
      <c r="AJ687" s="14"/>
      <c r="AK687" s="14"/>
    </row>
    <row r="688" spans="1:37">
      <c r="A688" s="23"/>
      <c r="B688" s="13"/>
      <c r="C688" s="13"/>
      <c r="D688" s="13"/>
      <c r="E688" s="13"/>
      <c r="F688" s="13"/>
      <c r="G688" s="14"/>
      <c r="H688" s="14"/>
      <c r="I688" s="14"/>
      <c r="J688" s="14"/>
      <c r="K688" s="14"/>
      <c r="L688" s="14"/>
      <c r="M688" s="14"/>
      <c r="N688" s="13"/>
      <c r="O688" s="13"/>
      <c r="P688" s="13"/>
      <c r="Q688" s="13"/>
      <c r="R688" s="13"/>
      <c r="S688" s="14"/>
      <c r="T688" s="14"/>
      <c r="U688" s="14"/>
      <c r="V688" s="14"/>
      <c r="W688" s="14"/>
      <c r="X688" s="14"/>
      <c r="Y688" s="14"/>
      <c r="Z688" s="13"/>
      <c r="AA688" s="13"/>
      <c r="AB688" s="13"/>
      <c r="AC688" s="13"/>
      <c r="AD688" s="13"/>
      <c r="AE688" s="14"/>
      <c r="AF688" s="14"/>
      <c r="AG688" s="14"/>
      <c r="AH688" s="14"/>
      <c r="AI688" s="14"/>
      <c r="AJ688" s="14"/>
      <c r="AK688" s="14"/>
    </row>
    <row r="689" spans="1:37">
      <c r="A689" s="23"/>
      <c r="B689" s="13"/>
      <c r="C689" s="13"/>
      <c r="D689" s="13"/>
      <c r="E689" s="13"/>
      <c r="F689" s="13"/>
      <c r="G689" s="14"/>
      <c r="H689" s="14"/>
      <c r="I689" s="14"/>
      <c r="J689" s="14"/>
      <c r="K689" s="14"/>
      <c r="L689" s="14"/>
      <c r="M689" s="14"/>
      <c r="N689" s="13"/>
      <c r="O689" s="13"/>
      <c r="P689" s="13"/>
      <c r="Q689" s="13"/>
      <c r="R689" s="13"/>
      <c r="S689" s="14"/>
      <c r="T689" s="14"/>
      <c r="U689" s="14"/>
      <c r="V689" s="14"/>
      <c r="W689" s="14"/>
      <c r="X689" s="14"/>
      <c r="Y689" s="14"/>
      <c r="Z689" s="13"/>
      <c r="AA689" s="13"/>
      <c r="AB689" s="13"/>
      <c r="AC689" s="13"/>
      <c r="AD689" s="13"/>
      <c r="AE689" s="14"/>
      <c r="AF689" s="14"/>
      <c r="AG689" s="14"/>
      <c r="AH689" s="14"/>
      <c r="AI689" s="14"/>
      <c r="AJ689" s="14"/>
      <c r="AK689" s="14"/>
    </row>
    <row r="690" spans="1:37">
      <c r="A690" s="23"/>
      <c r="B690" s="13"/>
      <c r="C690" s="13"/>
      <c r="D690" s="13"/>
      <c r="E690" s="13"/>
      <c r="F690" s="13"/>
      <c r="G690" s="14"/>
      <c r="H690" s="14"/>
      <c r="I690" s="14"/>
      <c r="J690" s="14"/>
      <c r="K690" s="14"/>
      <c r="L690" s="14"/>
      <c r="M690" s="14"/>
      <c r="N690" s="13"/>
      <c r="O690" s="13"/>
      <c r="P690" s="13"/>
      <c r="Q690" s="13"/>
      <c r="R690" s="13"/>
      <c r="S690" s="14"/>
      <c r="T690" s="14"/>
      <c r="U690" s="14"/>
      <c r="V690" s="14"/>
      <c r="W690" s="14"/>
      <c r="X690" s="14"/>
      <c r="Y690" s="14"/>
      <c r="Z690" s="13"/>
      <c r="AA690" s="13"/>
      <c r="AB690" s="13"/>
      <c r="AC690" s="13"/>
      <c r="AD690" s="13"/>
      <c r="AE690" s="14"/>
      <c r="AF690" s="14"/>
      <c r="AG690" s="14"/>
      <c r="AH690" s="14"/>
      <c r="AI690" s="14"/>
      <c r="AJ690" s="14"/>
      <c r="AK690" s="14"/>
    </row>
    <row r="691" spans="1:37">
      <c r="A691" s="23"/>
      <c r="B691" s="13"/>
      <c r="C691" s="13"/>
      <c r="D691" s="13"/>
      <c r="E691" s="13"/>
      <c r="F691" s="13"/>
      <c r="G691" s="14"/>
      <c r="H691" s="14"/>
      <c r="I691" s="14"/>
      <c r="J691" s="14"/>
      <c r="K691" s="14"/>
      <c r="L691" s="14"/>
      <c r="M691" s="14"/>
      <c r="N691" s="13"/>
      <c r="O691" s="13"/>
      <c r="P691" s="13"/>
      <c r="Q691" s="13"/>
      <c r="R691" s="13"/>
      <c r="S691" s="14"/>
      <c r="T691" s="14"/>
      <c r="U691" s="14"/>
      <c r="V691" s="14"/>
      <c r="W691" s="14"/>
      <c r="X691" s="14"/>
      <c r="Y691" s="14"/>
      <c r="Z691" s="13"/>
      <c r="AA691" s="13"/>
      <c r="AB691" s="13"/>
      <c r="AC691" s="13"/>
      <c r="AD691" s="13"/>
      <c r="AE691" s="14"/>
      <c r="AF691" s="14"/>
      <c r="AG691" s="14"/>
      <c r="AH691" s="14"/>
      <c r="AI691" s="14"/>
      <c r="AJ691" s="14"/>
      <c r="AK691" s="14"/>
    </row>
    <row r="692" spans="1:37">
      <c r="A692" s="23"/>
      <c r="B692" s="13"/>
      <c r="C692" s="13"/>
      <c r="D692" s="13"/>
      <c r="E692" s="13"/>
      <c r="F692" s="13"/>
      <c r="G692" s="14"/>
      <c r="H692" s="14"/>
      <c r="I692" s="14"/>
      <c r="J692" s="14"/>
      <c r="K692" s="14"/>
      <c r="L692" s="14"/>
      <c r="M692" s="14"/>
      <c r="N692" s="13"/>
      <c r="O692" s="13"/>
      <c r="P692" s="13"/>
      <c r="Q692" s="13"/>
      <c r="R692" s="13"/>
      <c r="S692" s="14"/>
      <c r="T692" s="14"/>
      <c r="U692" s="14"/>
      <c r="V692" s="14"/>
      <c r="W692" s="14"/>
      <c r="X692" s="14"/>
      <c r="Y692" s="14"/>
      <c r="Z692" s="13"/>
      <c r="AA692" s="13"/>
      <c r="AB692" s="13"/>
      <c r="AC692" s="13"/>
      <c r="AD692" s="13"/>
      <c r="AE692" s="14"/>
      <c r="AF692" s="14"/>
      <c r="AG692" s="14"/>
      <c r="AH692" s="14"/>
      <c r="AI692" s="14"/>
      <c r="AJ692" s="14"/>
      <c r="AK692" s="14"/>
    </row>
    <row r="693" spans="1:37">
      <c r="A693" s="23"/>
      <c r="B693" s="13"/>
      <c r="C693" s="13"/>
      <c r="D693" s="13"/>
      <c r="E693" s="13"/>
      <c r="F693" s="13"/>
      <c r="G693" s="14"/>
      <c r="H693" s="14"/>
      <c r="I693" s="14"/>
      <c r="J693" s="14"/>
      <c r="K693" s="14"/>
      <c r="L693" s="14"/>
      <c r="M693" s="14"/>
      <c r="N693" s="13"/>
      <c r="O693" s="13"/>
      <c r="P693" s="13"/>
      <c r="Q693" s="13"/>
      <c r="R693" s="13"/>
      <c r="S693" s="14"/>
      <c r="T693" s="14"/>
      <c r="U693" s="14"/>
      <c r="V693" s="14"/>
      <c r="W693" s="14"/>
      <c r="X693" s="14"/>
      <c r="Y693" s="14"/>
      <c r="Z693" s="13"/>
      <c r="AA693" s="13"/>
      <c r="AB693" s="13"/>
      <c r="AC693" s="13"/>
      <c r="AD693" s="13"/>
      <c r="AE693" s="14"/>
      <c r="AF693" s="14"/>
      <c r="AG693" s="14"/>
      <c r="AH693" s="14"/>
      <c r="AI693" s="14"/>
      <c r="AJ693" s="14"/>
      <c r="AK693" s="14"/>
    </row>
    <row r="694" spans="1:37">
      <c r="A694" s="23"/>
      <c r="B694" s="13"/>
      <c r="C694" s="13"/>
      <c r="D694" s="13"/>
      <c r="E694" s="13"/>
      <c r="F694" s="13"/>
      <c r="G694" s="14"/>
      <c r="H694" s="14"/>
      <c r="I694" s="14"/>
      <c r="J694" s="14"/>
      <c r="K694" s="14"/>
      <c r="L694" s="14"/>
      <c r="M694" s="14"/>
      <c r="N694" s="13"/>
      <c r="O694" s="13"/>
      <c r="P694" s="13"/>
      <c r="Q694" s="13"/>
      <c r="R694" s="13"/>
      <c r="S694" s="14"/>
      <c r="T694" s="14"/>
      <c r="U694" s="14"/>
      <c r="V694" s="14"/>
      <c r="W694" s="14"/>
      <c r="X694" s="14"/>
      <c r="Y694" s="14"/>
      <c r="Z694" s="13"/>
      <c r="AA694" s="13"/>
      <c r="AB694" s="13"/>
      <c r="AC694" s="13"/>
      <c r="AD694" s="13"/>
      <c r="AE694" s="14"/>
      <c r="AF694" s="14"/>
      <c r="AG694" s="14"/>
      <c r="AH694" s="14"/>
      <c r="AI694" s="14"/>
      <c r="AJ694" s="14"/>
      <c r="AK694" s="14"/>
    </row>
    <row r="695" spans="1:37">
      <c r="A695" s="23"/>
      <c r="B695" s="13"/>
      <c r="C695" s="13"/>
      <c r="D695" s="13"/>
      <c r="E695" s="13"/>
      <c r="F695" s="13"/>
      <c r="G695" s="14"/>
      <c r="H695" s="14"/>
      <c r="I695" s="14"/>
      <c r="J695" s="14"/>
      <c r="K695" s="14"/>
      <c r="L695" s="14"/>
      <c r="M695" s="14"/>
      <c r="N695" s="13"/>
      <c r="O695" s="13"/>
      <c r="P695" s="13"/>
      <c r="Q695" s="13"/>
      <c r="R695" s="13"/>
      <c r="S695" s="14"/>
      <c r="T695" s="14"/>
      <c r="U695" s="14"/>
      <c r="V695" s="14"/>
      <c r="W695" s="14"/>
      <c r="X695" s="14"/>
      <c r="Y695" s="14"/>
      <c r="Z695" s="13"/>
      <c r="AA695" s="13"/>
      <c r="AB695" s="13"/>
      <c r="AC695" s="13"/>
      <c r="AD695" s="13"/>
      <c r="AE695" s="14"/>
      <c r="AF695" s="14"/>
      <c r="AG695" s="14"/>
      <c r="AH695" s="14"/>
      <c r="AI695" s="14"/>
      <c r="AJ695" s="14"/>
      <c r="AK695" s="14"/>
    </row>
    <row r="696" spans="1:37">
      <c r="A696" s="23"/>
      <c r="B696" s="13"/>
      <c r="C696" s="13"/>
      <c r="D696" s="13"/>
      <c r="E696" s="13"/>
      <c r="F696" s="13"/>
      <c r="G696" s="14"/>
      <c r="H696" s="14"/>
      <c r="I696" s="14"/>
      <c r="J696" s="14"/>
      <c r="K696" s="14"/>
      <c r="L696" s="14"/>
      <c r="M696" s="14"/>
      <c r="N696" s="13"/>
      <c r="O696" s="13"/>
      <c r="P696" s="13"/>
      <c r="Q696" s="13"/>
      <c r="R696" s="13"/>
      <c r="S696" s="14"/>
      <c r="T696" s="14"/>
      <c r="U696" s="14"/>
      <c r="V696" s="14"/>
      <c r="W696" s="14"/>
      <c r="X696" s="14"/>
      <c r="Y696" s="14"/>
      <c r="Z696" s="13"/>
      <c r="AA696" s="13"/>
      <c r="AB696" s="13"/>
      <c r="AC696" s="13"/>
      <c r="AD696" s="13"/>
      <c r="AE696" s="14"/>
      <c r="AF696" s="14"/>
      <c r="AG696" s="14"/>
      <c r="AH696" s="14"/>
      <c r="AI696" s="14"/>
      <c r="AJ696" s="14"/>
      <c r="AK696" s="14"/>
    </row>
    <row r="697" spans="1:37">
      <c r="A697" s="23"/>
      <c r="B697" s="13"/>
      <c r="C697" s="13"/>
      <c r="D697" s="13"/>
      <c r="E697" s="13"/>
      <c r="F697" s="13"/>
      <c r="G697" s="14"/>
      <c r="H697" s="14"/>
      <c r="I697" s="14"/>
      <c r="J697" s="14"/>
      <c r="K697" s="14"/>
      <c r="L697" s="14"/>
      <c r="M697" s="14"/>
      <c r="N697" s="13"/>
      <c r="O697" s="13"/>
      <c r="P697" s="13"/>
      <c r="Q697" s="13"/>
      <c r="R697" s="13"/>
      <c r="S697" s="14"/>
      <c r="T697" s="14"/>
      <c r="U697" s="14"/>
      <c r="V697" s="14"/>
      <c r="W697" s="14"/>
      <c r="X697" s="14"/>
      <c r="Y697" s="14"/>
      <c r="Z697" s="13"/>
      <c r="AA697" s="13"/>
      <c r="AB697" s="13"/>
      <c r="AC697" s="13"/>
      <c r="AD697" s="13"/>
      <c r="AE697" s="14"/>
      <c r="AF697" s="14"/>
      <c r="AG697" s="14"/>
      <c r="AH697" s="14"/>
      <c r="AI697" s="14"/>
      <c r="AJ697" s="14"/>
      <c r="AK697" s="14"/>
    </row>
    <row r="698" spans="1:37">
      <c r="A698" s="23"/>
      <c r="B698" s="13"/>
      <c r="C698" s="13"/>
      <c r="D698" s="13"/>
      <c r="E698" s="13"/>
      <c r="F698" s="13"/>
      <c r="G698" s="14"/>
      <c r="H698" s="14"/>
      <c r="I698" s="14"/>
      <c r="J698" s="14"/>
      <c r="K698" s="14"/>
      <c r="L698" s="14"/>
      <c r="M698" s="14"/>
      <c r="N698" s="13"/>
      <c r="O698" s="13"/>
      <c r="P698" s="13"/>
      <c r="Q698" s="13"/>
      <c r="R698" s="13"/>
      <c r="S698" s="14"/>
      <c r="T698" s="14"/>
      <c r="U698" s="14"/>
      <c r="V698" s="14"/>
      <c r="W698" s="14"/>
      <c r="X698" s="14"/>
      <c r="Y698" s="14"/>
      <c r="Z698" s="13"/>
      <c r="AA698" s="13"/>
      <c r="AB698" s="13"/>
      <c r="AC698" s="13"/>
      <c r="AD698" s="13"/>
      <c r="AE698" s="14"/>
      <c r="AF698" s="14"/>
      <c r="AG698" s="14"/>
      <c r="AH698" s="14"/>
      <c r="AI698" s="14"/>
      <c r="AJ698" s="14"/>
      <c r="AK698" s="14"/>
    </row>
    <row r="699" spans="1:37">
      <c r="A699" s="23"/>
      <c r="B699" s="13"/>
      <c r="C699" s="13"/>
      <c r="D699" s="13"/>
      <c r="E699" s="13"/>
      <c r="F699" s="13"/>
      <c r="G699" s="14"/>
      <c r="H699" s="14"/>
      <c r="I699" s="14"/>
      <c r="J699" s="14"/>
      <c r="K699" s="14"/>
      <c r="L699" s="14"/>
      <c r="M699" s="14"/>
      <c r="N699" s="13"/>
      <c r="O699" s="13"/>
      <c r="P699" s="13"/>
      <c r="Q699" s="13"/>
      <c r="R699" s="13"/>
      <c r="S699" s="14"/>
      <c r="T699" s="14"/>
      <c r="U699" s="14"/>
      <c r="V699" s="14"/>
      <c r="W699" s="14"/>
      <c r="X699" s="14"/>
      <c r="Y699" s="14"/>
      <c r="Z699" s="13"/>
      <c r="AA699" s="13"/>
      <c r="AB699" s="13"/>
      <c r="AC699" s="13"/>
      <c r="AD699" s="13"/>
      <c r="AE699" s="14"/>
      <c r="AF699" s="14"/>
      <c r="AG699" s="14"/>
      <c r="AH699" s="14"/>
      <c r="AI699" s="14"/>
      <c r="AJ699" s="14"/>
      <c r="AK699" s="14"/>
    </row>
    <row r="700" spans="1:37">
      <c r="A700" s="23"/>
      <c r="B700" s="13"/>
      <c r="C700" s="13"/>
      <c r="D700" s="13"/>
      <c r="E700" s="13"/>
      <c r="F700" s="13"/>
      <c r="G700" s="14"/>
      <c r="H700" s="14"/>
      <c r="I700" s="14"/>
      <c r="J700" s="14"/>
      <c r="K700" s="14"/>
      <c r="L700" s="14"/>
      <c r="M700" s="14"/>
      <c r="N700" s="13"/>
      <c r="O700" s="13"/>
      <c r="P700" s="13"/>
      <c r="Q700" s="13"/>
      <c r="R700" s="13"/>
      <c r="S700" s="14"/>
      <c r="T700" s="14"/>
      <c r="U700" s="14"/>
      <c r="V700" s="14"/>
      <c r="W700" s="14"/>
      <c r="X700" s="14"/>
      <c r="Y700" s="14"/>
      <c r="Z700" s="13"/>
      <c r="AA700" s="13"/>
      <c r="AB700" s="13"/>
      <c r="AC700" s="13"/>
      <c r="AD700" s="13"/>
      <c r="AE700" s="14"/>
      <c r="AF700" s="14"/>
      <c r="AG700" s="14"/>
      <c r="AH700" s="14"/>
      <c r="AI700" s="14"/>
      <c r="AJ700" s="14"/>
      <c r="AK700" s="14"/>
    </row>
    <row r="701" spans="1:37">
      <c r="A701" s="23"/>
      <c r="B701" s="13"/>
      <c r="C701" s="13"/>
      <c r="D701" s="13"/>
      <c r="E701" s="13"/>
      <c r="F701" s="13"/>
      <c r="G701" s="14"/>
      <c r="H701" s="14"/>
      <c r="I701" s="14"/>
      <c r="J701" s="14"/>
      <c r="K701" s="14"/>
      <c r="L701" s="14"/>
      <c r="M701" s="14"/>
      <c r="N701" s="13"/>
      <c r="O701" s="13"/>
      <c r="P701" s="13"/>
      <c r="Q701" s="13"/>
      <c r="R701" s="13"/>
      <c r="S701" s="14"/>
      <c r="T701" s="14"/>
      <c r="U701" s="14"/>
      <c r="V701" s="14"/>
      <c r="W701" s="14"/>
      <c r="X701" s="14"/>
      <c r="Y701" s="14"/>
      <c r="Z701" s="13"/>
      <c r="AA701" s="13"/>
      <c r="AB701" s="13"/>
      <c r="AC701" s="13"/>
      <c r="AD701" s="13"/>
      <c r="AE701" s="14"/>
      <c r="AF701" s="14"/>
      <c r="AG701" s="14"/>
      <c r="AH701" s="14"/>
      <c r="AI701" s="14"/>
      <c r="AJ701" s="14"/>
      <c r="AK701" s="14"/>
    </row>
    <row r="702" spans="1:37">
      <c r="A702" s="23"/>
      <c r="B702" s="13"/>
      <c r="C702" s="13"/>
      <c r="D702" s="13"/>
      <c r="E702" s="13"/>
      <c r="F702" s="13"/>
      <c r="G702" s="14"/>
      <c r="H702" s="14"/>
      <c r="I702" s="14"/>
      <c r="J702" s="14"/>
      <c r="K702" s="14"/>
      <c r="L702" s="14"/>
      <c r="M702" s="14"/>
      <c r="N702" s="13"/>
      <c r="O702" s="13"/>
      <c r="P702" s="13"/>
      <c r="Q702" s="13"/>
      <c r="R702" s="13"/>
      <c r="S702" s="14"/>
      <c r="T702" s="14"/>
      <c r="U702" s="14"/>
      <c r="V702" s="14"/>
      <c r="W702" s="14"/>
      <c r="X702" s="14"/>
      <c r="Y702" s="14"/>
      <c r="Z702" s="13"/>
      <c r="AA702" s="13"/>
      <c r="AB702" s="13"/>
      <c r="AC702" s="13"/>
      <c r="AD702" s="13"/>
      <c r="AE702" s="14"/>
      <c r="AF702" s="14"/>
      <c r="AG702" s="14"/>
      <c r="AH702" s="14"/>
      <c r="AI702" s="14"/>
      <c r="AJ702" s="14"/>
      <c r="AK702" s="14"/>
    </row>
    <row r="703" spans="1:37">
      <c r="A703" s="23"/>
      <c r="B703" s="13"/>
      <c r="C703" s="13"/>
      <c r="D703" s="13"/>
      <c r="E703" s="13"/>
      <c r="F703" s="13"/>
      <c r="G703" s="14"/>
      <c r="H703" s="14"/>
      <c r="I703" s="14"/>
      <c r="J703" s="14"/>
      <c r="K703" s="14"/>
      <c r="L703" s="14"/>
      <c r="M703" s="14"/>
      <c r="N703" s="13"/>
      <c r="O703" s="13"/>
      <c r="P703" s="13"/>
      <c r="Q703" s="13"/>
      <c r="R703" s="13"/>
      <c r="S703" s="14"/>
      <c r="T703" s="14"/>
      <c r="U703" s="14"/>
      <c r="V703" s="14"/>
      <c r="W703" s="14"/>
      <c r="X703" s="14"/>
      <c r="Y703" s="14"/>
      <c r="Z703" s="13"/>
      <c r="AA703" s="13"/>
      <c r="AB703" s="13"/>
      <c r="AC703" s="13"/>
      <c r="AD703" s="13"/>
      <c r="AE703" s="14"/>
      <c r="AF703" s="14"/>
      <c r="AG703" s="14"/>
      <c r="AH703" s="14"/>
      <c r="AI703" s="14"/>
      <c r="AJ703" s="14"/>
      <c r="AK703" s="14"/>
    </row>
    <row r="704" spans="1:37">
      <c r="A704" s="23"/>
      <c r="B704" s="13"/>
      <c r="C704" s="13"/>
      <c r="D704" s="13"/>
      <c r="E704" s="13"/>
      <c r="F704" s="13"/>
      <c r="G704" s="14"/>
      <c r="H704" s="14"/>
      <c r="I704" s="14"/>
      <c r="J704" s="14"/>
      <c r="K704" s="14"/>
      <c r="L704" s="14"/>
      <c r="M704" s="14"/>
      <c r="N704" s="13"/>
      <c r="O704" s="13"/>
      <c r="P704" s="13"/>
      <c r="Q704" s="13"/>
      <c r="R704" s="13"/>
      <c r="S704" s="14"/>
      <c r="T704" s="14"/>
      <c r="U704" s="14"/>
      <c r="V704" s="14"/>
      <c r="W704" s="14"/>
      <c r="X704" s="14"/>
      <c r="Y704" s="14"/>
      <c r="Z704" s="13"/>
      <c r="AA704" s="13"/>
      <c r="AB704" s="13"/>
      <c r="AC704" s="13"/>
      <c r="AD704" s="13"/>
      <c r="AE704" s="14"/>
      <c r="AF704" s="14"/>
      <c r="AG704" s="14"/>
      <c r="AH704" s="14"/>
      <c r="AI704" s="14"/>
      <c r="AJ704" s="14"/>
      <c r="AK704" s="14"/>
    </row>
    <row r="705" spans="1:37">
      <c r="A705" s="23"/>
      <c r="B705" s="13"/>
      <c r="C705" s="13"/>
      <c r="D705" s="13"/>
      <c r="E705" s="13"/>
      <c r="F705" s="13"/>
      <c r="G705" s="14"/>
      <c r="H705" s="14"/>
      <c r="I705" s="14"/>
      <c r="J705" s="14"/>
      <c r="K705" s="14"/>
      <c r="L705" s="14"/>
      <c r="M705" s="14"/>
      <c r="N705" s="13"/>
      <c r="O705" s="13"/>
      <c r="P705" s="13"/>
      <c r="Q705" s="13"/>
      <c r="R705" s="13"/>
      <c r="S705" s="14"/>
      <c r="T705" s="14"/>
      <c r="U705" s="14"/>
      <c r="V705" s="14"/>
      <c r="W705" s="14"/>
      <c r="X705" s="14"/>
      <c r="Y705" s="14"/>
      <c r="Z705" s="13"/>
      <c r="AA705" s="13"/>
      <c r="AB705" s="13"/>
      <c r="AC705" s="13"/>
      <c r="AD705" s="13"/>
      <c r="AE705" s="14"/>
      <c r="AF705" s="14"/>
      <c r="AG705" s="14"/>
      <c r="AH705" s="14"/>
      <c r="AI705" s="14"/>
      <c r="AJ705" s="14"/>
      <c r="AK705" s="14"/>
    </row>
    <row r="706" spans="1:37">
      <c r="A706" s="23"/>
      <c r="B706" s="13"/>
      <c r="C706" s="13"/>
      <c r="D706" s="13"/>
      <c r="E706" s="13"/>
      <c r="F706" s="13"/>
      <c r="G706" s="14"/>
      <c r="H706" s="14"/>
      <c r="I706" s="14"/>
      <c r="J706" s="14"/>
      <c r="K706" s="14"/>
      <c r="L706" s="14"/>
      <c r="M706" s="14"/>
      <c r="N706" s="13"/>
      <c r="O706" s="13"/>
      <c r="P706" s="13"/>
      <c r="Q706" s="13"/>
      <c r="R706" s="13"/>
      <c r="S706" s="14"/>
      <c r="T706" s="14"/>
      <c r="U706" s="14"/>
      <c r="V706" s="14"/>
      <c r="W706" s="14"/>
      <c r="X706" s="14"/>
      <c r="Y706" s="14"/>
      <c r="Z706" s="13"/>
      <c r="AA706" s="13"/>
      <c r="AB706" s="13"/>
      <c r="AC706" s="13"/>
      <c r="AD706" s="13"/>
      <c r="AE706" s="14"/>
      <c r="AF706" s="14"/>
      <c r="AG706" s="14"/>
      <c r="AH706" s="14"/>
      <c r="AI706" s="14"/>
      <c r="AJ706" s="14"/>
      <c r="AK706" s="14"/>
    </row>
    <row r="707" spans="1:37">
      <c r="A707" s="23"/>
      <c r="B707" s="13"/>
      <c r="C707" s="13"/>
      <c r="D707" s="13"/>
      <c r="E707" s="13"/>
      <c r="F707" s="13"/>
      <c r="G707" s="14"/>
      <c r="H707" s="14"/>
      <c r="I707" s="14"/>
      <c r="J707" s="14"/>
      <c r="K707" s="14"/>
      <c r="L707" s="14"/>
      <c r="M707" s="14"/>
      <c r="N707" s="13"/>
      <c r="O707" s="13"/>
      <c r="P707" s="13"/>
      <c r="Q707" s="13"/>
      <c r="R707" s="13"/>
      <c r="S707" s="14"/>
      <c r="T707" s="14"/>
      <c r="U707" s="14"/>
      <c r="V707" s="14"/>
      <c r="W707" s="14"/>
      <c r="X707" s="14"/>
      <c r="Y707" s="14"/>
      <c r="Z707" s="13"/>
      <c r="AA707" s="13"/>
      <c r="AB707" s="13"/>
      <c r="AC707" s="13"/>
      <c r="AD707" s="13"/>
      <c r="AE707" s="14"/>
      <c r="AF707" s="14"/>
      <c r="AG707" s="14"/>
      <c r="AH707" s="14"/>
      <c r="AI707" s="14"/>
      <c r="AJ707" s="14"/>
      <c r="AK707" s="14"/>
    </row>
    <row r="708" spans="1:37">
      <c r="A708" s="23"/>
      <c r="B708" s="13"/>
      <c r="C708" s="13"/>
      <c r="D708" s="13"/>
      <c r="E708" s="13"/>
      <c r="F708" s="13"/>
      <c r="G708" s="14"/>
      <c r="H708" s="14"/>
      <c r="I708" s="14"/>
      <c r="J708" s="14"/>
      <c r="K708" s="14"/>
      <c r="L708" s="14"/>
      <c r="M708" s="14"/>
      <c r="N708" s="13"/>
      <c r="O708" s="13"/>
      <c r="P708" s="13"/>
      <c r="Q708" s="13"/>
      <c r="R708" s="13"/>
      <c r="S708" s="14"/>
      <c r="T708" s="14"/>
      <c r="U708" s="14"/>
      <c r="V708" s="14"/>
      <c r="W708" s="14"/>
      <c r="X708" s="14"/>
      <c r="Y708" s="14"/>
      <c r="Z708" s="13"/>
      <c r="AA708" s="13"/>
      <c r="AB708" s="13"/>
      <c r="AC708" s="13"/>
      <c r="AD708" s="13"/>
      <c r="AE708" s="14"/>
      <c r="AF708" s="14"/>
      <c r="AG708" s="14"/>
      <c r="AH708" s="14"/>
      <c r="AI708" s="14"/>
      <c r="AJ708" s="14"/>
      <c r="AK708" s="14"/>
    </row>
    <row r="709" spans="1:37">
      <c r="A709" s="23"/>
      <c r="B709" s="13"/>
      <c r="C709" s="13"/>
      <c r="D709" s="13"/>
      <c r="E709" s="13"/>
      <c r="F709" s="13"/>
      <c r="G709" s="14"/>
      <c r="H709" s="14"/>
      <c r="I709" s="14"/>
      <c r="J709" s="14"/>
      <c r="K709" s="14"/>
      <c r="L709" s="14"/>
      <c r="M709" s="14"/>
      <c r="N709" s="13"/>
      <c r="O709" s="13"/>
      <c r="P709" s="13"/>
      <c r="Q709" s="13"/>
      <c r="R709" s="13"/>
      <c r="S709" s="14"/>
      <c r="T709" s="14"/>
      <c r="U709" s="14"/>
      <c r="V709" s="14"/>
      <c r="W709" s="14"/>
      <c r="X709" s="14"/>
      <c r="Y709" s="14"/>
      <c r="Z709" s="13"/>
      <c r="AA709" s="13"/>
      <c r="AB709" s="13"/>
      <c r="AC709" s="13"/>
      <c r="AD709" s="13"/>
      <c r="AE709" s="14"/>
      <c r="AF709" s="14"/>
      <c r="AG709" s="14"/>
      <c r="AH709" s="14"/>
      <c r="AI709" s="14"/>
      <c r="AJ709" s="14"/>
      <c r="AK709" s="14"/>
    </row>
    <row r="710" spans="1:37">
      <c r="A710" s="23"/>
      <c r="B710" s="13"/>
      <c r="C710" s="13"/>
      <c r="D710" s="13"/>
      <c r="E710" s="13"/>
      <c r="F710" s="13"/>
      <c r="G710" s="14"/>
      <c r="H710" s="14"/>
      <c r="I710" s="14"/>
      <c r="J710" s="14"/>
      <c r="K710" s="14"/>
      <c r="L710" s="14"/>
      <c r="M710" s="14"/>
      <c r="N710" s="13"/>
      <c r="O710" s="13"/>
      <c r="P710" s="13"/>
      <c r="Q710" s="13"/>
      <c r="R710" s="13"/>
      <c r="S710" s="14"/>
      <c r="T710" s="14"/>
      <c r="U710" s="14"/>
      <c r="V710" s="14"/>
      <c r="W710" s="14"/>
      <c r="X710" s="14"/>
      <c r="Y710" s="14"/>
      <c r="Z710" s="13"/>
      <c r="AA710" s="13"/>
      <c r="AB710" s="13"/>
      <c r="AC710" s="13"/>
      <c r="AD710" s="13"/>
      <c r="AE710" s="14"/>
      <c r="AF710" s="14"/>
      <c r="AG710" s="14"/>
      <c r="AH710" s="14"/>
      <c r="AI710" s="14"/>
      <c r="AJ710" s="14"/>
      <c r="AK710" s="14"/>
    </row>
    <row r="711" spans="1:37">
      <c r="A711" s="23"/>
      <c r="B711" s="13"/>
      <c r="C711" s="13"/>
      <c r="D711" s="13"/>
      <c r="E711" s="13"/>
      <c r="F711" s="13"/>
      <c r="G711" s="14"/>
      <c r="H711" s="14"/>
      <c r="I711" s="14"/>
      <c r="J711" s="14"/>
      <c r="K711" s="14"/>
      <c r="L711" s="14"/>
      <c r="M711" s="14"/>
      <c r="N711" s="13"/>
      <c r="O711" s="13"/>
      <c r="P711" s="13"/>
      <c r="Q711" s="13"/>
      <c r="R711" s="13"/>
      <c r="S711" s="14"/>
      <c r="T711" s="14"/>
      <c r="U711" s="14"/>
      <c r="V711" s="14"/>
      <c r="W711" s="14"/>
      <c r="X711" s="14"/>
      <c r="Y711" s="14"/>
      <c r="Z711" s="13"/>
      <c r="AA711" s="13"/>
      <c r="AB711" s="13"/>
      <c r="AC711" s="13"/>
      <c r="AD711" s="13"/>
      <c r="AE711" s="14"/>
      <c r="AF711" s="14"/>
      <c r="AG711" s="14"/>
      <c r="AH711" s="14"/>
      <c r="AI711" s="14"/>
      <c r="AJ711" s="14"/>
      <c r="AK711" s="14"/>
    </row>
    <row r="712" spans="1:37">
      <c r="A712" s="23"/>
      <c r="B712" s="13"/>
      <c r="C712" s="13"/>
      <c r="D712" s="13"/>
      <c r="E712" s="13"/>
      <c r="F712" s="13"/>
      <c r="G712" s="14"/>
      <c r="H712" s="14"/>
      <c r="I712" s="14"/>
      <c r="J712" s="14"/>
      <c r="K712" s="14"/>
      <c r="L712" s="14"/>
      <c r="M712" s="14"/>
      <c r="N712" s="13"/>
      <c r="O712" s="13"/>
      <c r="P712" s="13"/>
      <c r="Q712" s="13"/>
      <c r="R712" s="13"/>
      <c r="S712" s="14"/>
      <c r="T712" s="14"/>
      <c r="U712" s="14"/>
      <c r="V712" s="14"/>
      <c r="W712" s="14"/>
      <c r="X712" s="14"/>
      <c r="Y712" s="14"/>
      <c r="Z712" s="13"/>
      <c r="AA712" s="13"/>
      <c r="AB712" s="13"/>
      <c r="AC712" s="13"/>
      <c r="AD712" s="13"/>
      <c r="AE712" s="14"/>
      <c r="AF712" s="14"/>
      <c r="AG712" s="14"/>
      <c r="AH712" s="14"/>
      <c r="AI712" s="14"/>
      <c r="AJ712" s="14"/>
      <c r="AK712" s="14"/>
    </row>
    <row r="713" spans="1:37">
      <c r="A713" s="23"/>
      <c r="B713" s="13"/>
      <c r="C713" s="13"/>
      <c r="D713" s="13"/>
      <c r="E713" s="13"/>
      <c r="F713" s="13"/>
      <c r="G713" s="14"/>
      <c r="H713" s="14"/>
      <c r="I713" s="14"/>
      <c r="J713" s="14"/>
      <c r="K713" s="14"/>
      <c r="L713" s="14"/>
      <c r="M713" s="14"/>
      <c r="N713" s="13"/>
      <c r="O713" s="13"/>
      <c r="P713" s="13"/>
      <c r="Q713" s="13"/>
      <c r="R713" s="13"/>
      <c r="S713" s="14"/>
      <c r="T713" s="14"/>
      <c r="U713" s="14"/>
      <c r="V713" s="14"/>
      <c r="W713" s="14"/>
      <c r="X713" s="14"/>
      <c r="Y713" s="14"/>
      <c r="Z713" s="13"/>
      <c r="AA713" s="13"/>
      <c r="AB713" s="13"/>
      <c r="AC713" s="13"/>
      <c r="AD713" s="13"/>
      <c r="AE713" s="14"/>
      <c r="AF713" s="14"/>
      <c r="AG713" s="14"/>
      <c r="AH713" s="14"/>
      <c r="AI713" s="14"/>
      <c r="AJ713" s="14"/>
      <c r="AK713" s="14"/>
    </row>
    <row r="714" spans="1:37">
      <c r="A714" s="23"/>
      <c r="B714" s="13"/>
      <c r="C714" s="13"/>
      <c r="D714" s="13"/>
      <c r="E714" s="13"/>
      <c r="F714" s="13"/>
      <c r="G714" s="14"/>
      <c r="H714" s="14"/>
      <c r="I714" s="14"/>
      <c r="J714" s="14"/>
      <c r="K714" s="14"/>
      <c r="L714" s="14"/>
      <c r="M714" s="14"/>
      <c r="N714" s="13"/>
      <c r="O714" s="13"/>
      <c r="P714" s="13"/>
      <c r="Q714" s="13"/>
      <c r="R714" s="13"/>
      <c r="S714" s="14"/>
      <c r="T714" s="14"/>
      <c r="U714" s="14"/>
      <c r="V714" s="14"/>
      <c r="W714" s="14"/>
      <c r="X714" s="14"/>
      <c r="Y714" s="14"/>
      <c r="Z714" s="13"/>
      <c r="AA714" s="13"/>
      <c r="AB714" s="13"/>
      <c r="AC714" s="13"/>
      <c r="AD714" s="13"/>
      <c r="AE714" s="14"/>
      <c r="AF714" s="14"/>
      <c r="AG714" s="14"/>
      <c r="AH714" s="14"/>
      <c r="AI714" s="14"/>
      <c r="AJ714" s="14"/>
      <c r="AK714" s="14"/>
    </row>
    <row r="715" spans="1:37">
      <c r="A715" s="23"/>
      <c r="B715" s="13"/>
      <c r="C715" s="13"/>
      <c r="D715" s="13"/>
      <c r="E715" s="13"/>
      <c r="F715" s="13"/>
      <c r="G715" s="14"/>
      <c r="H715" s="14"/>
      <c r="I715" s="14"/>
      <c r="J715" s="14"/>
      <c r="K715" s="14"/>
      <c r="L715" s="14"/>
      <c r="M715" s="14"/>
      <c r="N715" s="13"/>
      <c r="O715" s="13"/>
      <c r="P715" s="13"/>
      <c r="Q715" s="13"/>
      <c r="R715" s="13"/>
      <c r="S715" s="14"/>
      <c r="T715" s="14"/>
      <c r="U715" s="14"/>
      <c r="V715" s="14"/>
      <c r="W715" s="14"/>
      <c r="X715" s="14"/>
      <c r="Y715" s="14"/>
      <c r="Z715" s="13"/>
      <c r="AA715" s="13"/>
      <c r="AB715" s="13"/>
      <c r="AC715" s="13"/>
      <c r="AD715" s="13"/>
      <c r="AE715" s="14"/>
      <c r="AF715" s="14"/>
      <c r="AG715" s="14"/>
      <c r="AH715" s="14"/>
      <c r="AI715" s="14"/>
      <c r="AJ715" s="14"/>
      <c r="AK715" s="14"/>
    </row>
    <row r="716" spans="1:37">
      <c r="A716" s="23"/>
      <c r="B716" s="13"/>
      <c r="C716" s="13"/>
      <c r="D716" s="13"/>
      <c r="E716" s="13"/>
      <c r="F716" s="13"/>
      <c r="G716" s="14"/>
      <c r="H716" s="14"/>
      <c r="I716" s="14"/>
      <c r="J716" s="14"/>
      <c r="K716" s="14"/>
      <c r="L716" s="14"/>
      <c r="M716" s="14"/>
      <c r="N716" s="13"/>
      <c r="O716" s="13"/>
      <c r="P716" s="13"/>
      <c r="Q716" s="13"/>
      <c r="R716" s="13"/>
      <c r="S716" s="14"/>
      <c r="T716" s="14"/>
      <c r="U716" s="14"/>
      <c r="V716" s="14"/>
      <c r="W716" s="14"/>
      <c r="X716" s="14"/>
      <c r="Y716" s="14"/>
      <c r="Z716" s="13"/>
      <c r="AA716" s="13"/>
      <c r="AB716" s="13"/>
      <c r="AC716" s="13"/>
      <c r="AD716" s="13"/>
      <c r="AE716" s="14"/>
      <c r="AF716" s="14"/>
      <c r="AG716" s="14"/>
      <c r="AH716" s="14"/>
      <c r="AI716" s="14"/>
      <c r="AJ716" s="14"/>
      <c r="AK716" s="14"/>
    </row>
    <row r="717" spans="1:37">
      <c r="A717" s="23"/>
      <c r="B717" s="13"/>
      <c r="C717" s="13"/>
      <c r="D717" s="13"/>
      <c r="E717" s="13"/>
      <c r="F717" s="13"/>
      <c r="G717" s="14"/>
      <c r="H717" s="14"/>
      <c r="I717" s="14"/>
      <c r="J717" s="14"/>
      <c r="K717" s="14"/>
      <c r="L717" s="14"/>
      <c r="M717" s="14"/>
      <c r="N717" s="13"/>
      <c r="O717" s="13"/>
      <c r="P717" s="13"/>
      <c r="Q717" s="13"/>
      <c r="R717" s="13"/>
      <c r="S717" s="14"/>
      <c r="T717" s="14"/>
      <c r="U717" s="14"/>
      <c r="V717" s="14"/>
      <c r="W717" s="14"/>
      <c r="X717" s="14"/>
      <c r="Y717" s="14"/>
      <c r="Z717" s="13"/>
      <c r="AA717" s="13"/>
      <c r="AB717" s="13"/>
      <c r="AC717" s="13"/>
      <c r="AD717" s="13"/>
      <c r="AE717" s="14"/>
      <c r="AF717" s="14"/>
      <c r="AG717" s="14"/>
      <c r="AH717" s="14"/>
      <c r="AI717" s="14"/>
      <c r="AJ717" s="14"/>
      <c r="AK717" s="14"/>
    </row>
    <row r="718" spans="1:37">
      <c r="A718" s="23"/>
      <c r="B718" s="13"/>
      <c r="C718" s="13"/>
      <c r="D718" s="13"/>
      <c r="E718" s="13"/>
      <c r="F718" s="13"/>
      <c r="G718" s="14"/>
      <c r="H718" s="14"/>
      <c r="I718" s="14"/>
      <c r="J718" s="14"/>
      <c r="K718" s="14"/>
      <c r="L718" s="14"/>
      <c r="M718" s="14"/>
      <c r="N718" s="13"/>
      <c r="O718" s="13"/>
      <c r="P718" s="13"/>
      <c r="Q718" s="13"/>
      <c r="R718" s="13"/>
      <c r="S718" s="14"/>
      <c r="T718" s="14"/>
      <c r="U718" s="14"/>
      <c r="V718" s="14"/>
      <c r="W718" s="14"/>
      <c r="X718" s="14"/>
      <c r="Y718" s="14"/>
      <c r="Z718" s="13"/>
      <c r="AA718" s="13"/>
      <c r="AB718" s="13"/>
      <c r="AC718" s="13"/>
      <c r="AD718" s="13"/>
      <c r="AE718" s="14"/>
      <c r="AF718" s="14"/>
      <c r="AG718" s="14"/>
      <c r="AH718" s="14"/>
      <c r="AI718" s="14"/>
      <c r="AJ718" s="14"/>
      <c r="AK718" s="14"/>
    </row>
    <row r="719" spans="1:37">
      <c r="A719" s="23"/>
      <c r="B719" s="13"/>
      <c r="C719" s="13"/>
      <c r="D719" s="13"/>
      <c r="E719" s="13"/>
      <c r="F719" s="13"/>
      <c r="G719" s="14"/>
      <c r="H719" s="14"/>
      <c r="I719" s="14"/>
      <c r="J719" s="14"/>
      <c r="K719" s="14"/>
      <c r="L719" s="14"/>
      <c r="M719" s="14"/>
      <c r="N719" s="13"/>
      <c r="O719" s="13"/>
      <c r="P719" s="13"/>
      <c r="Q719" s="13"/>
      <c r="R719" s="13"/>
      <c r="S719" s="14"/>
      <c r="T719" s="14"/>
      <c r="U719" s="14"/>
      <c r="V719" s="14"/>
      <c r="W719" s="14"/>
      <c r="X719" s="14"/>
      <c r="Y719" s="14"/>
      <c r="Z719" s="13"/>
      <c r="AA719" s="13"/>
      <c r="AB719" s="13"/>
      <c r="AC719" s="13"/>
      <c r="AD719" s="13"/>
      <c r="AE719" s="14"/>
      <c r="AF719" s="14"/>
      <c r="AG719" s="14"/>
      <c r="AH719" s="14"/>
      <c r="AI719" s="14"/>
      <c r="AJ719" s="14"/>
      <c r="AK719" s="14"/>
    </row>
    <row r="720" spans="1:37">
      <c r="A720" s="23"/>
      <c r="B720" s="13"/>
      <c r="C720" s="13"/>
      <c r="D720" s="13"/>
      <c r="E720" s="13"/>
      <c r="F720" s="13"/>
      <c r="G720" s="14"/>
      <c r="H720" s="14"/>
      <c r="I720" s="14"/>
      <c r="J720" s="14"/>
      <c r="K720" s="14"/>
      <c r="L720" s="14"/>
      <c r="M720" s="14"/>
      <c r="N720" s="13"/>
      <c r="O720" s="13"/>
      <c r="P720" s="13"/>
      <c r="Q720" s="13"/>
      <c r="R720" s="13"/>
      <c r="S720" s="14"/>
      <c r="T720" s="14"/>
      <c r="U720" s="14"/>
      <c r="V720" s="14"/>
      <c r="W720" s="14"/>
      <c r="X720" s="14"/>
      <c r="Y720" s="14"/>
      <c r="Z720" s="13"/>
      <c r="AA720" s="13"/>
      <c r="AB720" s="13"/>
      <c r="AC720" s="13"/>
      <c r="AD720" s="13"/>
      <c r="AE720" s="14"/>
      <c r="AF720" s="14"/>
      <c r="AG720" s="14"/>
      <c r="AH720" s="14"/>
      <c r="AI720" s="14"/>
      <c r="AJ720" s="14"/>
      <c r="AK720" s="14"/>
    </row>
    <row r="721" spans="1:37">
      <c r="A721" s="23"/>
      <c r="B721" s="13"/>
      <c r="C721" s="13"/>
      <c r="D721" s="13"/>
      <c r="E721" s="13"/>
      <c r="F721" s="13"/>
      <c r="G721" s="14"/>
      <c r="H721" s="14"/>
      <c r="I721" s="14"/>
      <c r="J721" s="14"/>
      <c r="K721" s="14"/>
      <c r="L721" s="14"/>
      <c r="M721" s="14"/>
      <c r="N721" s="13"/>
      <c r="O721" s="13"/>
      <c r="P721" s="13"/>
      <c r="Q721" s="13"/>
      <c r="R721" s="13"/>
      <c r="S721" s="14"/>
      <c r="T721" s="14"/>
      <c r="U721" s="14"/>
      <c r="V721" s="14"/>
      <c r="W721" s="14"/>
      <c r="X721" s="14"/>
      <c r="Y721" s="14"/>
      <c r="Z721" s="13"/>
      <c r="AA721" s="13"/>
      <c r="AB721" s="13"/>
      <c r="AC721" s="13"/>
      <c r="AD721" s="13"/>
      <c r="AE721" s="14"/>
      <c r="AF721" s="14"/>
      <c r="AG721" s="14"/>
      <c r="AH721" s="14"/>
      <c r="AI721" s="14"/>
      <c r="AJ721" s="14"/>
      <c r="AK721" s="14"/>
    </row>
    <row r="722" spans="1:37">
      <c r="A722" s="23"/>
      <c r="B722" s="13"/>
      <c r="C722" s="13"/>
      <c r="D722" s="13"/>
      <c r="E722" s="13"/>
      <c r="F722" s="13"/>
      <c r="G722" s="14"/>
      <c r="H722" s="14"/>
      <c r="I722" s="14"/>
      <c r="J722" s="14"/>
      <c r="K722" s="14"/>
      <c r="L722" s="14"/>
      <c r="M722" s="14"/>
      <c r="N722" s="13"/>
      <c r="O722" s="13"/>
      <c r="P722" s="13"/>
      <c r="Q722" s="13"/>
      <c r="R722" s="13"/>
      <c r="S722" s="14"/>
      <c r="T722" s="14"/>
      <c r="U722" s="14"/>
      <c r="V722" s="14"/>
      <c r="W722" s="14"/>
      <c r="X722" s="14"/>
      <c r="Y722" s="14"/>
      <c r="Z722" s="13"/>
      <c r="AA722" s="13"/>
      <c r="AB722" s="13"/>
      <c r="AC722" s="13"/>
      <c r="AD722" s="13"/>
      <c r="AE722" s="14"/>
      <c r="AF722" s="14"/>
      <c r="AG722" s="14"/>
      <c r="AH722" s="14"/>
      <c r="AI722" s="14"/>
      <c r="AJ722" s="14"/>
      <c r="AK722" s="14"/>
    </row>
    <row r="723" spans="1:37">
      <c r="A723" s="23"/>
      <c r="B723" s="13"/>
      <c r="C723" s="13"/>
      <c r="D723" s="13"/>
      <c r="E723" s="13"/>
      <c r="F723" s="13"/>
      <c r="G723" s="14"/>
      <c r="H723" s="14"/>
      <c r="I723" s="14"/>
      <c r="J723" s="14"/>
      <c r="K723" s="14"/>
      <c r="L723" s="14"/>
      <c r="M723" s="14"/>
      <c r="N723" s="13"/>
      <c r="O723" s="13"/>
      <c r="P723" s="13"/>
      <c r="Q723" s="13"/>
      <c r="R723" s="13"/>
      <c r="S723" s="14"/>
      <c r="T723" s="14"/>
      <c r="U723" s="14"/>
      <c r="V723" s="14"/>
      <c r="W723" s="14"/>
      <c r="X723" s="14"/>
      <c r="Y723" s="14"/>
      <c r="Z723" s="13"/>
      <c r="AA723" s="13"/>
      <c r="AB723" s="13"/>
      <c r="AC723" s="13"/>
      <c r="AD723" s="13"/>
      <c r="AE723" s="14"/>
      <c r="AF723" s="14"/>
      <c r="AG723" s="14"/>
      <c r="AH723" s="14"/>
      <c r="AI723" s="14"/>
      <c r="AJ723" s="14"/>
      <c r="AK723" s="14"/>
    </row>
    <row r="724" spans="1:37">
      <c r="A724" s="23"/>
      <c r="B724" s="13"/>
      <c r="C724" s="13"/>
      <c r="D724" s="13"/>
      <c r="E724" s="13"/>
      <c r="F724" s="13"/>
      <c r="G724" s="14"/>
      <c r="H724" s="14"/>
      <c r="I724" s="14"/>
      <c r="J724" s="14"/>
      <c r="K724" s="14"/>
      <c r="L724" s="14"/>
      <c r="M724" s="14"/>
      <c r="N724" s="13"/>
      <c r="O724" s="13"/>
      <c r="P724" s="13"/>
      <c r="Q724" s="13"/>
      <c r="R724" s="13"/>
      <c r="S724" s="14"/>
      <c r="T724" s="14"/>
      <c r="U724" s="14"/>
      <c r="V724" s="14"/>
      <c r="W724" s="14"/>
      <c r="X724" s="14"/>
      <c r="Y724" s="14"/>
      <c r="Z724" s="13"/>
      <c r="AA724" s="13"/>
      <c r="AB724" s="13"/>
      <c r="AC724" s="13"/>
      <c r="AD724" s="13"/>
      <c r="AE724" s="14"/>
      <c r="AF724" s="14"/>
      <c r="AG724" s="14"/>
      <c r="AH724" s="14"/>
      <c r="AI724" s="14"/>
      <c r="AJ724" s="14"/>
      <c r="AK724" s="14"/>
    </row>
    <row r="725" spans="1:37">
      <c r="A725" s="23"/>
      <c r="B725" s="13"/>
      <c r="C725" s="13"/>
      <c r="D725" s="13"/>
      <c r="E725" s="13"/>
      <c r="F725" s="13"/>
      <c r="G725" s="14"/>
      <c r="H725" s="14"/>
      <c r="I725" s="14"/>
      <c r="J725" s="14"/>
      <c r="K725" s="14"/>
      <c r="L725" s="14"/>
      <c r="M725" s="14"/>
      <c r="N725" s="13"/>
      <c r="O725" s="13"/>
      <c r="P725" s="13"/>
      <c r="Q725" s="13"/>
      <c r="R725" s="13"/>
      <c r="S725" s="14"/>
      <c r="T725" s="14"/>
      <c r="U725" s="14"/>
      <c r="V725" s="14"/>
      <c r="W725" s="14"/>
      <c r="X725" s="14"/>
      <c r="Y725" s="14"/>
      <c r="Z725" s="13"/>
      <c r="AA725" s="13"/>
      <c r="AB725" s="13"/>
      <c r="AC725" s="13"/>
      <c r="AD725" s="13"/>
      <c r="AE725" s="14"/>
      <c r="AF725" s="14"/>
      <c r="AG725" s="14"/>
      <c r="AH725" s="14"/>
      <c r="AI725" s="14"/>
      <c r="AJ725" s="14"/>
      <c r="AK725" s="14"/>
    </row>
    <row r="726" spans="1:37">
      <c r="A726" s="23"/>
      <c r="B726" s="13"/>
      <c r="C726" s="13"/>
      <c r="D726" s="13"/>
      <c r="E726" s="13"/>
      <c r="F726" s="13"/>
      <c r="G726" s="14"/>
      <c r="H726" s="14"/>
      <c r="I726" s="14"/>
      <c r="J726" s="14"/>
      <c r="K726" s="14"/>
      <c r="L726" s="14"/>
      <c r="M726" s="14"/>
      <c r="N726" s="13"/>
      <c r="O726" s="13"/>
      <c r="P726" s="13"/>
      <c r="Q726" s="13"/>
      <c r="R726" s="13"/>
      <c r="S726" s="14"/>
      <c r="T726" s="14"/>
      <c r="U726" s="14"/>
      <c r="V726" s="14"/>
      <c r="W726" s="14"/>
      <c r="X726" s="14"/>
      <c r="Y726" s="14"/>
      <c r="Z726" s="13"/>
      <c r="AA726" s="13"/>
      <c r="AB726" s="13"/>
      <c r="AC726" s="13"/>
      <c r="AD726" s="13"/>
      <c r="AE726" s="14"/>
      <c r="AF726" s="14"/>
      <c r="AG726" s="14"/>
      <c r="AH726" s="14"/>
      <c r="AI726" s="14"/>
      <c r="AJ726" s="14"/>
      <c r="AK726" s="14"/>
    </row>
    <row r="727" spans="1:37">
      <c r="A727" s="23"/>
      <c r="B727" s="13"/>
      <c r="C727" s="13"/>
      <c r="D727" s="13"/>
      <c r="E727" s="13"/>
      <c r="F727" s="13"/>
      <c r="G727" s="14"/>
      <c r="H727" s="14"/>
      <c r="I727" s="14"/>
      <c r="J727" s="14"/>
      <c r="K727" s="14"/>
      <c r="L727" s="14"/>
      <c r="M727" s="14"/>
      <c r="N727" s="13"/>
      <c r="O727" s="13"/>
      <c r="P727" s="13"/>
      <c r="Q727" s="13"/>
      <c r="R727" s="13"/>
      <c r="S727" s="14"/>
      <c r="T727" s="14"/>
      <c r="U727" s="14"/>
      <c r="V727" s="14"/>
      <c r="W727" s="14"/>
      <c r="X727" s="14"/>
      <c r="Y727" s="14"/>
      <c r="Z727" s="13"/>
      <c r="AA727" s="13"/>
      <c r="AB727" s="13"/>
      <c r="AC727" s="13"/>
      <c r="AD727" s="13"/>
      <c r="AE727" s="14"/>
      <c r="AF727" s="14"/>
      <c r="AG727" s="14"/>
      <c r="AH727" s="14"/>
      <c r="AI727" s="14"/>
      <c r="AJ727" s="14"/>
      <c r="AK727" s="14"/>
    </row>
    <row r="728" spans="1:37">
      <c r="A728" s="23"/>
      <c r="B728" s="13"/>
      <c r="C728" s="13"/>
      <c r="D728" s="13"/>
      <c r="E728" s="13"/>
      <c r="F728" s="13"/>
      <c r="G728" s="14"/>
      <c r="H728" s="14"/>
      <c r="I728" s="14"/>
      <c r="J728" s="14"/>
      <c r="K728" s="14"/>
      <c r="L728" s="14"/>
      <c r="M728" s="14"/>
      <c r="N728" s="13"/>
      <c r="O728" s="13"/>
      <c r="P728" s="13"/>
      <c r="Q728" s="13"/>
      <c r="R728" s="13"/>
      <c r="S728" s="14"/>
      <c r="T728" s="14"/>
      <c r="U728" s="14"/>
      <c r="V728" s="14"/>
      <c r="W728" s="14"/>
      <c r="X728" s="14"/>
      <c r="Y728" s="14"/>
      <c r="Z728" s="13"/>
      <c r="AA728" s="13"/>
      <c r="AB728" s="13"/>
      <c r="AC728" s="13"/>
      <c r="AD728" s="13"/>
      <c r="AE728" s="14"/>
      <c r="AF728" s="14"/>
      <c r="AG728" s="14"/>
      <c r="AH728" s="14"/>
      <c r="AI728" s="14"/>
      <c r="AJ728" s="14"/>
      <c r="AK728" s="14"/>
    </row>
    <row r="729" spans="1:37">
      <c r="A729" s="23"/>
      <c r="B729" s="13"/>
      <c r="C729" s="13"/>
      <c r="D729" s="13"/>
      <c r="E729" s="13"/>
      <c r="F729" s="13"/>
      <c r="G729" s="14"/>
      <c r="H729" s="14"/>
      <c r="I729" s="14"/>
      <c r="J729" s="14"/>
      <c r="K729" s="14"/>
      <c r="L729" s="14"/>
      <c r="M729" s="14"/>
      <c r="N729" s="13"/>
      <c r="O729" s="13"/>
      <c r="P729" s="13"/>
      <c r="Q729" s="13"/>
      <c r="R729" s="13"/>
      <c r="S729" s="14"/>
      <c r="T729" s="14"/>
      <c r="U729" s="14"/>
      <c r="V729" s="14"/>
      <c r="W729" s="14"/>
      <c r="X729" s="14"/>
      <c r="Y729" s="14"/>
      <c r="Z729" s="13"/>
      <c r="AA729" s="13"/>
      <c r="AB729" s="13"/>
      <c r="AC729" s="13"/>
      <c r="AD729" s="13"/>
      <c r="AE729" s="14"/>
      <c r="AF729" s="14"/>
      <c r="AG729" s="14"/>
      <c r="AH729" s="14"/>
      <c r="AI729" s="14"/>
      <c r="AJ729" s="14"/>
      <c r="AK729" s="14"/>
    </row>
    <row r="730" spans="1:37">
      <c r="A730" s="23"/>
      <c r="B730" s="13"/>
      <c r="C730" s="13"/>
      <c r="D730" s="13"/>
      <c r="E730" s="13"/>
      <c r="F730" s="13"/>
      <c r="G730" s="14"/>
      <c r="H730" s="14"/>
      <c r="I730" s="14"/>
      <c r="J730" s="14"/>
      <c r="K730" s="14"/>
      <c r="L730" s="14"/>
      <c r="M730" s="14"/>
      <c r="N730" s="13"/>
      <c r="O730" s="13"/>
      <c r="P730" s="13"/>
      <c r="Q730" s="13"/>
      <c r="R730" s="13"/>
      <c r="S730" s="14"/>
      <c r="T730" s="14"/>
      <c r="U730" s="14"/>
      <c r="V730" s="14"/>
      <c r="W730" s="14"/>
      <c r="X730" s="14"/>
      <c r="Y730" s="14"/>
      <c r="Z730" s="13"/>
      <c r="AA730" s="13"/>
      <c r="AB730" s="13"/>
      <c r="AC730" s="13"/>
      <c r="AD730" s="13"/>
      <c r="AE730" s="14"/>
      <c r="AF730" s="14"/>
      <c r="AG730" s="14"/>
      <c r="AH730" s="14"/>
      <c r="AI730" s="14"/>
      <c r="AJ730" s="14"/>
      <c r="AK730" s="14"/>
    </row>
    <row r="731" spans="1:37">
      <c r="A731" s="23"/>
      <c r="B731" s="13"/>
      <c r="C731" s="13"/>
      <c r="D731" s="13"/>
      <c r="E731" s="13"/>
      <c r="F731" s="13"/>
      <c r="G731" s="14"/>
      <c r="H731" s="14"/>
      <c r="I731" s="14"/>
      <c r="J731" s="14"/>
      <c r="K731" s="14"/>
      <c r="L731" s="14"/>
      <c r="M731" s="14"/>
      <c r="N731" s="13"/>
      <c r="O731" s="13"/>
      <c r="P731" s="13"/>
      <c r="Q731" s="13"/>
      <c r="R731" s="13"/>
      <c r="S731" s="14"/>
      <c r="T731" s="14"/>
      <c r="U731" s="14"/>
      <c r="V731" s="14"/>
      <c r="W731" s="14"/>
      <c r="X731" s="14"/>
      <c r="Y731" s="14"/>
      <c r="Z731" s="13"/>
      <c r="AA731" s="13"/>
      <c r="AB731" s="13"/>
      <c r="AC731" s="13"/>
      <c r="AD731" s="13"/>
      <c r="AE731" s="14"/>
      <c r="AF731" s="14"/>
      <c r="AG731" s="14"/>
      <c r="AH731" s="14"/>
      <c r="AI731" s="14"/>
      <c r="AJ731" s="14"/>
      <c r="AK731" s="14"/>
    </row>
    <row r="732" spans="1:37">
      <c r="A732" s="23"/>
      <c r="B732" s="13"/>
      <c r="C732" s="13"/>
      <c r="D732" s="13"/>
      <c r="E732" s="13"/>
      <c r="F732" s="13"/>
      <c r="G732" s="14"/>
      <c r="H732" s="14"/>
      <c r="I732" s="14"/>
      <c r="J732" s="14"/>
      <c r="K732" s="14"/>
      <c r="L732" s="14"/>
      <c r="M732" s="14"/>
      <c r="N732" s="13"/>
      <c r="O732" s="13"/>
      <c r="P732" s="13"/>
      <c r="Q732" s="13"/>
      <c r="R732" s="13"/>
      <c r="S732" s="14"/>
      <c r="T732" s="14"/>
      <c r="U732" s="14"/>
      <c r="V732" s="14"/>
      <c r="W732" s="14"/>
      <c r="X732" s="14"/>
      <c r="Y732" s="14"/>
      <c r="Z732" s="13"/>
      <c r="AA732" s="13"/>
      <c r="AB732" s="13"/>
      <c r="AC732" s="13"/>
      <c r="AD732" s="13"/>
      <c r="AE732" s="14"/>
      <c r="AF732" s="14"/>
      <c r="AG732" s="14"/>
      <c r="AH732" s="14"/>
      <c r="AI732" s="14"/>
      <c r="AJ732" s="14"/>
      <c r="AK732" s="14"/>
    </row>
    <row r="733" spans="1:37">
      <c r="A733" s="23"/>
      <c r="B733" s="13"/>
      <c r="C733" s="13"/>
      <c r="D733" s="13"/>
      <c r="E733" s="13"/>
      <c r="F733" s="13"/>
      <c r="G733" s="14"/>
      <c r="H733" s="14"/>
      <c r="I733" s="14"/>
      <c r="J733" s="14"/>
      <c r="K733" s="14"/>
      <c r="L733" s="14"/>
      <c r="M733" s="14"/>
      <c r="N733" s="13"/>
      <c r="O733" s="13"/>
      <c r="P733" s="13"/>
      <c r="Q733" s="13"/>
      <c r="R733" s="13"/>
      <c r="S733" s="14"/>
      <c r="T733" s="14"/>
      <c r="U733" s="14"/>
      <c r="V733" s="14"/>
      <c r="W733" s="14"/>
      <c r="X733" s="14"/>
      <c r="Y733" s="14"/>
      <c r="Z733" s="13"/>
      <c r="AA733" s="13"/>
      <c r="AB733" s="13"/>
      <c r="AC733" s="13"/>
      <c r="AD733" s="13"/>
      <c r="AE733" s="14"/>
      <c r="AF733" s="14"/>
      <c r="AG733" s="14"/>
      <c r="AH733" s="14"/>
      <c r="AI733" s="14"/>
      <c r="AJ733" s="14"/>
      <c r="AK733" s="14"/>
    </row>
    <row r="734" spans="1:37">
      <c r="A734" s="23"/>
      <c r="B734" s="13"/>
      <c r="C734" s="13"/>
      <c r="D734" s="13"/>
      <c r="E734" s="13"/>
      <c r="F734" s="13"/>
      <c r="G734" s="14"/>
      <c r="H734" s="14"/>
      <c r="I734" s="14"/>
      <c r="J734" s="14"/>
      <c r="K734" s="14"/>
      <c r="L734" s="14"/>
      <c r="M734" s="14"/>
      <c r="N734" s="13"/>
      <c r="O734" s="13"/>
      <c r="P734" s="13"/>
      <c r="Q734" s="13"/>
      <c r="R734" s="13"/>
      <c r="S734" s="14"/>
      <c r="T734" s="14"/>
      <c r="U734" s="14"/>
      <c r="V734" s="14"/>
      <c r="W734" s="14"/>
      <c r="X734" s="14"/>
      <c r="Y734" s="14"/>
      <c r="Z734" s="13"/>
      <c r="AA734" s="13"/>
      <c r="AB734" s="13"/>
      <c r="AC734" s="13"/>
      <c r="AD734" s="13"/>
      <c r="AE734" s="14"/>
      <c r="AF734" s="14"/>
      <c r="AG734" s="14"/>
      <c r="AH734" s="14"/>
      <c r="AI734" s="14"/>
      <c r="AJ734" s="14"/>
      <c r="AK734" s="14"/>
    </row>
    <row r="735" spans="1:37">
      <c r="A735" s="23"/>
      <c r="B735" s="13"/>
      <c r="C735" s="13"/>
      <c r="D735" s="13"/>
      <c r="E735" s="13"/>
      <c r="F735" s="13"/>
      <c r="G735" s="14"/>
      <c r="H735" s="14"/>
      <c r="I735" s="14"/>
      <c r="J735" s="14"/>
      <c r="K735" s="14"/>
      <c r="L735" s="14"/>
      <c r="M735" s="14"/>
      <c r="N735" s="13"/>
      <c r="O735" s="13"/>
      <c r="P735" s="13"/>
      <c r="Q735" s="13"/>
      <c r="R735" s="13"/>
      <c r="S735" s="14"/>
      <c r="T735" s="14"/>
      <c r="U735" s="14"/>
      <c r="V735" s="14"/>
      <c r="W735" s="14"/>
      <c r="X735" s="14"/>
      <c r="Y735" s="14"/>
      <c r="Z735" s="13"/>
      <c r="AA735" s="13"/>
      <c r="AB735" s="13"/>
      <c r="AC735" s="13"/>
      <c r="AD735" s="13"/>
      <c r="AE735" s="14"/>
      <c r="AF735" s="14"/>
      <c r="AG735" s="14"/>
      <c r="AH735" s="14"/>
      <c r="AI735" s="14"/>
      <c r="AJ735" s="14"/>
      <c r="AK735" s="14"/>
    </row>
    <row r="736" spans="1:37">
      <c r="A736" s="23"/>
      <c r="B736" s="13"/>
      <c r="C736" s="13"/>
      <c r="D736" s="13"/>
      <c r="E736" s="13"/>
      <c r="F736" s="13"/>
      <c r="G736" s="14"/>
      <c r="H736" s="14"/>
      <c r="I736" s="14"/>
      <c r="J736" s="14"/>
      <c r="K736" s="14"/>
      <c r="L736" s="14"/>
      <c r="M736" s="14"/>
      <c r="N736" s="13"/>
      <c r="O736" s="13"/>
      <c r="P736" s="13"/>
      <c r="Q736" s="13"/>
      <c r="R736" s="13"/>
      <c r="S736" s="14"/>
      <c r="T736" s="14"/>
      <c r="U736" s="14"/>
      <c r="V736" s="14"/>
      <c r="W736" s="14"/>
      <c r="X736" s="14"/>
      <c r="Y736" s="14"/>
      <c r="Z736" s="13"/>
      <c r="AA736" s="13"/>
      <c r="AB736" s="13"/>
      <c r="AC736" s="13"/>
      <c r="AD736" s="13"/>
      <c r="AE736" s="14"/>
      <c r="AF736" s="14"/>
      <c r="AG736" s="14"/>
      <c r="AH736" s="14"/>
      <c r="AI736" s="14"/>
      <c r="AJ736" s="14"/>
      <c r="AK736" s="14"/>
    </row>
    <row r="737" spans="1:37">
      <c r="A737" s="23"/>
      <c r="B737" s="13"/>
      <c r="C737" s="13"/>
      <c r="D737" s="13"/>
      <c r="E737" s="13"/>
      <c r="F737" s="13"/>
      <c r="G737" s="14"/>
      <c r="H737" s="14"/>
      <c r="I737" s="14"/>
      <c r="J737" s="14"/>
      <c r="K737" s="14"/>
      <c r="L737" s="14"/>
      <c r="M737" s="14"/>
      <c r="N737" s="13"/>
      <c r="O737" s="13"/>
      <c r="P737" s="13"/>
      <c r="Q737" s="13"/>
      <c r="R737" s="13"/>
      <c r="S737" s="14"/>
      <c r="T737" s="14"/>
      <c r="U737" s="14"/>
      <c r="V737" s="14"/>
      <c r="W737" s="14"/>
      <c r="X737" s="14"/>
      <c r="Y737" s="14"/>
      <c r="Z737" s="13"/>
      <c r="AA737" s="13"/>
      <c r="AB737" s="13"/>
      <c r="AC737" s="13"/>
      <c r="AD737" s="13"/>
      <c r="AE737" s="14"/>
      <c r="AF737" s="14"/>
      <c r="AG737" s="14"/>
      <c r="AH737" s="14"/>
      <c r="AI737" s="14"/>
      <c r="AJ737" s="14"/>
      <c r="AK737" s="14"/>
    </row>
    <row r="738" spans="1:37">
      <c r="A738" s="23"/>
      <c r="B738" s="13"/>
      <c r="C738" s="13"/>
      <c r="D738" s="13"/>
      <c r="E738" s="13"/>
      <c r="F738" s="13"/>
      <c r="G738" s="14"/>
      <c r="H738" s="14"/>
      <c r="I738" s="14"/>
      <c r="J738" s="14"/>
      <c r="K738" s="14"/>
      <c r="L738" s="14"/>
      <c r="M738" s="14"/>
      <c r="N738" s="13"/>
      <c r="O738" s="13"/>
      <c r="P738" s="13"/>
      <c r="Q738" s="13"/>
      <c r="R738" s="13"/>
      <c r="S738" s="14"/>
      <c r="T738" s="14"/>
      <c r="U738" s="14"/>
      <c r="V738" s="14"/>
      <c r="W738" s="14"/>
      <c r="X738" s="14"/>
      <c r="Y738" s="14"/>
      <c r="Z738" s="13"/>
      <c r="AA738" s="13"/>
      <c r="AB738" s="13"/>
      <c r="AC738" s="13"/>
      <c r="AD738" s="13"/>
      <c r="AE738" s="14"/>
      <c r="AF738" s="14"/>
      <c r="AG738" s="14"/>
      <c r="AH738" s="14"/>
      <c r="AI738" s="14"/>
      <c r="AJ738" s="14"/>
      <c r="AK738" s="14"/>
    </row>
    <row r="739" spans="1:37">
      <c r="A739" s="23"/>
      <c r="B739" s="13"/>
      <c r="C739" s="13"/>
      <c r="D739" s="13"/>
      <c r="E739" s="13"/>
      <c r="F739" s="13"/>
      <c r="G739" s="14"/>
      <c r="H739" s="14"/>
      <c r="I739" s="14"/>
      <c r="J739" s="14"/>
      <c r="K739" s="14"/>
      <c r="L739" s="14"/>
      <c r="M739" s="14"/>
      <c r="N739" s="13"/>
      <c r="O739" s="13"/>
      <c r="P739" s="13"/>
      <c r="Q739" s="13"/>
      <c r="R739" s="13"/>
      <c r="S739" s="14"/>
      <c r="T739" s="14"/>
      <c r="U739" s="14"/>
      <c r="V739" s="14"/>
      <c r="W739" s="14"/>
      <c r="X739" s="14"/>
      <c r="Y739" s="14"/>
      <c r="Z739" s="13"/>
      <c r="AA739" s="13"/>
      <c r="AB739" s="13"/>
      <c r="AC739" s="13"/>
      <c r="AD739" s="13"/>
      <c r="AE739" s="14"/>
      <c r="AF739" s="14"/>
      <c r="AG739" s="14"/>
      <c r="AH739" s="14"/>
      <c r="AI739" s="14"/>
      <c r="AJ739" s="14"/>
      <c r="AK739" s="14"/>
    </row>
    <row r="740" spans="1:37">
      <c r="A740" s="23"/>
      <c r="B740" s="13"/>
      <c r="C740" s="13"/>
      <c r="D740" s="13"/>
      <c r="E740" s="13"/>
      <c r="F740" s="13"/>
      <c r="G740" s="14"/>
      <c r="H740" s="14"/>
      <c r="I740" s="14"/>
      <c r="J740" s="14"/>
      <c r="K740" s="14"/>
      <c r="L740" s="14"/>
      <c r="M740" s="14"/>
      <c r="N740" s="13"/>
      <c r="O740" s="13"/>
      <c r="P740" s="13"/>
      <c r="Q740" s="13"/>
      <c r="R740" s="13"/>
      <c r="S740" s="14"/>
      <c r="T740" s="14"/>
      <c r="U740" s="14"/>
      <c r="V740" s="14"/>
      <c r="W740" s="14"/>
      <c r="X740" s="14"/>
      <c r="Y740" s="14"/>
      <c r="Z740" s="13"/>
      <c r="AA740" s="13"/>
      <c r="AB740" s="13"/>
      <c r="AC740" s="13"/>
      <c r="AD740" s="13"/>
      <c r="AE740" s="14"/>
      <c r="AF740" s="14"/>
      <c r="AG740" s="14"/>
      <c r="AH740" s="14"/>
      <c r="AI740" s="14"/>
      <c r="AJ740" s="14"/>
      <c r="AK740" s="14"/>
    </row>
    <row r="741" spans="1:37">
      <c r="A741" s="23"/>
      <c r="B741" s="13"/>
      <c r="C741" s="13"/>
      <c r="D741" s="13"/>
      <c r="E741" s="13"/>
      <c r="F741" s="13"/>
      <c r="G741" s="14"/>
      <c r="H741" s="14"/>
      <c r="I741" s="14"/>
      <c r="J741" s="14"/>
      <c r="K741" s="14"/>
      <c r="L741" s="14"/>
      <c r="M741" s="14"/>
      <c r="N741" s="13"/>
      <c r="O741" s="13"/>
      <c r="P741" s="13"/>
      <c r="Q741" s="13"/>
      <c r="R741" s="13"/>
      <c r="S741" s="14"/>
      <c r="T741" s="14"/>
      <c r="U741" s="14"/>
      <c r="V741" s="14"/>
      <c r="W741" s="14"/>
      <c r="X741" s="14"/>
      <c r="Y741" s="14"/>
      <c r="Z741" s="13"/>
      <c r="AA741" s="13"/>
      <c r="AB741" s="13"/>
      <c r="AC741" s="13"/>
      <c r="AD741" s="13"/>
      <c r="AE741" s="14"/>
      <c r="AF741" s="14"/>
      <c r="AG741" s="14"/>
      <c r="AH741" s="14"/>
      <c r="AI741" s="14"/>
      <c r="AJ741" s="14"/>
      <c r="AK741" s="14"/>
    </row>
    <row r="742" spans="1:37">
      <c r="A742" s="23"/>
      <c r="B742" s="13"/>
      <c r="C742" s="13"/>
      <c r="D742" s="13"/>
      <c r="E742" s="13"/>
      <c r="F742" s="13"/>
      <c r="G742" s="14"/>
      <c r="H742" s="14"/>
      <c r="I742" s="14"/>
      <c r="J742" s="14"/>
      <c r="K742" s="14"/>
      <c r="L742" s="14"/>
      <c r="M742" s="14"/>
      <c r="N742" s="13"/>
      <c r="O742" s="13"/>
      <c r="P742" s="13"/>
      <c r="Q742" s="13"/>
      <c r="R742" s="13"/>
      <c r="S742" s="14"/>
      <c r="T742" s="14"/>
      <c r="U742" s="14"/>
      <c r="V742" s="14"/>
      <c r="W742" s="14"/>
      <c r="X742" s="14"/>
      <c r="Y742" s="14"/>
      <c r="Z742" s="13"/>
      <c r="AA742" s="13"/>
      <c r="AB742" s="13"/>
      <c r="AC742" s="13"/>
      <c r="AD742" s="13"/>
      <c r="AE742" s="14"/>
      <c r="AF742" s="14"/>
      <c r="AG742" s="14"/>
      <c r="AH742" s="14"/>
      <c r="AI742" s="14"/>
      <c r="AJ742" s="14"/>
      <c r="AK742" s="14"/>
    </row>
    <row r="743" spans="1:37">
      <c r="A743" s="23"/>
      <c r="B743" s="13"/>
      <c r="C743" s="13"/>
      <c r="D743" s="13"/>
      <c r="E743" s="13"/>
      <c r="F743" s="13"/>
      <c r="G743" s="14"/>
      <c r="H743" s="14"/>
      <c r="I743" s="14"/>
      <c r="J743" s="14"/>
      <c r="K743" s="14"/>
      <c r="L743" s="14"/>
      <c r="M743" s="14"/>
      <c r="N743" s="13"/>
      <c r="O743" s="13"/>
      <c r="P743" s="13"/>
      <c r="Q743" s="13"/>
      <c r="R743" s="13"/>
      <c r="S743" s="14"/>
      <c r="T743" s="14"/>
      <c r="U743" s="14"/>
      <c r="V743" s="14"/>
      <c r="W743" s="14"/>
      <c r="X743" s="14"/>
      <c r="Y743" s="14"/>
      <c r="Z743" s="13"/>
      <c r="AA743" s="13"/>
      <c r="AB743" s="13"/>
      <c r="AC743" s="13"/>
      <c r="AD743" s="13"/>
      <c r="AE743" s="14"/>
      <c r="AF743" s="14"/>
      <c r="AG743" s="14"/>
      <c r="AH743" s="14"/>
      <c r="AI743" s="14"/>
      <c r="AJ743" s="14"/>
      <c r="AK743" s="14"/>
    </row>
    <row r="744" spans="1:37">
      <c r="A744" s="23"/>
      <c r="B744" s="13"/>
      <c r="C744" s="13"/>
      <c r="D744" s="13"/>
      <c r="E744" s="13"/>
      <c r="F744" s="13"/>
      <c r="G744" s="14"/>
      <c r="H744" s="14"/>
      <c r="I744" s="14"/>
      <c r="J744" s="14"/>
      <c r="K744" s="14"/>
      <c r="L744" s="14"/>
      <c r="M744" s="14"/>
      <c r="N744" s="13"/>
      <c r="O744" s="13"/>
      <c r="P744" s="13"/>
      <c r="Q744" s="13"/>
      <c r="R744" s="13"/>
      <c r="S744" s="14"/>
      <c r="T744" s="14"/>
      <c r="U744" s="14"/>
      <c r="V744" s="14"/>
      <c r="W744" s="14"/>
      <c r="X744" s="14"/>
      <c r="Y744" s="14"/>
      <c r="Z744" s="13"/>
      <c r="AA744" s="13"/>
      <c r="AB744" s="13"/>
      <c r="AC744" s="13"/>
      <c r="AD744" s="13"/>
      <c r="AE744" s="14"/>
      <c r="AF744" s="14"/>
      <c r="AG744" s="14"/>
      <c r="AH744" s="14"/>
      <c r="AI744" s="14"/>
      <c r="AJ744" s="14"/>
      <c r="AK744" s="14"/>
    </row>
    <row r="745" spans="1:37">
      <c r="A745" s="23"/>
      <c r="B745" s="13"/>
      <c r="C745" s="13"/>
      <c r="D745" s="13"/>
      <c r="E745" s="13"/>
      <c r="F745" s="13"/>
      <c r="G745" s="14"/>
      <c r="H745" s="14"/>
      <c r="I745" s="14"/>
      <c r="J745" s="14"/>
      <c r="K745" s="14"/>
      <c r="L745" s="14"/>
      <c r="M745" s="14"/>
      <c r="N745" s="13"/>
      <c r="O745" s="13"/>
      <c r="P745" s="13"/>
      <c r="Q745" s="13"/>
      <c r="R745" s="13"/>
      <c r="S745" s="14"/>
      <c r="T745" s="14"/>
      <c r="U745" s="14"/>
      <c r="V745" s="14"/>
      <c r="W745" s="14"/>
      <c r="X745" s="14"/>
      <c r="Y745" s="14"/>
      <c r="Z745" s="13"/>
      <c r="AA745" s="13"/>
      <c r="AB745" s="13"/>
      <c r="AC745" s="13"/>
      <c r="AD745" s="13"/>
      <c r="AE745" s="14"/>
      <c r="AF745" s="14"/>
      <c r="AG745" s="14"/>
      <c r="AH745" s="14"/>
      <c r="AI745" s="14"/>
      <c r="AJ745" s="14"/>
      <c r="AK745" s="14"/>
    </row>
    <row r="746" spans="1:37">
      <c r="A746" s="23"/>
      <c r="B746" s="13"/>
      <c r="C746" s="13"/>
      <c r="D746" s="13"/>
      <c r="E746" s="13"/>
      <c r="F746" s="13"/>
      <c r="G746" s="14"/>
      <c r="H746" s="14"/>
      <c r="I746" s="14"/>
      <c r="J746" s="14"/>
      <c r="K746" s="14"/>
      <c r="L746" s="14"/>
      <c r="M746" s="14"/>
      <c r="N746" s="13"/>
      <c r="O746" s="13"/>
      <c r="P746" s="13"/>
      <c r="Q746" s="13"/>
      <c r="R746" s="13"/>
      <c r="S746" s="14"/>
      <c r="T746" s="14"/>
      <c r="U746" s="14"/>
      <c r="V746" s="14"/>
      <c r="W746" s="14"/>
      <c r="X746" s="14"/>
      <c r="Y746" s="14"/>
      <c r="Z746" s="13"/>
      <c r="AA746" s="13"/>
      <c r="AB746" s="13"/>
      <c r="AC746" s="13"/>
      <c r="AD746" s="13"/>
      <c r="AE746" s="14"/>
      <c r="AF746" s="14"/>
      <c r="AG746" s="14"/>
      <c r="AH746" s="14"/>
      <c r="AI746" s="14"/>
      <c r="AJ746" s="14"/>
      <c r="AK746" s="14"/>
    </row>
    <row r="747" spans="1:37">
      <c r="A747" s="23"/>
      <c r="B747" s="13"/>
      <c r="C747" s="13"/>
      <c r="D747" s="13"/>
      <c r="E747" s="13"/>
      <c r="F747" s="13"/>
      <c r="G747" s="14"/>
      <c r="H747" s="14"/>
      <c r="I747" s="14"/>
      <c r="J747" s="14"/>
      <c r="K747" s="14"/>
      <c r="L747" s="14"/>
      <c r="M747" s="14"/>
      <c r="N747" s="13"/>
      <c r="O747" s="13"/>
      <c r="P747" s="13"/>
      <c r="Q747" s="13"/>
      <c r="R747" s="13"/>
      <c r="S747" s="14"/>
      <c r="T747" s="14"/>
      <c r="U747" s="14"/>
      <c r="V747" s="14"/>
      <c r="W747" s="14"/>
      <c r="X747" s="14"/>
      <c r="Y747" s="14"/>
      <c r="Z747" s="13"/>
      <c r="AA747" s="13"/>
      <c r="AB747" s="13"/>
      <c r="AC747" s="13"/>
      <c r="AD747" s="13"/>
      <c r="AE747" s="14"/>
      <c r="AF747" s="14"/>
      <c r="AG747" s="14"/>
      <c r="AH747" s="14"/>
      <c r="AI747" s="14"/>
      <c r="AJ747" s="14"/>
      <c r="AK747" s="14"/>
    </row>
    <row r="748" spans="1:37">
      <c r="A748" s="23"/>
      <c r="B748" s="13"/>
      <c r="C748" s="13"/>
      <c r="D748" s="13"/>
      <c r="E748" s="13"/>
      <c r="F748" s="13"/>
      <c r="G748" s="14"/>
      <c r="H748" s="14"/>
      <c r="I748" s="14"/>
      <c r="J748" s="14"/>
      <c r="K748" s="14"/>
      <c r="L748" s="14"/>
      <c r="M748" s="14"/>
      <c r="N748" s="13"/>
      <c r="O748" s="13"/>
      <c r="P748" s="13"/>
      <c r="Q748" s="13"/>
      <c r="R748" s="13"/>
      <c r="S748" s="14"/>
      <c r="T748" s="14"/>
      <c r="U748" s="14"/>
      <c r="V748" s="14"/>
      <c r="W748" s="14"/>
      <c r="X748" s="14"/>
      <c r="Y748" s="14"/>
      <c r="Z748" s="13"/>
      <c r="AA748" s="13"/>
      <c r="AB748" s="13"/>
      <c r="AC748" s="13"/>
      <c r="AD748" s="13"/>
      <c r="AE748" s="14"/>
      <c r="AF748" s="14"/>
      <c r="AG748" s="14"/>
      <c r="AH748" s="14"/>
      <c r="AI748" s="14"/>
      <c r="AJ748" s="14"/>
      <c r="AK748" s="14"/>
    </row>
    <row r="749" spans="1:37">
      <c r="A749" s="23"/>
      <c r="B749" s="13"/>
      <c r="C749" s="13"/>
      <c r="D749" s="13"/>
      <c r="E749" s="13"/>
      <c r="F749" s="13"/>
      <c r="G749" s="14"/>
      <c r="H749" s="14"/>
      <c r="I749" s="14"/>
      <c r="J749" s="14"/>
      <c r="K749" s="14"/>
      <c r="L749" s="14"/>
      <c r="M749" s="14"/>
      <c r="N749" s="13"/>
      <c r="O749" s="13"/>
      <c r="P749" s="13"/>
      <c r="Q749" s="13"/>
      <c r="R749" s="13"/>
      <c r="S749" s="14"/>
      <c r="T749" s="14"/>
      <c r="U749" s="14"/>
      <c r="V749" s="14"/>
      <c r="W749" s="14"/>
      <c r="X749" s="14"/>
      <c r="Y749" s="14"/>
      <c r="Z749" s="13"/>
      <c r="AA749" s="13"/>
      <c r="AB749" s="13"/>
      <c r="AC749" s="13"/>
      <c r="AD749" s="13"/>
      <c r="AE749" s="14"/>
      <c r="AF749" s="14"/>
      <c r="AG749" s="14"/>
      <c r="AH749" s="14"/>
      <c r="AI749" s="14"/>
      <c r="AJ749" s="14"/>
      <c r="AK749" s="14"/>
    </row>
    <row r="750" spans="1:37">
      <c r="A750" s="23"/>
      <c r="B750" s="13"/>
      <c r="C750" s="13"/>
      <c r="D750" s="13"/>
      <c r="E750" s="13"/>
      <c r="F750" s="13"/>
      <c r="G750" s="14"/>
      <c r="H750" s="14"/>
      <c r="I750" s="14"/>
      <c r="J750" s="14"/>
      <c r="K750" s="14"/>
      <c r="L750" s="14"/>
      <c r="M750" s="14"/>
      <c r="N750" s="13"/>
      <c r="O750" s="13"/>
      <c r="P750" s="13"/>
      <c r="Q750" s="13"/>
      <c r="R750" s="13"/>
      <c r="S750" s="14"/>
      <c r="T750" s="14"/>
      <c r="U750" s="14"/>
      <c r="V750" s="14"/>
      <c r="W750" s="14"/>
      <c r="X750" s="14"/>
      <c r="Y750" s="14"/>
      <c r="Z750" s="13"/>
      <c r="AA750" s="13"/>
      <c r="AB750" s="13"/>
      <c r="AC750" s="13"/>
      <c r="AD750" s="13"/>
      <c r="AE750" s="14"/>
      <c r="AF750" s="14"/>
      <c r="AG750" s="14"/>
      <c r="AH750" s="14"/>
      <c r="AI750" s="14"/>
      <c r="AJ750" s="14"/>
      <c r="AK750" s="14"/>
    </row>
    <row r="751" spans="1:37">
      <c r="A751" s="23"/>
      <c r="B751" s="13"/>
      <c r="C751" s="13"/>
      <c r="D751" s="13"/>
      <c r="E751" s="13"/>
      <c r="F751" s="13"/>
      <c r="G751" s="14"/>
      <c r="H751" s="14"/>
      <c r="I751" s="14"/>
      <c r="J751" s="14"/>
      <c r="K751" s="14"/>
      <c r="L751" s="14"/>
      <c r="M751" s="14"/>
      <c r="N751" s="13"/>
      <c r="O751" s="13"/>
      <c r="P751" s="13"/>
      <c r="Q751" s="13"/>
      <c r="R751" s="13"/>
      <c r="S751" s="14"/>
      <c r="T751" s="14"/>
      <c r="U751" s="14"/>
      <c r="V751" s="14"/>
      <c r="W751" s="14"/>
      <c r="X751" s="14"/>
      <c r="Y751" s="14"/>
      <c r="Z751" s="13"/>
      <c r="AA751" s="13"/>
      <c r="AB751" s="13"/>
      <c r="AC751" s="13"/>
      <c r="AD751" s="13"/>
      <c r="AE751" s="14"/>
      <c r="AF751" s="14"/>
      <c r="AG751" s="14"/>
      <c r="AH751" s="14"/>
      <c r="AI751" s="14"/>
      <c r="AJ751" s="14"/>
      <c r="AK751" s="14"/>
    </row>
    <row r="752" spans="1:37">
      <c r="A752" s="23"/>
      <c r="B752" s="13"/>
      <c r="C752" s="13"/>
      <c r="D752" s="13"/>
      <c r="E752" s="13"/>
      <c r="F752" s="13"/>
      <c r="G752" s="14"/>
      <c r="H752" s="14"/>
      <c r="I752" s="14"/>
      <c r="J752" s="14"/>
      <c r="K752" s="14"/>
      <c r="L752" s="14"/>
      <c r="M752" s="14"/>
      <c r="N752" s="13"/>
      <c r="O752" s="13"/>
      <c r="P752" s="13"/>
      <c r="Q752" s="13"/>
      <c r="R752" s="13"/>
      <c r="S752" s="14"/>
      <c r="T752" s="14"/>
      <c r="U752" s="14"/>
      <c r="V752" s="14"/>
      <c r="W752" s="14"/>
      <c r="X752" s="14"/>
      <c r="Y752" s="14"/>
      <c r="Z752" s="13"/>
      <c r="AA752" s="13"/>
      <c r="AB752" s="13"/>
      <c r="AC752" s="13"/>
      <c r="AD752" s="13"/>
      <c r="AE752" s="14"/>
      <c r="AF752" s="14"/>
      <c r="AG752" s="14"/>
      <c r="AH752" s="14"/>
      <c r="AI752" s="14"/>
      <c r="AJ752" s="14"/>
      <c r="AK752" s="14"/>
    </row>
    <row r="753" spans="1:37">
      <c r="A753" s="23"/>
      <c r="B753" s="13"/>
      <c r="C753" s="13"/>
      <c r="D753" s="13"/>
      <c r="E753" s="13"/>
      <c r="F753" s="13"/>
      <c r="G753" s="14"/>
      <c r="H753" s="14"/>
      <c r="I753" s="14"/>
      <c r="J753" s="14"/>
      <c r="K753" s="14"/>
      <c r="L753" s="14"/>
      <c r="M753" s="14"/>
      <c r="N753" s="13"/>
      <c r="O753" s="13"/>
      <c r="P753" s="13"/>
      <c r="Q753" s="13"/>
      <c r="R753" s="13"/>
      <c r="S753" s="14"/>
      <c r="T753" s="14"/>
      <c r="U753" s="14"/>
      <c r="V753" s="14"/>
      <c r="W753" s="14"/>
      <c r="X753" s="14"/>
      <c r="Y753" s="14"/>
      <c r="Z753" s="13"/>
      <c r="AA753" s="13"/>
      <c r="AB753" s="13"/>
      <c r="AC753" s="13"/>
      <c r="AD753" s="13"/>
      <c r="AE753" s="14"/>
      <c r="AF753" s="14"/>
      <c r="AG753" s="14"/>
      <c r="AH753" s="14"/>
      <c r="AI753" s="14"/>
      <c r="AJ753" s="14"/>
      <c r="AK753" s="14"/>
    </row>
    <row r="754" spans="1:37">
      <c r="A754" s="23"/>
      <c r="B754" s="13"/>
      <c r="C754" s="13"/>
      <c r="D754" s="13"/>
      <c r="E754" s="13"/>
      <c r="F754" s="13"/>
      <c r="G754" s="14"/>
      <c r="H754" s="14"/>
      <c r="I754" s="14"/>
      <c r="J754" s="14"/>
      <c r="K754" s="14"/>
      <c r="L754" s="14"/>
      <c r="M754" s="14"/>
      <c r="N754" s="13"/>
      <c r="O754" s="13"/>
      <c r="P754" s="13"/>
      <c r="Q754" s="13"/>
      <c r="R754" s="13"/>
      <c r="S754" s="14"/>
      <c r="T754" s="14"/>
      <c r="U754" s="14"/>
      <c r="V754" s="14"/>
      <c r="W754" s="14"/>
      <c r="X754" s="14"/>
      <c r="Y754" s="14"/>
      <c r="Z754" s="13"/>
      <c r="AA754" s="13"/>
      <c r="AB754" s="13"/>
      <c r="AC754" s="13"/>
      <c r="AD754" s="13"/>
      <c r="AE754" s="14"/>
      <c r="AF754" s="14"/>
      <c r="AG754" s="14"/>
      <c r="AH754" s="14"/>
      <c r="AI754" s="14"/>
      <c r="AJ754" s="14"/>
      <c r="AK754" s="14"/>
    </row>
    <row r="755" spans="1:37">
      <c r="A755" s="23"/>
      <c r="B755" s="13"/>
      <c r="C755" s="13"/>
      <c r="D755" s="13"/>
      <c r="E755" s="13"/>
      <c r="F755" s="13"/>
      <c r="G755" s="14"/>
      <c r="H755" s="14"/>
      <c r="I755" s="14"/>
      <c r="J755" s="14"/>
      <c r="K755" s="14"/>
      <c r="L755" s="14"/>
      <c r="M755" s="14"/>
      <c r="N755" s="13"/>
      <c r="O755" s="13"/>
      <c r="P755" s="13"/>
      <c r="Q755" s="13"/>
      <c r="R755" s="13"/>
      <c r="S755" s="14"/>
      <c r="T755" s="14"/>
      <c r="U755" s="14"/>
      <c r="V755" s="14"/>
      <c r="W755" s="14"/>
      <c r="X755" s="14"/>
      <c r="Y755" s="14"/>
      <c r="Z755" s="13"/>
      <c r="AA755" s="13"/>
      <c r="AB755" s="13"/>
      <c r="AC755" s="13"/>
      <c r="AD755" s="13"/>
      <c r="AE755" s="14"/>
      <c r="AF755" s="14"/>
      <c r="AG755" s="14"/>
      <c r="AH755" s="14"/>
      <c r="AI755" s="14"/>
      <c r="AJ755" s="14"/>
      <c r="AK755" s="14"/>
    </row>
    <row r="756" spans="1:37">
      <c r="A756" s="23"/>
      <c r="B756" s="13"/>
      <c r="C756" s="13"/>
      <c r="D756" s="13"/>
      <c r="E756" s="13"/>
      <c r="F756" s="13"/>
      <c r="G756" s="14"/>
      <c r="H756" s="14"/>
      <c r="I756" s="14"/>
      <c r="J756" s="14"/>
      <c r="K756" s="14"/>
      <c r="L756" s="14"/>
      <c r="M756" s="14"/>
      <c r="N756" s="13"/>
      <c r="O756" s="13"/>
      <c r="P756" s="13"/>
      <c r="Q756" s="13"/>
      <c r="R756" s="13"/>
      <c r="S756" s="14"/>
      <c r="T756" s="14"/>
      <c r="U756" s="14"/>
      <c r="V756" s="14"/>
      <c r="W756" s="14"/>
      <c r="X756" s="14"/>
      <c r="Y756" s="14"/>
      <c r="Z756" s="13"/>
      <c r="AA756" s="13"/>
      <c r="AB756" s="13"/>
      <c r="AC756" s="13"/>
      <c r="AD756" s="13"/>
      <c r="AE756" s="14"/>
      <c r="AF756" s="14"/>
      <c r="AG756" s="14"/>
      <c r="AH756" s="14"/>
      <c r="AI756" s="14"/>
      <c r="AJ756" s="14"/>
      <c r="AK756" s="14"/>
    </row>
    <row r="757" spans="1:37">
      <c r="A757" s="23"/>
      <c r="B757" s="13"/>
      <c r="C757" s="13"/>
      <c r="D757" s="13"/>
      <c r="E757" s="13"/>
      <c r="F757" s="13"/>
      <c r="G757" s="14"/>
      <c r="H757" s="14"/>
      <c r="I757" s="14"/>
      <c r="J757" s="14"/>
      <c r="K757" s="14"/>
      <c r="L757" s="14"/>
      <c r="M757" s="14"/>
      <c r="N757" s="13"/>
      <c r="O757" s="13"/>
      <c r="P757" s="13"/>
      <c r="Q757" s="13"/>
      <c r="R757" s="13"/>
      <c r="S757" s="14"/>
      <c r="T757" s="14"/>
      <c r="U757" s="14"/>
      <c r="V757" s="14"/>
      <c r="W757" s="14"/>
      <c r="X757" s="14"/>
      <c r="Y757" s="14"/>
      <c r="Z757" s="13"/>
      <c r="AA757" s="13"/>
      <c r="AB757" s="13"/>
      <c r="AC757" s="13"/>
      <c r="AD757" s="13"/>
      <c r="AE757" s="14"/>
      <c r="AF757" s="14"/>
      <c r="AG757" s="14"/>
      <c r="AH757" s="14"/>
      <c r="AI757" s="14"/>
      <c r="AJ757" s="14"/>
      <c r="AK757" s="14"/>
    </row>
    <row r="758" spans="1:37">
      <c r="A758" s="23"/>
      <c r="B758" s="13"/>
      <c r="C758" s="13"/>
      <c r="D758" s="13"/>
      <c r="E758" s="13"/>
      <c r="F758" s="13"/>
      <c r="G758" s="14"/>
      <c r="H758" s="14"/>
      <c r="I758" s="14"/>
      <c r="J758" s="14"/>
      <c r="K758" s="14"/>
      <c r="L758" s="14"/>
      <c r="M758" s="14"/>
      <c r="N758" s="13"/>
      <c r="O758" s="13"/>
      <c r="P758" s="13"/>
      <c r="Q758" s="13"/>
      <c r="R758" s="13"/>
      <c r="S758" s="14"/>
      <c r="T758" s="14"/>
      <c r="U758" s="14"/>
      <c r="V758" s="14"/>
      <c r="W758" s="14"/>
      <c r="X758" s="14"/>
      <c r="Y758" s="14"/>
      <c r="Z758" s="13"/>
      <c r="AA758" s="13"/>
      <c r="AB758" s="13"/>
      <c r="AC758" s="13"/>
      <c r="AD758" s="13"/>
      <c r="AE758" s="14"/>
      <c r="AF758" s="14"/>
      <c r="AG758" s="14"/>
      <c r="AH758" s="14"/>
      <c r="AI758" s="14"/>
      <c r="AJ758" s="14"/>
      <c r="AK758" s="14"/>
    </row>
    <row r="759" spans="1:37">
      <c r="A759" s="23"/>
      <c r="B759" s="13"/>
      <c r="C759" s="13"/>
      <c r="D759" s="13"/>
      <c r="E759" s="13"/>
      <c r="F759" s="13"/>
      <c r="G759" s="14"/>
      <c r="H759" s="14"/>
      <c r="I759" s="14"/>
      <c r="J759" s="14"/>
      <c r="K759" s="14"/>
      <c r="L759" s="14"/>
      <c r="M759" s="14"/>
      <c r="N759" s="13"/>
      <c r="O759" s="13"/>
      <c r="P759" s="13"/>
      <c r="Q759" s="13"/>
      <c r="R759" s="13"/>
      <c r="S759" s="14"/>
      <c r="T759" s="14"/>
      <c r="U759" s="14"/>
      <c r="V759" s="14"/>
      <c r="W759" s="14"/>
      <c r="X759" s="14"/>
      <c r="Y759" s="14"/>
      <c r="Z759" s="13"/>
      <c r="AA759" s="13"/>
      <c r="AB759" s="13"/>
      <c r="AC759" s="13"/>
      <c r="AD759" s="13"/>
      <c r="AE759" s="14"/>
      <c r="AF759" s="14"/>
      <c r="AG759" s="14"/>
      <c r="AH759" s="14"/>
      <c r="AI759" s="14"/>
      <c r="AJ759" s="14"/>
      <c r="AK759" s="14"/>
    </row>
    <row r="760" spans="1:37">
      <c r="A760" s="23"/>
      <c r="B760" s="13"/>
      <c r="C760" s="13"/>
      <c r="D760" s="13"/>
      <c r="E760" s="13"/>
      <c r="F760" s="13"/>
      <c r="G760" s="14"/>
      <c r="H760" s="14"/>
      <c r="I760" s="14"/>
      <c r="J760" s="14"/>
      <c r="K760" s="14"/>
      <c r="L760" s="14"/>
      <c r="M760" s="14"/>
      <c r="N760" s="13"/>
      <c r="O760" s="13"/>
      <c r="P760" s="13"/>
      <c r="Q760" s="13"/>
      <c r="R760" s="13"/>
      <c r="S760" s="14"/>
      <c r="T760" s="14"/>
      <c r="U760" s="14"/>
      <c r="V760" s="14"/>
      <c r="W760" s="14"/>
      <c r="X760" s="14"/>
      <c r="Y760" s="14"/>
      <c r="Z760" s="13"/>
      <c r="AA760" s="13"/>
      <c r="AB760" s="13"/>
      <c r="AC760" s="13"/>
      <c r="AD760" s="13"/>
      <c r="AE760" s="14"/>
      <c r="AF760" s="14"/>
      <c r="AG760" s="14"/>
      <c r="AH760" s="14"/>
      <c r="AI760" s="14"/>
      <c r="AJ760" s="14"/>
      <c r="AK760" s="14"/>
    </row>
    <row r="761" spans="1:37">
      <c r="A761" s="23"/>
      <c r="B761" s="13"/>
      <c r="C761" s="13"/>
      <c r="D761" s="13"/>
      <c r="E761" s="13"/>
      <c r="F761" s="13"/>
      <c r="G761" s="14"/>
      <c r="H761" s="14"/>
      <c r="I761" s="14"/>
      <c r="J761" s="14"/>
      <c r="K761" s="14"/>
      <c r="L761" s="14"/>
      <c r="M761" s="14"/>
      <c r="N761" s="13"/>
      <c r="O761" s="13"/>
      <c r="P761" s="13"/>
      <c r="Q761" s="13"/>
      <c r="R761" s="13"/>
      <c r="S761" s="14"/>
      <c r="T761" s="14"/>
      <c r="U761" s="14"/>
      <c r="V761" s="14"/>
      <c r="W761" s="14"/>
      <c r="X761" s="14"/>
      <c r="Y761" s="14"/>
      <c r="Z761" s="13"/>
      <c r="AA761" s="13"/>
      <c r="AB761" s="13"/>
      <c r="AC761" s="13"/>
      <c r="AD761" s="13"/>
      <c r="AE761" s="14"/>
      <c r="AF761" s="14"/>
      <c r="AG761" s="14"/>
      <c r="AH761" s="14"/>
      <c r="AI761" s="14"/>
      <c r="AJ761" s="14"/>
      <c r="AK761" s="14"/>
    </row>
    <row r="762" spans="1:37">
      <c r="A762" s="23"/>
      <c r="B762" s="13"/>
      <c r="C762" s="13"/>
      <c r="D762" s="13"/>
      <c r="E762" s="13"/>
      <c r="F762" s="13"/>
      <c r="G762" s="14"/>
      <c r="H762" s="14"/>
      <c r="I762" s="14"/>
      <c r="J762" s="14"/>
      <c r="K762" s="14"/>
      <c r="L762" s="14"/>
      <c r="M762" s="14"/>
      <c r="N762" s="13"/>
      <c r="O762" s="13"/>
      <c r="P762" s="13"/>
      <c r="Q762" s="13"/>
      <c r="R762" s="13"/>
      <c r="S762" s="14"/>
      <c r="T762" s="14"/>
      <c r="U762" s="14"/>
      <c r="V762" s="14"/>
      <c r="W762" s="14"/>
      <c r="X762" s="14"/>
      <c r="Y762" s="14"/>
      <c r="Z762" s="13"/>
      <c r="AA762" s="13"/>
      <c r="AB762" s="13"/>
      <c r="AC762" s="13"/>
      <c r="AD762" s="13"/>
      <c r="AE762" s="14"/>
      <c r="AF762" s="14"/>
      <c r="AG762" s="14"/>
      <c r="AH762" s="14"/>
      <c r="AI762" s="14"/>
      <c r="AJ762" s="14"/>
      <c r="AK762" s="14"/>
    </row>
    <row r="763" spans="1:37">
      <c r="A763" s="23"/>
      <c r="B763" s="13"/>
      <c r="C763" s="13"/>
      <c r="D763" s="13"/>
      <c r="E763" s="13"/>
      <c r="F763" s="13"/>
      <c r="G763" s="14"/>
      <c r="H763" s="14"/>
      <c r="I763" s="14"/>
      <c r="J763" s="14"/>
      <c r="K763" s="14"/>
      <c r="L763" s="14"/>
      <c r="M763" s="14"/>
      <c r="N763" s="13"/>
      <c r="O763" s="13"/>
      <c r="P763" s="13"/>
      <c r="Q763" s="13"/>
      <c r="R763" s="13"/>
      <c r="S763" s="14"/>
      <c r="T763" s="14"/>
      <c r="U763" s="14"/>
      <c r="V763" s="14"/>
      <c r="W763" s="14"/>
      <c r="X763" s="14"/>
      <c r="Y763" s="14"/>
      <c r="Z763" s="13"/>
      <c r="AA763" s="13"/>
      <c r="AB763" s="13"/>
      <c r="AC763" s="13"/>
      <c r="AD763" s="13"/>
      <c r="AE763" s="14"/>
      <c r="AF763" s="14"/>
      <c r="AG763" s="14"/>
      <c r="AH763" s="14"/>
      <c r="AI763" s="14"/>
      <c r="AJ763" s="14"/>
      <c r="AK763" s="14"/>
    </row>
    <row r="764" spans="1:37">
      <c r="A764" s="23"/>
      <c r="B764" s="13"/>
      <c r="C764" s="13"/>
      <c r="D764" s="13"/>
      <c r="E764" s="13"/>
      <c r="F764" s="13"/>
      <c r="G764" s="14"/>
      <c r="H764" s="14"/>
      <c r="I764" s="14"/>
      <c r="J764" s="14"/>
      <c r="K764" s="14"/>
      <c r="L764" s="14"/>
      <c r="M764" s="14"/>
      <c r="N764" s="13"/>
      <c r="O764" s="13"/>
      <c r="P764" s="13"/>
      <c r="Q764" s="13"/>
      <c r="R764" s="13"/>
      <c r="S764" s="14"/>
      <c r="T764" s="14"/>
      <c r="U764" s="14"/>
      <c r="V764" s="14"/>
      <c r="W764" s="14"/>
      <c r="X764" s="14"/>
      <c r="Y764" s="14"/>
      <c r="Z764" s="13"/>
      <c r="AA764" s="13"/>
      <c r="AB764" s="13"/>
      <c r="AC764" s="13"/>
      <c r="AD764" s="13"/>
      <c r="AE764" s="14"/>
      <c r="AF764" s="14"/>
      <c r="AG764" s="14"/>
      <c r="AH764" s="14"/>
      <c r="AI764" s="14"/>
      <c r="AJ764" s="14"/>
      <c r="AK764" s="14"/>
    </row>
    <row r="765" spans="1:37">
      <c r="A765" s="23"/>
      <c r="B765" s="13"/>
      <c r="C765" s="13"/>
      <c r="D765" s="13"/>
      <c r="E765" s="13"/>
      <c r="F765" s="13"/>
      <c r="G765" s="14"/>
      <c r="H765" s="14"/>
      <c r="I765" s="14"/>
      <c r="J765" s="14"/>
      <c r="K765" s="14"/>
      <c r="L765" s="14"/>
      <c r="M765" s="14"/>
      <c r="N765" s="13"/>
      <c r="O765" s="13"/>
      <c r="P765" s="13"/>
      <c r="Q765" s="13"/>
      <c r="R765" s="13"/>
      <c r="S765" s="14"/>
      <c r="T765" s="14"/>
      <c r="U765" s="14"/>
      <c r="V765" s="14"/>
      <c r="W765" s="14"/>
      <c r="X765" s="14"/>
      <c r="Y765" s="14"/>
      <c r="Z765" s="13"/>
      <c r="AA765" s="13"/>
      <c r="AB765" s="13"/>
      <c r="AC765" s="13"/>
      <c r="AD765" s="13"/>
      <c r="AE765" s="14"/>
      <c r="AF765" s="14"/>
      <c r="AG765" s="14"/>
      <c r="AH765" s="14"/>
      <c r="AI765" s="14"/>
      <c r="AJ765" s="14"/>
      <c r="AK765" s="14"/>
    </row>
    <row r="766" spans="1:37">
      <c r="A766" s="23"/>
      <c r="B766" s="13"/>
      <c r="C766" s="13"/>
      <c r="D766" s="13"/>
      <c r="E766" s="13"/>
      <c r="F766" s="13"/>
      <c r="G766" s="14"/>
      <c r="H766" s="14"/>
      <c r="I766" s="14"/>
      <c r="J766" s="14"/>
      <c r="K766" s="14"/>
      <c r="L766" s="14"/>
      <c r="M766" s="14"/>
      <c r="N766" s="13"/>
      <c r="O766" s="13"/>
      <c r="P766" s="13"/>
      <c r="Q766" s="13"/>
      <c r="R766" s="13"/>
      <c r="S766" s="14"/>
      <c r="T766" s="14"/>
      <c r="U766" s="14"/>
      <c r="V766" s="14"/>
      <c r="W766" s="14"/>
      <c r="X766" s="14"/>
      <c r="Y766" s="14"/>
      <c r="Z766" s="13"/>
      <c r="AA766" s="13"/>
      <c r="AB766" s="13"/>
      <c r="AC766" s="13"/>
      <c r="AD766" s="13"/>
      <c r="AE766" s="14"/>
      <c r="AF766" s="14"/>
      <c r="AG766" s="14"/>
      <c r="AH766" s="14"/>
      <c r="AI766" s="14"/>
      <c r="AJ766" s="14"/>
      <c r="AK766" s="14"/>
    </row>
    <row r="767" spans="1:37">
      <c r="A767" s="23"/>
      <c r="B767" s="13"/>
      <c r="C767" s="13"/>
      <c r="D767" s="13"/>
      <c r="E767" s="13"/>
      <c r="F767" s="13"/>
      <c r="G767" s="14"/>
      <c r="H767" s="14"/>
      <c r="I767" s="14"/>
      <c r="J767" s="14"/>
      <c r="K767" s="14"/>
      <c r="L767" s="14"/>
      <c r="M767" s="14"/>
      <c r="N767" s="13"/>
      <c r="O767" s="13"/>
      <c r="P767" s="13"/>
      <c r="Q767" s="13"/>
      <c r="R767" s="13"/>
      <c r="S767" s="14"/>
      <c r="T767" s="14"/>
      <c r="U767" s="14"/>
      <c r="V767" s="14"/>
      <c r="W767" s="14"/>
      <c r="X767" s="14"/>
      <c r="Y767" s="14"/>
      <c r="Z767" s="13"/>
      <c r="AA767" s="13"/>
      <c r="AB767" s="13"/>
      <c r="AC767" s="13"/>
      <c r="AD767" s="13"/>
      <c r="AE767" s="14"/>
      <c r="AF767" s="14"/>
      <c r="AG767" s="14"/>
      <c r="AH767" s="14"/>
      <c r="AI767" s="14"/>
      <c r="AJ767" s="14"/>
      <c r="AK767" s="14"/>
    </row>
    <row r="768" spans="1:37">
      <c r="A768" s="23"/>
      <c r="B768" s="13"/>
      <c r="C768" s="13"/>
      <c r="D768" s="13"/>
      <c r="E768" s="13"/>
      <c r="F768" s="13"/>
      <c r="G768" s="14"/>
      <c r="H768" s="14"/>
      <c r="I768" s="14"/>
      <c r="J768" s="14"/>
      <c r="K768" s="14"/>
      <c r="L768" s="14"/>
      <c r="M768" s="14"/>
      <c r="N768" s="13"/>
      <c r="O768" s="13"/>
      <c r="P768" s="13"/>
      <c r="Q768" s="13"/>
      <c r="R768" s="13"/>
      <c r="S768" s="14"/>
      <c r="T768" s="14"/>
      <c r="U768" s="14"/>
      <c r="V768" s="14"/>
      <c r="W768" s="14"/>
      <c r="X768" s="14"/>
      <c r="Y768" s="14"/>
      <c r="Z768" s="13"/>
      <c r="AA768" s="13"/>
      <c r="AB768" s="13"/>
      <c r="AC768" s="13"/>
      <c r="AD768" s="13"/>
      <c r="AE768" s="14"/>
      <c r="AF768" s="14"/>
      <c r="AG768" s="14"/>
      <c r="AH768" s="14"/>
      <c r="AI768" s="14"/>
      <c r="AJ768" s="14"/>
      <c r="AK768" s="14"/>
    </row>
    <row r="769" spans="1:37">
      <c r="A769" s="23"/>
      <c r="B769" s="13"/>
      <c r="C769" s="13"/>
      <c r="D769" s="13"/>
      <c r="E769" s="13"/>
      <c r="F769" s="13"/>
      <c r="G769" s="14"/>
      <c r="H769" s="14"/>
      <c r="I769" s="14"/>
      <c r="J769" s="14"/>
      <c r="K769" s="14"/>
      <c r="L769" s="14"/>
      <c r="M769" s="14"/>
      <c r="N769" s="13"/>
      <c r="O769" s="13"/>
      <c r="P769" s="13"/>
      <c r="Q769" s="13"/>
      <c r="R769" s="13"/>
      <c r="S769" s="14"/>
      <c r="T769" s="14"/>
      <c r="U769" s="14"/>
      <c r="V769" s="14"/>
      <c r="W769" s="14"/>
      <c r="X769" s="14"/>
      <c r="Y769" s="14"/>
      <c r="Z769" s="13"/>
      <c r="AA769" s="13"/>
      <c r="AB769" s="13"/>
      <c r="AC769" s="13"/>
      <c r="AD769" s="13"/>
      <c r="AE769" s="14"/>
      <c r="AF769" s="14"/>
      <c r="AG769" s="14"/>
      <c r="AH769" s="14"/>
      <c r="AI769" s="14"/>
      <c r="AJ769" s="14"/>
      <c r="AK769" s="14"/>
    </row>
    <row r="770" spans="1:37">
      <c r="A770" s="23"/>
      <c r="B770" s="13"/>
      <c r="C770" s="13"/>
      <c r="D770" s="13"/>
      <c r="E770" s="13"/>
      <c r="F770" s="13"/>
      <c r="G770" s="14"/>
      <c r="H770" s="14"/>
      <c r="I770" s="14"/>
      <c r="J770" s="14"/>
      <c r="K770" s="14"/>
      <c r="L770" s="14"/>
      <c r="M770" s="14"/>
      <c r="N770" s="13"/>
      <c r="O770" s="13"/>
      <c r="P770" s="13"/>
      <c r="Q770" s="13"/>
      <c r="R770" s="13"/>
      <c r="S770" s="14"/>
      <c r="T770" s="14"/>
      <c r="U770" s="14"/>
      <c r="V770" s="14"/>
      <c r="W770" s="14"/>
      <c r="X770" s="14"/>
      <c r="Y770" s="14"/>
      <c r="Z770" s="13"/>
      <c r="AA770" s="13"/>
      <c r="AB770" s="13"/>
      <c r="AC770" s="13"/>
      <c r="AD770" s="13"/>
      <c r="AE770" s="14"/>
      <c r="AF770" s="14"/>
      <c r="AG770" s="14"/>
      <c r="AH770" s="14"/>
      <c r="AI770" s="14"/>
      <c r="AJ770" s="14"/>
      <c r="AK770" s="14"/>
    </row>
    <row r="771" spans="1:37">
      <c r="A771" s="23"/>
      <c r="B771" s="13"/>
      <c r="C771" s="13"/>
      <c r="D771" s="13"/>
      <c r="E771" s="13"/>
      <c r="F771" s="13"/>
      <c r="G771" s="14"/>
      <c r="H771" s="14"/>
      <c r="I771" s="14"/>
      <c r="J771" s="14"/>
      <c r="K771" s="14"/>
      <c r="L771" s="14"/>
      <c r="M771" s="14"/>
      <c r="N771" s="13"/>
      <c r="O771" s="13"/>
      <c r="P771" s="13"/>
      <c r="Q771" s="13"/>
      <c r="R771" s="13"/>
      <c r="S771" s="14"/>
      <c r="T771" s="14"/>
      <c r="U771" s="14"/>
      <c r="V771" s="14"/>
      <c r="W771" s="14"/>
      <c r="X771" s="14"/>
      <c r="Y771" s="14"/>
      <c r="Z771" s="13"/>
      <c r="AA771" s="13"/>
      <c r="AB771" s="13"/>
      <c r="AC771" s="13"/>
      <c r="AD771" s="13"/>
      <c r="AE771" s="14"/>
      <c r="AF771" s="14"/>
      <c r="AG771" s="14"/>
      <c r="AH771" s="14"/>
      <c r="AI771" s="14"/>
      <c r="AJ771" s="14"/>
      <c r="AK771" s="14"/>
    </row>
    <row r="772" spans="1:37">
      <c r="A772" s="23"/>
      <c r="B772" s="13"/>
      <c r="C772" s="13"/>
      <c r="D772" s="13"/>
      <c r="E772" s="13"/>
      <c r="F772" s="13"/>
      <c r="G772" s="14"/>
      <c r="H772" s="14"/>
      <c r="I772" s="14"/>
      <c r="J772" s="14"/>
      <c r="K772" s="14"/>
      <c r="L772" s="14"/>
      <c r="M772" s="14"/>
      <c r="N772" s="13"/>
      <c r="O772" s="13"/>
      <c r="P772" s="13"/>
      <c r="Q772" s="13"/>
      <c r="R772" s="13"/>
      <c r="S772" s="14"/>
      <c r="T772" s="14"/>
      <c r="U772" s="14"/>
      <c r="V772" s="14"/>
      <c r="W772" s="14"/>
      <c r="X772" s="14"/>
      <c r="Y772" s="14"/>
      <c r="Z772" s="13"/>
      <c r="AA772" s="13"/>
      <c r="AB772" s="13"/>
      <c r="AC772" s="13"/>
      <c r="AD772" s="13"/>
      <c r="AE772" s="14"/>
      <c r="AF772" s="14"/>
      <c r="AG772" s="14"/>
      <c r="AH772" s="14"/>
      <c r="AI772" s="14"/>
      <c r="AJ772" s="14"/>
      <c r="AK772" s="14"/>
    </row>
    <row r="773" spans="1:37">
      <c r="A773" s="23"/>
      <c r="B773" s="13"/>
      <c r="C773" s="13"/>
      <c r="D773" s="13"/>
      <c r="E773" s="13"/>
      <c r="F773" s="13"/>
      <c r="G773" s="14"/>
      <c r="H773" s="14"/>
      <c r="I773" s="14"/>
      <c r="J773" s="14"/>
      <c r="K773" s="14"/>
      <c r="L773" s="14"/>
      <c r="M773" s="14"/>
      <c r="N773" s="13"/>
      <c r="O773" s="13"/>
      <c r="P773" s="13"/>
      <c r="Q773" s="13"/>
      <c r="R773" s="13"/>
      <c r="S773" s="14"/>
      <c r="T773" s="14"/>
      <c r="U773" s="14"/>
      <c r="V773" s="14"/>
      <c r="W773" s="14"/>
      <c r="X773" s="14"/>
      <c r="Y773" s="14"/>
      <c r="Z773" s="13"/>
      <c r="AA773" s="13"/>
      <c r="AB773" s="13"/>
      <c r="AC773" s="13"/>
      <c r="AD773" s="13"/>
      <c r="AE773" s="14"/>
      <c r="AF773" s="14"/>
      <c r="AG773" s="14"/>
      <c r="AH773" s="14"/>
      <c r="AI773" s="14"/>
      <c r="AJ773" s="14"/>
      <c r="AK773" s="14"/>
    </row>
    <row r="774" spans="1:37">
      <c r="A774" s="23"/>
      <c r="B774" s="13"/>
      <c r="C774" s="13"/>
      <c r="D774" s="13"/>
      <c r="E774" s="13"/>
      <c r="F774" s="13"/>
      <c r="G774" s="14"/>
      <c r="H774" s="14"/>
      <c r="I774" s="14"/>
      <c r="J774" s="14"/>
      <c r="K774" s="14"/>
      <c r="L774" s="14"/>
      <c r="M774" s="14"/>
      <c r="N774" s="13"/>
      <c r="O774" s="13"/>
      <c r="P774" s="13"/>
      <c r="Q774" s="13"/>
      <c r="R774" s="13"/>
      <c r="S774" s="14"/>
      <c r="T774" s="14"/>
      <c r="U774" s="14"/>
      <c r="V774" s="14"/>
      <c r="W774" s="14"/>
      <c r="X774" s="14"/>
      <c r="Y774" s="14"/>
      <c r="Z774" s="13"/>
      <c r="AA774" s="13"/>
      <c r="AB774" s="13"/>
      <c r="AC774" s="13"/>
      <c r="AD774" s="13"/>
      <c r="AE774" s="14"/>
      <c r="AF774" s="14"/>
      <c r="AG774" s="14"/>
      <c r="AH774" s="14"/>
      <c r="AI774" s="14"/>
      <c r="AJ774" s="14"/>
      <c r="AK774" s="14"/>
    </row>
    <row r="775" spans="1:37">
      <c r="A775" s="23"/>
      <c r="B775" s="13"/>
      <c r="C775" s="13"/>
      <c r="D775" s="13"/>
      <c r="E775" s="13"/>
      <c r="F775" s="13"/>
      <c r="G775" s="14"/>
      <c r="H775" s="14"/>
      <c r="I775" s="14"/>
      <c r="J775" s="14"/>
      <c r="K775" s="14"/>
      <c r="L775" s="14"/>
      <c r="M775" s="14"/>
      <c r="N775" s="13"/>
      <c r="O775" s="13"/>
      <c r="P775" s="13"/>
      <c r="Q775" s="13"/>
      <c r="R775" s="13"/>
      <c r="S775" s="14"/>
      <c r="T775" s="14"/>
      <c r="U775" s="14"/>
      <c r="V775" s="14"/>
      <c r="W775" s="14"/>
      <c r="X775" s="14"/>
      <c r="Y775" s="14"/>
      <c r="Z775" s="13"/>
      <c r="AA775" s="13"/>
      <c r="AB775" s="13"/>
      <c r="AC775" s="13"/>
      <c r="AD775" s="13"/>
      <c r="AE775" s="14"/>
      <c r="AF775" s="14"/>
      <c r="AG775" s="14"/>
      <c r="AH775" s="14"/>
      <c r="AI775" s="14"/>
      <c r="AJ775" s="14"/>
      <c r="AK775" s="14"/>
    </row>
    <row r="776" spans="1:37">
      <c r="A776" s="23"/>
      <c r="B776" s="13"/>
      <c r="C776" s="13"/>
      <c r="D776" s="13"/>
      <c r="E776" s="13"/>
      <c r="F776" s="13"/>
      <c r="G776" s="14"/>
      <c r="H776" s="14"/>
      <c r="I776" s="14"/>
      <c r="J776" s="14"/>
      <c r="K776" s="14"/>
      <c r="L776" s="14"/>
      <c r="M776" s="14"/>
      <c r="N776" s="13"/>
      <c r="O776" s="13"/>
      <c r="P776" s="13"/>
      <c r="Q776" s="13"/>
      <c r="R776" s="13"/>
      <c r="S776" s="14"/>
      <c r="T776" s="14"/>
      <c r="U776" s="14"/>
      <c r="V776" s="14"/>
      <c r="W776" s="14"/>
      <c r="X776" s="14"/>
      <c r="Y776" s="14"/>
      <c r="Z776" s="13"/>
      <c r="AA776" s="13"/>
      <c r="AB776" s="13"/>
      <c r="AC776" s="13"/>
      <c r="AD776" s="13"/>
      <c r="AE776" s="14"/>
      <c r="AF776" s="14"/>
      <c r="AG776" s="14"/>
      <c r="AH776" s="14"/>
      <c r="AI776" s="14"/>
      <c r="AJ776" s="14"/>
      <c r="AK776" s="14"/>
    </row>
    <row r="777" spans="1:37">
      <c r="A777" s="23"/>
      <c r="B777" s="13"/>
      <c r="C777" s="13"/>
      <c r="D777" s="13"/>
      <c r="E777" s="13"/>
      <c r="F777" s="13"/>
      <c r="G777" s="14"/>
      <c r="H777" s="14"/>
      <c r="I777" s="14"/>
      <c r="J777" s="14"/>
      <c r="K777" s="14"/>
      <c r="L777" s="14"/>
      <c r="M777" s="14"/>
      <c r="N777" s="13"/>
      <c r="O777" s="13"/>
      <c r="P777" s="13"/>
      <c r="Q777" s="13"/>
      <c r="R777" s="13"/>
      <c r="S777" s="14"/>
      <c r="T777" s="14"/>
      <c r="U777" s="14"/>
      <c r="V777" s="14"/>
      <c r="W777" s="14"/>
      <c r="X777" s="14"/>
      <c r="Y777" s="14"/>
      <c r="Z777" s="13"/>
      <c r="AA777" s="13"/>
      <c r="AB777" s="13"/>
      <c r="AC777" s="13"/>
      <c r="AD777" s="13"/>
      <c r="AE777" s="14"/>
      <c r="AF777" s="14"/>
      <c r="AG777" s="14"/>
      <c r="AH777" s="14"/>
      <c r="AI777" s="14"/>
      <c r="AJ777" s="14"/>
      <c r="AK777" s="14"/>
    </row>
    <row r="778" spans="1:37">
      <c r="A778" s="23"/>
      <c r="B778" s="13"/>
      <c r="C778" s="13"/>
      <c r="D778" s="13"/>
      <c r="E778" s="13"/>
      <c r="F778" s="13"/>
      <c r="G778" s="14"/>
      <c r="H778" s="14"/>
      <c r="I778" s="14"/>
      <c r="J778" s="14"/>
      <c r="K778" s="14"/>
      <c r="L778" s="14"/>
      <c r="M778" s="14"/>
      <c r="N778" s="13"/>
      <c r="O778" s="13"/>
      <c r="P778" s="13"/>
      <c r="Q778" s="13"/>
      <c r="R778" s="13"/>
      <c r="S778" s="14"/>
      <c r="T778" s="14"/>
      <c r="U778" s="14"/>
      <c r="V778" s="14"/>
      <c r="W778" s="14"/>
      <c r="X778" s="14"/>
      <c r="Y778" s="14"/>
      <c r="Z778" s="13"/>
      <c r="AA778" s="13"/>
      <c r="AB778" s="13"/>
      <c r="AC778" s="13"/>
      <c r="AD778" s="13"/>
      <c r="AE778" s="14"/>
      <c r="AF778" s="14"/>
      <c r="AG778" s="14"/>
      <c r="AH778" s="14"/>
      <c r="AI778" s="14"/>
      <c r="AJ778" s="14"/>
      <c r="AK778" s="14"/>
    </row>
    <row r="779" spans="1:37">
      <c r="A779" s="23"/>
      <c r="B779" s="13"/>
      <c r="C779" s="13"/>
      <c r="D779" s="13"/>
      <c r="E779" s="13"/>
      <c r="F779" s="13"/>
      <c r="G779" s="14"/>
      <c r="H779" s="14"/>
      <c r="I779" s="14"/>
      <c r="J779" s="14"/>
      <c r="K779" s="14"/>
      <c r="L779" s="14"/>
      <c r="M779" s="14"/>
      <c r="N779" s="13"/>
      <c r="O779" s="13"/>
      <c r="P779" s="13"/>
      <c r="Q779" s="13"/>
      <c r="R779" s="13"/>
      <c r="S779" s="14"/>
      <c r="T779" s="14"/>
      <c r="U779" s="14"/>
      <c r="V779" s="14"/>
      <c r="W779" s="14"/>
      <c r="X779" s="14"/>
      <c r="Y779" s="14"/>
      <c r="Z779" s="13"/>
      <c r="AA779" s="13"/>
      <c r="AB779" s="13"/>
      <c r="AC779" s="13"/>
      <c r="AD779" s="13"/>
      <c r="AE779" s="14"/>
      <c r="AF779" s="14"/>
      <c r="AG779" s="14"/>
      <c r="AH779" s="14"/>
      <c r="AI779" s="14"/>
      <c r="AJ779" s="14"/>
      <c r="AK779" s="14"/>
    </row>
    <row r="780" spans="1:37">
      <c r="A780" s="23"/>
      <c r="B780" s="13"/>
      <c r="C780" s="13"/>
      <c r="D780" s="13"/>
      <c r="E780" s="13"/>
      <c r="F780" s="13"/>
      <c r="G780" s="14"/>
      <c r="H780" s="14"/>
      <c r="I780" s="14"/>
      <c r="J780" s="14"/>
      <c r="K780" s="14"/>
      <c r="L780" s="14"/>
      <c r="M780" s="14"/>
      <c r="N780" s="13"/>
      <c r="O780" s="13"/>
      <c r="P780" s="13"/>
      <c r="Q780" s="13"/>
      <c r="R780" s="13"/>
      <c r="S780" s="14"/>
      <c r="T780" s="14"/>
      <c r="U780" s="14"/>
      <c r="V780" s="14"/>
      <c r="W780" s="14"/>
      <c r="X780" s="14"/>
      <c r="Y780" s="14"/>
      <c r="Z780" s="13"/>
      <c r="AA780" s="13"/>
      <c r="AB780" s="13"/>
      <c r="AC780" s="13"/>
      <c r="AD780" s="13"/>
      <c r="AE780" s="14"/>
      <c r="AF780" s="14"/>
      <c r="AG780" s="14"/>
      <c r="AH780" s="14"/>
      <c r="AI780" s="14"/>
      <c r="AJ780" s="14"/>
      <c r="AK780" s="14"/>
    </row>
    <row r="781" spans="1:37">
      <c r="A781" s="23"/>
      <c r="B781" s="13"/>
      <c r="C781" s="13"/>
      <c r="D781" s="13"/>
      <c r="E781" s="13"/>
      <c r="F781" s="13"/>
      <c r="G781" s="14"/>
      <c r="H781" s="14"/>
      <c r="I781" s="14"/>
      <c r="J781" s="14"/>
      <c r="K781" s="14"/>
      <c r="L781" s="14"/>
      <c r="M781" s="14"/>
      <c r="N781" s="13"/>
      <c r="O781" s="13"/>
      <c r="P781" s="13"/>
      <c r="Q781" s="13"/>
      <c r="R781" s="13"/>
      <c r="S781" s="14"/>
      <c r="T781" s="14"/>
      <c r="U781" s="14"/>
      <c r="V781" s="14"/>
      <c r="W781" s="14"/>
      <c r="X781" s="14"/>
      <c r="Y781" s="14"/>
      <c r="Z781" s="13"/>
      <c r="AA781" s="13"/>
      <c r="AB781" s="13"/>
      <c r="AC781" s="13"/>
      <c r="AD781" s="13"/>
      <c r="AE781" s="14"/>
      <c r="AF781" s="14"/>
      <c r="AG781" s="14"/>
      <c r="AH781" s="14"/>
      <c r="AI781" s="14"/>
      <c r="AJ781" s="14"/>
      <c r="AK781" s="1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A7D42-0100-44DE-9A69-8EEBA3BBB84D}">
  <dimension ref="B2:G3"/>
  <sheetViews>
    <sheetView workbookViewId="0">
      <selection activeCell="F2" sqref="F2"/>
    </sheetView>
  </sheetViews>
  <sheetFormatPr defaultColWidth="8.83203125" defaultRowHeight="14"/>
  <cols>
    <col min="4" max="4" width="11.83203125" customWidth="1"/>
  </cols>
  <sheetData>
    <row r="2" spans="2:7">
      <c r="B2" s="468" t="s">
        <v>409</v>
      </c>
      <c r="C2" s="468"/>
      <c r="D2" s="468"/>
      <c r="E2" s="469" t="s">
        <v>410</v>
      </c>
      <c r="F2" s="468"/>
      <c r="G2" s="468"/>
    </row>
    <row r="3" spans="2:7">
      <c r="B3" s="468"/>
      <c r="C3" s="468"/>
      <c r="D3" s="468"/>
      <c r="E3" s="468"/>
      <c r="F3" s="468"/>
      <c r="G3" s="468"/>
    </row>
  </sheetData>
  <hyperlinks>
    <hyperlink ref="E2" r:id="rId1" xr:uid="{519CD518-AFBB-43C9-B21D-CD7A3691C1E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9BD4C-F252-F74D-850C-E1141FD690B1}">
  <dimension ref="A1:AO737"/>
  <sheetViews>
    <sheetView showGridLines="0" zoomScale="125" workbookViewId="0">
      <pane xSplit="1" ySplit="4" topLeftCell="Y11" activePane="bottomRight" state="frozen"/>
      <selection pane="topRight" activeCell="B1" sqref="B1"/>
      <selection pane="bottomLeft" activeCell="A5" sqref="A5"/>
      <selection pane="bottomRight" activeCell="AG28" sqref="AG28"/>
    </sheetView>
  </sheetViews>
  <sheetFormatPr defaultColWidth="14.5" defaultRowHeight="15" customHeight="1"/>
  <cols>
    <col min="1" max="1" width="18" style="23" customWidth="1"/>
    <col min="2" max="41" width="20" style="13" customWidth="1"/>
    <col min="42" max="16384" width="14.5" style="3"/>
  </cols>
  <sheetData>
    <row r="1" spans="1:41" s="32" customFormat="1" ht="29.25" customHeight="1" thickBot="1">
      <c r="A1" s="35" t="s">
        <v>29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</row>
    <row r="2" spans="1:41" s="32" customFormat="1" ht="29.25" customHeight="1">
      <c r="A2" s="175"/>
      <c r="B2" s="165" t="s">
        <v>314</v>
      </c>
      <c r="C2" s="166"/>
      <c r="D2" s="166"/>
      <c r="E2" s="166"/>
      <c r="F2" s="166"/>
      <c r="G2" s="166"/>
      <c r="H2" s="166"/>
      <c r="I2" s="180"/>
      <c r="J2" s="163" t="s">
        <v>32</v>
      </c>
      <c r="K2" s="164"/>
      <c r="L2" s="164"/>
      <c r="M2" s="164"/>
      <c r="N2" s="164"/>
      <c r="O2" s="164"/>
      <c r="P2" s="164"/>
      <c r="Q2" s="176"/>
      <c r="R2" s="195" t="s">
        <v>33</v>
      </c>
      <c r="S2" s="196"/>
      <c r="T2" s="196"/>
      <c r="U2" s="196"/>
      <c r="V2" s="196"/>
      <c r="W2" s="196"/>
      <c r="X2" s="196"/>
      <c r="Y2" s="196"/>
      <c r="Z2" s="197" t="s">
        <v>34</v>
      </c>
      <c r="AA2" s="198"/>
      <c r="AB2" s="198"/>
      <c r="AC2" s="198"/>
      <c r="AD2" s="198"/>
      <c r="AE2" s="198"/>
      <c r="AF2" s="198"/>
      <c r="AG2" s="198"/>
      <c r="AH2" s="331" t="s">
        <v>318</v>
      </c>
      <c r="AI2" s="332"/>
      <c r="AJ2" s="332"/>
      <c r="AK2" s="332"/>
      <c r="AL2" s="332"/>
      <c r="AM2" s="332"/>
      <c r="AN2" s="332"/>
      <c r="AO2" s="332"/>
    </row>
    <row r="3" spans="1:41" s="22" customFormat="1" ht="60" customHeight="1">
      <c r="A3" s="39" t="s">
        <v>319</v>
      </c>
      <c r="B3" s="63" t="s">
        <v>411</v>
      </c>
      <c r="C3" s="141" t="s">
        <v>412</v>
      </c>
      <c r="D3" s="145" t="s">
        <v>413</v>
      </c>
      <c r="E3" s="145" t="s">
        <v>414</v>
      </c>
      <c r="F3" s="141" t="s">
        <v>415</v>
      </c>
      <c r="G3" s="141" t="s">
        <v>416</v>
      </c>
      <c r="H3" s="141" t="s">
        <v>417</v>
      </c>
      <c r="I3" s="177" t="s">
        <v>418</v>
      </c>
      <c r="J3" s="63" t="s">
        <v>411</v>
      </c>
      <c r="K3" s="141" t="s">
        <v>412</v>
      </c>
      <c r="L3" s="145" t="s">
        <v>413</v>
      </c>
      <c r="M3" s="145" t="s">
        <v>414</v>
      </c>
      <c r="N3" s="141" t="s">
        <v>415</v>
      </c>
      <c r="O3" s="141" t="s">
        <v>416</v>
      </c>
      <c r="P3" s="141" t="s">
        <v>417</v>
      </c>
      <c r="Q3" s="177" t="s">
        <v>418</v>
      </c>
      <c r="R3" s="63" t="s">
        <v>411</v>
      </c>
      <c r="S3" s="141" t="s">
        <v>412</v>
      </c>
      <c r="T3" s="145" t="s">
        <v>413</v>
      </c>
      <c r="U3" s="145" t="s">
        <v>414</v>
      </c>
      <c r="V3" s="141" t="s">
        <v>415</v>
      </c>
      <c r="W3" s="141" t="s">
        <v>416</v>
      </c>
      <c r="X3" s="141" t="s">
        <v>417</v>
      </c>
      <c r="Y3" s="141" t="s">
        <v>418</v>
      </c>
      <c r="Z3" s="63" t="s">
        <v>411</v>
      </c>
      <c r="AA3" s="141" t="s">
        <v>412</v>
      </c>
      <c r="AB3" s="145" t="s">
        <v>413</v>
      </c>
      <c r="AC3" s="145" t="s">
        <v>414</v>
      </c>
      <c r="AD3" s="141" t="s">
        <v>415</v>
      </c>
      <c r="AE3" s="141" t="s">
        <v>416</v>
      </c>
      <c r="AF3" s="141" t="s">
        <v>417</v>
      </c>
      <c r="AG3" s="141" t="s">
        <v>418</v>
      </c>
      <c r="AH3" s="63" t="s">
        <v>411</v>
      </c>
      <c r="AI3" s="141" t="s">
        <v>412</v>
      </c>
      <c r="AJ3" s="145" t="s">
        <v>413</v>
      </c>
      <c r="AK3" s="145" t="s">
        <v>414</v>
      </c>
      <c r="AL3" s="141" t="s">
        <v>415</v>
      </c>
      <c r="AM3" s="141" t="s">
        <v>416</v>
      </c>
      <c r="AN3" s="141" t="s">
        <v>417</v>
      </c>
      <c r="AO3" s="141" t="s">
        <v>418</v>
      </c>
    </row>
    <row r="4" spans="1:41" s="2" customFormat="1" ht="33" customHeight="1">
      <c r="A4" s="24" t="s">
        <v>330</v>
      </c>
      <c r="B4" s="65" t="s">
        <v>333</v>
      </c>
      <c r="C4" s="144" t="s">
        <v>419</v>
      </c>
      <c r="D4" s="146" t="s">
        <v>420</v>
      </c>
      <c r="E4" s="142" t="s">
        <v>421</v>
      </c>
      <c r="F4" s="142" t="s">
        <v>422</v>
      </c>
      <c r="G4" s="142" t="s">
        <v>423</v>
      </c>
      <c r="H4" s="142" t="s">
        <v>424</v>
      </c>
      <c r="I4" s="178" t="s">
        <v>425</v>
      </c>
      <c r="J4" s="65" t="s">
        <v>338</v>
      </c>
      <c r="K4" s="144" t="s">
        <v>426</v>
      </c>
      <c r="L4" s="146" t="s">
        <v>427</v>
      </c>
      <c r="M4" s="142" t="s">
        <v>428</v>
      </c>
      <c r="N4" s="142" t="s">
        <v>429</v>
      </c>
      <c r="O4" s="142" t="s">
        <v>430</v>
      </c>
      <c r="P4" s="142" t="s">
        <v>431</v>
      </c>
      <c r="Q4" s="178" t="s">
        <v>432</v>
      </c>
      <c r="R4" s="142" t="s">
        <v>433</v>
      </c>
      <c r="S4" s="144" t="s">
        <v>434</v>
      </c>
      <c r="T4" s="146" t="s">
        <v>435</v>
      </c>
      <c r="U4" s="142" t="s">
        <v>436</v>
      </c>
      <c r="V4" s="142" t="s">
        <v>437</v>
      </c>
      <c r="W4" s="142" t="s">
        <v>438</v>
      </c>
      <c r="X4" s="142" t="s">
        <v>439</v>
      </c>
      <c r="Y4" s="142" t="s">
        <v>440</v>
      </c>
      <c r="Z4" s="142" t="s">
        <v>441</v>
      </c>
      <c r="AA4" s="144" t="s">
        <v>442</v>
      </c>
      <c r="AB4" s="146" t="s">
        <v>443</v>
      </c>
      <c r="AC4" s="142" t="s">
        <v>444</v>
      </c>
      <c r="AD4" s="142" t="s">
        <v>445</v>
      </c>
      <c r="AE4" s="142" t="s">
        <v>446</v>
      </c>
      <c r="AF4" s="142" t="s">
        <v>447</v>
      </c>
      <c r="AG4" s="142" t="s">
        <v>448</v>
      </c>
      <c r="AH4" s="142" t="s">
        <v>35</v>
      </c>
      <c r="AI4" s="144" t="s">
        <v>36</v>
      </c>
      <c r="AJ4" s="146" t="s">
        <v>449</v>
      </c>
      <c r="AK4" s="142" t="s">
        <v>450</v>
      </c>
      <c r="AL4" s="142" t="s">
        <v>451</v>
      </c>
      <c r="AM4" s="142" t="s">
        <v>452</v>
      </c>
      <c r="AN4" s="142" t="s">
        <v>41</v>
      </c>
      <c r="AO4" s="142" t="s">
        <v>453</v>
      </c>
    </row>
    <row r="5" spans="1:41" ht="15.75" customHeight="1">
      <c r="A5" s="25">
        <v>46027</v>
      </c>
      <c r="B5" s="67"/>
      <c r="C5" s="143"/>
      <c r="D5" s="143"/>
      <c r="E5" s="143"/>
      <c r="F5" s="143"/>
      <c r="G5" s="143"/>
      <c r="H5" s="143"/>
      <c r="I5" s="179"/>
      <c r="J5" s="67"/>
      <c r="K5" s="143"/>
      <c r="L5" s="143"/>
      <c r="M5" s="143"/>
      <c r="N5" s="143"/>
      <c r="O5" s="143"/>
      <c r="P5" s="143"/>
      <c r="Q5" s="179"/>
      <c r="R5" s="67"/>
      <c r="S5" s="143"/>
      <c r="T5" s="143"/>
      <c r="U5" s="143"/>
      <c r="V5" s="143"/>
      <c r="W5" s="143"/>
      <c r="X5" s="143"/>
      <c r="Y5" s="143"/>
      <c r="Z5" s="67"/>
      <c r="AA5" s="143"/>
      <c r="AB5" s="143"/>
      <c r="AC5" s="143"/>
      <c r="AD5" s="143"/>
      <c r="AE5" s="143"/>
      <c r="AF5" s="143"/>
      <c r="AG5" s="143"/>
      <c r="AH5" s="67"/>
      <c r="AI5" s="143"/>
      <c r="AJ5" s="608"/>
      <c r="AK5" s="143"/>
      <c r="AL5" s="143"/>
      <c r="AM5" s="143"/>
      <c r="AN5" s="143"/>
      <c r="AO5" s="143"/>
    </row>
    <row r="6" spans="1:41" ht="15.75" customHeight="1">
      <c r="A6" s="25">
        <v>46034</v>
      </c>
      <c r="B6" s="67"/>
      <c r="C6" s="143"/>
      <c r="D6" s="143"/>
      <c r="E6" s="143"/>
      <c r="F6" s="143"/>
      <c r="G6" s="143"/>
      <c r="H6" s="143"/>
      <c r="I6" s="179"/>
      <c r="J6" s="67"/>
      <c r="K6" s="143"/>
      <c r="L6" s="143"/>
      <c r="M6" s="143"/>
      <c r="N6" s="143"/>
      <c r="O6" s="143"/>
      <c r="P6" s="143"/>
      <c r="Q6" s="179"/>
      <c r="R6" s="67"/>
      <c r="S6" s="143"/>
      <c r="T6" s="143"/>
      <c r="U6" s="143"/>
      <c r="V6" s="143"/>
      <c r="W6" s="143"/>
      <c r="X6" s="143"/>
      <c r="Y6" s="143"/>
      <c r="Z6" s="67"/>
      <c r="AA6" s="143"/>
      <c r="AB6" s="143"/>
      <c r="AC6" s="143"/>
      <c r="AD6" s="143"/>
      <c r="AE6" s="143"/>
      <c r="AF6" s="143"/>
      <c r="AG6" s="143"/>
      <c r="AH6" s="67"/>
      <c r="AI6" s="143"/>
      <c r="AJ6" s="608"/>
      <c r="AK6" s="143"/>
      <c r="AL6" s="143"/>
      <c r="AM6" s="143"/>
      <c r="AN6" s="143"/>
      <c r="AO6" s="143"/>
    </row>
    <row r="7" spans="1:41" ht="15.75" customHeight="1">
      <c r="A7" s="25">
        <v>46041</v>
      </c>
      <c r="B7" s="67"/>
      <c r="C7" s="143"/>
      <c r="D7" s="143"/>
      <c r="E7" s="143"/>
      <c r="F7" s="143"/>
      <c r="G7" s="143"/>
      <c r="H7" s="143"/>
      <c r="I7" s="179"/>
      <c r="J7" s="67"/>
      <c r="K7" s="143"/>
      <c r="L7" s="143"/>
      <c r="M7" s="143"/>
      <c r="N7" s="143"/>
      <c r="O7" s="143"/>
      <c r="P7" s="143"/>
      <c r="Q7" s="179"/>
      <c r="R7" s="67"/>
      <c r="S7" s="143"/>
      <c r="T7" s="143"/>
      <c r="U7" s="143"/>
      <c r="V7" s="143"/>
      <c r="W7" s="143"/>
      <c r="X7" s="143"/>
      <c r="Y7" s="143"/>
      <c r="Z7" s="67"/>
      <c r="AA7" s="143"/>
      <c r="AB7" s="143"/>
      <c r="AC7" s="143"/>
      <c r="AD7" s="143"/>
      <c r="AE7" s="143"/>
      <c r="AF7" s="143"/>
      <c r="AG7" s="143"/>
      <c r="AH7" s="67"/>
      <c r="AI7" s="143"/>
      <c r="AJ7" s="608"/>
      <c r="AK7" s="143"/>
      <c r="AL7" s="143"/>
      <c r="AM7" s="143"/>
      <c r="AN7" s="143"/>
      <c r="AO7" s="143"/>
    </row>
    <row r="8" spans="1:41" ht="15.75" customHeight="1">
      <c r="A8" s="25">
        <v>46048</v>
      </c>
      <c r="B8" s="67">
        <v>13775</v>
      </c>
      <c r="C8" s="143">
        <v>127</v>
      </c>
      <c r="D8" s="282">
        <v>70</v>
      </c>
      <c r="E8" s="282">
        <v>0.55000000000000004</v>
      </c>
      <c r="F8" s="269">
        <v>9.1999999999999998E-3</v>
      </c>
      <c r="G8" s="143">
        <v>0</v>
      </c>
      <c r="H8" s="143">
        <v>0</v>
      </c>
      <c r="I8" s="179">
        <v>0</v>
      </c>
      <c r="J8" s="67">
        <f>11732+3119+2598</f>
        <v>17449</v>
      </c>
      <c r="K8" s="143">
        <f>229+52+26</f>
        <v>307</v>
      </c>
      <c r="L8" s="282">
        <f>150.97+38.44+40.23</f>
        <v>229.64</v>
      </c>
      <c r="M8" s="282">
        <v>0.98</v>
      </c>
      <c r="N8" s="269">
        <v>1.54E-2</v>
      </c>
      <c r="O8" s="143">
        <v>4</v>
      </c>
      <c r="P8" s="269">
        <f>4/307</f>
        <v>1.3029315960912053E-2</v>
      </c>
      <c r="Q8" s="281">
        <f>229.64/4</f>
        <v>57.41</v>
      </c>
      <c r="R8" s="67">
        <v>1612</v>
      </c>
      <c r="S8" s="143">
        <v>286</v>
      </c>
      <c r="T8" s="282">
        <v>176.33</v>
      </c>
      <c r="U8" s="282">
        <v>0.62</v>
      </c>
      <c r="V8" s="269">
        <v>0.1774</v>
      </c>
      <c r="W8" s="143">
        <v>0</v>
      </c>
      <c r="X8" s="143">
        <v>0</v>
      </c>
      <c r="Y8" s="143">
        <v>0</v>
      </c>
      <c r="Z8" s="67">
        <v>8657</v>
      </c>
      <c r="AA8" s="143">
        <v>76</v>
      </c>
      <c r="AB8" s="282">
        <v>27.86</v>
      </c>
      <c r="AC8" s="282">
        <v>0.37</v>
      </c>
      <c r="AD8" s="269">
        <v>8.8000000000000005E-3</v>
      </c>
      <c r="AE8" s="143">
        <v>0</v>
      </c>
      <c r="AF8" s="143">
        <v>0</v>
      </c>
      <c r="AG8" s="143">
        <v>0</v>
      </c>
      <c r="AH8" s="67">
        <f>SUM(B8+J8+R8+Z8)</f>
        <v>41493</v>
      </c>
      <c r="AI8" s="143">
        <f>SUM(C8+K8+S8+AA8)</f>
        <v>796</v>
      </c>
      <c r="AJ8" s="282">
        <f t="shared" ref="AJ8:AJ24" si="0">SUM(AB8+T8+L8+D8)</f>
        <v>503.83</v>
      </c>
      <c r="AK8" s="143"/>
      <c r="AL8" s="143"/>
      <c r="AM8" s="143">
        <f>SUM(AE8+W8+O8+G8)</f>
        <v>4</v>
      </c>
      <c r="AN8" s="269">
        <f>AM8/AH8</f>
        <v>9.6401802713710742E-5</v>
      </c>
      <c r="AO8" s="282">
        <f>AJ8/AM8</f>
        <v>125.9575</v>
      </c>
    </row>
    <row r="9" spans="1:41" ht="15.75" customHeight="1">
      <c r="A9" s="25">
        <v>46055</v>
      </c>
      <c r="B9" s="67">
        <v>28025</v>
      </c>
      <c r="C9" s="143">
        <v>212</v>
      </c>
      <c r="D9" s="608">
        <v>78.22</v>
      </c>
      <c r="E9" s="608">
        <v>0.37</v>
      </c>
      <c r="F9" s="609">
        <v>7.6E-3</v>
      </c>
      <c r="G9" s="143">
        <v>0</v>
      </c>
      <c r="H9" s="269">
        <f t="shared" ref="H9:H17" si="1">G9/C9</f>
        <v>0</v>
      </c>
      <c r="I9" s="281"/>
      <c r="J9" s="67">
        <v>24522</v>
      </c>
      <c r="K9" s="143">
        <v>266</v>
      </c>
      <c r="L9" s="608">
        <v>318.55</v>
      </c>
      <c r="M9" s="608">
        <v>1.2</v>
      </c>
      <c r="N9" s="609">
        <v>1.0800000000000001E-2</v>
      </c>
      <c r="O9" s="143">
        <v>1</v>
      </c>
      <c r="P9" s="143"/>
      <c r="Q9" s="179"/>
      <c r="R9" s="67">
        <v>2657</v>
      </c>
      <c r="S9" s="143">
        <v>707</v>
      </c>
      <c r="T9" s="608">
        <v>233.01</v>
      </c>
      <c r="U9" s="608">
        <v>0.33</v>
      </c>
      <c r="V9" s="609">
        <v>0.2661</v>
      </c>
      <c r="W9" s="143">
        <v>6</v>
      </c>
      <c r="X9" s="143"/>
      <c r="Y9" s="143"/>
      <c r="Z9" s="67">
        <v>27335</v>
      </c>
      <c r="AA9" s="143">
        <v>479</v>
      </c>
      <c r="AB9" s="608">
        <v>127.96</v>
      </c>
      <c r="AC9" s="608">
        <v>0.27</v>
      </c>
      <c r="AD9" s="609">
        <v>7.4999999999999997E-3</v>
      </c>
      <c r="AE9" s="143"/>
      <c r="AF9" s="143"/>
      <c r="AG9" s="143"/>
      <c r="AH9" s="67">
        <f t="shared" ref="AH9:AH24" si="2">SUM(B9+J9+R9+Z9)</f>
        <v>82539</v>
      </c>
      <c r="AI9" s="143">
        <f t="shared" ref="AI9:AI24" si="3">SUM(C9+K9+S9+AA9)</f>
        <v>1664</v>
      </c>
      <c r="AJ9" s="608">
        <f t="shared" si="0"/>
        <v>757.74</v>
      </c>
      <c r="AK9" s="143"/>
      <c r="AL9" s="143"/>
      <c r="AM9" s="143">
        <f t="shared" ref="AM9:AM24" si="4">SUM(AE9+W9+O9+G9)</f>
        <v>7</v>
      </c>
      <c r="AN9" s="269">
        <f t="shared" ref="AN9:AN24" si="5">AM9/AH9</f>
        <v>8.480839360787022E-5</v>
      </c>
      <c r="AO9" s="282">
        <f t="shared" ref="AO9:AO24" si="6">AJ9/AM9</f>
        <v>108.24857142857142</v>
      </c>
    </row>
    <row r="10" spans="1:41" ht="15.75" customHeight="1">
      <c r="A10" s="25">
        <v>46062</v>
      </c>
      <c r="B10" s="67">
        <v>14952</v>
      </c>
      <c r="C10" s="143">
        <v>117</v>
      </c>
      <c r="D10" s="608">
        <v>79.58</v>
      </c>
      <c r="E10" s="608">
        <v>0.69</v>
      </c>
      <c r="F10" s="609">
        <v>7.7999999999999996E-3</v>
      </c>
      <c r="G10" s="143">
        <v>0</v>
      </c>
      <c r="H10" s="269">
        <f t="shared" si="1"/>
        <v>0</v>
      </c>
      <c r="I10" s="281"/>
      <c r="J10" s="67">
        <v>10334</v>
      </c>
      <c r="K10" s="143">
        <v>273</v>
      </c>
      <c r="L10" s="608">
        <v>320.82</v>
      </c>
      <c r="M10" s="608">
        <v>1.18</v>
      </c>
      <c r="N10" s="609">
        <v>1.0200000000000001E-2</v>
      </c>
      <c r="O10" s="143">
        <v>11</v>
      </c>
      <c r="P10" s="143"/>
      <c r="Q10" s="179"/>
      <c r="R10" s="67">
        <v>2538</v>
      </c>
      <c r="S10" s="143">
        <v>493</v>
      </c>
      <c r="T10" s="608">
        <v>172.12</v>
      </c>
      <c r="U10" s="608">
        <v>0.7</v>
      </c>
      <c r="V10" s="609">
        <v>0.19420000000000001</v>
      </c>
      <c r="W10" s="143">
        <v>2</v>
      </c>
      <c r="X10" s="269">
        <v>4.1000000000000003E-3</v>
      </c>
      <c r="Y10" s="282">
        <v>172.12</v>
      </c>
      <c r="Z10" s="67">
        <v>24762</v>
      </c>
      <c r="AA10" s="143">
        <v>348</v>
      </c>
      <c r="AB10" s="608">
        <v>104.86</v>
      </c>
      <c r="AC10" s="608">
        <v>0.3</v>
      </c>
      <c r="AD10" s="609">
        <v>1.41E-2</v>
      </c>
      <c r="AE10" s="143">
        <v>0</v>
      </c>
      <c r="AF10" s="269">
        <v>0</v>
      </c>
      <c r="AG10" s="143">
        <v>0</v>
      </c>
      <c r="AH10" s="67">
        <f t="shared" si="2"/>
        <v>52586</v>
      </c>
      <c r="AI10" s="143">
        <f t="shared" si="3"/>
        <v>1231</v>
      </c>
      <c r="AJ10" s="608">
        <f t="shared" si="0"/>
        <v>677.38</v>
      </c>
      <c r="AK10" s="143"/>
      <c r="AL10" s="143"/>
      <c r="AM10" s="143">
        <f t="shared" si="4"/>
        <v>13</v>
      </c>
      <c r="AN10" s="269">
        <f t="shared" si="5"/>
        <v>2.4721408739968812E-4</v>
      </c>
      <c r="AO10" s="282">
        <f t="shared" si="6"/>
        <v>52.106153846153845</v>
      </c>
    </row>
    <row r="11" spans="1:41" ht="15.75" customHeight="1">
      <c r="A11" s="25">
        <v>46069</v>
      </c>
      <c r="B11" s="67">
        <v>12668</v>
      </c>
      <c r="C11" s="143">
        <v>101</v>
      </c>
      <c r="D11" s="608">
        <v>73.44</v>
      </c>
      <c r="E11" s="608">
        <v>0.73</v>
      </c>
      <c r="F11" s="609">
        <v>8.0000000000000002E-3</v>
      </c>
      <c r="G11" s="143">
        <v>0</v>
      </c>
      <c r="H11" s="269">
        <f t="shared" si="1"/>
        <v>0</v>
      </c>
      <c r="I11" s="281"/>
      <c r="J11" s="67">
        <v>12332</v>
      </c>
      <c r="K11" s="143">
        <v>395</v>
      </c>
      <c r="L11" s="608">
        <v>324.18</v>
      </c>
      <c r="M11" s="608">
        <v>0.82</v>
      </c>
      <c r="N11" s="609">
        <v>1.3299999999999999E-2</v>
      </c>
      <c r="O11" s="143">
        <v>11</v>
      </c>
      <c r="P11" s="269">
        <f>11/395</f>
        <v>2.7848101265822784E-2</v>
      </c>
      <c r="Q11" s="281">
        <f>324.18/11</f>
        <v>29.470909090909092</v>
      </c>
      <c r="R11" s="67">
        <v>1434</v>
      </c>
      <c r="S11" s="143">
        <v>754</v>
      </c>
      <c r="T11" s="608">
        <v>177.74</v>
      </c>
      <c r="U11" s="608">
        <v>0.24</v>
      </c>
      <c r="V11" s="609">
        <f>754/1434</f>
        <v>0.52580195258019524</v>
      </c>
      <c r="W11" s="143">
        <v>30</v>
      </c>
      <c r="X11" s="269">
        <v>4.0899999999999999E-2</v>
      </c>
      <c r="Y11" s="282">
        <v>5.76</v>
      </c>
      <c r="Z11" s="67">
        <v>24725</v>
      </c>
      <c r="AA11" s="143">
        <v>459</v>
      </c>
      <c r="AB11" s="608">
        <v>110.35</v>
      </c>
      <c r="AC11" s="608">
        <v>0.24</v>
      </c>
      <c r="AD11" s="609">
        <v>6.4999999999999997E-3</v>
      </c>
      <c r="AE11" s="143">
        <v>3</v>
      </c>
      <c r="AF11" s="269">
        <v>6.4999999999999997E-3</v>
      </c>
      <c r="AG11" s="282">
        <v>36.78</v>
      </c>
      <c r="AH11" s="67">
        <f t="shared" si="2"/>
        <v>51159</v>
      </c>
      <c r="AI11" s="143">
        <f t="shared" si="3"/>
        <v>1709</v>
      </c>
      <c r="AJ11" s="608">
        <f t="shared" si="0"/>
        <v>685.71</v>
      </c>
      <c r="AK11" s="143"/>
      <c r="AL11" s="143"/>
      <c r="AM11" s="143">
        <f t="shared" si="4"/>
        <v>44</v>
      </c>
      <c r="AN11" s="269">
        <f t="shared" si="5"/>
        <v>8.6006372290310597E-4</v>
      </c>
      <c r="AO11" s="282">
        <f t="shared" si="6"/>
        <v>15.584318181818183</v>
      </c>
    </row>
    <row r="12" spans="1:41" ht="15.75" customHeight="1">
      <c r="A12" s="25">
        <v>46076</v>
      </c>
      <c r="B12" s="67">
        <v>8183</v>
      </c>
      <c r="C12" s="143">
        <v>87</v>
      </c>
      <c r="D12" s="608">
        <v>35.11</v>
      </c>
      <c r="E12" s="608">
        <v>0.4</v>
      </c>
      <c r="F12" s="609">
        <v>1.06E-2</v>
      </c>
      <c r="G12" s="143"/>
      <c r="H12" s="269">
        <f t="shared" si="1"/>
        <v>0</v>
      </c>
      <c r="I12" s="281"/>
      <c r="J12" s="67">
        <v>33118</v>
      </c>
      <c r="K12" s="143">
        <v>270</v>
      </c>
      <c r="L12" s="608">
        <v>311.72000000000003</v>
      </c>
      <c r="M12" s="608">
        <v>1.1499999999999999</v>
      </c>
      <c r="N12" s="609">
        <v>1.72E-2</v>
      </c>
      <c r="O12" s="143">
        <v>22</v>
      </c>
      <c r="P12" s="269">
        <f>22/270</f>
        <v>8.1481481481481488E-2</v>
      </c>
      <c r="Q12" s="622">
        <v>14.47</v>
      </c>
      <c r="R12" s="67">
        <v>1489</v>
      </c>
      <c r="S12" s="143">
        <v>756</v>
      </c>
      <c r="T12" s="608">
        <v>160.58000000000001</v>
      </c>
      <c r="U12" s="608">
        <v>0.21</v>
      </c>
      <c r="V12" s="609">
        <v>0.50770000000000004</v>
      </c>
      <c r="W12" s="143">
        <v>79</v>
      </c>
      <c r="X12" s="609">
        <v>0.1047</v>
      </c>
      <c r="Y12" s="608">
        <v>2.0299999999999998</v>
      </c>
      <c r="Z12" s="67">
        <v>22815</v>
      </c>
      <c r="AA12" s="143">
        <v>402</v>
      </c>
      <c r="AB12" s="608">
        <v>94.15</v>
      </c>
      <c r="AC12" s="608">
        <v>0.23</v>
      </c>
      <c r="AD12" s="609">
        <v>1.7600000000000001E-2</v>
      </c>
      <c r="AE12" s="143">
        <v>1</v>
      </c>
      <c r="AF12" s="609">
        <v>2.5000000000000001E-3</v>
      </c>
      <c r="AG12" s="608">
        <v>94.15</v>
      </c>
      <c r="AH12" s="67">
        <f t="shared" si="2"/>
        <v>65605</v>
      </c>
      <c r="AI12" s="143">
        <f t="shared" si="3"/>
        <v>1515</v>
      </c>
      <c r="AJ12" s="608">
        <f t="shared" si="0"/>
        <v>601.56000000000006</v>
      </c>
      <c r="AK12" s="143"/>
      <c r="AL12" s="143"/>
      <c r="AM12" s="143">
        <f t="shared" si="4"/>
        <v>102</v>
      </c>
      <c r="AN12" s="269">
        <f t="shared" si="5"/>
        <v>1.5547595457663288E-3</v>
      </c>
      <c r="AO12" s="282">
        <f t="shared" si="6"/>
        <v>5.8976470588235301</v>
      </c>
    </row>
    <row r="13" spans="1:41" ht="15.75" customHeight="1">
      <c r="A13" s="25">
        <v>46083</v>
      </c>
      <c r="B13" s="67">
        <v>454</v>
      </c>
      <c r="C13" s="143">
        <v>4</v>
      </c>
      <c r="D13" s="608">
        <v>19.670000000000002</v>
      </c>
      <c r="E13" s="608">
        <v>4.92</v>
      </c>
      <c r="F13" s="609">
        <v>8.8000000000000005E-3</v>
      </c>
      <c r="G13" s="143">
        <v>0</v>
      </c>
      <c r="H13" s="269">
        <f t="shared" si="1"/>
        <v>0</v>
      </c>
      <c r="I13" s="281"/>
      <c r="J13" s="67">
        <v>38838</v>
      </c>
      <c r="K13" s="143">
        <v>195</v>
      </c>
      <c r="L13" s="608">
        <v>307.73</v>
      </c>
      <c r="M13" s="608">
        <v>1.58</v>
      </c>
      <c r="N13" s="609">
        <v>5.0000000000000001E-3</v>
      </c>
      <c r="O13" s="143">
        <v>72</v>
      </c>
      <c r="P13" s="269">
        <f>72/307</f>
        <v>0.23452768729641693</v>
      </c>
      <c r="Q13" s="622">
        <v>4.2699999999999996</v>
      </c>
      <c r="R13" s="67">
        <v>1880</v>
      </c>
      <c r="S13" s="143">
        <v>949</v>
      </c>
      <c r="T13" s="608">
        <v>228.1</v>
      </c>
      <c r="U13" s="608">
        <v>0.24</v>
      </c>
      <c r="V13" s="609">
        <v>0.50480000000000003</v>
      </c>
      <c r="W13" s="143">
        <v>200.92</v>
      </c>
      <c r="X13" s="609">
        <v>0.2117</v>
      </c>
      <c r="Y13" s="608">
        <v>1.1399999999999999</v>
      </c>
      <c r="Z13" s="67">
        <v>26990</v>
      </c>
      <c r="AA13" s="143">
        <v>273</v>
      </c>
      <c r="AB13" s="608">
        <v>99.1</v>
      </c>
      <c r="AC13" s="608">
        <v>0.36</v>
      </c>
      <c r="AD13" s="609">
        <v>1.01E-2</v>
      </c>
      <c r="AE13" s="143">
        <v>9</v>
      </c>
      <c r="AF13" s="609">
        <v>1.89E-2</v>
      </c>
      <c r="AG13" s="608">
        <v>11.01</v>
      </c>
      <c r="AH13" s="67">
        <f t="shared" si="2"/>
        <v>68162</v>
      </c>
      <c r="AI13" s="143">
        <f t="shared" si="3"/>
        <v>1421</v>
      </c>
      <c r="AJ13" s="608">
        <f t="shared" si="0"/>
        <v>654.6</v>
      </c>
      <c r="AK13" s="143"/>
      <c r="AL13" s="143"/>
      <c r="AM13" s="143">
        <f t="shared" si="4"/>
        <v>281.91999999999996</v>
      </c>
      <c r="AN13" s="269">
        <f t="shared" si="5"/>
        <v>4.1360288723922417E-3</v>
      </c>
      <c r="AO13" s="282">
        <f t="shared" si="6"/>
        <v>2.3219353007945522</v>
      </c>
    </row>
    <row r="14" spans="1:41" ht="15.75" customHeight="1">
      <c r="A14" s="25">
        <v>46090</v>
      </c>
      <c r="B14" s="67">
        <v>4166</v>
      </c>
      <c r="C14" s="143">
        <v>45</v>
      </c>
      <c r="D14" s="608">
        <v>77.040000000000006</v>
      </c>
      <c r="E14" s="608">
        <v>1.71</v>
      </c>
      <c r="F14" s="609">
        <v>1.0800000000000001E-2</v>
      </c>
      <c r="G14" s="143"/>
      <c r="H14" s="269">
        <f t="shared" si="1"/>
        <v>0</v>
      </c>
      <c r="I14" s="281"/>
      <c r="J14" s="67">
        <v>33648</v>
      </c>
      <c r="K14" s="143">
        <v>155</v>
      </c>
      <c r="L14" s="608">
        <v>310.82</v>
      </c>
      <c r="M14" s="608">
        <v>2.0099999999999998</v>
      </c>
      <c r="N14" s="609">
        <v>4.5999999999999999E-3</v>
      </c>
      <c r="O14" s="143">
        <v>7</v>
      </c>
      <c r="P14" s="269">
        <f>72/307</f>
        <v>0.23452768729641693</v>
      </c>
      <c r="Q14" s="622">
        <v>44.4</v>
      </c>
      <c r="R14" s="67">
        <v>2394</v>
      </c>
      <c r="S14" s="143">
        <v>885</v>
      </c>
      <c r="T14" s="608">
        <v>265.39</v>
      </c>
      <c r="U14" s="608">
        <v>0.3</v>
      </c>
      <c r="V14" s="609">
        <v>0.36969999999999997</v>
      </c>
      <c r="W14" s="143">
        <v>53</v>
      </c>
      <c r="X14" s="609">
        <v>6.0699999999999997E-2</v>
      </c>
      <c r="Y14" s="608">
        <v>4.9400000000000004</v>
      </c>
      <c r="Z14" s="67">
        <v>39836</v>
      </c>
      <c r="AA14" s="143">
        <v>731</v>
      </c>
      <c r="AB14" s="608">
        <v>97.99</v>
      </c>
      <c r="AC14" s="608">
        <v>0.13</v>
      </c>
      <c r="AD14" s="609">
        <v>1.84E-2</v>
      </c>
      <c r="AE14" s="143">
        <v>0</v>
      </c>
      <c r="AF14" s="269">
        <v>0</v>
      </c>
      <c r="AG14" s="608">
        <v>0</v>
      </c>
      <c r="AH14" s="67">
        <f t="shared" si="2"/>
        <v>80044</v>
      </c>
      <c r="AI14" s="143">
        <f t="shared" si="3"/>
        <v>1816</v>
      </c>
      <c r="AJ14" s="608">
        <f t="shared" si="0"/>
        <v>751.24</v>
      </c>
      <c r="AK14" s="143"/>
      <c r="AL14" s="143"/>
      <c r="AM14" s="143">
        <f t="shared" si="4"/>
        <v>60</v>
      </c>
      <c r="AN14" s="269">
        <f t="shared" si="5"/>
        <v>7.4958772675028736E-4</v>
      </c>
      <c r="AO14" s="282">
        <f t="shared" si="6"/>
        <v>12.520666666666667</v>
      </c>
    </row>
    <row r="15" spans="1:41" ht="15.75" customHeight="1">
      <c r="A15" s="25">
        <v>46097</v>
      </c>
      <c r="B15" s="67" t="s">
        <v>454</v>
      </c>
      <c r="C15" s="143">
        <v>83</v>
      </c>
      <c r="D15" s="608">
        <v>76.95</v>
      </c>
      <c r="E15" s="608">
        <v>0.93</v>
      </c>
      <c r="F15" s="609">
        <v>1.24E-2</v>
      </c>
      <c r="G15" s="143">
        <v>2</v>
      </c>
      <c r="H15" s="269">
        <f t="shared" si="1"/>
        <v>2.4096385542168676E-2</v>
      </c>
      <c r="I15" s="281">
        <f t="shared" ref="I15:I18" si="7">D15/G15</f>
        <v>38.475000000000001</v>
      </c>
      <c r="J15" s="67">
        <v>31272</v>
      </c>
      <c r="K15" s="143">
        <v>328</v>
      </c>
      <c r="L15" s="608">
        <v>316.8</v>
      </c>
      <c r="M15" s="608">
        <v>1.52</v>
      </c>
      <c r="N15" s="609">
        <v>6.7000000000000002E-3</v>
      </c>
      <c r="O15" s="143">
        <v>10</v>
      </c>
      <c r="P15" s="269">
        <f>10/328</f>
        <v>3.048780487804878E-2</v>
      </c>
      <c r="Q15" s="622">
        <v>31.68</v>
      </c>
      <c r="R15" s="67">
        <v>2603</v>
      </c>
      <c r="S15" s="143">
        <v>894</v>
      </c>
      <c r="T15" s="608">
        <v>296.38</v>
      </c>
      <c r="U15" s="608">
        <v>0.33</v>
      </c>
      <c r="V15" s="609">
        <v>0.34339999999999998</v>
      </c>
      <c r="W15" s="143">
        <v>40</v>
      </c>
      <c r="X15" s="609">
        <v>4.5199999999999997E-2</v>
      </c>
      <c r="Y15" s="608">
        <v>7.33</v>
      </c>
      <c r="Z15" s="67">
        <v>24081</v>
      </c>
      <c r="AA15" s="143">
        <v>903</v>
      </c>
      <c r="AB15" s="608">
        <v>79.25</v>
      </c>
      <c r="AC15" s="608">
        <v>0.09</v>
      </c>
      <c r="AD15" s="609">
        <v>3.7499999999999999E-2</v>
      </c>
      <c r="AE15" s="143">
        <v>1</v>
      </c>
      <c r="AF15" s="269">
        <v>1.1000000000000001E-3</v>
      </c>
      <c r="AG15" s="608">
        <v>79.25</v>
      </c>
      <c r="AH15" s="67" t="e">
        <f t="shared" si="2"/>
        <v>#VALUE!</v>
      </c>
      <c r="AI15" s="143">
        <f t="shared" si="3"/>
        <v>2208</v>
      </c>
      <c r="AJ15" s="608">
        <f t="shared" si="0"/>
        <v>769.38000000000011</v>
      </c>
      <c r="AK15" s="143"/>
      <c r="AL15" s="143"/>
      <c r="AM15" s="143">
        <f t="shared" si="4"/>
        <v>53</v>
      </c>
      <c r="AN15" s="269" t="e">
        <f t="shared" si="5"/>
        <v>#VALUE!</v>
      </c>
      <c r="AO15" s="282">
        <f t="shared" si="6"/>
        <v>14.516603773584908</v>
      </c>
    </row>
    <row r="16" spans="1:41" ht="15.75" customHeight="1">
      <c r="A16" s="25">
        <v>46104</v>
      </c>
      <c r="B16" s="67">
        <v>5396</v>
      </c>
      <c r="C16" s="143">
        <v>75</v>
      </c>
      <c r="D16" s="608">
        <v>75.849999999999994</v>
      </c>
      <c r="E16" s="608">
        <v>1.01</v>
      </c>
      <c r="F16" s="609">
        <v>1.3899999999999999E-2</v>
      </c>
      <c r="G16" s="143"/>
      <c r="H16" s="269">
        <f t="shared" si="1"/>
        <v>0</v>
      </c>
      <c r="I16" s="281"/>
      <c r="J16" s="67">
        <v>30816</v>
      </c>
      <c r="K16" s="143">
        <v>174</v>
      </c>
      <c r="L16" s="608">
        <v>310.93</v>
      </c>
      <c r="M16" s="608">
        <v>1.79</v>
      </c>
      <c r="N16" s="609">
        <v>5.5999999999999999E-3</v>
      </c>
      <c r="O16" s="143">
        <v>6</v>
      </c>
      <c r="P16" s="269">
        <f>6/174</f>
        <v>3.4482758620689655E-2</v>
      </c>
      <c r="Q16" s="622">
        <v>51.82</v>
      </c>
      <c r="R16" s="67">
        <v>2405</v>
      </c>
      <c r="S16" s="143">
        <v>1059</v>
      </c>
      <c r="T16" s="608">
        <v>349.99</v>
      </c>
      <c r="U16" s="608">
        <v>0.33</v>
      </c>
      <c r="V16" s="609">
        <v>0.44030000000000002</v>
      </c>
      <c r="W16" s="143">
        <v>33</v>
      </c>
      <c r="X16" s="609">
        <v>3.1300000000000001E-2</v>
      </c>
      <c r="Y16" s="608">
        <v>10.56</v>
      </c>
      <c r="Z16" s="67">
        <v>30196</v>
      </c>
      <c r="AA16" s="143">
        <v>259</v>
      </c>
      <c r="AB16" s="608">
        <v>100.77</v>
      </c>
      <c r="AC16" s="608">
        <v>0.39</v>
      </c>
      <c r="AD16" s="609">
        <v>8.6E-3</v>
      </c>
      <c r="AE16" s="143">
        <v>3</v>
      </c>
      <c r="AF16" s="269">
        <v>1.1999999999999999E-3</v>
      </c>
      <c r="AG16" s="608">
        <v>33.590000000000003</v>
      </c>
      <c r="AH16" s="67">
        <f t="shared" si="2"/>
        <v>68813</v>
      </c>
      <c r="AI16" s="143">
        <f t="shared" si="3"/>
        <v>1567</v>
      </c>
      <c r="AJ16" s="608">
        <f t="shared" si="0"/>
        <v>837.54000000000008</v>
      </c>
      <c r="AK16" s="143"/>
      <c r="AL16" s="143"/>
      <c r="AM16" s="143">
        <f t="shared" si="4"/>
        <v>42</v>
      </c>
      <c r="AN16" s="269">
        <f t="shared" si="5"/>
        <v>6.1034978855739467E-4</v>
      </c>
      <c r="AO16" s="282">
        <f t="shared" si="6"/>
        <v>19.941428571428574</v>
      </c>
    </row>
    <row r="17" spans="1:41" ht="15.75" customHeight="1">
      <c r="A17" s="25">
        <v>46111</v>
      </c>
      <c r="B17" s="67">
        <v>5486</v>
      </c>
      <c r="C17" s="143">
        <v>66</v>
      </c>
      <c r="D17" s="608">
        <v>76.849999999999994</v>
      </c>
      <c r="E17" s="608">
        <v>1.1599999999999999</v>
      </c>
      <c r="F17" s="609">
        <v>1.2E-2</v>
      </c>
      <c r="G17" s="143">
        <v>3</v>
      </c>
      <c r="H17" s="269">
        <f t="shared" si="1"/>
        <v>4.5454545454545456E-2</v>
      </c>
      <c r="I17" s="281">
        <f t="shared" si="7"/>
        <v>25.616666666666664</v>
      </c>
      <c r="J17" s="67">
        <v>30248</v>
      </c>
      <c r="K17" s="143">
        <v>210</v>
      </c>
      <c r="L17" s="608">
        <v>308.29000000000002</v>
      </c>
      <c r="M17" s="608">
        <v>1.47</v>
      </c>
      <c r="N17" s="609">
        <v>6.8999999999999999E-3</v>
      </c>
      <c r="O17" s="143">
        <v>10</v>
      </c>
      <c r="P17" s="269">
        <f>10/210</f>
        <v>4.7619047619047616E-2</v>
      </c>
      <c r="Q17" s="622">
        <f>308.29/20</f>
        <v>15.4145</v>
      </c>
      <c r="R17" s="67">
        <v>2065</v>
      </c>
      <c r="S17" s="143">
        <v>811</v>
      </c>
      <c r="T17" s="608">
        <v>253.67</v>
      </c>
      <c r="U17" s="608">
        <v>0.31</v>
      </c>
      <c r="V17" s="609">
        <v>0.39269999999999999</v>
      </c>
      <c r="W17" s="143">
        <v>42</v>
      </c>
      <c r="X17" s="609">
        <v>5.21E-2</v>
      </c>
      <c r="Y17" s="608">
        <v>6</v>
      </c>
      <c r="Z17" s="67">
        <v>28080</v>
      </c>
      <c r="AA17" s="143">
        <v>1671</v>
      </c>
      <c r="AB17" s="608">
        <v>82.33</v>
      </c>
      <c r="AC17" s="608">
        <v>0.05</v>
      </c>
      <c r="AD17" s="609">
        <v>5.9499999999999997E-2</v>
      </c>
      <c r="AE17" s="143">
        <v>2</v>
      </c>
      <c r="AF17" s="269">
        <v>1.1999999999999999E-3</v>
      </c>
      <c r="AG17" s="608">
        <v>41.17</v>
      </c>
      <c r="AH17" s="67">
        <f t="shared" si="2"/>
        <v>65879</v>
      </c>
      <c r="AI17" s="143">
        <f t="shared" si="3"/>
        <v>2758</v>
      </c>
      <c r="AJ17" s="608">
        <f t="shared" si="0"/>
        <v>721.14</v>
      </c>
      <c r="AK17" s="143"/>
      <c r="AL17" s="143"/>
      <c r="AM17" s="143">
        <f t="shared" si="4"/>
        <v>57</v>
      </c>
      <c r="AN17" s="269">
        <f t="shared" si="5"/>
        <v>8.6522260507900851E-4</v>
      </c>
      <c r="AO17" s="282">
        <f t="shared" si="6"/>
        <v>12.651578947368421</v>
      </c>
    </row>
    <row r="18" spans="1:41" ht="15.75" customHeight="1">
      <c r="A18" s="25">
        <v>46118</v>
      </c>
      <c r="B18" s="67">
        <v>5175</v>
      </c>
      <c r="C18" s="143">
        <v>45</v>
      </c>
      <c r="D18" s="608">
        <v>86.07</v>
      </c>
      <c r="E18" s="608">
        <v>1.91</v>
      </c>
      <c r="F18" s="609">
        <v>8.6999999999999994E-3</v>
      </c>
      <c r="G18" s="143">
        <v>7</v>
      </c>
      <c r="H18" s="269">
        <f>G18/C18</f>
        <v>0.15555555555555556</v>
      </c>
      <c r="I18" s="281">
        <f t="shared" si="7"/>
        <v>12.295714285714284</v>
      </c>
      <c r="J18" s="67">
        <v>34774</v>
      </c>
      <c r="K18" s="143">
        <v>248</v>
      </c>
      <c r="L18" s="608">
        <v>317.13</v>
      </c>
      <c r="M18" s="608">
        <v>1.28</v>
      </c>
      <c r="N18" s="609">
        <v>7.1000000000000004E-3</v>
      </c>
      <c r="O18" s="143">
        <v>6</v>
      </c>
      <c r="P18" s="269">
        <f>6/248</f>
        <v>2.4193548387096774E-2</v>
      </c>
      <c r="Q18" s="622">
        <v>52.86</v>
      </c>
      <c r="R18" s="67">
        <v>2169</v>
      </c>
      <c r="S18" s="143">
        <v>876</v>
      </c>
      <c r="T18" s="608">
        <v>312.45</v>
      </c>
      <c r="U18" s="608">
        <v>0.36</v>
      </c>
      <c r="V18" s="609">
        <v>0.40389999999999998</v>
      </c>
      <c r="W18" s="143">
        <v>40</v>
      </c>
      <c r="X18" s="609">
        <v>4.6800000000000001E-2</v>
      </c>
      <c r="Y18" s="608">
        <v>7.62</v>
      </c>
      <c r="Z18" s="67">
        <v>24254</v>
      </c>
      <c r="AA18" s="143">
        <v>2031</v>
      </c>
      <c r="AB18" s="608">
        <v>91.16</v>
      </c>
      <c r="AC18" s="608">
        <v>0.36</v>
      </c>
      <c r="AD18" s="609">
        <v>8.3699999999999997E-2</v>
      </c>
      <c r="AE18" s="143">
        <v>0.71</v>
      </c>
      <c r="AF18" s="269">
        <f>0.71/2031</f>
        <v>3.4958148695224026E-4</v>
      </c>
      <c r="AG18" s="608">
        <v>129.27000000000001</v>
      </c>
      <c r="AH18" s="67">
        <f t="shared" si="2"/>
        <v>66372</v>
      </c>
      <c r="AI18" s="143">
        <f t="shared" si="3"/>
        <v>3200</v>
      </c>
      <c r="AJ18" s="608">
        <f t="shared" si="0"/>
        <v>806.81</v>
      </c>
      <c r="AK18" s="143"/>
      <c r="AL18" s="143"/>
      <c r="AM18" s="143">
        <f t="shared" si="4"/>
        <v>53.71</v>
      </c>
      <c r="AN18" s="269">
        <f t="shared" si="5"/>
        <v>8.0922678237811121E-4</v>
      </c>
      <c r="AO18" s="282">
        <f t="shared" si="6"/>
        <v>15.021597467883074</v>
      </c>
    </row>
    <row r="19" spans="1:41" ht="15.75" customHeight="1">
      <c r="A19" s="25">
        <v>46125</v>
      </c>
      <c r="B19" s="67">
        <v>3554</v>
      </c>
      <c r="C19" s="143">
        <v>30</v>
      </c>
      <c r="D19" s="608">
        <v>81.95</v>
      </c>
      <c r="E19" s="608">
        <v>2.73</v>
      </c>
      <c r="F19" s="609">
        <v>8.3999999999999995E-3</v>
      </c>
      <c r="G19" s="143">
        <v>3</v>
      </c>
      <c r="H19" s="269">
        <f>G19/C19</f>
        <v>0.1</v>
      </c>
      <c r="I19" s="281">
        <f>D19/G19</f>
        <v>27.316666666666666</v>
      </c>
      <c r="J19" s="67">
        <v>32153</v>
      </c>
      <c r="K19" s="143">
        <v>204</v>
      </c>
      <c r="L19" s="608">
        <v>312.24</v>
      </c>
      <c r="M19" s="608">
        <v>1.53</v>
      </c>
      <c r="N19" s="609">
        <v>6.3E-3</v>
      </c>
      <c r="O19" s="143">
        <v>14</v>
      </c>
      <c r="P19" s="269">
        <f>O19/K19</f>
        <v>6.8627450980392163E-2</v>
      </c>
      <c r="Q19" s="622">
        <f>L19/O19</f>
        <v>22.302857142857142</v>
      </c>
      <c r="R19" s="67">
        <v>2619</v>
      </c>
      <c r="S19" s="143">
        <v>974</v>
      </c>
      <c r="T19" s="608">
        <v>288.47000000000003</v>
      </c>
      <c r="U19" s="608">
        <v>0.3</v>
      </c>
      <c r="V19" s="609">
        <v>0.37190000000000001</v>
      </c>
      <c r="W19" s="143">
        <v>69</v>
      </c>
      <c r="X19" s="609">
        <f>W19/S19</f>
        <v>7.0841889117043116E-2</v>
      </c>
      <c r="Y19" s="608">
        <f>T19/W19</f>
        <v>4.18072463768116</v>
      </c>
      <c r="Z19" s="67">
        <v>28166</v>
      </c>
      <c r="AA19" s="143">
        <v>2143</v>
      </c>
      <c r="AB19" s="608">
        <v>87.07</v>
      </c>
      <c r="AC19" s="608">
        <v>0.04</v>
      </c>
      <c r="AD19" s="609">
        <v>7.6100000000000001E-2</v>
      </c>
      <c r="AE19" s="143">
        <v>0</v>
      </c>
      <c r="AF19" s="269">
        <v>0</v>
      </c>
      <c r="AG19" s="282">
        <v>0</v>
      </c>
      <c r="AH19" s="67">
        <f t="shared" si="2"/>
        <v>66492</v>
      </c>
      <c r="AI19" s="143">
        <f t="shared" si="3"/>
        <v>3351</v>
      </c>
      <c r="AJ19" s="608">
        <f t="shared" si="0"/>
        <v>769.73</v>
      </c>
      <c r="AK19" s="143"/>
      <c r="AL19" s="143"/>
      <c r="AM19" s="143">
        <f t="shared" si="4"/>
        <v>86</v>
      </c>
      <c r="AN19" s="269">
        <f t="shared" si="5"/>
        <v>1.2933886783372435E-3</v>
      </c>
      <c r="AO19" s="282">
        <f t="shared" si="6"/>
        <v>8.9503488372093027</v>
      </c>
    </row>
    <row r="20" spans="1:41" ht="15.75" customHeight="1">
      <c r="A20" s="25">
        <v>46132</v>
      </c>
      <c r="B20" s="67">
        <v>3822</v>
      </c>
      <c r="C20" s="143">
        <v>39</v>
      </c>
      <c r="D20" s="608">
        <v>85.5</v>
      </c>
      <c r="E20" s="608">
        <v>2.19</v>
      </c>
      <c r="F20" s="609">
        <v>1.0200000000000001E-2</v>
      </c>
      <c r="G20" s="143">
        <v>6</v>
      </c>
      <c r="H20" s="269">
        <f>G20/C20</f>
        <v>0.15384615384615385</v>
      </c>
      <c r="I20" s="281">
        <f>D20/G20</f>
        <v>14.25</v>
      </c>
      <c r="J20" s="67">
        <v>39316</v>
      </c>
      <c r="K20" s="143">
        <v>238</v>
      </c>
      <c r="L20" s="608">
        <v>321.27999999999997</v>
      </c>
      <c r="M20" s="608">
        <v>1.35</v>
      </c>
      <c r="N20" s="609">
        <v>6.1000000000000004E-3</v>
      </c>
      <c r="O20" s="143">
        <v>12</v>
      </c>
      <c r="P20" s="269">
        <f>O20/K20</f>
        <v>5.0420168067226892E-2</v>
      </c>
      <c r="Q20" s="622">
        <f>L20/O20</f>
        <v>26.77333333333333</v>
      </c>
      <c r="R20" s="67">
        <v>2965</v>
      </c>
      <c r="S20" s="143">
        <v>1076</v>
      </c>
      <c r="T20" s="608">
        <v>286.36</v>
      </c>
      <c r="U20" s="608">
        <v>0.27</v>
      </c>
      <c r="V20" s="609">
        <v>0.3629</v>
      </c>
      <c r="W20" s="143">
        <v>60</v>
      </c>
      <c r="X20" s="609">
        <f>W20/S20</f>
        <v>5.5762081784386616E-2</v>
      </c>
      <c r="Y20" s="608">
        <f>T20/W20</f>
        <v>4.7726666666666668</v>
      </c>
      <c r="Z20" s="67">
        <v>22284</v>
      </c>
      <c r="AA20" s="143">
        <v>1467</v>
      </c>
      <c r="AB20" s="608">
        <v>80.760000000000005</v>
      </c>
      <c r="AC20" s="608">
        <v>0.06</v>
      </c>
      <c r="AD20" s="609">
        <v>6.5799999999999997E-2</v>
      </c>
      <c r="AE20" s="143">
        <v>0</v>
      </c>
      <c r="AF20" s="269">
        <v>0</v>
      </c>
      <c r="AG20" s="282">
        <v>0</v>
      </c>
      <c r="AH20" s="67">
        <f t="shared" si="2"/>
        <v>68387</v>
      </c>
      <c r="AI20" s="143">
        <f t="shared" si="3"/>
        <v>2820</v>
      </c>
      <c r="AJ20" s="608">
        <f t="shared" si="0"/>
        <v>773.9</v>
      </c>
      <c r="AK20" s="143"/>
      <c r="AL20" s="143"/>
      <c r="AM20" s="143">
        <f t="shared" si="4"/>
        <v>78</v>
      </c>
      <c r="AN20" s="269">
        <f t="shared" si="5"/>
        <v>1.1405676517466769E-3</v>
      </c>
      <c r="AO20" s="282">
        <f t="shared" si="6"/>
        <v>9.9217948717948712</v>
      </c>
    </row>
    <row r="21" spans="1:41" ht="15.75" customHeight="1">
      <c r="A21" s="25">
        <v>46139</v>
      </c>
      <c r="B21" s="67">
        <v>5872</v>
      </c>
      <c r="C21" s="143">
        <v>65</v>
      </c>
      <c r="D21" s="608">
        <v>220.12</v>
      </c>
      <c r="E21" s="608">
        <v>3.39</v>
      </c>
      <c r="F21" s="609" t="s">
        <v>455</v>
      </c>
      <c r="G21" s="143">
        <v>21</v>
      </c>
      <c r="H21" s="609">
        <f>G21/C21</f>
        <v>0.32307692307692309</v>
      </c>
      <c r="I21" s="622">
        <f>D21/G21</f>
        <v>10.481904761904762</v>
      </c>
      <c r="J21" s="67">
        <v>37096</v>
      </c>
      <c r="K21" s="143">
        <v>169</v>
      </c>
      <c r="L21" s="608">
        <v>285.62</v>
      </c>
      <c r="M21" s="608">
        <v>1.69</v>
      </c>
      <c r="N21" s="609">
        <v>4.5999999999999999E-3</v>
      </c>
      <c r="O21" s="143">
        <v>38</v>
      </c>
      <c r="P21" s="609">
        <f>O21/K21</f>
        <v>0.22485207100591717</v>
      </c>
      <c r="Q21" s="622">
        <f>L21/O21</f>
        <v>7.5163157894736843</v>
      </c>
      <c r="R21" s="67">
        <v>3413</v>
      </c>
      <c r="S21" s="143">
        <v>1274</v>
      </c>
      <c r="T21" s="608">
        <v>299.61</v>
      </c>
      <c r="U21" s="608">
        <v>0.24</v>
      </c>
      <c r="V21" s="609">
        <v>0.37330000000000002</v>
      </c>
      <c r="W21" s="143">
        <v>114</v>
      </c>
      <c r="X21" s="609">
        <f>W21/S21</f>
        <v>8.9481946624803771E-2</v>
      </c>
      <c r="Y21" s="608">
        <f>T21/W21</f>
        <v>2.6281578947368422</v>
      </c>
      <c r="Z21" s="67">
        <v>129934</v>
      </c>
      <c r="AA21" s="143">
        <v>9595</v>
      </c>
      <c r="AB21" s="608">
        <v>395.09</v>
      </c>
      <c r="AC21" s="608">
        <v>0.04</v>
      </c>
      <c r="AD21" s="609">
        <v>7.3800000000000004E-2</v>
      </c>
      <c r="AE21" s="143">
        <v>0</v>
      </c>
      <c r="AF21" s="269">
        <v>0</v>
      </c>
      <c r="AG21" s="282">
        <v>0</v>
      </c>
      <c r="AH21" s="67">
        <f t="shared" si="2"/>
        <v>176315</v>
      </c>
      <c r="AI21" s="143">
        <f t="shared" si="3"/>
        <v>11103</v>
      </c>
      <c r="AJ21" s="608">
        <f t="shared" si="0"/>
        <v>1200.44</v>
      </c>
      <c r="AK21" s="143"/>
      <c r="AL21" s="143"/>
      <c r="AM21" s="143">
        <f t="shared" si="4"/>
        <v>173</v>
      </c>
      <c r="AN21" s="269">
        <f t="shared" si="5"/>
        <v>9.8119842327652209E-4</v>
      </c>
      <c r="AO21" s="282">
        <f t="shared" si="6"/>
        <v>6.9389595375722548</v>
      </c>
    </row>
    <row r="22" spans="1:41" ht="15.75" customHeight="1">
      <c r="A22" s="25">
        <v>46146</v>
      </c>
      <c r="B22" s="67">
        <v>0</v>
      </c>
      <c r="C22" s="143">
        <v>0</v>
      </c>
      <c r="D22" s="608">
        <v>0</v>
      </c>
      <c r="E22" s="143">
        <v>0</v>
      </c>
      <c r="F22" s="609">
        <v>0</v>
      </c>
      <c r="G22" s="143">
        <v>0</v>
      </c>
      <c r="H22" s="143">
        <v>0</v>
      </c>
      <c r="I22" s="179">
        <v>0</v>
      </c>
      <c r="J22" s="67">
        <v>29766</v>
      </c>
      <c r="K22" s="143">
        <v>146</v>
      </c>
      <c r="L22" s="608">
        <v>258.45999999999998</v>
      </c>
      <c r="M22" s="608">
        <v>1.77</v>
      </c>
      <c r="N22" s="609">
        <v>4.8999999999999998E-3</v>
      </c>
      <c r="O22" s="143">
        <v>11</v>
      </c>
      <c r="P22" s="609">
        <f>O22/K22</f>
        <v>7.5342465753424653E-2</v>
      </c>
      <c r="Q22" s="622">
        <f>L22/O22</f>
        <v>23.496363636363636</v>
      </c>
      <c r="R22" s="67">
        <v>3851</v>
      </c>
      <c r="S22" s="143">
        <v>1199</v>
      </c>
      <c r="T22" s="608">
        <v>404.86</v>
      </c>
      <c r="U22" s="608">
        <v>0.34</v>
      </c>
      <c r="V22" s="609">
        <v>0.31130000000000002</v>
      </c>
      <c r="W22" s="143">
        <v>30</v>
      </c>
      <c r="X22" s="609">
        <f>W22/S22</f>
        <v>2.5020850708924104E-2</v>
      </c>
      <c r="Y22" s="608">
        <f>T22/W22</f>
        <v>13.495333333333333</v>
      </c>
      <c r="Z22" s="67">
        <v>36300</v>
      </c>
      <c r="AA22" s="143">
        <v>5974</v>
      </c>
      <c r="AB22" s="608">
        <v>80.180000000000007</v>
      </c>
      <c r="AC22" s="608">
        <v>0.01</v>
      </c>
      <c r="AD22" s="609">
        <v>0.1646</v>
      </c>
      <c r="AE22" s="143">
        <v>0</v>
      </c>
      <c r="AF22" s="269">
        <v>0</v>
      </c>
      <c r="AG22" s="282">
        <v>0</v>
      </c>
      <c r="AH22" s="67">
        <f t="shared" si="2"/>
        <v>69917</v>
      </c>
      <c r="AI22" s="143">
        <f t="shared" si="3"/>
        <v>7319</v>
      </c>
      <c r="AJ22" s="608">
        <f t="shared" si="0"/>
        <v>743.5</v>
      </c>
      <c r="AK22" s="143"/>
      <c r="AL22" s="143"/>
      <c r="AM22" s="143">
        <f t="shared" si="4"/>
        <v>41</v>
      </c>
      <c r="AN22" s="269">
        <f t="shared" si="5"/>
        <v>5.8640959995423145E-4</v>
      </c>
      <c r="AO22" s="282">
        <f t="shared" si="6"/>
        <v>18.134146341463413</v>
      </c>
    </row>
    <row r="23" spans="1:41" ht="15.75" customHeight="1">
      <c r="A23" s="25">
        <v>46153</v>
      </c>
      <c r="B23" s="67">
        <v>0</v>
      </c>
      <c r="C23" s="143">
        <v>0</v>
      </c>
      <c r="D23" s="608">
        <v>0</v>
      </c>
      <c r="E23" s="143">
        <v>0</v>
      </c>
      <c r="F23" s="609">
        <v>0</v>
      </c>
      <c r="G23" s="143">
        <v>0</v>
      </c>
      <c r="H23" s="143">
        <v>0</v>
      </c>
      <c r="I23" s="179">
        <v>0</v>
      </c>
      <c r="J23" s="67">
        <v>27061</v>
      </c>
      <c r="K23" s="143">
        <v>132</v>
      </c>
      <c r="L23" s="608">
        <v>234.58</v>
      </c>
      <c r="M23" s="608">
        <v>1.78</v>
      </c>
      <c r="N23" s="269">
        <v>4.8999999999999998E-3</v>
      </c>
      <c r="O23" s="143">
        <v>10</v>
      </c>
      <c r="P23" s="609">
        <f t="shared" ref="P23:P24" si="8">O23/K23</f>
        <v>7.575757575757576E-2</v>
      </c>
      <c r="Q23" s="622">
        <v>23.46</v>
      </c>
      <c r="R23" s="67">
        <v>4545</v>
      </c>
      <c r="S23" s="143">
        <v>1311</v>
      </c>
      <c r="T23" s="282">
        <v>386.16</v>
      </c>
      <c r="U23" s="608">
        <v>0.28999999999999998</v>
      </c>
      <c r="V23" s="609">
        <v>0.28839999999999999</v>
      </c>
      <c r="W23" s="143">
        <v>52.12</v>
      </c>
      <c r="X23" s="269">
        <v>2.98E-2</v>
      </c>
      <c r="Y23" s="608">
        <f t="shared" ref="Y23:Y31" si="9">T23/W23</f>
        <v>7.4090560245587112</v>
      </c>
      <c r="Z23" s="67">
        <v>39504</v>
      </c>
      <c r="AA23" s="143">
        <v>4972</v>
      </c>
      <c r="AB23" s="608">
        <v>93.24</v>
      </c>
      <c r="AC23" s="282">
        <v>0.02</v>
      </c>
      <c r="AD23" s="609">
        <v>0.12590000000000001</v>
      </c>
      <c r="AE23" s="143">
        <v>10</v>
      </c>
      <c r="AF23" s="269">
        <v>2E-3</v>
      </c>
      <c r="AG23" s="282">
        <v>9.32</v>
      </c>
      <c r="AH23" s="67">
        <f t="shared" si="2"/>
        <v>71110</v>
      </c>
      <c r="AI23" s="143">
        <f t="shared" si="3"/>
        <v>6415</v>
      </c>
      <c r="AJ23" s="608">
        <f t="shared" si="0"/>
        <v>713.98</v>
      </c>
      <c r="AK23" s="143"/>
      <c r="AL23" s="143"/>
      <c r="AM23" s="143">
        <f t="shared" si="4"/>
        <v>72.12</v>
      </c>
      <c r="AN23" s="269">
        <f t="shared" si="5"/>
        <v>1.0142033469272959E-3</v>
      </c>
      <c r="AO23" s="282">
        <f t="shared" si="6"/>
        <v>9.8998890737659444</v>
      </c>
    </row>
    <row r="24" spans="1:41" ht="15.75" customHeight="1">
      <c r="A24" s="25">
        <v>46160</v>
      </c>
      <c r="B24" s="67">
        <v>0</v>
      </c>
      <c r="C24" s="143">
        <v>0</v>
      </c>
      <c r="D24" s="608">
        <v>0</v>
      </c>
      <c r="E24" s="143">
        <v>0</v>
      </c>
      <c r="F24" s="609">
        <v>0</v>
      </c>
      <c r="G24" s="143">
        <v>0</v>
      </c>
      <c r="H24" s="143">
        <v>0</v>
      </c>
      <c r="I24" s="179">
        <v>0</v>
      </c>
      <c r="J24" s="67">
        <v>22774</v>
      </c>
      <c r="K24" s="143">
        <v>135</v>
      </c>
      <c r="L24" s="608">
        <v>239.99</v>
      </c>
      <c r="M24" s="608">
        <v>1.78</v>
      </c>
      <c r="N24" s="269">
        <v>5.8999999999999999E-3</v>
      </c>
      <c r="O24" s="143">
        <v>12</v>
      </c>
      <c r="P24" s="609">
        <f t="shared" si="8"/>
        <v>8.8888888888888892E-2</v>
      </c>
      <c r="Q24" s="622">
        <f>L24/O24</f>
        <v>19.999166666666667</v>
      </c>
      <c r="R24" s="67">
        <v>2997</v>
      </c>
      <c r="S24" s="143">
        <v>1331</v>
      </c>
      <c r="T24" s="282">
        <v>338.87</v>
      </c>
      <c r="U24" s="608">
        <v>0.25</v>
      </c>
      <c r="V24" s="609">
        <v>0.44409999999999999</v>
      </c>
      <c r="W24" s="143">
        <v>25.27</v>
      </c>
      <c r="X24" s="269">
        <v>1.9E-2</v>
      </c>
      <c r="Y24" s="608">
        <f t="shared" si="9"/>
        <v>13.409972299168976</v>
      </c>
      <c r="Z24" s="67">
        <v>40235</v>
      </c>
      <c r="AA24" s="143">
        <v>3176</v>
      </c>
      <c r="AB24" s="282">
        <v>80.5</v>
      </c>
      <c r="AC24" s="282">
        <v>0.03</v>
      </c>
      <c r="AD24" s="269">
        <v>7.9399999999999998E-2</v>
      </c>
      <c r="AE24" s="143">
        <v>5</v>
      </c>
      <c r="AF24" s="269">
        <v>0.16</v>
      </c>
      <c r="AG24" s="282">
        <v>16.100000000000001</v>
      </c>
      <c r="AH24" s="67">
        <f t="shared" si="2"/>
        <v>66006</v>
      </c>
      <c r="AI24" s="143">
        <f t="shared" si="3"/>
        <v>4642</v>
      </c>
      <c r="AJ24" s="608">
        <f t="shared" si="0"/>
        <v>659.36</v>
      </c>
      <c r="AK24" s="143"/>
      <c r="AL24" s="143"/>
      <c r="AM24" s="143">
        <f t="shared" si="4"/>
        <v>42.269999999999996</v>
      </c>
      <c r="AN24" s="269">
        <f t="shared" si="5"/>
        <v>6.4039632760658119E-4</v>
      </c>
      <c r="AO24" s="282">
        <f t="shared" si="6"/>
        <v>15.598769813106223</v>
      </c>
    </row>
    <row r="25" spans="1:41" ht="15.75" customHeight="1">
      <c r="A25" s="25">
        <v>46167</v>
      </c>
      <c r="B25" s="67"/>
      <c r="C25" s="143"/>
      <c r="D25" s="143"/>
      <c r="E25" s="143"/>
      <c r="F25" s="143"/>
      <c r="G25" s="143"/>
      <c r="H25" s="143"/>
      <c r="I25" s="179"/>
      <c r="J25" s="67">
        <v>25367</v>
      </c>
      <c r="K25" s="143">
        <v>162</v>
      </c>
      <c r="L25" s="608">
        <v>235.8</v>
      </c>
      <c r="M25" s="608">
        <v>1.27</v>
      </c>
      <c r="N25" s="269">
        <v>7.3000000000000001E-3</v>
      </c>
      <c r="O25" s="143">
        <v>11</v>
      </c>
      <c r="P25" s="609">
        <f>O25/K25</f>
        <v>6.7901234567901231E-2</v>
      </c>
      <c r="Q25" s="622">
        <f>L25/O25</f>
        <v>21.436363636363637</v>
      </c>
      <c r="R25" s="67">
        <v>3956</v>
      </c>
      <c r="S25" s="143">
        <v>1345</v>
      </c>
      <c r="T25" s="282">
        <v>366.93</v>
      </c>
      <c r="U25" s="282">
        <v>0.27</v>
      </c>
      <c r="V25" s="609">
        <v>0.34</v>
      </c>
      <c r="W25" s="143">
        <v>48</v>
      </c>
      <c r="X25" s="269">
        <v>3.5900000000000001E-2</v>
      </c>
      <c r="Y25" s="608">
        <f t="shared" si="9"/>
        <v>7.6443750000000001</v>
      </c>
      <c r="Z25" s="67">
        <v>37173</v>
      </c>
      <c r="AA25" s="143">
        <v>2270</v>
      </c>
      <c r="AB25" s="282">
        <v>76.14</v>
      </c>
      <c r="AC25" s="282">
        <v>0.03</v>
      </c>
      <c r="AD25" s="269">
        <v>6.1100000000000002E-2</v>
      </c>
      <c r="AE25" s="143">
        <v>10</v>
      </c>
      <c r="AF25" s="269">
        <v>4.4000000000000003E-3</v>
      </c>
      <c r="AG25" s="282">
        <v>7.61</v>
      </c>
      <c r="AH25" s="67"/>
      <c r="AI25" s="143"/>
      <c r="AJ25" s="143"/>
      <c r="AK25" s="143"/>
      <c r="AL25" s="143"/>
      <c r="AM25" s="143"/>
      <c r="AN25" s="143"/>
      <c r="AO25" s="143"/>
    </row>
    <row r="26" spans="1:41" ht="15.75" customHeight="1">
      <c r="A26" s="25">
        <v>46174</v>
      </c>
      <c r="B26" s="67"/>
      <c r="C26" s="143"/>
      <c r="D26" s="143"/>
      <c r="E26" s="143"/>
      <c r="F26" s="143"/>
      <c r="G26" s="143"/>
      <c r="H26" s="143"/>
      <c r="I26" s="179"/>
      <c r="J26" s="67">
        <v>24677</v>
      </c>
      <c r="K26" s="143">
        <v>120</v>
      </c>
      <c r="L26" s="608">
        <v>262.81</v>
      </c>
      <c r="M26" s="608">
        <v>2.6</v>
      </c>
      <c r="N26" s="269">
        <v>4.1000000000000003E-3</v>
      </c>
      <c r="O26" s="143">
        <v>13</v>
      </c>
      <c r="P26" s="609">
        <f>O26/K26</f>
        <v>0.10833333333333334</v>
      </c>
      <c r="Q26" s="622">
        <f>L26/O26</f>
        <v>20.216153846153848</v>
      </c>
      <c r="R26" s="67">
        <v>3754</v>
      </c>
      <c r="S26" s="143">
        <v>1679</v>
      </c>
      <c r="T26" s="282">
        <v>293.18</v>
      </c>
      <c r="U26" s="282">
        <v>0.17</v>
      </c>
      <c r="V26" s="609">
        <v>0.44729999999999998</v>
      </c>
      <c r="W26" s="143">
        <v>54</v>
      </c>
      <c r="X26" s="269">
        <v>3.27E-2</v>
      </c>
      <c r="Y26" s="608">
        <f t="shared" si="9"/>
        <v>5.4292592592592595</v>
      </c>
      <c r="Z26" s="67">
        <v>44643</v>
      </c>
      <c r="AA26" s="143">
        <v>2215</v>
      </c>
      <c r="AB26" s="282">
        <v>88.43</v>
      </c>
      <c r="AC26" s="282">
        <v>0.04</v>
      </c>
      <c r="AD26" s="269">
        <v>4.9599999999999998E-2</v>
      </c>
      <c r="AE26" s="143">
        <v>15</v>
      </c>
      <c r="AF26" s="269">
        <v>6.7999999999999996E-3</v>
      </c>
      <c r="AG26" s="282">
        <v>5.9</v>
      </c>
      <c r="AH26" s="67"/>
      <c r="AI26" s="143"/>
      <c r="AJ26" s="143"/>
      <c r="AK26" s="143"/>
      <c r="AL26" s="143"/>
      <c r="AM26" s="143"/>
      <c r="AN26" s="143"/>
      <c r="AO26" s="143"/>
    </row>
    <row r="27" spans="1:41" ht="15.75" customHeight="1">
      <c r="A27" s="25">
        <v>46181</v>
      </c>
      <c r="B27" s="67"/>
      <c r="C27" s="143"/>
      <c r="D27" s="143"/>
      <c r="E27" s="143"/>
      <c r="F27" s="143"/>
      <c r="G27" s="143"/>
      <c r="H27" s="143"/>
      <c r="I27" s="179"/>
      <c r="J27" s="67">
        <v>23630</v>
      </c>
      <c r="K27" s="143">
        <v>93</v>
      </c>
      <c r="L27" s="608">
        <v>248.15</v>
      </c>
      <c r="M27" s="608">
        <v>5.68</v>
      </c>
      <c r="N27" s="269">
        <v>2.2000000000000001E-3</v>
      </c>
      <c r="O27" s="143">
        <v>27</v>
      </c>
      <c r="P27" s="609">
        <f>O27/K27</f>
        <v>0.29032258064516131</v>
      </c>
      <c r="Q27" s="622">
        <f>L27/O27</f>
        <v>9.1907407407407415</v>
      </c>
      <c r="R27" s="67">
        <v>4477</v>
      </c>
      <c r="S27" s="143">
        <v>1990</v>
      </c>
      <c r="T27" s="282">
        <v>387.86</v>
      </c>
      <c r="U27" s="282">
        <v>0.19</v>
      </c>
      <c r="V27" s="609">
        <v>0.44450000000000001</v>
      </c>
      <c r="W27" s="143">
        <v>47</v>
      </c>
      <c r="X27" s="269">
        <v>2.4E-2</v>
      </c>
      <c r="Y27" s="608">
        <f t="shared" si="9"/>
        <v>8.2523404255319157</v>
      </c>
      <c r="Z27" s="67">
        <v>34662</v>
      </c>
      <c r="AA27" s="143">
        <v>2357</v>
      </c>
      <c r="AB27" s="282">
        <v>85.8</v>
      </c>
      <c r="AC27" s="282">
        <v>0.04</v>
      </c>
      <c r="AD27" s="269">
        <v>6.8000000000000005E-2</v>
      </c>
      <c r="AE27" s="143">
        <v>8</v>
      </c>
      <c r="AF27" s="269">
        <v>3.3999999999999998E-3</v>
      </c>
      <c r="AG27" s="282">
        <v>10.72</v>
      </c>
      <c r="AH27" s="67"/>
      <c r="AI27" s="143"/>
      <c r="AJ27" s="143"/>
      <c r="AK27" s="143"/>
      <c r="AL27" s="143"/>
      <c r="AM27" s="143"/>
      <c r="AN27" s="143"/>
      <c r="AO27" s="143"/>
    </row>
    <row r="28" spans="1:41" ht="15.75" customHeight="1">
      <c r="A28" s="25">
        <v>46188</v>
      </c>
      <c r="B28" s="67"/>
      <c r="C28" s="143"/>
      <c r="D28" s="143"/>
      <c r="E28" s="143"/>
      <c r="F28" s="143"/>
      <c r="G28" s="143"/>
      <c r="H28" s="143"/>
      <c r="I28" s="179"/>
      <c r="J28" s="67"/>
      <c r="K28" s="143"/>
      <c r="L28" s="143"/>
      <c r="M28" s="608"/>
      <c r="N28" s="269"/>
      <c r="O28" s="143"/>
      <c r="P28" s="143"/>
      <c r="Q28" s="179"/>
      <c r="R28" s="67"/>
      <c r="S28" s="143"/>
      <c r="T28" s="282"/>
      <c r="U28" s="282"/>
      <c r="V28" s="609"/>
      <c r="W28" s="143"/>
      <c r="X28" s="269"/>
      <c r="Y28" s="608" t="e">
        <f t="shared" si="9"/>
        <v>#DIV/0!</v>
      </c>
      <c r="Z28" s="67"/>
      <c r="AA28" s="143"/>
      <c r="AB28" s="282"/>
      <c r="AC28" s="282"/>
      <c r="AD28" s="269"/>
      <c r="AE28" s="143"/>
      <c r="AF28" s="269"/>
      <c r="AG28" s="282"/>
      <c r="AH28" s="67"/>
      <c r="AI28" s="143"/>
      <c r="AJ28" s="143"/>
      <c r="AK28" s="143"/>
      <c r="AL28" s="143"/>
      <c r="AM28" s="143"/>
      <c r="AN28" s="143"/>
      <c r="AO28" s="143"/>
    </row>
    <row r="29" spans="1:41" ht="15.75" customHeight="1">
      <c r="A29" s="25">
        <v>46195</v>
      </c>
      <c r="B29" s="67"/>
      <c r="C29" s="143"/>
      <c r="D29" s="143"/>
      <c r="E29" s="143"/>
      <c r="F29" s="143"/>
      <c r="G29" s="143"/>
      <c r="H29" s="143"/>
      <c r="I29" s="179"/>
      <c r="J29" s="67"/>
      <c r="K29" s="143"/>
      <c r="L29" s="143"/>
      <c r="M29" s="608"/>
      <c r="N29" s="143"/>
      <c r="O29" s="143"/>
      <c r="P29" s="143"/>
      <c r="Q29" s="179"/>
      <c r="R29" s="67"/>
      <c r="S29" s="143"/>
      <c r="T29" s="282"/>
      <c r="U29" s="282"/>
      <c r="V29" s="143"/>
      <c r="W29" s="143"/>
      <c r="X29" s="269"/>
      <c r="Y29" s="608" t="e">
        <f t="shared" si="9"/>
        <v>#DIV/0!</v>
      </c>
      <c r="Z29" s="67"/>
      <c r="AA29" s="143"/>
      <c r="AB29" s="282"/>
      <c r="AC29" s="282"/>
      <c r="AD29" s="269"/>
      <c r="AE29" s="143"/>
      <c r="AF29" s="269"/>
      <c r="AG29" s="282"/>
      <c r="AH29" s="67"/>
      <c r="AI29" s="143"/>
      <c r="AJ29" s="143"/>
      <c r="AK29" s="143"/>
      <c r="AL29" s="143"/>
      <c r="AM29" s="143"/>
      <c r="AN29" s="143"/>
      <c r="AO29" s="143"/>
    </row>
    <row r="30" spans="1:41" ht="15.75" customHeight="1">
      <c r="A30" s="25">
        <v>46202</v>
      </c>
      <c r="B30" s="67"/>
      <c r="C30" s="143"/>
      <c r="D30" s="143"/>
      <c r="E30" s="143"/>
      <c r="F30" s="143"/>
      <c r="G30" s="143"/>
      <c r="H30" s="143"/>
      <c r="I30" s="179"/>
      <c r="J30" s="67"/>
      <c r="K30" s="143"/>
      <c r="L30" s="143"/>
      <c r="M30" s="608"/>
      <c r="N30" s="143"/>
      <c r="O30" s="143"/>
      <c r="P30" s="143"/>
      <c r="Q30" s="179"/>
      <c r="R30" s="67"/>
      <c r="S30" s="143"/>
      <c r="T30" s="282"/>
      <c r="U30" s="282"/>
      <c r="V30" s="143"/>
      <c r="W30" s="143"/>
      <c r="X30" s="269"/>
      <c r="Y30" s="608" t="e">
        <f t="shared" si="9"/>
        <v>#DIV/0!</v>
      </c>
      <c r="Z30" s="67"/>
      <c r="AA30" s="143"/>
      <c r="AB30" s="282"/>
      <c r="AC30" s="282"/>
      <c r="AD30" s="269"/>
      <c r="AE30" s="143"/>
      <c r="AF30" s="269"/>
      <c r="AG30" s="282"/>
      <c r="AH30" s="67"/>
      <c r="AI30" s="143"/>
      <c r="AJ30" s="143"/>
      <c r="AK30" s="143"/>
      <c r="AL30" s="143"/>
      <c r="AM30" s="143"/>
      <c r="AN30" s="143"/>
      <c r="AO30" s="143"/>
    </row>
    <row r="31" spans="1:41" ht="15.75" customHeight="1">
      <c r="A31" s="25">
        <v>46209</v>
      </c>
      <c r="B31" s="67"/>
      <c r="C31" s="143"/>
      <c r="D31" s="143"/>
      <c r="E31" s="143"/>
      <c r="F31" s="143"/>
      <c r="G31" s="143"/>
      <c r="H31" s="143"/>
      <c r="I31" s="179"/>
      <c r="J31" s="67"/>
      <c r="K31" s="143"/>
      <c r="L31" s="143"/>
      <c r="M31" s="608"/>
      <c r="N31" s="143"/>
      <c r="O31" s="143"/>
      <c r="P31" s="143"/>
      <c r="Q31" s="179"/>
      <c r="R31" s="67"/>
      <c r="S31" s="143"/>
      <c r="T31" s="282"/>
      <c r="U31" s="282"/>
      <c r="V31" s="143"/>
      <c r="W31" s="143"/>
      <c r="X31" s="269"/>
      <c r="Y31" s="608" t="e">
        <f t="shared" si="9"/>
        <v>#DIV/0!</v>
      </c>
      <c r="Z31" s="67"/>
      <c r="AA31" s="143"/>
      <c r="AB31" s="282"/>
      <c r="AC31" s="282"/>
      <c r="AD31" s="269"/>
      <c r="AE31" s="143"/>
      <c r="AF31" s="269"/>
      <c r="AG31" s="282"/>
      <c r="AH31" s="67"/>
      <c r="AI31" s="143"/>
      <c r="AJ31" s="143"/>
      <c r="AK31" s="143"/>
      <c r="AL31" s="143"/>
      <c r="AM31" s="143"/>
      <c r="AN31" s="143"/>
      <c r="AO31" s="143"/>
    </row>
    <row r="32" spans="1:41" ht="15" customHeight="1">
      <c r="M32" s="608"/>
    </row>
    <row r="33" spans="1:41" ht="15" customHeight="1">
      <c r="M33" s="608"/>
    </row>
    <row r="34" spans="1:41" ht="15.75" customHeight="1">
      <c r="A34" s="153" t="s">
        <v>365</v>
      </c>
      <c r="B34" s="156">
        <f>SUM(B5:B31)</f>
        <v>111528</v>
      </c>
      <c r="C34" s="156">
        <f>SUM(C5:C31)</f>
        <v>1096</v>
      </c>
      <c r="D34" s="154">
        <f>SUM(D5:D31)</f>
        <v>1136.3499999999999</v>
      </c>
      <c r="E34" s="464">
        <f>D34/C34</f>
        <v>1.0368156934306569</v>
      </c>
      <c r="F34" s="334">
        <f>C34/B34</f>
        <v>9.8271286134423638E-3</v>
      </c>
      <c r="G34" s="156">
        <f>SUM(G5:G9)</f>
        <v>0</v>
      </c>
      <c r="H34" s="155">
        <f>G34/C34</f>
        <v>0</v>
      </c>
      <c r="I34" s="154" t="e">
        <f>D34/G34</f>
        <v>#DIV/0!</v>
      </c>
      <c r="J34" s="156">
        <f>SUM(J5:J25)</f>
        <v>510884</v>
      </c>
      <c r="K34" s="156">
        <f>SUM(K5:K25)</f>
        <v>4007</v>
      </c>
      <c r="L34" s="154">
        <f>SUM(L8:L25)</f>
        <v>5264.58</v>
      </c>
      <c r="M34" s="154">
        <f>L34/K34</f>
        <v>1.3138457699026702</v>
      </c>
      <c r="N34" s="155">
        <f>K34/J34</f>
        <v>7.8432677476687473E-3</v>
      </c>
      <c r="O34" s="156">
        <f>SUM(O5:O9)</f>
        <v>5</v>
      </c>
      <c r="P34" s="155">
        <f>O34/K34</f>
        <v>1.2478163214374844E-3</v>
      </c>
      <c r="Q34" s="154">
        <f>L34/O34</f>
        <v>1052.9159999999999</v>
      </c>
      <c r="R34" s="156">
        <f>SUM(R5:R31)</f>
        <v>55823</v>
      </c>
      <c r="S34" s="156">
        <f>SUM(S5:S9)</f>
        <v>993</v>
      </c>
      <c r="T34" s="154">
        <f>SUM(T5:T22)</f>
        <v>3905.0600000000009</v>
      </c>
      <c r="U34" s="154">
        <f>T34/S34</f>
        <v>3.9325881168177248</v>
      </c>
      <c r="V34" s="155">
        <f>S34/R34</f>
        <v>1.7788366802214142E-2</v>
      </c>
      <c r="W34" s="465">
        <f>SUM(W14:W33)</f>
        <v>707.39</v>
      </c>
      <c r="X34" s="155">
        <f>W34/S34</f>
        <v>0.71237663645518634</v>
      </c>
      <c r="Y34" s="154">
        <f>T34/W34</f>
        <v>5.5203777265723302</v>
      </c>
      <c r="Z34" s="156">
        <f>SUM(Z5:Z22)</f>
        <v>498415</v>
      </c>
      <c r="AA34" s="156">
        <f>SUM(AA5:AA9)</f>
        <v>555</v>
      </c>
      <c r="AB34" s="154">
        <f>SUM(AB5:AB22)</f>
        <v>1658.8799999999999</v>
      </c>
      <c r="AC34" s="154">
        <f>AB34/AA34</f>
        <v>2.9889729729729728</v>
      </c>
      <c r="AD34" s="155">
        <f>AA34/Z34</f>
        <v>1.1135298897505092E-3</v>
      </c>
      <c r="AE34" s="156">
        <f>SUM(AE5:AE9)</f>
        <v>0</v>
      </c>
      <c r="AF34" s="155">
        <f>AE34/AA34</f>
        <v>0</v>
      </c>
      <c r="AG34" s="154" t="e">
        <f>AB34/AE34</f>
        <v>#DIV/0!</v>
      </c>
      <c r="AH34" s="156" t="e">
        <f>SUM(AH5:AH22)</f>
        <v>#VALUE!</v>
      </c>
      <c r="AI34" s="156">
        <f>SUM(AI5:AI9)</f>
        <v>2460</v>
      </c>
      <c r="AJ34" s="154">
        <f>SUM(AJ5:AJ22)</f>
        <v>11254.5</v>
      </c>
      <c r="AK34" s="154">
        <f>AJ34/AI34</f>
        <v>4.5750000000000002</v>
      </c>
      <c r="AL34" s="155" t="e">
        <f>AI34/AH34</f>
        <v>#VALUE!</v>
      </c>
      <c r="AM34" s="156">
        <f>SUM(AM5:AM9)</f>
        <v>11</v>
      </c>
      <c r="AN34" s="155">
        <f>AM34/AI34</f>
        <v>4.4715447154471547E-3</v>
      </c>
      <c r="AO34" s="154">
        <f>AJ34/AM34</f>
        <v>1023.1363636363636</v>
      </c>
    </row>
    <row r="35" spans="1:41" ht="15.75" customHeight="1">
      <c r="A35" s="226" t="s">
        <v>366</v>
      </c>
      <c r="B35" s="227"/>
      <c r="C35" s="227"/>
      <c r="D35" s="228"/>
      <c r="E35" s="228"/>
      <c r="F35" s="229"/>
      <c r="G35" s="227"/>
      <c r="H35" s="229"/>
      <c r="I35" s="228"/>
      <c r="J35" s="227"/>
      <c r="K35" s="227"/>
      <c r="L35" s="228"/>
      <c r="M35" s="228"/>
      <c r="N35" s="229"/>
      <c r="O35" s="227"/>
      <c r="P35" s="229"/>
      <c r="Q35" s="228"/>
      <c r="R35" s="227"/>
      <c r="S35" s="227"/>
      <c r="T35" s="228"/>
      <c r="U35" s="228"/>
      <c r="V35" s="229"/>
      <c r="W35" s="227"/>
      <c r="X35" s="229"/>
      <c r="Y35" s="228"/>
      <c r="Z35" s="227"/>
      <c r="AA35" s="227"/>
      <c r="AB35" s="228"/>
      <c r="AC35" s="228"/>
      <c r="AD35" s="229"/>
      <c r="AE35" s="227"/>
      <c r="AF35" s="229"/>
      <c r="AG35" s="228"/>
      <c r="AH35" s="227"/>
      <c r="AI35" s="227"/>
      <c r="AJ35" s="228"/>
      <c r="AK35" s="228"/>
      <c r="AL35" s="229"/>
      <c r="AM35" s="227"/>
      <c r="AN35" s="229"/>
      <c r="AO35" s="228"/>
    </row>
    <row r="36" spans="1:41" ht="15.75" customHeight="1">
      <c r="A36" s="230" t="s">
        <v>367</v>
      </c>
      <c r="B36" s="231"/>
      <c r="C36" s="231"/>
      <c r="D36" s="232"/>
      <c r="E36" s="232"/>
      <c r="F36" s="233"/>
      <c r="G36" s="231"/>
      <c r="H36" s="233"/>
      <c r="I36" s="232"/>
      <c r="J36" s="231"/>
      <c r="K36" s="231"/>
      <c r="L36" s="232">
        <f>L35-L34</f>
        <v>-5264.58</v>
      </c>
      <c r="M36" s="232"/>
      <c r="N36" s="233"/>
      <c r="O36" s="231"/>
      <c r="P36" s="233"/>
      <c r="Q36" s="232"/>
      <c r="R36" s="231"/>
      <c r="S36" s="231"/>
      <c r="T36" s="232"/>
      <c r="U36" s="232"/>
      <c r="V36" s="233"/>
      <c r="W36" s="231"/>
      <c r="X36" s="233"/>
      <c r="Y36" s="232"/>
      <c r="Z36" s="231"/>
      <c r="AA36" s="231"/>
      <c r="AB36" s="232"/>
      <c r="AC36" s="232"/>
      <c r="AD36" s="233"/>
      <c r="AE36" s="231"/>
      <c r="AF36" s="233"/>
      <c r="AG36" s="232"/>
      <c r="AH36" s="231"/>
      <c r="AI36" s="231"/>
      <c r="AJ36" s="232"/>
      <c r="AK36" s="232"/>
      <c r="AL36" s="233"/>
      <c r="AM36" s="231"/>
      <c r="AN36" s="233"/>
      <c r="AO36" s="232"/>
    </row>
    <row r="37" spans="1:41" ht="15.75" customHeight="1"/>
    <row r="38" spans="1:41" ht="15.75" customHeight="1"/>
    <row r="39" spans="1:41" ht="15.75" customHeight="1"/>
    <row r="40" spans="1:41" ht="15.75" customHeight="1"/>
    <row r="41" spans="1:41" ht="15.75" customHeight="1"/>
    <row r="42" spans="1:41" ht="15.75" customHeight="1"/>
    <row r="43" spans="1:41" ht="15.75" customHeight="1"/>
    <row r="44" spans="1:41" ht="15.75" customHeight="1"/>
    <row r="45" spans="1:41" ht="15.75" customHeight="1"/>
    <row r="46" spans="1:41" ht="15.75" customHeight="1"/>
    <row r="47" spans="1:41" ht="15.75" customHeight="1"/>
    <row r="48" spans="1:4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4"/>
  </sheetData>
  <phoneticPr fontId="53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0E1B6-4880-46C7-9EA9-FAF86599F2F3}">
  <dimension ref="C3:G36"/>
  <sheetViews>
    <sheetView topLeftCell="D22" zoomScale="168" workbookViewId="0">
      <selection activeCell="H23" sqref="H23"/>
    </sheetView>
  </sheetViews>
  <sheetFormatPr defaultColWidth="11" defaultRowHeight="14"/>
  <cols>
    <col min="3" max="3" width="33.33203125" customWidth="1"/>
    <col min="4" max="4" width="19.08203125" customWidth="1"/>
  </cols>
  <sheetData>
    <row r="3" spans="3:4">
      <c r="C3" t="s">
        <v>456</v>
      </c>
      <c r="D3" s="641">
        <v>1638500</v>
      </c>
    </row>
    <row r="4" spans="3:4">
      <c r="C4" t="s">
        <v>457</v>
      </c>
      <c r="D4" s="641">
        <v>13700</v>
      </c>
    </row>
    <row r="24" spans="3:7">
      <c r="D24" t="s">
        <v>458</v>
      </c>
      <c r="E24" t="s">
        <v>459</v>
      </c>
      <c r="F24" t="s">
        <v>460</v>
      </c>
    </row>
    <row r="25" spans="3:7">
      <c r="C25" t="s">
        <v>32</v>
      </c>
      <c r="D25" s="644">
        <v>5617.42</v>
      </c>
      <c r="E25" s="644">
        <f>F25-D25</f>
        <v>246.22999999999956</v>
      </c>
      <c r="F25" s="644">
        <v>5863.65</v>
      </c>
      <c r="G25" s="644"/>
    </row>
    <row r="26" spans="3:7">
      <c r="C26" t="s">
        <v>31</v>
      </c>
      <c r="D26" s="644">
        <v>1136.3499999999999</v>
      </c>
      <c r="E26" s="644">
        <v>0</v>
      </c>
      <c r="F26" s="644">
        <v>1136.3499999999999</v>
      </c>
      <c r="G26" s="644"/>
    </row>
    <row r="27" spans="3:7">
      <c r="C27" t="s">
        <v>461</v>
      </c>
      <c r="D27" s="644">
        <v>5517.19</v>
      </c>
      <c r="E27" s="644">
        <f>F27-D27</f>
        <v>482.8100000000004</v>
      </c>
      <c r="F27" s="644">
        <v>6000</v>
      </c>
      <c r="G27" s="644"/>
    </row>
    <row r="28" spans="3:7">
      <c r="C28" t="s">
        <v>34</v>
      </c>
      <c r="D28" s="644">
        <v>1997.36</v>
      </c>
      <c r="E28" s="644">
        <f>F28-D28</f>
        <v>2.6400000000001</v>
      </c>
      <c r="F28" s="644">
        <v>2000</v>
      </c>
      <c r="G28" s="644"/>
    </row>
    <row r="29" spans="3:7">
      <c r="D29" s="671">
        <f>SUM(D25:D28)</f>
        <v>14268.32</v>
      </c>
    </row>
    <row r="33" spans="3:6">
      <c r="C33" t="s">
        <v>32</v>
      </c>
      <c r="D33" s="644">
        <v>5385.37</v>
      </c>
      <c r="E33" s="644">
        <f>F33-D33</f>
        <v>114.63000000000011</v>
      </c>
      <c r="F33" s="644">
        <v>5500</v>
      </c>
    </row>
    <row r="34" spans="3:6">
      <c r="C34" t="s">
        <v>31</v>
      </c>
      <c r="D34" s="644">
        <v>1136.3499999999999</v>
      </c>
      <c r="E34" s="644">
        <v>363.65</v>
      </c>
      <c r="F34" s="644">
        <v>1500</v>
      </c>
    </row>
    <row r="35" spans="3:6">
      <c r="C35" t="s">
        <v>461</v>
      </c>
      <c r="D35" s="644">
        <v>3535.74</v>
      </c>
      <c r="E35" s="644">
        <v>2464.2600000000002</v>
      </c>
      <c r="F35" s="644">
        <v>6000</v>
      </c>
    </row>
    <row r="36" spans="3:6">
      <c r="C36" t="s">
        <v>34</v>
      </c>
      <c r="D36" s="644">
        <v>1560.13</v>
      </c>
      <c r="E36" s="644">
        <v>439.87</v>
      </c>
      <c r="F36" s="644">
        <v>2000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161AE-6D9E-E547-8C0F-B68B77EE2F42}">
  <sheetPr>
    <tabColor theme="5"/>
  </sheetPr>
  <dimension ref="B2:B5"/>
  <sheetViews>
    <sheetView workbookViewId="0">
      <selection activeCell="C10" sqref="C10"/>
    </sheetView>
  </sheetViews>
  <sheetFormatPr defaultColWidth="11.5" defaultRowHeight="14"/>
  <sheetData>
    <row r="2" spans="2:2">
      <c r="B2" s="384" t="s">
        <v>462</v>
      </c>
    </row>
    <row r="3" spans="2:2">
      <c r="B3" t="s">
        <v>463</v>
      </c>
    </row>
    <row r="4" spans="2:2">
      <c r="B4" t="s">
        <v>464</v>
      </c>
    </row>
    <row r="5" spans="2:2">
      <c r="B5" t="s">
        <v>465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928BB-F109-A949-8953-7E6BADA29045}">
  <dimension ref="A1:AA99"/>
  <sheetViews>
    <sheetView showGridLines="0" topLeftCell="A51" zoomScale="90" zoomScaleNormal="90" workbookViewId="0">
      <pane xSplit="1" topLeftCell="Q1" activePane="topRight" state="frozen"/>
      <selection pane="topRight" activeCell="X36" sqref="X36"/>
    </sheetView>
  </sheetViews>
  <sheetFormatPr defaultColWidth="11.5" defaultRowHeight="14.25" customHeight="1"/>
  <cols>
    <col min="1" max="1" width="38.33203125" customWidth="1"/>
    <col min="2" max="2" width="17.08203125" customWidth="1"/>
    <col min="3" max="3" width="14" customWidth="1"/>
    <col min="4" max="11" width="10.5" customWidth="1"/>
    <col min="12" max="14" width="16" customWidth="1"/>
    <col min="15" max="15" width="18" bestFit="1" customWidth="1"/>
    <col min="16" max="25" width="16" customWidth="1"/>
    <col min="26" max="26" width="15.5" customWidth="1"/>
    <col min="27" max="27" width="26" customWidth="1"/>
    <col min="28" max="28" width="21" bestFit="1" customWidth="1"/>
    <col min="29" max="29" width="10" customWidth="1"/>
    <col min="32" max="32" width="21" bestFit="1" customWidth="1"/>
  </cols>
  <sheetData>
    <row r="1" spans="1:27" s="3" customFormat="1" ht="23.25" customHeight="1">
      <c r="A1" s="17" t="s">
        <v>466</v>
      </c>
      <c r="B1" s="593"/>
      <c r="C1" s="8"/>
      <c r="D1" s="8"/>
      <c r="E1" s="9"/>
      <c r="F1" s="10"/>
      <c r="G1" s="10"/>
      <c r="H1" s="10"/>
      <c r="I1" s="11"/>
      <c r="J1" s="11"/>
      <c r="K1" s="11"/>
      <c r="L1" s="11"/>
      <c r="M1" s="11"/>
      <c r="N1" s="11"/>
      <c r="O1" s="11"/>
      <c r="P1" s="11"/>
      <c r="Q1" s="11"/>
      <c r="R1" s="11"/>
      <c r="S1" s="43"/>
      <c r="T1" s="43"/>
      <c r="U1" s="43"/>
      <c r="V1" s="43"/>
      <c r="W1" s="43"/>
      <c r="X1" s="43"/>
      <c r="Y1" s="43"/>
      <c r="Z1" s="43"/>
      <c r="AA1" s="43"/>
    </row>
    <row r="2" spans="1:27" s="12" customFormat="1" ht="14">
      <c r="A2" s="45" t="s">
        <v>467</v>
      </c>
      <c r="B2" s="59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</row>
    <row r="3" spans="1:27" s="12" customFormat="1" ht="14">
      <c r="A3" s="658"/>
      <c r="B3" s="658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</row>
    <row r="4" spans="1:27" s="661" customFormat="1" ht="23">
      <c r="A4" s="662" t="s">
        <v>468</v>
      </c>
      <c r="B4" s="659"/>
      <c r="C4" s="660"/>
      <c r="D4" s="660"/>
      <c r="E4" s="660"/>
      <c r="F4" s="660"/>
      <c r="G4" s="660"/>
      <c r="H4" s="660"/>
      <c r="I4" s="660"/>
      <c r="J4" s="660"/>
      <c r="K4" s="660"/>
      <c r="L4" s="660"/>
      <c r="M4" s="660"/>
      <c r="N4" s="660"/>
      <c r="O4" s="660"/>
      <c r="P4" s="660"/>
      <c r="Q4" s="660"/>
      <c r="R4" s="660"/>
    </row>
    <row r="5" spans="1:27" s="12" customFormat="1" ht="14">
      <c r="A5" s="658"/>
      <c r="B5" s="658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</row>
    <row r="6" spans="1:27" ht="14.25" customHeight="1">
      <c r="J6" s="361" t="s">
        <v>469</v>
      </c>
      <c r="N6" t="s">
        <v>470</v>
      </c>
      <c r="R6" s="361" t="s">
        <v>471</v>
      </c>
      <c r="T6" s="634"/>
      <c r="AA6" s="49" t="s">
        <v>472</v>
      </c>
    </row>
    <row r="7" spans="1:27" ht="18">
      <c r="A7" s="352" t="s">
        <v>473</v>
      </c>
      <c r="B7" s="42">
        <v>24</v>
      </c>
      <c r="C7" s="42">
        <v>23</v>
      </c>
      <c r="D7" s="42">
        <v>22</v>
      </c>
      <c r="E7" s="42">
        <v>21</v>
      </c>
      <c r="F7" s="42">
        <v>20</v>
      </c>
      <c r="G7" s="42">
        <v>19</v>
      </c>
      <c r="H7" s="42">
        <v>18</v>
      </c>
      <c r="I7" s="42">
        <v>17</v>
      </c>
      <c r="J7" s="42">
        <v>16</v>
      </c>
      <c r="K7" s="42">
        <v>15</v>
      </c>
      <c r="L7" s="42">
        <v>14</v>
      </c>
      <c r="M7" s="298">
        <v>13</v>
      </c>
      <c r="N7" s="300">
        <v>12</v>
      </c>
      <c r="O7" s="610">
        <v>11</v>
      </c>
      <c r="P7" s="42">
        <v>10</v>
      </c>
      <c r="Q7" s="42">
        <v>9</v>
      </c>
      <c r="R7" s="298">
        <v>8</v>
      </c>
      <c r="S7" s="300">
        <v>7</v>
      </c>
      <c r="T7" s="354">
        <v>6</v>
      </c>
      <c r="U7" s="42">
        <v>5</v>
      </c>
      <c r="V7" s="42">
        <v>4</v>
      </c>
      <c r="W7" s="42">
        <v>3</v>
      </c>
      <c r="X7" s="42">
        <v>2</v>
      </c>
      <c r="Y7" s="42">
        <v>1</v>
      </c>
      <c r="Z7" s="42">
        <v>0</v>
      </c>
    </row>
    <row r="8" spans="1:27" ht="14">
      <c r="A8" s="47" t="s">
        <v>474</v>
      </c>
      <c r="B8" s="42"/>
      <c r="C8" s="5" t="s">
        <v>475</v>
      </c>
      <c r="D8" s="5" t="s">
        <v>476</v>
      </c>
      <c r="E8" s="5" t="s">
        <v>477</v>
      </c>
      <c r="F8" s="5" t="s">
        <v>478</v>
      </c>
      <c r="G8" s="5" t="s">
        <v>479</v>
      </c>
      <c r="H8" s="5" t="s">
        <v>480</v>
      </c>
      <c r="I8" s="5" t="s">
        <v>481</v>
      </c>
      <c r="J8" s="5" t="s">
        <v>482</v>
      </c>
      <c r="K8" s="5" t="s">
        <v>483</v>
      </c>
      <c r="L8" s="48" t="s">
        <v>484</v>
      </c>
      <c r="M8" s="299" t="s">
        <v>485</v>
      </c>
      <c r="N8" s="357" t="s">
        <v>486</v>
      </c>
      <c r="O8" s="355" t="s">
        <v>487</v>
      </c>
      <c r="P8" s="5" t="s">
        <v>488</v>
      </c>
      <c r="Q8" s="5" t="s">
        <v>489</v>
      </c>
      <c r="R8" s="299" t="s">
        <v>490</v>
      </c>
      <c r="S8" s="357" t="s">
        <v>491</v>
      </c>
      <c r="T8" s="355" t="s">
        <v>492</v>
      </c>
      <c r="U8" s="5" t="s">
        <v>493</v>
      </c>
      <c r="V8" s="5" t="s">
        <v>494</v>
      </c>
      <c r="W8" s="5" t="s">
        <v>495</v>
      </c>
      <c r="X8" s="5" t="s">
        <v>496</v>
      </c>
      <c r="Y8" s="5" t="s">
        <v>497</v>
      </c>
      <c r="Z8" s="48" t="s">
        <v>498</v>
      </c>
    </row>
    <row r="9" spans="1:27" ht="14">
      <c r="A9" s="47" t="s">
        <v>499</v>
      </c>
      <c r="B9" s="637" t="s">
        <v>500</v>
      </c>
      <c r="C9" s="637" t="s">
        <v>501</v>
      </c>
      <c r="D9" s="637" t="s">
        <v>502</v>
      </c>
      <c r="E9" s="637" t="s">
        <v>503</v>
      </c>
      <c r="F9" s="637" t="s">
        <v>504</v>
      </c>
      <c r="G9" s="637" t="s">
        <v>505</v>
      </c>
      <c r="H9" s="637" t="s">
        <v>506</v>
      </c>
      <c r="I9" s="637" t="s">
        <v>507</v>
      </c>
      <c r="J9" s="637" t="s">
        <v>508</v>
      </c>
      <c r="K9" s="638" t="s">
        <v>509</v>
      </c>
      <c r="L9" s="639" t="s">
        <v>510</v>
      </c>
      <c r="M9" s="640" t="s">
        <v>511</v>
      </c>
      <c r="N9" s="637" t="s">
        <v>512</v>
      </c>
      <c r="O9" s="637" t="s">
        <v>513</v>
      </c>
      <c r="P9" s="299" t="s">
        <v>514</v>
      </c>
      <c r="Q9" s="357" t="s">
        <v>515</v>
      </c>
      <c r="R9" s="355" t="s">
        <v>516</v>
      </c>
      <c r="S9" s="5" t="s">
        <v>517</v>
      </c>
      <c r="T9" s="5" t="s">
        <v>518</v>
      </c>
      <c r="U9" s="5" t="s">
        <v>519</v>
      </c>
      <c r="V9" s="5" t="s">
        <v>520</v>
      </c>
      <c r="W9" s="5" t="s">
        <v>521</v>
      </c>
      <c r="X9" s="48" t="s">
        <v>522</v>
      </c>
      <c r="Y9" s="48" t="s">
        <v>523</v>
      </c>
      <c r="Z9" s="48" t="s">
        <v>524</v>
      </c>
      <c r="AA9" s="48" t="s">
        <v>525</v>
      </c>
    </row>
    <row r="10" spans="1:27" ht="14">
      <c r="A10" s="6">
        <v>2023</v>
      </c>
      <c r="B10" s="93">
        <v>0</v>
      </c>
      <c r="C10" s="93">
        <v>0</v>
      </c>
      <c r="D10" s="93">
        <v>4</v>
      </c>
      <c r="E10" s="93">
        <v>18</v>
      </c>
      <c r="F10" s="93">
        <v>21</v>
      </c>
      <c r="G10" s="93">
        <v>140</v>
      </c>
      <c r="H10" s="93">
        <v>54</v>
      </c>
      <c r="I10" s="93">
        <v>273</v>
      </c>
      <c r="J10" s="93">
        <v>134</v>
      </c>
      <c r="K10" s="93">
        <v>163</v>
      </c>
      <c r="L10" s="93">
        <v>188</v>
      </c>
      <c r="M10" s="353">
        <v>236</v>
      </c>
      <c r="N10" s="358">
        <v>161</v>
      </c>
      <c r="O10" s="356">
        <v>148</v>
      </c>
      <c r="P10" s="93">
        <v>177</v>
      </c>
      <c r="Q10" s="93">
        <v>202</v>
      </c>
      <c r="R10" s="353">
        <v>245</v>
      </c>
      <c r="S10" s="358">
        <v>257</v>
      </c>
      <c r="T10" s="356">
        <v>496</v>
      </c>
      <c r="U10" s="93">
        <v>1029</v>
      </c>
      <c r="V10" s="93">
        <v>157</v>
      </c>
      <c r="W10" s="93">
        <v>163</v>
      </c>
      <c r="X10" s="93">
        <v>285</v>
      </c>
      <c r="Y10" s="93">
        <v>256</v>
      </c>
      <c r="Z10" s="93">
        <v>170</v>
      </c>
      <c r="AA10" s="254">
        <v>19</v>
      </c>
    </row>
    <row r="11" spans="1:27" ht="14">
      <c r="A11" s="6">
        <v>2024</v>
      </c>
      <c r="B11" s="93">
        <v>0</v>
      </c>
      <c r="C11" s="93">
        <v>0</v>
      </c>
      <c r="D11" s="93">
        <v>0</v>
      </c>
      <c r="E11" s="93">
        <v>0</v>
      </c>
      <c r="F11" s="93">
        <v>0</v>
      </c>
      <c r="G11" s="93">
        <v>0</v>
      </c>
      <c r="H11" s="93">
        <v>0</v>
      </c>
      <c r="I11" s="93">
        <v>0</v>
      </c>
      <c r="J11" s="93">
        <v>0</v>
      </c>
      <c r="K11" s="93">
        <v>62</v>
      </c>
      <c r="L11" s="93">
        <v>477</v>
      </c>
      <c r="M11" s="353">
        <v>483</v>
      </c>
      <c r="N11" s="358">
        <v>883</v>
      </c>
      <c r="O11" s="356">
        <v>155</v>
      </c>
      <c r="P11" s="93">
        <v>184</v>
      </c>
      <c r="Q11" s="93">
        <v>139</v>
      </c>
      <c r="R11" s="353">
        <v>197</v>
      </c>
      <c r="S11" s="358">
        <v>324</v>
      </c>
      <c r="T11" s="356">
        <v>226</v>
      </c>
      <c r="U11" s="93">
        <v>361</v>
      </c>
      <c r="V11" s="93">
        <v>199</v>
      </c>
      <c r="W11" s="93">
        <v>217</v>
      </c>
      <c r="X11" s="93">
        <v>271</v>
      </c>
      <c r="Y11" s="93">
        <v>441</v>
      </c>
      <c r="Z11" s="93">
        <v>34</v>
      </c>
    </row>
    <row r="12" spans="1:27" ht="14">
      <c r="A12" s="6">
        <v>2026</v>
      </c>
      <c r="B12" s="93"/>
      <c r="C12" s="93"/>
      <c r="D12" s="93"/>
      <c r="E12" s="93"/>
      <c r="F12" s="93"/>
      <c r="G12" s="93"/>
      <c r="H12" s="93"/>
      <c r="I12" s="93"/>
      <c r="J12" s="93"/>
      <c r="K12" s="93">
        <f>K20+K27</f>
        <v>791</v>
      </c>
      <c r="L12" s="93">
        <f t="shared" ref="L12:S12" si="0">L20+L27</f>
        <v>113</v>
      </c>
      <c r="M12" s="93">
        <f t="shared" si="0"/>
        <v>119</v>
      </c>
      <c r="N12" s="93">
        <f t="shared" si="0"/>
        <v>89</v>
      </c>
      <c r="O12" s="93">
        <f t="shared" si="0"/>
        <v>78</v>
      </c>
      <c r="P12" s="93">
        <f t="shared" si="0"/>
        <v>77</v>
      </c>
      <c r="Q12" s="93">
        <f t="shared" si="0"/>
        <v>171</v>
      </c>
      <c r="R12" s="93">
        <f t="shared" si="0"/>
        <v>163</v>
      </c>
      <c r="S12" s="93">
        <f t="shared" si="0"/>
        <v>422</v>
      </c>
      <c r="T12" s="93">
        <f>T36-S36</f>
        <v>130</v>
      </c>
      <c r="U12" s="93">
        <f t="shared" ref="U12:V12" si="1">U36-T36</f>
        <v>133</v>
      </c>
      <c r="V12" s="93">
        <f t="shared" si="1"/>
        <v>140</v>
      </c>
      <c r="W12" s="93">
        <v>181</v>
      </c>
      <c r="X12" s="93">
        <v>278</v>
      </c>
      <c r="Y12" s="93"/>
      <c r="Z12" s="93"/>
    </row>
    <row r="13" spans="1:27" ht="14.5" thickBot="1">
      <c r="O13" s="359"/>
      <c r="T13" s="359"/>
    </row>
    <row r="14" spans="1:27" ht="14">
      <c r="O14" s="359"/>
      <c r="T14" s="359"/>
      <c r="AA14" s="49" t="s">
        <v>472</v>
      </c>
    </row>
    <row r="15" spans="1:27" ht="14">
      <c r="A15" s="47" t="s">
        <v>526</v>
      </c>
      <c r="B15" s="42">
        <v>24</v>
      </c>
      <c r="C15" s="42">
        <v>23</v>
      </c>
      <c r="D15" s="42">
        <v>22</v>
      </c>
      <c r="E15" s="42">
        <v>21</v>
      </c>
      <c r="F15" s="42">
        <v>20</v>
      </c>
      <c r="G15" s="42">
        <v>19</v>
      </c>
      <c r="H15" s="42">
        <v>18</v>
      </c>
      <c r="I15" s="42">
        <v>17</v>
      </c>
      <c r="J15" s="42">
        <v>16</v>
      </c>
      <c r="K15" s="42">
        <v>15</v>
      </c>
      <c r="L15" s="42">
        <v>14</v>
      </c>
      <c r="M15" s="298">
        <v>13</v>
      </c>
      <c r="N15" s="300">
        <v>12</v>
      </c>
      <c r="O15" s="354">
        <v>11</v>
      </c>
      <c r="P15" s="42">
        <v>10</v>
      </c>
      <c r="Q15" s="42">
        <v>9</v>
      </c>
      <c r="R15" s="298">
        <v>8</v>
      </c>
      <c r="S15" s="300">
        <v>7</v>
      </c>
      <c r="T15" s="354">
        <v>6</v>
      </c>
      <c r="U15" s="42">
        <v>5</v>
      </c>
      <c r="V15" s="42">
        <v>4</v>
      </c>
      <c r="W15" s="42">
        <v>3</v>
      </c>
      <c r="X15" s="42">
        <v>2</v>
      </c>
      <c r="Y15" s="42">
        <v>1</v>
      </c>
      <c r="Z15" s="42">
        <v>0</v>
      </c>
    </row>
    <row r="16" spans="1:27" ht="18">
      <c r="A16" s="352" t="s">
        <v>527</v>
      </c>
      <c r="B16" s="5" t="s">
        <v>500</v>
      </c>
      <c r="C16" s="5" t="s">
        <v>501</v>
      </c>
      <c r="D16" s="5" t="s">
        <v>502</v>
      </c>
      <c r="E16" s="5" t="s">
        <v>503</v>
      </c>
      <c r="F16" s="5" t="s">
        <v>504</v>
      </c>
      <c r="G16" s="5" t="s">
        <v>505</v>
      </c>
      <c r="H16" s="5" t="s">
        <v>506</v>
      </c>
      <c r="I16" s="5" t="s">
        <v>507</v>
      </c>
      <c r="J16" s="48" t="s">
        <v>508</v>
      </c>
      <c r="K16" s="299" t="s">
        <v>509</v>
      </c>
      <c r="L16" s="357" t="s">
        <v>510</v>
      </c>
      <c r="M16" s="355" t="s">
        <v>511</v>
      </c>
      <c r="N16" s="5" t="s">
        <v>512</v>
      </c>
      <c r="O16" s="5" t="s">
        <v>513</v>
      </c>
      <c r="P16" s="299" t="s">
        <v>514</v>
      </c>
      <c r="Q16" s="357" t="s">
        <v>515</v>
      </c>
      <c r="R16" s="355" t="s">
        <v>516</v>
      </c>
      <c r="S16" s="5" t="s">
        <v>517</v>
      </c>
      <c r="T16" s="5" t="s">
        <v>518</v>
      </c>
      <c r="U16" s="5" t="s">
        <v>519</v>
      </c>
      <c r="V16" s="5" t="s">
        <v>520</v>
      </c>
      <c r="W16" s="5" t="s">
        <v>521</v>
      </c>
      <c r="X16" s="48" t="s">
        <v>522</v>
      </c>
      <c r="Y16" s="48" t="s">
        <v>523</v>
      </c>
      <c r="Z16" s="48" t="s">
        <v>524</v>
      </c>
      <c r="AA16" s="48" t="s">
        <v>525</v>
      </c>
    </row>
    <row r="17" spans="1:27" ht="14">
      <c r="A17" s="6">
        <v>2023</v>
      </c>
      <c r="B17" s="93">
        <v>0</v>
      </c>
      <c r="C17" s="93">
        <v>0</v>
      </c>
      <c r="D17" s="93">
        <v>0</v>
      </c>
      <c r="E17" s="93">
        <v>0</v>
      </c>
      <c r="F17" s="93">
        <v>0</v>
      </c>
      <c r="G17" s="93">
        <v>0</v>
      </c>
      <c r="H17" s="93">
        <v>0</v>
      </c>
      <c r="I17" s="93">
        <v>247</v>
      </c>
      <c r="J17" s="93">
        <v>118</v>
      </c>
      <c r="K17" s="93">
        <v>121</v>
      </c>
      <c r="L17" s="93">
        <v>164</v>
      </c>
      <c r="M17" s="353">
        <v>179</v>
      </c>
      <c r="N17" s="358">
        <v>161</v>
      </c>
      <c r="O17" s="356">
        <v>137</v>
      </c>
      <c r="P17" s="93">
        <v>144</v>
      </c>
      <c r="Q17" s="93">
        <v>164</v>
      </c>
      <c r="R17" s="353">
        <v>203</v>
      </c>
      <c r="S17" s="358">
        <v>223</v>
      </c>
      <c r="T17" s="356">
        <v>404</v>
      </c>
      <c r="U17" s="93">
        <v>823</v>
      </c>
      <c r="V17" s="93">
        <v>121</v>
      </c>
      <c r="W17" s="93">
        <v>108</v>
      </c>
      <c r="X17" s="93">
        <v>86</v>
      </c>
      <c r="Y17" s="93">
        <v>145</v>
      </c>
      <c r="Z17" s="93">
        <v>86</v>
      </c>
      <c r="AA17" s="254"/>
    </row>
    <row r="18" spans="1:27" ht="14.5" thickBot="1">
      <c r="A18" s="6">
        <v>2024</v>
      </c>
      <c r="B18" s="93">
        <v>0</v>
      </c>
      <c r="C18" s="93">
        <v>0</v>
      </c>
      <c r="D18" s="93">
        <v>0</v>
      </c>
      <c r="E18" s="93">
        <v>0</v>
      </c>
      <c r="F18" s="93">
        <v>0</v>
      </c>
      <c r="G18" s="93">
        <v>0</v>
      </c>
      <c r="H18" s="93">
        <v>0</v>
      </c>
      <c r="I18" s="93">
        <v>0</v>
      </c>
      <c r="J18" s="93">
        <v>0</v>
      </c>
      <c r="K18" s="93">
        <v>55</v>
      </c>
      <c r="L18" s="93">
        <v>317</v>
      </c>
      <c r="M18" s="353">
        <v>394</v>
      </c>
      <c r="N18" s="360">
        <v>811</v>
      </c>
      <c r="O18" s="356">
        <v>121</v>
      </c>
      <c r="P18" s="93">
        <v>159</v>
      </c>
      <c r="Q18" s="93">
        <v>117</v>
      </c>
      <c r="R18" s="353">
        <v>169</v>
      </c>
      <c r="S18" s="360">
        <v>278</v>
      </c>
      <c r="T18" s="356">
        <v>144</v>
      </c>
      <c r="U18" s="93">
        <v>272</v>
      </c>
      <c r="V18" s="93">
        <v>122</v>
      </c>
      <c r="W18" s="93">
        <v>141</v>
      </c>
      <c r="X18" s="93">
        <v>154</v>
      </c>
      <c r="Y18" s="93">
        <v>255</v>
      </c>
      <c r="Z18" s="296">
        <v>19</v>
      </c>
    </row>
    <row r="19" spans="1:27" ht="14" hidden="1">
      <c r="A19" s="652">
        <v>2026</v>
      </c>
      <c r="B19" s="653">
        <v>13</v>
      </c>
      <c r="C19" s="653">
        <v>18</v>
      </c>
      <c r="D19" s="653">
        <v>4</v>
      </c>
      <c r="E19" s="653">
        <v>115</v>
      </c>
      <c r="F19" s="653">
        <v>54</v>
      </c>
      <c r="G19" s="653">
        <v>45</v>
      </c>
      <c r="H19" s="653">
        <v>115</v>
      </c>
      <c r="I19" s="653">
        <v>231</v>
      </c>
      <c r="J19" s="653">
        <v>748</v>
      </c>
      <c r="K19" s="653">
        <v>97</v>
      </c>
      <c r="L19" s="653">
        <v>91</v>
      </c>
      <c r="M19" s="654">
        <v>75</v>
      </c>
      <c r="N19" s="655">
        <v>67</v>
      </c>
      <c r="O19" s="656">
        <v>66</v>
      </c>
      <c r="P19" s="653">
        <v>125</v>
      </c>
      <c r="Q19" s="653">
        <v>150</v>
      </c>
      <c r="R19" s="654"/>
      <c r="S19" s="655"/>
      <c r="T19" s="656"/>
      <c r="U19" s="653"/>
      <c r="V19" s="653"/>
      <c r="W19" s="653"/>
      <c r="X19" s="653"/>
      <c r="Y19" s="653"/>
      <c r="Z19" s="657"/>
    </row>
    <row r="20" spans="1:27" ht="14">
      <c r="A20" s="623" t="s">
        <v>528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>
        <v>743</v>
      </c>
      <c r="L20" s="663">
        <v>99</v>
      </c>
      <c r="M20" s="663">
        <v>101</v>
      </c>
      <c r="N20" s="663">
        <v>76</v>
      </c>
      <c r="O20" s="663">
        <v>65</v>
      </c>
      <c r="P20" s="663">
        <v>68</v>
      </c>
      <c r="Q20" s="663">
        <v>134</v>
      </c>
      <c r="R20" s="663">
        <v>145</v>
      </c>
      <c r="S20" s="670">
        <f>S49-R49</f>
        <v>358</v>
      </c>
      <c r="T20" s="670">
        <f>T49-S49</f>
        <v>102</v>
      </c>
      <c r="U20" s="670">
        <f t="shared" ref="U20:V20" si="2">U49-T49</f>
        <v>93</v>
      </c>
      <c r="V20" s="670">
        <f t="shared" si="2"/>
        <v>95</v>
      </c>
      <c r="W20" s="663">
        <v>141</v>
      </c>
      <c r="X20" s="663">
        <v>228</v>
      </c>
      <c r="Y20" s="663"/>
      <c r="Z20" s="663"/>
    </row>
    <row r="21" spans="1:27" ht="14"/>
    <row r="22" spans="1:27" ht="14">
      <c r="A22" s="47" t="s">
        <v>526</v>
      </c>
      <c r="B22" s="42">
        <v>24</v>
      </c>
      <c r="C22" s="42">
        <v>23</v>
      </c>
      <c r="D22" s="42">
        <v>22</v>
      </c>
      <c r="E22" s="42">
        <v>21</v>
      </c>
      <c r="F22" s="42">
        <v>20</v>
      </c>
      <c r="G22" s="42">
        <v>19</v>
      </c>
      <c r="H22" s="42">
        <v>18</v>
      </c>
      <c r="I22" s="42">
        <v>17</v>
      </c>
      <c r="J22" s="42">
        <v>16</v>
      </c>
      <c r="K22" s="42">
        <v>15</v>
      </c>
      <c r="L22" s="42">
        <v>14</v>
      </c>
      <c r="M22" s="298">
        <v>13</v>
      </c>
      <c r="N22" s="300">
        <v>12</v>
      </c>
      <c r="O22" s="354">
        <v>11</v>
      </c>
      <c r="P22" s="42">
        <v>10</v>
      </c>
      <c r="Q22" s="42">
        <v>9</v>
      </c>
      <c r="R22" s="298">
        <v>8</v>
      </c>
      <c r="S22" s="300">
        <v>7</v>
      </c>
      <c r="T22" s="354">
        <v>6</v>
      </c>
      <c r="U22" s="42">
        <v>5</v>
      </c>
      <c r="V22" s="42">
        <v>4</v>
      </c>
      <c r="W22" s="42">
        <v>3</v>
      </c>
      <c r="X22" s="42">
        <v>2</v>
      </c>
      <c r="Y22" s="42">
        <v>1</v>
      </c>
      <c r="Z22" s="42">
        <v>0</v>
      </c>
    </row>
    <row r="23" spans="1:27" ht="18">
      <c r="A23" s="352" t="s">
        <v>529</v>
      </c>
      <c r="B23" s="5" t="s">
        <v>500</v>
      </c>
      <c r="C23" s="5" t="s">
        <v>501</v>
      </c>
      <c r="D23" s="5" t="s">
        <v>502</v>
      </c>
      <c r="E23" s="5" t="s">
        <v>503</v>
      </c>
      <c r="F23" s="5" t="s">
        <v>504</v>
      </c>
      <c r="G23" s="5" t="s">
        <v>505</v>
      </c>
      <c r="H23" s="5" t="s">
        <v>506</v>
      </c>
      <c r="I23" s="5" t="s">
        <v>507</v>
      </c>
      <c r="J23" s="48" t="s">
        <v>508</v>
      </c>
      <c r="K23" s="299" t="s">
        <v>509</v>
      </c>
      <c r="L23" s="357" t="s">
        <v>510</v>
      </c>
      <c r="M23" s="355" t="s">
        <v>511</v>
      </c>
      <c r="N23" s="5" t="s">
        <v>512</v>
      </c>
      <c r="O23" s="5" t="s">
        <v>513</v>
      </c>
      <c r="P23" s="299" t="s">
        <v>514</v>
      </c>
      <c r="Q23" s="357" t="s">
        <v>515</v>
      </c>
      <c r="R23" s="355" t="s">
        <v>516</v>
      </c>
      <c r="S23" s="5" t="s">
        <v>517</v>
      </c>
      <c r="T23" s="5" t="s">
        <v>518</v>
      </c>
      <c r="U23" s="5" t="s">
        <v>519</v>
      </c>
      <c r="V23" s="5" t="s">
        <v>520</v>
      </c>
      <c r="W23" s="5" t="s">
        <v>521</v>
      </c>
      <c r="X23" s="48" t="s">
        <v>522</v>
      </c>
      <c r="Y23" s="48" t="s">
        <v>523</v>
      </c>
      <c r="Z23" s="48" t="s">
        <v>524</v>
      </c>
      <c r="AA23" s="48" t="s">
        <v>525</v>
      </c>
    </row>
    <row r="24" spans="1:27" ht="14">
      <c r="A24" s="6">
        <v>2023</v>
      </c>
      <c r="B24" s="93">
        <f>B10-B17</f>
        <v>0</v>
      </c>
      <c r="C24" s="93">
        <f t="shared" ref="C24:Z26" si="3">C10-C17</f>
        <v>0</v>
      </c>
      <c r="D24" s="93">
        <f t="shared" si="3"/>
        <v>4</v>
      </c>
      <c r="E24" s="93">
        <f t="shared" si="3"/>
        <v>18</v>
      </c>
      <c r="F24" s="93">
        <f t="shared" si="3"/>
        <v>21</v>
      </c>
      <c r="G24" s="93">
        <f t="shared" si="3"/>
        <v>140</v>
      </c>
      <c r="H24" s="93">
        <f t="shared" si="3"/>
        <v>54</v>
      </c>
      <c r="I24" s="93">
        <f t="shared" si="3"/>
        <v>26</v>
      </c>
      <c r="J24" s="93">
        <f t="shared" si="3"/>
        <v>16</v>
      </c>
      <c r="K24" s="93">
        <f t="shared" si="3"/>
        <v>42</v>
      </c>
      <c r="L24" s="93">
        <f t="shared" si="3"/>
        <v>24</v>
      </c>
      <c r="M24" s="93">
        <f t="shared" si="3"/>
        <v>57</v>
      </c>
      <c r="N24" s="93">
        <f>N10-N17</f>
        <v>0</v>
      </c>
      <c r="O24" s="93">
        <f t="shared" si="3"/>
        <v>11</v>
      </c>
      <c r="P24" s="93">
        <f t="shared" si="3"/>
        <v>33</v>
      </c>
      <c r="Q24" s="93">
        <f t="shared" si="3"/>
        <v>38</v>
      </c>
      <c r="R24" s="93">
        <f t="shared" si="3"/>
        <v>42</v>
      </c>
      <c r="S24" s="93">
        <f t="shared" si="3"/>
        <v>34</v>
      </c>
      <c r="T24" s="93">
        <f t="shared" si="3"/>
        <v>92</v>
      </c>
      <c r="U24" s="93">
        <f t="shared" si="3"/>
        <v>206</v>
      </c>
      <c r="V24" s="93">
        <f t="shared" si="3"/>
        <v>36</v>
      </c>
      <c r="W24" s="93">
        <f t="shared" si="3"/>
        <v>55</v>
      </c>
      <c r="X24" s="93">
        <f t="shared" si="3"/>
        <v>199</v>
      </c>
      <c r="Y24" s="93">
        <f t="shared" si="3"/>
        <v>111</v>
      </c>
      <c r="Z24" s="93">
        <f t="shared" si="3"/>
        <v>84</v>
      </c>
      <c r="AA24" s="254"/>
    </row>
    <row r="25" spans="1:27" ht="14">
      <c r="A25" s="6">
        <v>2024</v>
      </c>
      <c r="B25" s="93">
        <f>B11-B18</f>
        <v>0</v>
      </c>
      <c r="C25" s="93">
        <f t="shared" si="3"/>
        <v>0</v>
      </c>
      <c r="D25" s="93">
        <f t="shared" si="3"/>
        <v>0</v>
      </c>
      <c r="E25" s="93">
        <f t="shared" si="3"/>
        <v>0</v>
      </c>
      <c r="F25" s="93">
        <f t="shared" si="3"/>
        <v>0</v>
      </c>
      <c r="G25" s="93">
        <f t="shared" si="3"/>
        <v>0</v>
      </c>
      <c r="H25" s="93">
        <f t="shared" si="3"/>
        <v>0</v>
      </c>
      <c r="I25" s="93">
        <f t="shared" si="3"/>
        <v>0</v>
      </c>
      <c r="J25" s="93">
        <f t="shared" si="3"/>
        <v>0</v>
      </c>
      <c r="K25" s="93">
        <f t="shared" si="3"/>
        <v>7</v>
      </c>
      <c r="L25" s="93">
        <f t="shared" si="3"/>
        <v>160</v>
      </c>
      <c r="M25" s="93">
        <f t="shared" si="3"/>
        <v>89</v>
      </c>
      <c r="N25" s="93">
        <f t="shared" si="3"/>
        <v>72</v>
      </c>
      <c r="O25" s="93">
        <f t="shared" si="3"/>
        <v>34</v>
      </c>
      <c r="P25" s="93">
        <f t="shared" si="3"/>
        <v>25</v>
      </c>
      <c r="Q25" s="93">
        <f t="shared" si="3"/>
        <v>22</v>
      </c>
      <c r="R25" s="93">
        <f t="shared" si="3"/>
        <v>28</v>
      </c>
      <c r="S25" s="93">
        <f t="shared" si="3"/>
        <v>46</v>
      </c>
      <c r="T25" s="93">
        <f t="shared" si="3"/>
        <v>82</v>
      </c>
      <c r="U25" s="93">
        <f t="shared" si="3"/>
        <v>89</v>
      </c>
      <c r="V25" s="93">
        <f t="shared" si="3"/>
        <v>77</v>
      </c>
      <c r="W25" s="93">
        <f t="shared" si="3"/>
        <v>76</v>
      </c>
      <c r="X25" s="93">
        <f t="shared" si="3"/>
        <v>117</v>
      </c>
      <c r="Y25" s="93">
        <f t="shared" si="3"/>
        <v>186</v>
      </c>
      <c r="Z25" s="93">
        <f t="shared" si="3"/>
        <v>15</v>
      </c>
    </row>
    <row r="26" spans="1:27" ht="14" hidden="1">
      <c r="A26" s="652">
        <v>2026</v>
      </c>
      <c r="B26" s="653">
        <v>63</v>
      </c>
      <c r="C26" s="653">
        <v>60</v>
      </c>
      <c r="D26" s="653">
        <f t="shared" si="3"/>
        <v>-4</v>
      </c>
      <c r="E26" s="653">
        <v>38</v>
      </c>
      <c r="F26" s="653">
        <v>30</v>
      </c>
      <c r="G26" s="653">
        <v>19</v>
      </c>
      <c r="H26" s="653">
        <v>13</v>
      </c>
      <c r="I26" s="653">
        <v>33</v>
      </c>
      <c r="J26" s="653">
        <f>J12-J19</f>
        <v>-748</v>
      </c>
      <c r="K26" s="653">
        <v>12</v>
      </c>
      <c r="L26" s="653">
        <v>19</v>
      </c>
      <c r="M26" s="654">
        <v>13</v>
      </c>
      <c r="N26" s="655">
        <v>11</v>
      </c>
      <c r="O26" s="656">
        <v>9</v>
      </c>
      <c r="P26" s="653">
        <v>31</v>
      </c>
      <c r="Q26" s="653">
        <v>14</v>
      </c>
      <c r="R26" s="654"/>
      <c r="S26" s="655"/>
      <c r="T26" s="656"/>
      <c r="U26" s="653"/>
      <c r="V26" s="653"/>
      <c r="W26" s="653"/>
      <c r="X26" s="653"/>
      <c r="Y26" s="653"/>
      <c r="Z26" s="657"/>
    </row>
    <row r="27" spans="1:27" ht="14">
      <c r="A27" s="623" t="s">
        <v>528</v>
      </c>
      <c r="B27" s="663"/>
      <c r="C27" s="663"/>
      <c r="D27" s="663"/>
      <c r="E27" s="663"/>
      <c r="F27" s="663"/>
      <c r="G27" s="663"/>
      <c r="H27" s="663"/>
      <c r="I27" s="663"/>
      <c r="J27" s="663"/>
      <c r="K27" s="663">
        <v>48</v>
      </c>
      <c r="L27" s="663">
        <v>14</v>
      </c>
      <c r="M27" s="663">
        <v>18</v>
      </c>
      <c r="N27" s="663">
        <v>13</v>
      </c>
      <c r="O27" s="663">
        <v>13</v>
      </c>
      <c r="P27" s="663">
        <v>9</v>
      </c>
      <c r="Q27" s="663">
        <v>37</v>
      </c>
      <c r="R27" s="663">
        <v>18</v>
      </c>
      <c r="S27" s="663">
        <v>64</v>
      </c>
      <c r="T27" s="663">
        <f>T43-S43</f>
        <v>28</v>
      </c>
      <c r="U27" s="663">
        <f t="shared" ref="U27:V27" si="4">U43-T43</f>
        <v>40</v>
      </c>
      <c r="V27" s="663">
        <f t="shared" si="4"/>
        <v>45</v>
      </c>
      <c r="W27" s="663">
        <v>40</v>
      </c>
      <c r="X27" s="663">
        <v>50</v>
      </c>
      <c r="Y27" s="663"/>
      <c r="Z27" s="663"/>
    </row>
    <row r="28" spans="1:27" ht="14"/>
    <row r="29" spans="1:27" ht="23">
      <c r="A29" s="662" t="s">
        <v>530</v>
      </c>
      <c r="B29" s="659"/>
      <c r="C29" s="660"/>
      <c r="D29" s="660"/>
      <c r="E29" s="660"/>
      <c r="F29" s="660"/>
      <c r="G29" s="660"/>
      <c r="H29" s="660"/>
      <c r="I29" s="660"/>
      <c r="J29" s="660"/>
      <c r="K29" s="660"/>
      <c r="L29" s="660"/>
      <c r="M29" s="660"/>
      <c r="N29" s="660"/>
      <c r="O29" s="660"/>
      <c r="P29" s="660"/>
      <c r="Q29" s="660"/>
      <c r="R29" s="660"/>
      <c r="S29" s="661"/>
      <c r="T29" s="661"/>
      <c r="U29" s="661"/>
      <c r="V29" s="661"/>
      <c r="W29" s="661"/>
      <c r="X29" s="661"/>
      <c r="Y29" s="661"/>
      <c r="Z29" s="661"/>
      <c r="AA29" s="661"/>
    </row>
    <row r="30" spans="1:27" s="447" customFormat="1" ht="14">
      <c r="A30" s="445"/>
      <c r="B30" s="445"/>
      <c r="C30" s="446"/>
      <c r="D30" s="446"/>
      <c r="E30" s="446"/>
      <c r="F30" s="446"/>
      <c r="G30" s="446"/>
      <c r="H30" s="446"/>
      <c r="I30" s="446"/>
      <c r="J30" s="446"/>
      <c r="K30" s="446"/>
      <c r="L30" s="446"/>
      <c r="M30" s="446"/>
      <c r="N30" s="446"/>
      <c r="O30" s="446"/>
      <c r="P30" s="446"/>
      <c r="Q30" s="446"/>
      <c r="R30" s="446"/>
      <c r="S30" s="446"/>
      <c r="T30" s="446"/>
      <c r="U30" s="446"/>
      <c r="V30" s="446"/>
      <c r="W30" s="446"/>
      <c r="X30" s="446"/>
      <c r="Y30" s="446"/>
      <c r="Z30" s="446"/>
    </row>
    <row r="31" spans="1:27" ht="14">
      <c r="A31" s="47" t="s">
        <v>526</v>
      </c>
      <c r="B31" s="42">
        <v>24</v>
      </c>
      <c r="C31" s="42">
        <v>23</v>
      </c>
      <c r="D31" s="42">
        <v>22</v>
      </c>
      <c r="E31" s="42">
        <v>21</v>
      </c>
      <c r="F31" s="42">
        <v>20</v>
      </c>
      <c r="G31" s="42">
        <v>19</v>
      </c>
      <c r="H31" s="42">
        <v>18</v>
      </c>
      <c r="I31" s="42">
        <v>17</v>
      </c>
      <c r="J31" s="42">
        <v>16</v>
      </c>
      <c r="K31" s="42">
        <v>15</v>
      </c>
      <c r="L31" s="42">
        <v>14</v>
      </c>
      <c r="M31" s="298">
        <v>13</v>
      </c>
      <c r="N31" s="300">
        <v>12</v>
      </c>
      <c r="O31" s="354">
        <v>11</v>
      </c>
      <c r="P31" s="42">
        <v>10</v>
      </c>
      <c r="Q31" s="42">
        <v>9</v>
      </c>
      <c r="R31" s="298">
        <v>8</v>
      </c>
      <c r="S31" s="300">
        <v>7</v>
      </c>
      <c r="T31" s="354">
        <v>6</v>
      </c>
      <c r="U31" s="42">
        <v>5</v>
      </c>
      <c r="V31" s="42">
        <v>4</v>
      </c>
      <c r="W31" s="42">
        <v>3</v>
      </c>
      <c r="X31" s="42">
        <v>2</v>
      </c>
      <c r="Y31" s="42">
        <v>1</v>
      </c>
      <c r="Z31" s="42">
        <v>0</v>
      </c>
    </row>
    <row r="32" spans="1:27" ht="18">
      <c r="A32" s="352" t="s">
        <v>531</v>
      </c>
      <c r="B32" s="5" t="s">
        <v>500</v>
      </c>
      <c r="C32" s="5" t="s">
        <v>501</v>
      </c>
      <c r="D32" s="5" t="s">
        <v>502</v>
      </c>
      <c r="E32" s="5" t="s">
        <v>503</v>
      </c>
      <c r="F32" s="5" t="s">
        <v>504</v>
      </c>
      <c r="G32" s="5" t="s">
        <v>505</v>
      </c>
      <c r="H32" s="5" t="s">
        <v>506</v>
      </c>
      <c r="I32" s="5" t="s">
        <v>507</v>
      </c>
      <c r="J32" s="48" t="s">
        <v>508</v>
      </c>
      <c r="K32" s="299" t="s">
        <v>509</v>
      </c>
      <c r="L32" s="357" t="s">
        <v>510</v>
      </c>
      <c r="M32" s="355" t="s">
        <v>511</v>
      </c>
      <c r="N32" s="5" t="s">
        <v>512</v>
      </c>
      <c r="O32" s="5" t="s">
        <v>513</v>
      </c>
      <c r="P32" s="299" t="s">
        <v>514</v>
      </c>
      <c r="Q32" s="357" t="s">
        <v>515</v>
      </c>
      <c r="R32" s="355" t="s">
        <v>516</v>
      </c>
      <c r="S32" s="5" t="s">
        <v>517</v>
      </c>
      <c r="T32" s="5" t="s">
        <v>518</v>
      </c>
      <c r="U32" s="5" t="s">
        <v>519</v>
      </c>
      <c r="V32" s="5" t="s">
        <v>520</v>
      </c>
      <c r="W32" s="5" t="s">
        <v>521</v>
      </c>
      <c r="X32" s="48" t="s">
        <v>522</v>
      </c>
      <c r="Y32" s="48" t="s">
        <v>523</v>
      </c>
      <c r="Z32" s="48" t="s">
        <v>524</v>
      </c>
      <c r="AA32" s="48" t="s">
        <v>525</v>
      </c>
    </row>
    <row r="33" spans="1:27" ht="14">
      <c r="A33" s="6">
        <v>2023</v>
      </c>
      <c r="B33" s="93"/>
      <c r="C33" s="93">
        <f>SUM($B$10:C10)</f>
        <v>0</v>
      </c>
      <c r="D33" s="93">
        <f>SUM($B$10:D10)</f>
        <v>4</v>
      </c>
      <c r="E33" s="93">
        <f>SUM($B$10:E10)</f>
        <v>22</v>
      </c>
      <c r="F33" s="93">
        <f>SUM($B$10:F10)</f>
        <v>43</v>
      </c>
      <c r="G33" s="93">
        <f>SUM($B$10:G10)</f>
        <v>183</v>
      </c>
      <c r="H33" s="93">
        <f>SUM($B$10:H10)</f>
        <v>237</v>
      </c>
      <c r="I33" s="93">
        <f>SUM($B$10:I10)</f>
        <v>510</v>
      </c>
      <c r="J33" s="93">
        <f>SUM($B$10:J10)</f>
        <v>644</v>
      </c>
      <c r="K33" s="93">
        <f>SUM($B$10:K10)</f>
        <v>807</v>
      </c>
      <c r="L33" s="93">
        <f>SUM($B$10:L10)</f>
        <v>995</v>
      </c>
      <c r="M33" s="93">
        <f>SUM($B$10:M10)</f>
        <v>1231</v>
      </c>
      <c r="N33" s="93">
        <f>SUM($B$10:N10)</f>
        <v>1392</v>
      </c>
      <c r="O33" s="93">
        <f>SUM($B$10:O10)</f>
        <v>1540</v>
      </c>
      <c r="P33" s="93">
        <f>SUM($B$10:P10)</f>
        <v>1717</v>
      </c>
      <c r="Q33" s="93">
        <f>SUM($B$10:Q10)</f>
        <v>1919</v>
      </c>
      <c r="R33" s="93">
        <f>SUM($B$10:R10)</f>
        <v>2164</v>
      </c>
      <c r="S33" s="93">
        <f>SUM($B$10:S10)</f>
        <v>2421</v>
      </c>
      <c r="T33" s="93">
        <f>SUM($B$10:T10)</f>
        <v>2917</v>
      </c>
      <c r="U33" s="93">
        <f>SUM($B$10:U10)</f>
        <v>3946</v>
      </c>
      <c r="V33" s="93">
        <f>SUM($B$10:V10)</f>
        <v>4103</v>
      </c>
      <c r="W33" s="93">
        <f>SUM($B$10:W10)</f>
        <v>4266</v>
      </c>
      <c r="X33" s="93">
        <f>SUM($B$10:X10)</f>
        <v>4551</v>
      </c>
      <c r="Y33" s="93">
        <f>SUM($B$10:Y10)</f>
        <v>4807</v>
      </c>
      <c r="Z33" s="93">
        <f>SUM($B$10:Z10)</f>
        <v>4977</v>
      </c>
      <c r="AA33" s="254">
        <v>19</v>
      </c>
    </row>
    <row r="34" spans="1:27" ht="14">
      <c r="A34" s="6">
        <v>2024</v>
      </c>
      <c r="B34" s="93"/>
      <c r="C34" s="93">
        <f>SUM($B$11:C11)</f>
        <v>0</v>
      </c>
      <c r="D34" s="93">
        <f>SUM($B$11:D11)</f>
        <v>0</v>
      </c>
      <c r="E34" s="93">
        <f>SUM($B$11:E11)</f>
        <v>0</v>
      </c>
      <c r="F34" s="93">
        <f>SUM($B$11:F11)</f>
        <v>0</v>
      </c>
      <c r="G34" s="93">
        <f>SUM($B$11:G11)</f>
        <v>0</v>
      </c>
      <c r="H34" s="93">
        <f>SUM($B$11:H11)</f>
        <v>0</v>
      </c>
      <c r="I34" s="93">
        <f>SUM($B$11:I11)</f>
        <v>0</v>
      </c>
      <c r="J34" s="93">
        <f>SUM($B$11:J11)</f>
        <v>0</v>
      </c>
      <c r="K34" s="93">
        <f>SUM($B$11:K11)</f>
        <v>62</v>
      </c>
      <c r="L34" s="93">
        <f>SUM($B$11:L11)</f>
        <v>539</v>
      </c>
      <c r="M34" s="93">
        <f>SUM($B$11:M11)</f>
        <v>1022</v>
      </c>
      <c r="N34" s="93">
        <f>SUM($B$11:N11)</f>
        <v>1905</v>
      </c>
      <c r="O34" s="93">
        <f>SUM($B$11:O11)</f>
        <v>2060</v>
      </c>
      <c r="P34" s="93">
        <f>SUM($B$11:P11)</f>
        <v>2244</v>
      </c>
      <c r="Q34" s="93">
        <f>SUM($B$11:Q11)</f>
        <v>2383</v>
      </c>
      <c r="R34" s="93">
        <f>SUM($B$11:R11)</f>
        <v>2580</v>
      </c>
      <c r="S34" s="93">
        <f>SUM($B$11:S11)</f>
        <v>2904</v>
      </c>
      <c r="T34" s="93">
        <f>SUM($B$11:T11)</f>
        <v>3130</v>
      </c>
      <c r="U34" s="93">
        <f>SUM($B$11:U11)</f>
        <v>3491</v>
      </c>
      <c r="V34" s="93">
        <f>SUM($B$11:V11)</f>
        <v>3690</v>
      </c>
      <c r="W34" s="93">
        <f>SUM($B$11:W11)</f>
        <v>3907</v>
      </c>
      <c r="X34" s="93">
        <f>SUM($B$11:X11)</f>
        <v>4178</v>
      </c>
      <c r="Y34" s="93">
        <f>SUM($B$11:Y11)</f>
        <v>4619</v>
      </c>
      <c r="Z34" s="93">
        <f>SUM($B$11:Z11)</f>
        <v>4653</v>
      </c>
    </row>
    <row r="35" spans="1:27" ht="14" hidden="1">
      <c r="A35" s="6">
        <v>2026</v>
      </c>
      <c r="B35" s="93">
        <v>76</v>
      </c>
      <c r="C35" s="93">
        <f>SUM($B$12:C12)</f>
        <v>0</v>
      </c>
      <c r="D35" s="93">
        <f>SUM($B$12:D12)</f>
        <v>0</v>
      </c>
      <c r="E35" s="93">
        <f>SUM($B$12:E12)</f>
        <v>0</v>
      </c>
      <c r="F35" s="93">
        <f>SUM($B$12:F12)</f>
        <v>0</v>
      </c>
      <c r="G35" s="93">
        <f>SUM($B$12:G12)</f>
        <v>0</v>
      </c>
      <c r="H35" s="93">
        <f>SUM($B$12:H12)</f>
        <v>0</v>
      </c>
      <c r="I35" s="93">
        <f>SUM($B$12:I12)</f>
        <v>0</v>
      </c>
      <c r="J35" s="93">
        <f>SUM($B$12:J12)</f>
        <v>0</v>
      </c>
      <c r="K35" s="93">
        <f>SUM($B$12:K12)</f>
        <v>791</v>
      </c>
      <c r="L35" s="93">
        <f>SUM($B$12:L12)</f>
        <v>904</v>
      </c>
      <c r="M35" s="93">
        <f>SUM($B$12:M12)</f>
        <v>1023</v>
      </c>
      <c r="N35" s="93">
        <f>SUM($B$12:N12)</f>
        <v>1112</v>
      </c>
      <c r="O35" s="93">
        <v>2134</v>
      </c>
      <c r="P35" s="93">
        <v>2289</v>
      </c>
      <c r="Q35" s="93">
        <v>2453</v>
      </c>
      <c r="R35" s="646">
        <v>2452</v>
      </c>
      <c r="S35" s="646">
        <v>2874</v>
      </c>
      <c r="T35" s="93"/>
      <c r="U35" s="93"/>
      <c r="V35" s="93"/>
      <c r="W35" s="93"/>
      <c r="X35" s="93"/>
      <c r="Y35" s="93"/>
      <c r="Z35" s="93"/>
    </row>
    <row r="36" spans="1:27" ht="14">
      <c r="A36" s="623" t="s">
        <v>528</v>
      </c>
      <c r="B36" s="663"/>
      <c r="C36" s="663"/>
      <c r="D36" s="663"/>
      <c r="E36" s="663"/>
      <c r="F36" s="663"/>
      <c r="G36" s="663"/>
      <c r="H36" s="663"/>
      <c r="I36" s="663"/>
      <c r="J36" s="664">
        <v>851</v>
      </c>
      <c r="K36" s="664">
        <v>1642</v>
      </c>
      <c r="L36" s="664">
        <v>1755</v>
      </c>
      <c r="M36" s="664">
        <v>1874</v>
      </c>
      <c r="N36" s="664">
        <v>1963</v>
      </c>
      <c r="O36" s="664">
        <v>2041</v>
      </c>
      <c r="P36" s="664">
        <v>2118</v>
      </c>
      <c r="Q36" s="664">
        <v>2289</v>
      </c>
      <c r="R36" s="664">
        <v>2452</v>
      </c>
      <c r="S36" s="664">
        <v>2874</v>
      </c>
      <c r="T36" s="670">
        <f>T43+T49</f>
        <v>3004</v>
      </c>
      <c r="U36" s="670">
        <f t="shared" ref="U36:Z36" si="5">U43+U49</f>
        <v>3137</v>
      </c>
      <c r="V36" s="670">
        <f t="shared" si="5"/>
        <v>3277</v>
      </c>
      <c r="W36" s="670">
        <f t="shared" si="5"/>
        <v>3471</v>
      </c>
      <c r="X36" s="670">
        <v>3964</v>
      </c>
      <c r="Y36" s="670">
        <f t="shared" si="5"/>
        <v>0</v>
      </c>
      <c r="Z36" s="670">
        <f t="shared" si="5"/>
        <v>0</v>
      </c>
    </row>
    <row r="37" spans="1:27" s="447" customFormat="1" ht="14">
      <c r="A37" s="445"/>
      <c r="B37" s="446"/>
      <c r="C37" s="446"/>
      <c r="D37" s="446"/>
      <c r="E37" s="446"/>
      <c r="F37" s="446"/>
      <c r="G37" s="446"/>
      <c r="H37" s="446"/>
      <c r="I37" s="446"/>
      <c r="J37" s="645"/>
      <c r="K37" s="645"/>
      <c r="L37" s="645"/>
      <c r="M37" s="645"/>
      <c r="N37" s="645"/>
      <c r="O37" s="645"/>
      <c r="P37" s="645"/>
      <c r="Q37" s="645"/>
      <c r="R37" s="645"/>
      <c r="S37" s="645"/>
      <c r="T37" s="446"/>
      <c r="U37" s="446"/>
      <c r="V37" s="446"/>
      <c r="W37" s="446"/>
      <c r="X37" s="446"/>
      <c r="Y37" s="446"/>
      <c r="Z37" s="446"/>
    </row>
    <row r="38" spans="1:27" ht="14">
      <c r="A38" s="47" t="s">
        <v>526</v>
      </c>
      <c r="B38" s="42">
        <v>24</v>
      </c>
      <c r="C38" s="42">
        <v>23</v>
      </c>
      <c r="D38" s="42">
        <v>22</v>
      </c>
      <c r="E38" s="42">
        <v>21</v>
      </c>
      <c r="F38" s="42">
        <v>20</v>
      </c>
      <c r="G38" s="42">
        <v>19</v>
      </c>
      <c r="H38" s="42">
        <v>18</v>
      </c>
      <c r="I38" s="42">
        <v>17</v>
      </c>
      <c r="J38" s="42">
        <v>16</v>
      </c>
      <c r="K38" s="42">
        <v>15</v>
      </c>
      <c r="L38" s="42">
        <v>14</v>
      </c>
      <c r="M38" s="298">
        <v>13</v>
      </c>
      <c r="N38" s="300">
        <v>12</v>
      </c>
      <c r="O38" s="354">
        <v>11</v>
      </c>
      <c r="P38" s="42">
        <v>10</v>
      </c>
      <c r="Q38" s="42">
        <v>9</v>
      </c>
      <c r="R38" s="298">
        <v>8</v>
      </c>
      <c r="S38" s="300">
        <v>7</v>
      </c>
      <c r="T38" s="354">
        <v>6</v>
      </c>
      <c r="U38" s="42">
        <v>5</v>
      </c>
      <c r="V38" s="42">
        <v>4</v>
      </c>
      <c r="W38" s="42">
        <v>3</v>
      </c>
      <c r="X38" s="42">
        <v>2</v>
      </c>
      <c r="Y38" s="42">
        <v>1</v>
      </c>
      <c r="Z38" s="42">
        <v>0</v>
      </c>
    </row>
    <row r="39" spans="1:27" ht="18">
      <c r="A39" s="352" t="s">
        <v>532</v>
      </c>
      <c r="B39" s="5" t="s">
        <v>500</v>
      </c>
      <c r="C39" s="5" t="s">
        <v>501</v>
      </c>
      <c r="D39" s="5" t="s">
        <v>502</v>
      </c>
      <c r="E39" s="5" t="s">
        <v>503</v>
      </c>
      <c r="F39" s="5" t="s">
        <v>504</v>
      </c>
      <c r="G39" s="5" t="s">
        <v>505</v>
      </c>
      <c r="H39" s="5" t="s">
        <v>506</v>
      </c>
      <c r="I39" s="5" t="s">
        <v>507</v>
      </c>
      <c r="J39" s="48" t="s">
        <v>508</v>
      </c>
      <c r="K39" s="299" t="s">
        <v>509</v>
      </c>
      <c r="L39" s="357" t="s">
        <v>510</v>
      </c>
      <c r="M39" s="355" t="s">
        <v>511</v>
      </c>
      <c r="N39" s="5" t="s">
        <v>512</v>
      </c>
      <c r="O39" s="5" t="s">
        <v>513</v>
      </c>
      <c r="P39" s="299" t="s">
        <v>514</v>
      </c>
      <c r="Q39" s="357" t="s">
        <v>515</v>
      </c>
      <c r="R39" s="355" t="s">
        <v>516</v>
      </c>
      <c r="S39" s="5" t="s">
        <v>517</v>
      </c>
      <c r="T39" s="5" t="s">
        <v>518</v>
      </c>
      <c r="U39" s="5" t="s">
        <v>519</v>
      </c>
      <c r="V39" s="5" t="s">
        <v>520</v>
      </c>
      <c r="W39" s="5" t="s">
        <v>521</v>
      </c>
      <c r="X39" s="48" t="s">
        <v>522</v>
      </c>
      <c r="Y39" s="48" t="s">
        <v>523</v>
      </c>
      <c r="Z39" s="48" t="s">
        <v>524</v>
      </c>
      <c r="AA39" s="48" t="s">
        <v>525</v>
      </c>
    </row>
    <row r="40" spans="1:27" ht="14">
      <c r="A40" s="6">
        <v>2023</v>
      </c>
      <c r="B40" s="93"/>
      <c r="C40" s="93">
        <f>SUM($B$24:C24)</f>
        <v>0</v>
      </c>
      <c r="D40" s="93">
        <f>SUM($B$24:D24)</f>
        <v>4</v>
      </c>
      <c r="E40" s="93">
        <f>SUM($B$24:E24)</f>
        <v>22</v>
      </c>
      <c r="F40" s="93">
        <f>SUM($B$24:F24)</f>
        <v>43</v>
      </c>
      <c r="G40" s="93">
        <f>SUM($B$24:G24)</f>
        <v>183</v>
      </c>
      <c r="H40" s="93">
        <f>SUM($B$24:H24)</f>
        <v>237</v>
      </c>
      <c r="I40" s="93">
        <f>SUM($B$24:I24)</f>
        <v>263</v>
      </c>
      <c r="J40" s="93">
        <f>SUM($B$24:J24)</f>
        <v>279</v>
      </c>
      <c r="K40" s="93">
        <f>SUM($B$24:K24)</f>
        <v>321</v>
      </c>
      <c r="L40" s="93">
        <f>SUM($B$24:L24)</f>
        <v>345</v>
      </c>
      <c r="M40" s="93">
        <f>SUM($B$24:M24)</f>
        <v>402</v>
      </c>
      <c r="N40" s="93">
        <f>SUM($B$24:N24)</f>
        <v>402</v>
      </c>
      <c r="O40" s="93">
        <f>SUM($B$24:O24)</f>
        <v>413</v>
      </c>
      <c r="P40" s="93">
        <f>SUM($B$24:P24)</f>
        <v>446</v>
      </c>
      <c r="Q40" s="93">
        <f>SUM($B$24:Q24)</f>
        <v>484</v>
      </c>
      <c r="R40" s="93">
        <f>SUM($B$24:R24)</f>
        <v>526</v>
      </c>
      <c r="S40" s="93">
        <f>SUM($B$24:S24)</f>
        <v>560</v>
      </c>
      <c r="T40" s="93">
        <f>SUM($B$24:T24)</f>
        <v>652</v>
      </c>
      <c r="U40" s="93">
        <f>SUM($B$24:U24)</f>
        <v>858</v>
      </c>
      <c r="V40" s="93">
        <f>SUM($B$24:V24)</f>
        <v>894</v>
      </c>
      <c r="W40" s="93">
        <f>SUM($B$24:W24)</f>
        <v>949</v>
      </c>
      <c r="X40" s="93">
        <f>SUM($B$24:X24)</f>
        <v>1148</v>
      </c>
      <c r="Y40" s="93">
        <f>SUM($B$24:Y24)</f>
        <v>1259</v>
      </c>
      <c r="Z40" s="93">
        <f>SUM($B$24:Z24)</f>
        <v>1343</v>
      </c>
      <c r="AA40" s="254"/>
    </row>
    <row r="41" spans="1:27" ht="14">
      <c r="A41" s="6">
        <v>2024</v>
      </c>
      <c r="B41" s="93"/>
      <c r="C41" s="93">
        <f>SUM($B$25:C25)</f>
        <v>0</v>
      </c>
      <c r="D41" s="93">
        <f>SUM($B$25:D25)</f>
        <v>0</v>
      </c>
      <c r="E41" s="93">
        <f>SUM($B$25:E25)</f>
        <v>0</v>
      </c>
      <c r="F41" s="93">
        <f>SUM($B$25:F25)</f>
        <v>0</v>
      </c>
      <c r="G41" s="93">
        <f>SUM($B$25:G25)</f>
        <v>0</v>
      </c>
      <c r="H41" s="93">
        <f>SUM($B$25:H25)</f>
        <v>0</v>
      </c>
      <c r="I41" s="93">
        <f>SUM($B$25:I25)</f>
        <v>0</v>
      </c>
      <c r="J41" s="93">
        <f>SUM($B$25:J25)</f>
        <v>0</v>
      </c>
      <c r="K41" s="93">
        <f>SUM($B$25:K25)</f>
        <v>7</v>
      </c>
      <c r="L41" s="93">
        <f>SUM($B$25:L25)</f>
        <v>167</v>
      </c>
      <c r="M41" s="93">
        <f>SUM($B$25:M25)</f>
        <v>256</v>
      </c>
      <c r="N41" s="93">
        <f>SUM($B$25:N25)</f>
        <v>328</v>
      </c>
      <c r="O41" s="93">
        <f>SUM($B$25:O25)</f>
        <v>362</v>
      </c>
      <c r="P41" s="93">
        <f>SUM($B$25:P25)</f>
        <v>387</v>
      </c>
      <c r="Q41" s="93">
        <f>SUM($B$25:Q25)</f>
        <v>409</v>
      </c>
      <c r="R41" s="93">
        <f>SUM($B$25:R25)</f>
        <v>437</v>
      </c>
      <c r="S41" s="93">
        <f>SUM($B$25:S25)</f>
        <v>483</v>
      </c>
      <c r="T41" s="93">
        <f>SUM($B$25:T25)</f>
        <v>565</v>
      </c>
      <c r="U41" s="93">
        <f>SUM($B$25:U25)</f>
        <v>654</v>
      </c>
      <c r="V41" s="93">
        <f>SUM($B$25:V25)</f>
        <v>731</v>
      </c>
      <c r="W41" s="93">
        <f>SUM($B$25:W25)</f>
        <v>807</v>
      </c>
      <c r="X41" s="93">
        <f>SUM($B$25:X25)</f>
        <v>924</v>
      </c>
      <c r="Y41" s="93">
        <f>SUM($B$25:Y25)</f>
        <v>1110</v>
      </c>
      <c r="Z41" s="93">
        <f>SUM($B$25:Z25)</f>
        <v>1125</v>
      </c>
    </row>
    <row r="42" spans="1:27" ht="14.5" hidden="1" thickBot="1">
      <c r="A42" s="6">
        <v>2026</v>
      </c>
      <c r="B42" s="93">
        <v>63</v>
      </c>
      <c r="C42" s="93">
        <v>123</v>
      </c>
      <c r="D42" s="93">
        <v>139</v>
      </c>
      <c r="E42" s="93">
        <v>177</v>
      </c>
      <c r="F42" s="93">
        <v>207</v>
      </c>
      <c r="G42" s="93">
        <v>226</v>
      </c>
      <c r="H42" s="93">
        <v>239</v>
      </c>
      <c r="I42" s="93">
        <v>272</v>
      </c>
      <c r="J42" s="93">
        <v>323</v>
      </c>
      <c r="K42" s="93">
        <v>335</v>
      </c>
      <c r="L42" s="93">
        <v>354</v>
      </c>
      <c r="M42" s="353">
        <v>367</v>
      </c>
      <c r="N42" s="360">
        <v>378</v>
      </c>
      <c r="O42" s="356">
        <v>387</v>
      </c>
      <c r="P42" s="93">
        <v>418</v>
      </c>
      <c r="Q42" s="93">
        <v>432</v>
      </c>
      <c r="R42" s="353"/>
      <c r="S42" s="360"/>
      <c r="T42" s="356"/>
      <c r="U42" s="93"/>
      <c r="V42" s="93"/>
      <c r="W42" s="93"/>
      <c r="X42" s="93"/>
      <c r="Y42" s="93"/>
      <c r="Z42" s="296"/>
    </row>
    <row r="43" spans="1:27" ht="14">
      <c r="A43" s="623" t="s">
        <v>528</v>
      </c>
      <c r="B43" s="663"/>
      <c r="C43" s="663"/>
      <c r="D43" s="663"/>
      <c r="E43" s="663"/>
      <c r="F43" s="663"/>
      <c r="G43" s="663"/>
      <c r="H43" s="663"/>
      <c r="I43" s="663"/>
      <c r="J43" s="664">
        <v>274</v>
      </c>
      <c r="K43" s="664">
        <v>322</v>
      </c>
      <c r="L43" s="664">
        <v>336</v>
      </c>
      <c r="M43" s="664">
        <v>354</v>
      </c>
      <c r="N43" s="664">
        <v>367</v>
      </c>
      <c r="O43" s="664">
        <v>380</v>
      </c>
      <c r="P43" s="664">
        <v>389</v>
      </c>
      <c r="Q43" s="664">
        <v>426</v>
      </c>
      <c r="R43" s="664">
        <v>444</v>
      </c>
      <c r="S43" s="664">
        <v>508</v>
      </c>
      <c r="T43" s="663">
        <v>536</v>
      </c>
      <c r="U43" s="663">
        <v>576</v>
      </c>
      <c r="V43" s="663">
        <v>621</v>
      </c>
      <c r="W43" s="663">
        <v>683</v>
      </c>
      <c r="X43" s="663">
        <v>733</v>
      </c>
      <c r="Y43" s="663"/>
      <c r="Z43" s="663"/>
    </row>
    <row r="44" spans="1:27" ht="14">
      <c r="A44" s="605"/>
      <c r="B44" s="665"/>
      <c r="C44" s="665"/>
      <c r="D44" s="665"/>
      <c r="E44" s="665"/>
      <c r="F44" s="665"/>
      <c r="G44" s="665"/>
      <c r="H44" s="665"/>
      <c r="I44" s="665"/>
      <c r="J44" s="665"/>
      <c r="K44" s="665"/>
      <c r="L44" s="665"/>
      <c r="M44" s="665"/>
      <c r="N44" s="665"/>
      <c r="O44" s="665"/>
      <c r="P44" s="665"/>
      <c r="Q44" s="665"/>
      <c r="R44" s="665"/>
      <c r="S44" s="665"/>
      <c r="T44" s="665"/>
      <c r="U44" s="665"/>
      <c r="V44" s="665"/>
      <c r="W44" s="665"/>
      <c r="X44" s="665"/>
      <c r="Y44" s="665"/>
      <c r="Z44" s="665"/>
    </row>
    <row r="45" spans="1:27" ht="14">
      <c r="A45" s="47" t="s">
        <v>526</v>
      </c>
      <c r="B45" s="42">
        <v>24</v>
      </c>
      <c r="C45" s="42">
        <v>23</v>
      </c>
      <c r="D45" s="42">
        <v>22</v>
      </c>
      <c r="E45" s="42">
        <v>21</v>
      </c>
      <c r="F45" s="42">
        <v>20</v>
      </c>
      <c r="G45" s="42">
        <v>19</v>
      </c>
      <c r="H45" s="42">
        <v>18</v>
      </c>
      <c r="I45" s="42">
        <v>17</v>
      </c>
      <c r="J45" s="42">
        <v>16</v>
      </c>
      <c r="K45" s="42">
        <v>15</v>
      </c>
      <c r="L45" s="42">
        <v>14</v>
      </c>
      <c r="M45" s="298">
        <v>13</v>
      </c>
      <c r="N45" s="300">
        <v>12</v>
      </c>
      <c r="O45" s="354">
        <v>11</v>
      </c>
      <c r="P45" s="42">
        <v>10</v>
      </c>
      <c r="Q45" s="42">
        <v>9</v>
      </c>
      <c r="R45" s="298">
        <v>8</v>
      </c>
      <c r="S45" s="300">
        <v>7</v>
      </c>
      <c r="T45" s="354">
        <v>6</v>
      </c>
      <c r="U45" s="42">
        <v>5</v>
      </c>
      <c r="V45" s="42">
        <v>4</v>
      </c>
      <c r="W45" s="42">
        <v>3</v>
      </c>
      <c r="X45" s="42">
        <v>2</v>
      </c>
      <c r="Y45" s="42">
        <v>1</v>
      </c>
      <c r="Z45" s="42">
        <v>0</v>
      </c>
    </row>
    <row r="46" spans="1:27" ht="18">
      <c r="A46" s="352" t="s">
        <v>533</v>
      </c>
      <c r="B46" s="5" t="s">
        <v>500</v>
      </c>
      <c r="C46" s="5" t="s">
        <v>501</v>
      </c>
      <c r="D46" s="5" t="s">
        <v>502</v>
      </c>
      <c r="E46" s="5" t="s">
        <v>503</v>
      </c>
      <c r="F46" s="5" t="s">
        <v>504</v>
      </c>
      <c r="G46" s="5" t="s">
        <v>505</v>
      </c>
      <c r="H46" s="5" t="s">
        <v>506</v>
      </c>
      <c r="I46" s="5" t="s">
        <v>507</v>
      </c>
      <c r="J46" s="48" t="s">
        <v>508</v>
      </c>
      <c r="K46" s="299" t="s">
        <v>509</v>
      </c>
      <c r="L46" s="357" t="s">
        <v>510</v>
      </c>
      <c r="M46" s="355" t="s">
        <v>511</v>
      </c>
      <c r="N46" s="5" t="s">
        <v>512</v>
      </c>
      <c r="O46" s="5" t="s">
        <v>513</v>
      </c>
      <c r="P46" s="299" t="s">
        <v>514</v>
      </c>
      <c r="Q46" s="357" t="s">
        <v>515</v>
      </c>
      <c r="R46" s="355" t="s">
        <v>516</v>
      </c>
      <c r="S46" s="5" t="s">
        <v>517</v>
      </c>
      <c r="T46" s="5" t="s">
        <v>518</v>
      </c>
      <c r="U46" s="5" t="s">
        <v>519</v>
      </c>
      <c r="V46" s="5" t="s">
        <v>520</v>
      </c>
      <c r="W46" s="5" t="s">
        <v>521</v>
      </c>
      <c r="X46" s="48" t="s">
        <v>522</v>
      </c>
      <c r="Y46" s="48" t="s">
        <v>523</v>
      </c>
      <c r="Z46" s="48" t="s">
        <v>524</v>
      </c>
      <c r="AA46" s="48" t="s">
        <v>525</v>
      </c>
    </row>
    <row r="47" spans="1:27" ht="14">
      <c r="A47" s="6">
        <v>2023</v>
      </c>
      <c r="B47" s="93"/>
      <c r="C47" s="93">
        <f>SUM($B$17:C17)</f>
        <v>0</v>
      </c>
      <c r="D47" s="93">
        <f>SUM($B$17:D17)</f>
        <v>0</v>
      </c>
      <c r="E47" s="93">
        <f>SUM($B$17:E17)</f>
        <v>0</v>
      </c>
      <c r="F47" s="93">
        <f>SUM($B$17:F17)</f>
        <v>0</v>
      </c>
      <c r="G47" s="93">
        <f>SUM($B$17:G17)</f>
        <v>0</v>
      </c>
      <c r="H47" s="93">
        <f>SUM($B$17:H17)</f>
        <v>0</v>
      </c>
      <c r="I47" s="93">
        <f>SUM($B$17:I17)</f>
        <v>247</v>
      </c>
      <c r="J47" s="93">
        <f>SUM($B$17:J17)</f>
        <v>365</v>
      </c>
      <c r="K47" s="93">
        <f>SUM($B$17:K17)</f>
        <v>486</v>
      </c>
      <c r="L47" s="93">
        <f>SUM($B$17:L17)</f>
        <v>650</v>
      </c>
      <c r="M47" s="93">
        <f>SUM($B$17:M17)</f>
        <v>829</v>
      </c>
      <c r="N47" s="93">
        <f>SUM($B$17:N17)</f>
        <v>990</v>
      </c>
      <c r="O47" s="93">
        <f>SUM($B$17:O17)</f>
        <v>1127</v>
      </c>
      <c r="P47" s="93">
        <f>SUM($B$17:P17)</f>
        <v>1271</v>
      </c>
      <c r="Q47" s="93">
        <f>SUM($B$17:Q17)</f>
        <v>1435</v>
      </c>
      <c r="R47" s="93">
        <f>SUM($B$17:R17)</f>
        <v>1638</v>
      </c>
      <c r="S47" s="93">
        <f>SUM($B$17:S17)</f>
        <v>1861</v>
      </c>
      <c r="T47" s="93">
        <f>SUM($B$17:T17)</f>
        <v>2265</v>
      </c>
      <c r="U47" s="93">
        <f>SUM($B$17:U17)</f>
        <v>3088</v>
      </c>
      <c r="V47" s="93">
        <f>SUM($B$17:V17)</f>
        <v>3209</v>
      </c>
      <c r="W47" s="93">
        <f>SUM($B$17:W17)</f>
        <v>3317</v>
      </c>
      <c r="X47" s="93">
        <f>SUM($B$17:X17)</f>
        <v>3403</v>
      </c>
      <c r="Y47" s="93">
        <f>SUM($B$17:Y17)</f>
        <v>3548</v>
      </c>
      <c r="Z47" s="93">
        <f>SUM($B$17:Z17)</f>
        <v>3634</v>
      </c>
      <c r="AA47" s="254"/>
    </row>
    <row r="48" spans="1:27" ht="14">
      <c r="A48" s="6">
        <v>2024</v>
      </c>
      <c r="B48" s="93"/>
      <c r="C48" s="93">
        <f>SUM($B$18:C18)</f>
        <v>0</v>
      </c>
      <c r="D48" s="93">
        <f>SUM($B$18:D18)</f>
        <v>0</v>
      </c>
      <c r="E48" s="93">
        <f>SUM($B$18:E18)</f>
        <v>0</v>
      </c>
      <c r="F48" s="93">
        <f>SUM($B$18:F18)</f>
        <v>0</v>
      </c>
      <c r="G48" s="93">
        <f>SUM($B$18:G18)</f>
        <v>0</v>
      </c>
      <c r="H48" s="93">
        <f>SUM($B$18:H18)</f>
        <v>0</v>
      </c>
      <c r="I48" s="93">
        <f>SUM($B$18:I18)</f>
        <v>0</v>
      </c>
      <c r="J48" s="93">
        <f>SUM($B$18:J18)</f>
        <v>0</v>
      </c>
      <c r="K48" s="93">
        <f>SUM($B$18:K18)</f>
        <v>55</v>
      </c>
      <c r="L48" s="93">
        <f>SUM($B$18:L18)</f>
        <v>372</v>
      </c>
      <c r="M48" s="93">
        <f>SUM($B$18:M18)</f>
        <v>766</v>
      </c>
      <c r="N48" s="93">
        <f>SUM($B$18:N18)</f>
        <v>1577</v>
      </c>
      <c r="O48" s="93">
        <f>SUM($B$18:O18)</f>
        <v>1698</v>
      </c>
      <c r="P48" s="93">
        <f>SUM($B$18:P18)</f>
        <v>1857</v>
      </c>
      <c r="Q48" s="93">
        <f>SUM($B$18:Q18)</f>
        <v>1974</v>
      </c>
      <c r="R48" s="93">
        <f>SUM($B$18:R18)</f>
        <v>2143</v>
      </c>
      <c r="S48" s="93">
        <f>SUM($B$18:S18)</f>
        <v>2421</v>
      </c>
      <c r="T48" s="93">
        <f>SUM($B$18:T18)</f>
        <v>2565</v>
      </c>
      <c r="U48" s="93">
        <f>SUM($B$18:U18)</f>
        <v>2837</v>
      </c>
      <c r="V48" s="93">
        <f>SUM($B$18:V18)</f>
        <v>2959</v>
      </c>
      <c r="W48" s="93">
        <f>SUM($B$18:W18)</f>
        <v>3100</v>
      </c>
      <c r="X48" s="93">
        <f>SUM($B$18:X18)</f>
        <v>3254</v>
      </c>
      <c r="Y48" s="93">
        <f>SUM($B$18:Y18)</f>
        <v>3509</v>
      </c>
      <c r="Z48" s="93">
        <f>SUM($B$18:Z18)</f>
        <v>3528</v>
      </c>
    </row>
    <row r="49" spans="1:26" ht="14">
      <c r="A49" s="6">
        <v>2026</v>
      </c>
      <c r="B49" s="653">
        <v>13</v>
      </c>
      <c r="C49" s="653">
        <f>SUM($B$19:C19)</f>
        <v>31</v>
      </c>
      <c r="D49" s="653">
        <f>SUM($B$19:D19)</f>
        <v>35</v>
      </c>
      <c r="E49" s="653">
        <f>SUM($B$19:E19)</f>
        <v>150</v>
      </c>
      <c r="F49" s="653">
        <f>SUM($B$19:F19)</f>
        <v>204</v>
      </c>
      <c r="G49" s="653">
        <f>SUM($B$19:G19)</f>
        <v>249</v>
      </c>
      <c r="H49" s="653">
        <f>SUM($B$19:H19)</f>
        <v>364</v>
      </c>
      <c r="I49" s="653">
        <v>595</v>
      </c>
      <c r="J49" s="666">
        <f>71+506</f>
        <v>577</v>
      </c>
      <c r="K49" s="666">
        <f>1116+204</f>
        <v>1320</v>
      </c>
      <c r="L49" s="666">
        <f>1185+234</f>
        <v>1419</v>
      </c>
      <c r="M49" s="666">
        <f>287+1233</f>
        <v>1520</v>
      </c>
      <c r="N49" s="666">
        <f>1295+301</f>
        <v>1596</v>
      </c>
      <c r="O49" s="666">
        <f>310+1351</f>
        <v>1661</v>
      </c>
      <c r="P49" s="666">
        <f>1409+320</f>
        <v>1729</v>
      </c>
      <c r="Q49" s="666">
        <f>1498+365</f>
        <v>1863</v>
      </c>
      <c r="R49" s="666">
        <f>408+1600</f>
        <v>2008</v>
      </c>
      <c r="S49" s="655">
        <f>1820+546</f>
        <v>2366</v>
      </c>
      <c r="T49" s="656">
        <f>1865+603</f>
        <v>2468</v>
      </c>
      <c r="U49" s="653">
        <f>640+1921</f>
        <v>2561</v>
      </c>
      <c r="V49" s="653">
        <f>1965+691</f>
        <v>2656</v>
      </c>
      <c r="W49" s="653">
        <v>2788</v>
      </c>
      <c r="X49" s="653">
        <v>2948</v>
      </c>
      <c r="Y49" s="653"/>
      <c r="Z49" s="657"/>
    </row>
    <row r="50" spans="1:26" ht="14">
      <c r="A50" s="605" t="s">
        <v>534</v>
      </c>
      <c r="B50" s="667"/>
      <c r="C50" s="667">
        <v>25</v>
      </c>
      <c r="D50" s="667">
        <v>75</v>
      </c>
      <c r="E50" s="667">
        <v>125</v>
      </c>
      <c r="F50" s="667">
        <v>300</v>
      </c>
      <c r="G50" s="667">
        <v>540</v>
      </c>
      <c r="H50" s="667">
        <v>720</v>
      </c>
      <c r="I50" s="667">
        <v>1080</v>
      </c>
      <c r="J50" s="668">
        <v>1438</v>
      </c>
      <c r="K50" s="668">
        <v>1500</v>
      </c>
      <c r="L50" s="668">
        <v>1562</v>
      </c>
      <c r="M50" s="668">
        <v>1624</v>
      </c>
      <c r="N50" s="668">
        <v>1686</v>
      </c>
      <c r="O50" s="668">
        <v>1748</v>
      </c>
      <c r="P50" s="668">
        <v>1810</v>
      </c>
      <c r="Q50" s="668">
        <v>1872</v>
      </c>
      <c r="R50" s="668">
        <v>1934</v>
      </c>
      <c r="S50" s="668">
        <v>1996</v>
      </c>
      <c r="T50" s="668">
        <v>2055</v>
      </c>
      <c r="U50" s="668">
        <v>2230</v>
      </c>
      <c r="V50" s="668">
        <v>2430</v>
      </c>
      <c r="W50" s="668">
        <v>2630</v>
      </c>
      <c r="X50" s="668">
        <v>2830</v>
      </c>
      <c r="Y50" s="668">
        <v>3055</v>
      </c>
      <c r="Z50" s="669">
        <v>3098</v>
      </c>
    </row>
    <row r="51" spans="1:26" ht="14"/>
    <row r="52" spans="1:26" ht="14"/>
    <row r="53" spans="1:26" ht="14">
      <c r="A53" s="47" t="s">
        <v>535</v>
      </c>
      <c r="B53" s="595"/>
    </row>
    <row r="54" spans="1:26" ht="14">
      <c r="A54" s="41" t="s">
        <v>536</v>
      </c>
      <c r="B54" s="4" t="s">
        <v>537</v>
      </c>
      <c r="C54" s="4" t="s">
        <v>10</v>
      </c>
      <c r="D54" s="612" t="s">
        <v>538</v>
      </c>
      <c r="E54" s="614"/>
      <c r="F54" s="614"/>
    </row>
    <row r="55" spans="1:26" ht="14">
      <c r="A55" s="6" t="s">
        <v>12</v>
      </c>
      <c r="B55" s="297">
        <v>1821</v>
      </c>
      <c r="C55" s="94">
        <v>4937</v>
      </c>
      <c r="D55" s="613">
        <f>B55/C55</f>
        <v>0.36884747822564312</v>
      </c>
      <c r="E55" s="187"/>
      <c r="F55" s="615"/>
    </row>
    <row r="56" spans="1:26" ht="14">
      <c r="A56" s="6" t="s">
        <v>13</v>
      </c>
      <c r="B56" s="297">
        <v>1476</v>
      </c>
      <c r="C56" s="94">
        <v>3855</v>
      </c>
      <c r="D56" s="613">
        <f>B56/C56</f>
        <v>0.38287937743190664</v>
      </c>
      <c r="E56" s="187"/>
      <c r="F56" s="615"/>
    </row>
    <row r="57" spans="1:26" ht="14.25" customHeight="1">
      <c r="A57" s="6" t="s">
        <v>539</v>
      </c>
      <c r="B57" s="297">
        <v>351</v>
      </c>
      <c r="C57" s="94">
        <v>1082</v>
      </c>
      <c r="D57" s="613">
        <f>B57/C57</f>
        <v>0.3243992606284658</v>
      </c>
      <c r="E57" s="187"/>
      <c r="F57" s="615"/>
    </row>
    <row r="58" spans="1:26" ht="14.25" customHeight="1">
      <c r="E58" s="433"/>
    </row>
    <row r="64" spans="1:26" s="449" customFormat="1" ht="14">
      <c r="A64" s="448"/>
      <c r="B64" s="448"/>
    </row>
    <row r="65" spans="1:2" s="449" customFormat="1" ht="14">
      <c r="A65" s="448"/>
      <c r="B65" s="448"/>
    </row>
    <row r="66" spans="1:2" s="449" customFormat="1" ht="14">
      <c r="A66" s="448"/>
      <c r="B66" s="448"/>
    </row>
    <row r="67" spans="1:2" s="447" customFormat="1" ht="14.25" customHeight="1"/>
    <row r="68" spans="1:2" s="447" customFormat="1" ht="14.25" customHeight="1"/>
    <row r="69" spans="1:2" s="447" customFormat="1" ht="14.25" customHeight="1"/>
    <row r="70" spans="1:2" s="447" customFormat="1" ht="14.25" customHeight="1"/>
    <row r="71" spans="1:2" s="447" customFormat="1" ht="14.25" customHeight="1"/>
    <row r="72" spans="1:2" s="447" customFormat="1" ht="14.25" customHeight="1"/>
    <row r="73" spans="1:2" s="447" customFormat="1" ht="14.25" customHeight="1"/>
    <row r="74" spans="1:2" s="447" customFormat="1" ht="14.25" customHeight="1"/>
    <row r="75" spans="1:2" s="447" customFormat="1" ht="14.25" customHeight="1"/>
    <row r="76" spans="1:2" s="447" customFormat="1" ht="14.25" customHeight="1"/>
    <row r="77" spans="1:2" s="447" customFormat="1" ht="14.25" customHeight="1"/>
    <row r="78" spans="1:2" s="447" customFormat="1" ht="14.25" customHeight="1"/>
    <row r="79" spans="1:2" s="447" customFormat="1" ht="14.25" customHeight="1"/>
    <row r="80" spans="1:2" s="447" customFormat="1" ht="14.25" customHeight="1"/>
    <row r="81" s="447" customFormat="1" ht="14.25" customHeight="1"/>
    <row r="82" s="447" customFormat="1" ht="14.25" customHeight="1"/>
    <row r="83" s="447" customFormat="1" ht="14.25" customHeight="1"/>
    <row r="84" s="447" customFormat="1" ht="14.25" customHeight="1"/>
    <row r="85" s="447" customFormat="1" ht="14.25" customHeight="1"/>
    <row r="86" s="447" customFormat="1" ht="14.25" customHeight="1"/>
    <row r="87" s="447" customFormat="1" ht="14.25" customHeight="1"/>
    <row r="88" s="447" customFormat="1" ht="14.25" customHeight="1"/>
    <row r="89" s="447" customFormat="1" ht="14.25" customHeight="1"/>
    <row r="90" s="447" customFormat="1" ht="14.25" customHeight="1"/>
    <row r="91" s="447" customFormat="1" ht="14.25" customHeight="1"/>
    <row r="92" s="447" customFormat="1" ht="14.25" customHeight="1"/>
    <row r="93" s="447" customFormat="1" ht="14.25" customHeight="1"/>
    <row r="94" s="447" customFormat="1" ht="14.25" customHeight="1"/>
    <row r="95" s="447" customFormat="1" ht="14.25" customHeight="1"/>
    <row r="96" s="447" customFormat="1" ht="14.25" customHeight="1"/>
    <row r="97" s="447" customFormat="1" ht="14.25" customHeight="1"/>
    <row r="98" s="447" customFormat="1" ht="14.25" customHeight="1"/>
    <row r="99" s="447" customFormat="1" ht="14.25" customHeight="1"/>
  </sheetData>
  <pageMargins left="0.7" right="0.7" top="0.75" bottom="0.75" header="0.3" footer="0.3"/>
  <pageSetup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1C41A-8D36-458D-98B9-88A885F224E8}">
  <dimension ref="A1:AA87"/>
  <sheetViews>
    <sheetView showGridLines="0" topLeftCell="A15" zoomScale="110" zoomScaleNormal="50" workbookViewId="0">
      <pane xSplit="1" topLeftCell="B1" activePane="topRight" state="frozen"/>
      <selection pane="topRight" activeCell="O28" sqref="O28"/>
    </sheetView>
  </sheetViews>
  <sheetFormatPr defaultColWidth="11.5" defaultRowHeight="14.25" customHeight="1"/>
  <cols>
    <col min="1" max="1" width="32.5" bestFit="1" customWidth="1"/>
    <col min="2" max="2" width="21.5" customWidth="1"/>
    <col min="3" max="3" width="15" customWidth="1"/>
    <col min="4" max="11" width="10.5" customWidth="1"/>
    <col min="12" max="14" width="16" customWidth="1"/>
    <col min="15" max="15" width="18" bestFit="1" customWidth="1"/>
    <col min="16" max="25" width="16" customWidth="1"/>
    <col min="26" max="26" width="15.5" customWidth="1"/>
    <col min="27" max="27" width="26" customWidth="1"/>
    <col min="28" max="28" width="21" bestFit="1" customWidth="1"/>
    <col min="29" max="29" width="10" customWidth="1"/>
    <col min="30" max="31" width="9"/>
    <col min="32" max="32" width="21" bestFit="1" customWidth="1"/>
  </cols>
  <sheetData>
    <row r="1" spans="1:27" s="3" customFormat="1" ht="23.25" customHeight="1">
      <c r="A1" s="17" t="s">
        <v>466</v>
      </c>
      <c r="B1" s="593"/>
      <c r="C1" s="8"/>
      <c r="D1" s="8"/>
      <c r="E1" s="9"/>
      <c r="F1" s="10"/>
      <c r="G1" s="10"/>
      <c r="H1" s="10"/>
      <c r="I1" s="11"/>
      <c r="J1" s="11"/>
      <c r="K1" s="11"/>
      <c r="L1" s="11"/>
      <c r="M1" s="11"/>
      <c r="N1" s="11"/>
      <c r="O1" s="11"/>
      <c r="P1" s="11"/>
      <c r="Q1" s="11"/>
      <c r="R1" s="11"/>
      <c r="S1" s="43"/>
      <c r="T1" s="43"/>
      <c r="U1" s="43"/>
      <c r="V1" s="43"/>
      <c r="W1" s="43"/>
      <c r="X1" s="43"/>
      <c r="Y1" s="43"/>
      <c r="Z1" s="43"/>
      <c r="AA1" s="43"/>
    </row>
    <row r="2" spans="1:27" s="12" customFormat="1" ht="14">
      <c r="A2" s="45" t="s">
        <v>467</v>
      </c>
      <c r="B2" s="59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</row>
    <row r="3" spans="1:27" ht="14.25" customHeight="1">
      <c r="A3" t="s">
        <v>540</v>
      </c>
      <c r="O3" s="361" t="s">
        <v>541</v>
      </c>
      <c r="R3" s="361" t="s">
        <v>542</v>
      </c>
      <c r="T3" s="361"/>
      <c r="AA3" s="49" t="s">
        <v>472</v>
      </c>
    </row>
    <row r="4" spans="1:27" ht="14">
      <c r="A4" s="47" t="s">
        <v>526</v>
      </c>
      <c r="B4" s="42">
        <v>24</v>
      </c>
      <c r="C4" s="42">
        <v>23</v>
      </c>
      <c r="D4" s="42">
        <v>22</v>
      </c>
      <c r="E4" s="42">
        <v>21</v>
      </c>
      <c r="F4" s="42">
        <v>20</v>
      </c>
      <c r="G4" s="42">
        <v>19</v>
      </c>
      <c r="H4" s="42">
        <v>18</v>
      </c>
      <c r="I4" s="42">
        <v>17</v>
      </c>
      <c r="J4" s="42">
        <v>16</v>
      </c>
      <c r="K4" s="42">
        <v>15</v>
      </c>
      <c r="L4" s="42">
        <v>14</v>
      </c>
      <c r="M4" s="298">
        <v>13</v>
      </c>
      <c r="N4" s="300">
        <v>12</v>
      </c>
      <c r="O4" s="354">
        <v>11</v>
      </c>
      <c r="P4" s="42">
        <v>10</v>
      </c>
      <c r="Q4" s="42">
        <v>9</v>
      </c>
      <c r="R4" s="298">
        <v>8</v>
      </c>
      <c r="S4" s="300">
        <v>7</v>
      </c>
      <c r="T4" s="354">
        <v>6</v>
      </c>
      <c r="U4" s="42">
        <v>5</v>
      </c>
      <c r="V4" s="42">
        <v>4</v>
      </c>
      <c r="W4" s="42">
        <v>3</v>
      </c>
      <c r="X4" s="42">
        <v>2</v>
      </c>
      <c r="Y4" s="42">
        <v>1</v>
      </c>
      <c r="Z4" s="42">
        <v>0</v>
      </c>
    </row>
    <row r="5" spans="1:27" ht="14">
      <c r="A5" s="47"/>
      <c r="B5" s="42"/>
      <c r="C5" s="42"/>
      <c r="D5" s="42"/>
      <c r="E5" s="42"/>
      <c r="F5" s="42"/>
      <c r="G5" s="42"/>
      <c r="H5" s="42"/>
      <c r="I5" s="42"/>
      <c r="J5" s="42"/>
      <c r="K5" s="298"/>
      <c r="L5" s="651"/>
      <c r="M5" s="651"/>
      <c r="N5" s="651"/>
      <c r="O5" s="354"/>
      <c r="P5" s="298"/>
      <c r="Q5" s="651"/>
      <c r="R5" s="651"/>
      <c r="S5" s="651"/>
      <c r="T5" s="354"/>
      <c r="U5" s="42"/>
      <c r="V5" s="42"/>
      <c r="W5" s="42"/>
      <c r="X5" s="42"/>
      <c r="Y5" s="42"/>
      <c r="Z5" s="42"/>
    </row>
    <row r="6" spans="1:27" ht="18">
      <c r="A6" s="352" t="s">
        <v>543</v>
      </c>
      <c r="B6" s="5" t="s">
        <v>500</v>
      </c>
      <c r="C6" s="5" t="s">
        <v>501</v>
      </c>
      <c r="D6" s="5" t="s">
        <v>502</v>
      </c>
      <c r="E6" s="5" t="s">
        <v>503</v>
      </c>
      <c r="F6" s="5" t="s">
        <v>504</v>
      </c>
      <c r="G6" s="5" t="s">
        <v>505</v>
      </c>
      <c r="H6" s="5" t="s">
        <v>506</v>
      </c>
      <c r="I6" s="5" t="s">
        <v>507</v>
      </c>
      <c r="J6" s="48" t="s">
        <v>508</v>
      </c>
      <c r="K6" s="299" t="s">
        <v>509</v>
      </c>
      <c r="L6" s="357" t="s">
        <v>510</v>
      </c>
      <c r="M6" s="355" t="s">
        <v>511</v>
      </c>
      <c r="N6" s="5" t="s">
        <v>512</v>
      </c>
      <c r="O6" s="5" t="s">
        <v>513</v>
      </c>
      <c r="P6" s="299" t="s">
        <v>514</v>
      </c>
      <c r="Q6" s="357" t="s">
        <v>515</v>
      </c>
      <c r="R6" s="355" t="s">
        <v>544</v>
      </c>
      <c r="S6" s="5" t="s">
        <v>517</v>
      </c>
      <c r="T6" s="5" t="s">
        <v>518</v>
      </c>
      <c r="U6" s="5" t="s">
        <v>519</v>
      </c>
      <c r="V6" s="5" t="s">
        <v>520</v>
      </c>
      <c r="W6" s="5" t="s">
        <v>521</v>
      </c>
      <c r="X6" s="48" t="s">
        <v>522</v>
      </c>
      <c r="Y6" s="48" t="s">
        <v>523</v>
      </c>
      <c r="Z6" s="48" t="s">
        <v>524</v>
      </c>
      <c r="AA6" s="48" t="s">
        <v>545</v>
      </c>
    </row>
    <row r="7" spans="1:27" ht="14">
      <c r="A7" s="6" t="s">
        <v>376</v>
      </c>
      <c r="B7" s="93">
        <v>14</v>
      </c>
      <c r="C7" s="93">
        <v>10</v>
      </c>
      <c r="D7" s="93">
        <v>0</v>
      </c>
      <c r="E7" s="93">
        <v>44</v>
      </c>
      <c r="F7" s="93">
        <v>22</v>
      </c>
      <c r="G7" s="93">
        <v>20</v>
      </c>
      <c r="H7" s="93">
        <v>56</v>
      </c>
      <c r="I7" s="93">
        <v>78</v>
      </c>
      <c r="J7" s="93">
        <v>242</v>
      </c>
      <c r="K7" s="93">
        <v>32</v>
      </c>
      <c r="L7" s="93">
        <v>26</v>
      </c>
      <c r="M7" s="353">
        <v>30</v>
      </c>
      <c r="N7" s="358">
        <v>24</v>
      </c>
      <c r="O7" s="356">
        <v>23</v>
      </c>
      <c r="P7" s="93">
        <v>27</v>
      </c>
      <c r="Q7" s="93">
        <v>42</v>
      </c>
      <c r="R7" s="353">
        <v>110</v>
      </c>
      <c r="S7" s="358">
        <v>28</v>
      </c>
      <c r="T7" s="356">
        <v>45</v>
      </c>
      <c r="U7" s="93">
        <v>30</v>
      </c>
      <c r="V7" s="93">
        <v>38</v>
      </c>
      <c r="W7" s="93">
        <v>34</v>
      </c>
      <c r="X7" s="93">
        <v>78</v>
      </c>
      <c r="Y7" s="93"/>
      <c r="Z7" s="93"/>
      <c r="AA7" s="607">
        <f>SUM(B7:Z7)</f>
        <v>1053</v>
      </c>
    </row>
    <row r="8" spans="1:27" ht="14">
      <c r="A8" s="6" t="s">
        <v>27</v>
      </c>
      <c r="B8" s="93">
        <v>2</v>
      </c>
      <c r="C8" s="93">
        <v>0</v>
      </c>
      <c r="D8" s="93">
        <v>1</v>
      </c>
      <c r="E8" s="93">
        <v>48</v>
      </c>
      <c r="F8" s="93">
        <v>12</v>
      </c>
      <c r="G8" s="93">
        <v>8</v>
      </c>
      <c r="H8" s="93">
        <v>26</v>
      </c>
      <c r="I8" s="93">
        <v>51</v>
      </c>
      <c r="J8" s="93">
        <v>124</v>
      </c>
      <c r="K8" s="93">
        <v>6</v>
      </c>
      <c r="L8" s="93">
        <v>4</v>
      </c>
      <c r="M8" s="353">
        <v>6</v>
      </c>
      <c r="N8" s="358">
        <v>13</v>
      </c>
      <c r="O8" s="356">
        <v>6</v>
      </c>
      <c r="P8" s="93">
        <v>20</v>
      </c>
      <c r="Q8" s="93">
        <v>25</v>
      </c>
      <c r="R8" s="353">
        <v>52</v>
      </c>
      <c r="S8" s="358">
        <v>7</v>
      </c>
      <c r="T8" s="356">
        <v>9</v>
      </c>
      <c r="U8" s="93">
        <v>7</v>
      </c>
      <c r="V8" s="93">
        <v>8</v>
      </c>
      <c r="W8" s="93">
        <v>11</v>
      </c>
      <c r="X8" s="93">
        <v>20</v>
      </c>
      <c r="Y8" s="93"/>
      <c r="Z8" s="93"/>
      <c r="AA8" s="607">
        <f t="shared" ref="AA8:AA15" si="0">SUM(B8:Z8)</f>
        <v>466</v>
      </c>
    </row>
    <row r="9" spans="1:27" ht="14">
      <c r="A9" s="6" t="s">
        <v>377</v>
      </c>
      <c r="B9" s="93">
        <v>16</v>
      </c>
      <c r="C9" s="93">
        <v>20</v>
      </c>
      <c r="D9" s="93">
        <v>5</v>
      </c>
      <c r="E9" s="93">
        <v>25</v>
      </c>
      <c r="F9" s="93">
        <v>12</v>
      </c>
      <c r="G9" s="93">
        <v>14</v>
      </c>
      <c r="H9" s="93">
        <v>13</v>
      </c>
      <c r="I9" s="93">
        <v>68</v>
      </c>
      <c r="J9" s="93">
        <v>124</v>
      </c>
      <c r="K9" s="93">
        <v>28</v>
      </c>
      <c r="L9" s="93">
        <v>32</v>
      </c>
      <c r="M9" s="353">
        <v>32</v>
      </c>
      <c r="N9" s="358">
        <v>21</v>
      </c>
      <c r="O9" s="356">
        <v>22</v>
      </c>
      <c r="P9" s="93">
        <v>55</v>
      </c>
      <c r="Q9" s="93">
        <v>62</v>
      </c>
      <c r="R9" s="353">
        <v>128</v>
      </c>
      <c r="S9" s="358">
        <v>57</v>
      </c>
      <c r="T9" s="356">
        <v>42</v>
      </c>
      <c r="U9" s="93">
        <v>42</v>
      </c>
      <c r="V9" s="93">
        <v>68</v>
      </c>
      <c r="W9" s="93">
        <v>80</v>
      </c>
      <c r="X9" s="93">
        <v>91</v>
      </c>
      <c r="Y9" s="93"/>
      <c r="Z9" s="93"/>
      <c r="AA9" s="607">
        <f t="shared" si="0"/>
        <v>1057</v>
      </c>
    </row>
    <row r="10" spans="1:27" ht="14">
      <c r="A10" s="6" t="s">
        <v>546</v>
      </c>
      <c r="B10" s="93">
        <v>0</v>
      </c>
      <c r="C10" s="93">
        <v>0</v>
      </c>
      <c r="D10" s="93">
        <v>0</v>
      </c>
      <c r="E10" s="93">
        <v>0</v>
      </c>
      <c r="F10" s="93">
        <v>1</v>
      </c>
      <c r="G10" s="93">
        <v>0</v>
      </c>
      <c r="H10" s="93">
        <v>1</v>
      </c>
      <c r="I10" s="93">
        <v>1</v>
      </c>
      <c r="J10" s="93">
        <v>2</v>
      </c>
      <c r="K10" s="93">
        <v>0</v>
      </c>
      <c r="L10" s="93">
        <v>0</v>
      </c>
      <c r="M10" s="353">
        <v>0</v>
      </c>
      <c r="N10" s="358">
        <v>0</v>
      </c>
      <c r="O10" s="356">
        <v>0</v>
      </c>
      <c r="P10" s="93">
        <v>0</v>
      </c>
      <c r="Q10" s="93">
        <v>1</v>
      </c>
      <c r="R10" s="353">
        <v>1</v>
      </c>
      <c r="S10" s="358">
        <v>0</v>
      </c>
      <c r="T10" s="356">
        <v>0</v>
      </c>
      <c r="U10" s="93">
        <v>0</v>
      </c>
      <c r="V10" s="93">
        <v>0</v>
      </c>
      <c r="W10" s="93">
        <v>0</v>
      </c>
      <c r="X10" s="93">
        <v>0</v>
      </c>
      <c r="Y10" s="93"/>
      <c r="Z10" s="93"/>
      <c r="AA10" s="607">
        <f t="shared" si="0"/>
        <v>7</v>
      </c>
    </row>
    <row r="11" spans="1:27" ht="14">
      <c r="A11" s="6" t="s">
        <v>375</v>
      </c>
      <c r="B11" s="93">
        <v>59</v>
      </c>
      <c r="C11" s="93">
        <v>55</v>
      </c>
      <c r="D11" s="93">
        <v>19</v>
      </c>
      <c r="E11" s="93">
        <v>19</v>
      </c>
      <c r="F11" s="93">
        <v>33</v>
      </c>
      <c r="G11" s="93">
        <v>22</v>
      </c>
      <c r="H11" s="93">
        <v>20</v>
      </c>
      <c r="I11" s="93">
        <v>69</v>
      </c>
      <c r="J11" s="93">
        <v>141</v>
      </c>
      <c r="K11" s="93">
        <v>22</v>
      </c>
      <c r="L11" s="93">
        <v>18</v>
      </c>
      <c r="M11" s="353">
        <v>11</v>
      </c>
      <c r="N11" s="358">
        <v>23</v>
      </c>
      <c r="O11" s="356">
        <v>23</v>
      </c>
      <c r="P11" s="93">
        <v>11</v>
      </c>
      <c r="Q11" s="93">
        <v>18</v>
      </c>
      <c r="R11" s="353">
        <v>36</v>
      </c>
      <c r="S11" s="358">
        <v>11</v>
      </c>
      <c r="T11" s="356">
        <v>12</v>
      </c>
      <c r="U11" s="93">
        <v>15</v>
      </c>
      <c r="V11" s="93">
        <v>15</v>
      </c>
      <c r="W11" s="93">
        <v>25</v>
      </c>
      <c r="X11" s="93">
        <v>32</v>
      </c>
      <c r="Y11" s="93"/>
      <c r="Z11" s="93"/>
      <c r="AA11" s="607">
        <f t="shared" si="0"/>
        <v>709</v>
      </c>
    </row>
    <row r="12" spans="1:27" ht="14">
      <c r="A12" s="6" t="s">
        <v>402</v>
      </c>
      <c r="B12" s="93">
        <v>0</v>
      </c>
      <c r="C12" s="93">
        <v>0</v>
      </c>
      <c r="D12" s="93">
        <v>0</v>
      </c>
      <c r="E12" s="93">
        <v>4</v>
      </c>
      <c r="F12" s="93">
        <v>12</v>
      </c>
      <c r="G12" s="93">
        <v>9</v>
      </c>
      <c r="H12" s="93">
        <v>13</v>
      </c>
      <c r="I12" s="93">
        <v>40</v>
      </c>
      <c r="J12" s="93">
        <v>179</v>
      </c>
      <c r="K12" s="93">
        <v>39</v>
      </c>
      <c r="L12" s="93">
        <v>26</v>
      </c>
      <c r="M12" s="353">
        <v>23</v>
      </c>
      <c r="N12" s="358">
        <v>28</v>
      </c>
      <c r="O12" s="356">
        <v>41</v>
      </c>
      <c r="P12" s="93">
        <v>40</v>
      </c>
      <c r="Q12" s="93">
        <v>48</v>
      </c>
      <c r="R12" s="353">
        <v>82</v>
      </c>
      <c r="S12" s="358">
        <v>30</v>
      </c>
      <c r="T12" s="356">
        <v>75</v>
      </c>
      <c r="U12" s="93">
        <v>54</v>
      </c>
      <c r="V12" s="93">
        <v>68</v>
      </c>
      <c r="W12" s="93">
        <v>85</v>
      </c>
      <c r="X12" s="93">
        <v>92</v>
      </c>
      <c r="Y12" s="93"/>
      <c r="Z12" s="93"/>
      <c r="AA12" s="607">
        <f t="shared" si="0"/>
        <v>988</v>
      </c>
    </row>
    <row r="13" spans="1:27" ht="14">
      <c r="A13" s="6" t="s">
        <v>378</v>
      </c>
      <c r="B13" s="93">
        <v>0</v>
      </c>
      <c r="C13" s="93">
        <v>0</v>
      </c>
      <c r="D13" s="93">
        <v>0</v>
      </c>
      <c r="E13" s="93">
        <v>0</v>
      </c>
      <c r="F13" s="93">
        <v>0</v>
      </c>
      <c r="G13" s="93">
        <v>0</v>
      </c>
      <c r="H13" s="93">
        <v>0</v>
      </c>
      <c r="I13" s="93">
        <v>0</v>
      </c>
      <c r="J13" s="93">
        <v>5</v>
      </c>
      <c r="K13" s="93">
        <v>0</v>
      </c>
      <c r="L13" s="93">
        <v>3</v>
      </c>
      <c r="M13" s="353">
        <v>0</v>
      </c>
      <c r="N13" s="358">
        <v>0</v>
      </c>
      <c r="O13" s="356">
        <v>0</v>
      </c>
      <c r="P13" s="93">
        <v>1</v>
      </c>
      <c r="Q13" s="93">
        <v>0</v>
      </c>
      <c r="R13" s="353">
        <v>0</v>
      </c>
      <c r="S13" s="358">
        <v>0</v>
      </c>
      <c r="T13" s="356">
        <v>3</v>
      </c>
      <c r="U13" s="93">
        <v>0</v>
      </c>
      <c r="V13" s="93">
        <v>1</v>
      </c>
      <c r="W13" s="93">
        <v>2</v>
      </c>
      <c r="X13" s="93">
        <v>2</v>
      </c>
      <c r="Y13" s="93"/>
      <c r="Z13" s="93"/>
      <c r="AA13" s="607">
        <f t="shared" si="0"/>
        <v>17</v>
      </c>
    </row>
    <row r="14" spans="1:27" ht="14">
      <c r="A14" s="6" t="s">
        <v>28</v>
      </c>
      <c r="B14" s="93">
        <v>0</v>
      </c>
      <c r="C14" s="93">
        <v>0</v>
      </c>
      <c r="D14" s="93">
        <v>0</v>
      </c>
      <c r="E14" s="93">
        <v>0</v>
      </c>
      <c r="F14" s="93">
        <v>0</v>
      </c>
      <c r="G14" s="93">
        <v>0</v>
      </c>
      <c r="H14" s="93">
        <v>0</v>
      </c>
      <c r="I14" s="93">
        <v>0</v>
      </c>
      <c r="J14" s="93">
        <v>2</v>
      </c>
      <c r="K14" s="93">
        <v>0</v>
      </c>
      <c r="L14" s="93">
        <v>0</v>
      </c>
      <c r="M14" s="353">
        <v>0</v>
      </c>
      <c r="N14" s="358">
        <v>0</v>
      </c>
      <c r="O14" s="356">
        <v>0</v>
      </c>
      <c r="P14" s="93">
        <v>0</v>
      </c>
      <c r="Q14" s="93">
        <v>0</v>
      </c>
      <c r="R14" s="353">
        <v>2</v>
      </c>
      <c r="S14" s="358">
        <v>0</v>
      </c>
      <c r="T14" s="356">
        <v>0</v>
      </c>
      <c r="U14" s="93">
        <v>0</v>
      </c>
      <c r="V14" s="93">
        <v>0</v>
      </c>
      <c r="W14" s="93">
        <v>1</v>
      </c>
      <c r="X14" s="93">
        <v>0</v>
      </c>
      <c r="Y14" s="93"/>
      <c r="Z14" s="93"/>
      <c r="AA14" s="607">
        <f t="shared" si="0"/>
        <v>5</v>
      </c>
    </row>
    <row r="15" spans="1:27" ht="14">
      <c r="A15" s="6" t="s">
        <v>547</v>
      </c>
      <c r="B15" s="93">
        <v>0</v>
      </c>
      <c r="C15" s="93">
        <v>0</v>
      </c>
      <c r="D15" s="93">
        <v>0</v>
      </c>
      <c r="E15" s="93">
        <v>0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  <c r="L15" s="93">
        <v>0</v>
      </c>
      <c r="M15" s="353">
        <v>0</v>
      </c>
      <c r="N15" s="358">
        <v>0</v>
      </c>
      <c r="O15" s="356">
        <v>0</v>
      </c>
      <c r="P15" s="93">
        <v>0</v>
      </c>
      <c r="Q15" s="93">
        <v>0</v>
      </c>
      <c r="R15" s="353">
        <v>1</v>
      </c>
      <c r="S15" s="358">
        <v>0</v>
      </c>
      <c r="T15" s="356">
        <v>0</v>
      </c>
      <c r="U15" s="93">
        <v>0</v>
      </c>
      <c r="V15" s="93">
        <v>0</v>
      </c>
      <c r="W15" s="93">
        <v>4</v>
      </c>
      <c r="X15" s="93">
        <v>0</v>
      </c>
      <c r="Y15" s="93"/>
      <c r="Z15" s="93"/>
      <c r="AA15" s="607">
        <f t="shared" si="0"/>
        <v>5</v>
      </c>
    </row>
    <row r="16" spans="1:27" ht="14"/>
    <row r="17" spans="1:1" ht="14"/>
    <row r="18" spans="1:1" ht="14"/>
    <row r="19" spans="1:1" ht="14"/>
    <row r="20" spans="1:1" ht="14"/>
    <row r="21" spans="1:1" ht="14"/>
    <row r="22" spans="1:1" ht="14"/>
    <row r="23" spans="1:1" ht="14"/>
    <row r="24" spans="1:1" ht="14"/>
    <row r="25" spans="1:1" ht="14"/>
    <row r="26" spans="1:1" ht="14"/>
    <row r="27" spans="1:1" ht="14"/>
    <row r="28" spans="1:1" ht="14"/>
    <row r="29" spans="1:1" ht="14"/>
    <row r="30" spans="1:1" ht="14"/>
    <row r="31" spans="1:1" ht="14"/>
    <row r="32" spans="1:1" ht="14"/>
    <row r="33" spans="2:3" ht="14"/>
    <row r="34" spans="2:3" ht="14">
      <c r="B34" s="23" t="s">
        <v>548</v>
      </c>
    </row>
    <row r="35" spans="2:3" ht="14">
      <c r="B35" t="s">
        <v>549</v>
      </c>
      <c r="C35" t="s">
        <v>452</v>
      </c>
    </row>
    <row r="36" spans="2:3" ht="14">
      <c r="B36" s="6" t="s">
        <v>376</v>
      </c>
      <c r="C36" s="607">
        <v>975</v>
      </c>
    </row>
    <row r="37" spans="2:3" ht="14">
      <c r="B37" s="6" t="s">
        <v>27</v>
      </c>
      <c r="C37" s="607">
        <v>446</v>
      </c>
    </row>
    <row r="38" spans="2:3" ht="14">
      <c r="B38" s="6" t="s">
        <v>377</v>
      </c>
      <c r="C38" s="607">
        <v>966</v>
      </c>
    </row>
    <row r="39" spans="2:3" ht="14">
      <c r="B39" s="6" t="s">
        <v>546</v>
      </c>
      <c r="C39" s="607">
        <v>7</v>
      </c>
    </row>
    <row r="40" spans="2:3" ht="14">
      <c r="B40" s="6" t="s">
        <v>375</v>
      </c>
      <c r="C40" s="607">
        <v>677</v>
      </c>
    </row>
    <row r="41" spans="2:3" ht="14">
      <c r="B41" s="6" t="s">
        <v>402</v>
      </c>
      <c r="C41" s="607">
        <v>896</v>
      </c>
    </row>
    <row r="42" spans="2:3" ht="14">
      <c r="B42" s="6" t="s">
        <v>378</v>
      </c>
      <c r="C42" s="607">
        <v>15</v>
      </c>
    </row>
    <row r="43" spans="2:3" ht="14">
      <c r="B43" s="6" t="s">
        <v>28</v>
      </c>
      <c r="C43" s="607">
        <v>5</v>
      </c>
    </row>
    <row r="44" spans="2:3" ht="14">
      <c r="B44" s="6" t="s">
        <v>550</v>
      </c>
      <c r="C44" s="607">
        <v>5</v>
      </c>
    </row>
    <row r="52" spans="1:3" s="449" customFormat="1" ht="14">
      <c r="A52" s="448"/>
      <c r="B52" s="448"/>
    </row>
    <row r="53" spans="1:3" s="449" customFormat="1" ht="14">
      <c r="A53" s="448"/>
      <c r="B53" s="448"/>
    </row>
    <row r="54" spans="1:3" s="449" customFormat="1" ht="14">
      <c r="A54" s="448"/>
      <c r="B54" s="448"/>
    </row>
    <row r="55" spans="1:3" s="447" customFormat="1" ht="14.25" customHeight="1"/>
    <row r="56" spans="1:3" s="447" customFormat="1" ht="14.25" customHeight="1"/>
    <row r="57" spans="1:3" s="447" customFormat="1" ht="14.25" customHeight="1">
      <c r="B57" t="s">
        <v>549</v>
      </c>
      <c r="C57" t="s">
        <v>452</v>
      </c>
    </row>
    <row r="58" spans="1:3" s="447" customFormat="1" ht="14.25" customHeight="1">
      <c r="B58" s="6" t="s">
        <v>551</v>
      </c>
      <c r="C58" s="607">
        <v>1</v>
      </c>
    </row>
    <row r="59" spans="1:3" s="447" customFormat="1" ht="14.25" customHeight="1">
      <c r="B59" s="6" t="s">
        <v>552</v>
      </c>
      <c r="C59" s="607">
        <v>5</v>
      </c>
    </row>
    <row r="60" spans="1:3" s="447" customFormat="1" ht="14.25" customHeight="1">
      <c r="B60" s="6"/>
      <c r="C60" s="607"/>
    </row>
    <row r="61" spans="1:3" s="447" customFormat="1" ht="14.25" customHeight="1">
      <c r="B61" s="6"/>
      <c r="C61" s="607"/>
    </row>
    <row r="62" spans="1:3" s="447" customFormat="1" ht="14.25" customHeight="1">
      <c r="B62" s="6"/>
      <c r="C62" s="607"/>
    </row>
    <row r="63" spans="1:3" s="447" customFormat="1" ht="14.25" customHeight="1">
      <c r="B63" s="6"/>
      <c r="C63" s="607"/>
    </row>
    <row r="64" spans="1:3" s="447" customFormat="1" ht="14.25" customHeight="1">
      <c r="B64" s="6"/>
      <c r="C64" s="433"/>
    </row>
    <row r="65" spans="2:3" s="447" customFormat="1" ht="14.25" customHeight="1">
      <c r="B65" s="6"/>
      <c r="C65" s="433"/>
    </row>
    <row r="66" spans="2:3" s="447" customFormat="1" ht="14.25" customHeight="1">
      <c r="B66" s="6"/>
      <c r="C66" s="433"/>
    </row>
    <row r="67" spans="2:3" s="447" customFormat="1" ht="14.25" customHeight="1"/>
    <row r="68" spans="2:3" s="447" customFormat="1" ht="14.25" customHeight="1"/>
    <row r="69" spans="2:3" s="447" customFormat="1" ht="14.25" customHeight="1"/>
    <row r="70" spans="2:3" s="447" customFormat="1" ht="14.25" customHeight="1"/>
    <row r="71" spans="2:3" s="447" customFormat="1" ht="14.25" customHeight="1"/>
    <row r="72" spans="2:3" s="447" customFormat="1" ht="14.25" customHeight="1"/>
    <row r="73" spans="2:3" s="447" customFormat="1" ht="14.25" customHeight="1"/>
    <row r="74" spans="2:3" s="447" customFormat="1" ht="14.25" customHeight="1"/>
    <row r="75" spans="2:3" s="447" customFormat="1" ht="14.25" customHeight="1"/>
    <row r="76" spans="2:3" s="447" customFormat="1" ht="14.25" customHeight="1"/>
    <row r="77" spans="2:3" s="447" customFormat="1" ht="14.25" customHeight="1"/>
    <row r="78" spans="2:3" s="447" customFormat="1" ht="14.25" customHeight="1"/>
    <row r="79" spans="2:3" s="447" customFormat="1" ht="14.25" customHeight="1"/>
    <row r="80" spans="2:3" s="447" customFormat="1" ht="14.25" customHeight="1"/>
    <row r="81" s="447" customFormat="1" ht="14.25" customHeight="1"/>
    <row r="82" s="447" customFormat="1" ht="14.25" customHeight="1"/>
    <row r="83" s="447" customFormat="1" ht="14.25" customHeight="1"/>
    <row r="84" s="447" customFormat="1" ht="14.25" customHeight="1"/>
    <row r="85" s="447" customFormat="1" ht="14.25" customHeight="1"/>
    <row r="86" s="447" customFormat="1" ht="14.25" customHeight="1"/>
    <row r="87" s="447" customFormat="1" ht="14.25" customHeight="1"/>
  </sheetData>
  <pageMargins left="0.7" right="0.7" top="0.75" bottom="0.75" header="0.3" footer="0.3"/>
  <pageSetup orientation="portrait"/>
  <drawing r:id="rId1"/>
  <legacyDrawing r:id="rId2"/>
  <tableParts count="2">
    <tablePart r:id="rId3"/>
    <tablePart r:id="rId4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F885D-E1E2-4F23-B820-3C2CCF9FA7C5}">
  <dimension ref="B1:C4"/>
  <sheetViews>
    <sheetView workbookViewId="0">
      <selection activeCell="C3" sqref="C3:C4"/>
    </sheetView>
  </sheetViews>
  <sheetFormatPr defaultColWidth="11" defaultRowHeight="14"/>
  <sheetData>
    <row r="1" spans="2:3">
      <c r="B1" t="s">
        <v>553</v>
      </c>
    </row>
    <row r="2" spans="2:3">
      <c r="B2" s="23" t="s">
        <v>554</v>
      </c>
      <c r="C2" s="23" t="s">
        <v>555</v>
      </c>
    </row>
    <row r="3" spans="2:3">
      <c r="B3">
        <v>2024</v>
      </c>
      <c r="C3">
        <v>112</v>
      </c>
    </row>
    <row r="4" spans="2:3">
      <c r="B4">
        <v>2026</v>
      </c>
      <c r="C4">
        <v>142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CAA66-9BD1-4721-B8AD-5BDEA73FA5F7}">
  <sheetPr>
    <tabColor rgb="FF92D050"/>
  </sheetPr>
  <dimension ref="A1"/>
  <sheetViews>
    <sheetView workbookViewId="0">
      <selection activeCell="O19" sqref="O19"/>
    </sheetView>
  </sheetViews>
  <sheetFormatPr defaultColWidth="8.83203125" defaultRowHeight="14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C96B-2E1E-4F8B-A69F-501940EE2398}">
  <dimension ref="B2:V53"/>
  <sheetViews>
    <sheetView workbookViewId="0">
      <selection activeCell="C45" sqref="C45"/>
    </sheetView>
  </sheetViews>
  <sheetFormatPr defaultColWidth="8.83203125" defaultRowHeight="14"/>
  <cols>
    <col min="2" max="2" width="29.5" customWidth="1"/>
    <col min="3" max="3" width="21.5" customWidth="1"/>
    <col min="4" max="4" width="25" customWidth="1"/>
    <col min="5" max="5" width="21.5" customWidth="1"/>
    <col min="6" max="6" width="27.33203125" style="629" customWidth="1"/>
    <col min="7" max="8" width="29" customWidth="1"/>
    <col min="11" max="11" width="14.83203125" customWidth="1"/>
    <col min="15" max="15" width="27" customWidth="1"/>
    <col min="17" max="18" width="15" customWidth="1"/>
    <col min="19" max="19" width="16.5" customWidth="1"/>
    <col min="20" max="20" width="14.83203125" customWidth="1"/>
  </cols>
  <sheetData>
    <row r="2" spans="2:22">
      <c r="G2" t="s">
        <v>556</v>
      </c>
      <c r="H2" s="629">
        <f>H9+H15+H21</f>
        <v>1396971.99835</v>
      </c>
    </row>
    <row r="3" spans="2:22">
      <c r="G3" t="s">
        <v>557</v>
      </c>
      <c r="H3" s="629">
        <f>H33</f>
        <v>1166844.7675000001</v>
      </c>
    </row>
    <row r="4" spans="2:22">
      <c r="G4" t="s">
        <v>558</v>
      </c>
      <c r="H4" s="629">
        <f>H27+H42+H43+H44</f>
        <v>179324.64190000002</v>
      </c>
    </row>
    <row r="5" spans="2:22">
      <c r="G5" t="s">
        <v>559</v>
      </c>
      <c r="H5" s="629">
        <f>H41</f>
        <v>145418</v>
      </c>
    </row>
    <row r="6" spans="2:22">
      <c r="G6" t="s">
        <v>560</v>
      </c>
      <c r="H6" s="629">
        <f>H46</f>
        <v>-23400</v>
      </c>
    </row>
    <row r="7" spans="2:22">
      <c r="O7" t="s">
        <v>561</v>
      </c>
      <c r="P7" t="s">
        <v>562</v>
      </c>
      <c r="Q7" t="s">
        <v>563</v>
      </c>
      <c r="R7" t="s">
        <v>564</v>
      </c>
      <c r="S7" t="s">
        <v>565</v>
      </c>
      <c r="T7" t="s">
        <v>566</v>
      </c>
      <c r="U7" t="s">
        <v>567</v>
      </c>
      <c r="V7" t="s">
        <v>568</v>
      </c>
    </row>
    <row r="8" spans="2:22">
      <c r="B8" s="624" t="s">
        <v>561</v>
      </c>
      <c r="C8" s="624" t="s">
        <v>569</v>
      </c>
      <c r="D8" s="624" t="s">
        <v>570</v>
      </c>
      <c r="E8" s="624" t="s">
        <v>571</v>
      </c>
      <c r="F8" s="630" t="s">
        <v>572</v>
      </c>
      <c r="G8" t="s">
        <v>573</v>
      </c>
      <c r="H8" t="s">
        <v>574</v>
      </c>
      <c r="O8" s="632" t="s">
        <v>575</v>
      </c>
      <c r="P8" s="633">
        <v>1055.9418000000001</v>
      </c>
      <c r="Q8" s="633">
        <v>1000.3599999999999</v>
      </c>
      <c r="R8" s="633"/>
      <c r="S8" s="633">
        <v>16.298000000000002</v>
      </c>
      <c r="T8" s="633"/>
      <c r="U8" s="633">
        <v>39.283800000000006</v>
      </c>
      <c r="V8" s="632"/>
    </row>
    <row r="9" spans="2:22">
      <c r="B9" s="625" t="s">
        <v>575</v>
      </c>
      <c r="C9" s="626">
        <v>1055.9418000000001</v>
      </c>
      <c r="D9" s="625"/>
      <c r="E9" s="628">
        <v>923550.74820000003</v>
      </c>
      <c r="F9" s="628"/>
      <c r="G9" s="631">
        <f>SUM(G10:G13)</f>
        <v>868227.52095000003</v>
      </c>
      <c r="H9" s="631">
        <f>SUM(H10:H13)</f>
        <v>973503.01</v>
      </c>
      <c r="K9" s="629"/>
      <c r="O9" t="s">
        <v>576</v>
      </c>
      <c r="P9" s="433">
        <v>558.97275000000002</v>
      </c>
      <c r="Q9" s="433">
        <v>529.54999999999995</v>
      </c>
      <c r="R9" s="433">
        <v>426</v>
      </c>
      <c r="S9" s="433">
        <v>8.6275000000000013</v>
      </c>
      <c r="T9" s="433">
        <v>15</v>
      </c>
      <c r="U9" s="433">
        <v>20.795250000000003</v>
      </c>
      <c r="V9">
        <v>53</v>
      </c>
    </row>
    <row r="10" spans="2:22">
      <c r="B10" t="s">
        <v>576</v>
      </c>
      <c r="C10" s="433">
        <v>558.97275000000002</v>
      </c>
      <c r="D10">
        <v>499</v>
      </c>
      <c r="E10" s="629">
        <v>446619.22724999994</v>
      </c>
      <c r="F10" s="629">
        <v>398701</v>
      </c>
      <c r="G10" s="629">
        <f>387301+3995</f>
        <v>391296</v>
      </c>
      <c r="H10" s="629">
        <f>F10</f>
        <v>398701</v>
      </c>
      <c r="O10" t="s">
        <v>577</v>
      </c>
      <c r="P10" s="433">
        <v>215.13405</v>
      </c>
      <c r="Q10" s="433">
        <v>203.81</v>
      </c>
      <c r="R10" s="433"/>
      <c r="S10" s="433">
        <v>3.3205</v>
      </c>
      <c r="T10" s="433"/>
      <c r="U10" s="433">
        <v>8.0035500000000006</v>
      </c>
    </row>
    <row r="11" spans="2:22">
      <c r="B11" t="s">
        <v>577</v>
      </c>
      <c r="C11" s="433">
        <v>215.13405</v>
      </c>
      <c r="D11">
        <v>324</v>
      </c>
      <c r="E11" s="629">
        <v>193405.51095000003</v>
      </c>
      <c r="F11" s="629">
        <v>291276</v>
      </c>
      <c r="G11" s="629">
        <v>193405.51095000003</v>
      </c>
      <c r="H11" s="629">
        <f>F11</f>
        <v>291276</v>
      </c>
      <c r="O11" t="s">
        <v>578</v>
      </c>
      <c r="P11" s="433">
        <v>262.10655000000003</v>
      </c>
      <c r="Q11" s="433">
        <v>248.31</v>
      </c>
      <c r="R11" s="433"/>
      <c r="S11" s="433">
        <v>4.0455000000000005</v>
      </c>
      <c r="T11" s="433"/>
      <c r="U11" s="433">
        <v>9.7510500000000011</v>
      </c>
    </row>
    <row r="12" spans="2:22">
      <c r="B12" t="s">
        <v>578</v>
      </c>
      <c r="C12" s="433">
        <v>262.10655000000003</v>
      </c>
      <c r="E12" s="629">
        <v>261844.44344999999</v>
      </c>
      <c r="G12" s="629">
        <v>261844.44344999999</v>
      </c>
      <c r="H12" s="629">
        <v>261844.44344999999</v>
      </c>
      <c r="O12" t="s">
        <v>579</v>
      </c>
      <c r="P12" s="433">
        <v>19.728450000000002</v>
      </c>
      <c r="Q12" s="433">
        <v>18.690000000000001</v>
      </c>
      <c r="R12" s="433"/>
      <c r="S12" s="433">
        <v>0.30449999999999999</v>
      </c>
      <c r="T12" s="433"/>
      <c r="U12" s="433">
        <v>0.73394999999999999</v>
      </c>
    </row>
    <row r="13" spans="2:22">
      <c r="B13" t="s">
        <v>579</v>
      </c>
      <c r="C13" s="433">
        <v>19.728450000000002</v>
      </c>
      <c r="E13" s="629">
        <v>21681.56655</v>
      </c>
      <c r="G13" s="629">
        <v>21681.56655</v>
      </c>
      <c r="H13" s="629">
        <v>21681.56655</v>
      </c>
      <c r="P13" s="433"/>
      <c r="Q13" s="433"/>
      <c r="R13" s="433"/>
      <c r="S13" s="433"/>
      <c r="T13" s="433"/>
      <c r="U13" s="433"/>
    </row>
    <row r="14" spans="2:22">
      <c r="C14" s="433"/>
      <c r="E14" s="629"/>
      <c r="O14" s="632" t="s">
        <v>580</v>
      </c>
      <c r="P14" s="633">
        <v>332.56530000000004</v>
      </c>
      <c r="Q14" s="633">
        <v>315.06</v>
      </c>
      <c r="R14" s="633"/>
      <c r="S14" s="633">
        <v>5.133</v>
      </c>
      <c r="T14" s="633"/>
      <c r="U14" s="633">
        <v>12.372299999999999</v>
      </c>
      <c r="V14" s="632"/>
    </row>
    <row r="15" spans="2:22">
      <c r="B15" s="625" t="s">
        <v>580</v>
      </c>
      <c r="C15" s="626">
        <v>332.56530000000004</v>
      </c>
      <c r="D15" s="625"/>
      <c r="E15" s="628">
        <v>251440.03470000002</v>
      </c>
      <c r="F15" s="628"/>
      <c r="G15" s="631">
        <f>SUM(G16:G19)</f>
        <v>239379.41370000003</v>
      </c>
      <c r="H15" s="631">
        <f>SUM(H16:H19)</f>
        <v>261351.45740000001</v>
      </c>
      <c r="O15" t="s">
        <v>581</v>
      </c>
      <c r="P15" s="433">
        <v>206.679</v>
      </c>
      <c r="Q15" s="433">
        <v>195.8</v>
      </c>
      <c r="R15" s="433">
        <v>125</v>
      </c>
      <c r="S15" s="433">
        <v>3.19</v>
      </c>
      <c r="T15" s="433">
        <v>4</v>
      </c>
      <c r="U15" s="433">
        <v>7.6890000000000001</v>
      </c>
      <c r="V15">
        <v>6</v>
      </c>
    </row>
    <row r="16" spans="2:22">
      <c r="B16" t="s">
        <v>581</v>
      </c>
      <c r="C16" s="433">
        <v>206.679</v>
      </c>
      <c r="D16">
        <v>190</v>
      </c>
      <c r="E16" s="629">
        <v>144468.62100000001</v>
      </c>
      <c r="F16" s="629">
        <v>132810</v>
      </c>
      <c r="G16" s="629">
        <f>131010+1398</f>
        <v>132408</v>
      </c>
      <c r="H16" s="629">
        <f>F16</f>
        <v>132810</v>
      </c>
      <c r="O16" t="s">
        <v>582</v>
      </c>
      <c r="P16" s="433">
        <v>62.003700000000002</v>
      </c>
      <c r="Q16" s="433">
        <v>58.74</v>
      </c>
      <c r="R16" s="433"/>
      <c r="S16" s="433">
        <v>0.95700000000000007</v>
      </c>
      <c r="T16" s="433"/>
      <c r="U16" s="433">
        <v>2.3067000000000002</v>
      </c>
    </row>
    <row r="17" spans="2:22">
      <c r="B17" t="s">
        <v>582</v>
      </c>
      <c r="C17" s="433">
        <v>62.003700000000002</v>
      </c>
      <c r="D17">
        <v>89</v>
      </c>
      <c r="E17" s="629">
        <v>49540.956300000005</v>
      </c>
      <c r="F17" s="629">
        <v>71111</v>
      </c>
      <c r="G17" s="629">
        <v>49540.956300000005</v>
      </c>
      <c r="H17" s="629">
        <f>F17</f>
        <v>71111</v>
      </c>
      <c r="O17" t="s">
        <v>583</v>
      </c>
      <c r="P17" s="433">
        <v>63.882600000000004</v>
      </c>
      <c r="Q17" s="433">
        <v>60.52</v>
      </c>
      <c r="R17" s="433"/>
      <c r="S17" s="433">
        <v>0.9860000000000001</v>
      </c>
      <c r="T17" s="433"/>
      <c r="U17" s="433">
        <v>2.3766000000000003</v>
      </c>
    </row>
    <row r="18" spans="2:22">
      <c r="B18" t="s">
        <v>583</v>
      </c>
      <c r="C18" s="433">
        <v>63.882600000000004</v>
      </c>
      <c r="E18" s="629">
        <v>57430.457399999999</v>
      </c>
      <c r="G18" s="629">
        <v>57430.457399999999</v>
      </c>
      <c r="H18" s="629">
        <f>E18</f>
        <v>57430.457399999999</v>
      </c>
      <c r="O18" t="s">
        <v>584</v>
      </c>
      <c r="P18" s="433">
        <v>0</v>
      </c>
      <c r="Q18" s="433">
        <v>0</v>
      </c>
      <c r="R18" s="433"/>
      <c r="S18" s="433">
        <v>0</v>
      </c>
      <c r="T18" s="433"/>
      <c r="U18" s="433">
        <v>0</v>
      </c>
    </row>
    <row r="19" spans="2:22">
      <c r="B19" t="s">
        <v>584</v>
      </c>
      <c r="C19" s="433">
        <v>0</v>
      </c>
      <c r="E19" s="629">
        <v>0</v>
      </c>
      <c r="G19" s="629">
        <v>0</v>
      </c>
      <c r="H19" s="629"/>
      <c r="P19" s="433"/>
      <c r="Q19" s="433"/>
      <c r="R19" s="433"/>
      <c r="S19" s="433"/>
      <c r="T19" s="433"/>
      <c r="U19" s="433"/>
    </row>
    <row r="20" spans="2:22">
      <c r="C20" s="433"/>
      <c r="E20" s="629"/>
      <c r="O20" s="632" t="s">
        <v>585</v>
      </c>
      <c r="P20" s="633">
        <v>317.53410000000002</v>
      </c>
      <c r="Q20" s="633">
        <v>300.82</v>
      </c>
      <c r="R20" s="633"/>
      <c r="S20" s="633">
        <v>4.9009999999999998</v>
      </c>
      <c r="T20" s="633"/>
      <c r="U20" s="633">
        <v>11.813100000000002</v>
      </c>
      <c r="V20" s="632"/>
    </row>
    <row r="21" spans="2:22">
      <c r="B21" s="625" t="s">
        <v>585</v>
      </c>
      <c r="C21" s="626">
        <v>317.53410000000002</v>
      </c>
      <c r="D21" s="625"/>
      <c r="E21" s="628">
        <v>165210.65590000001</v>
      </c>
      <c r="F21" s="628"/>
      <c r="G21" s="631">
        <f>SUM(G22:G25)</f>
        <v>155711.93300000002</v>
      </c>
      <c r="H21" s="631">
        <f>SUM(H22:H25)</f>
        <v>162117.53095000001</v>
      </c>
      <c r="O21" t="s">
        <v>586</v>
      </c>
      <c r="P21" s="433">
        <v>167.22210000000001</v>
      </c>
      <c r="Q21" s="433">
        <v>158.42000000000002</v>
      </c>
      <c r="R21" s="433">
        <v>142</v>
      </c>
      <c r="S21" s="433">
        <v>2.581</v>
      </c>
      <c r="T21" s="433">
        <v>0</v>
      </c>
      <c r="U21" s="433">
        <v>6.2211000000000007</v>
      </c>
      <c r="V21">
        <v>3</v>
      </c>
    </row>
    <row r="22" spans="2:22">
      <c r="B22" t="s">
        <v>586</v>
      </c>
      <c r="C22" s="433">
        <v>167.22210000000001</v>
      </c>
      <c r="D22">
        <v>147</v>
      </c>
      <c r="E22" s="629">
        <v>75082.722900000008</v>
      </c>
      <c r="F22" s="629">
        <v>66003</v>
      </c>
      <c r="G22" s="629">
        <f>65135+449</f>
        <v>65584</v>
      </c>
      <c r="H22" s="629">
        <f>F22</f>
        <v>66003</v>
      </c>
      <c r="O22" t="s">
        <v>587</v>
      </c>
      <c r="P22" s="433">
        <v>76.09545</v>
      </c>
      <c r="Q22" s="433">
        <v>72.09</v>
      </c>
      <c r="R22" s="433"/>
      <c r="S22" s="433">
        <v>1.1745000000000001</v>
      </c>
      <c r="T22" s="433"/>
      <c r="U22" s="433">
        <v>2.8309500000000001</v>
      </c>
    </row>
    <row r="23" spans="2:22">
      <c r="B23" t="s">
        <v>587</v>
      </c>
      <c r="C23" s="433">
        <v>76.09545</v>
      </c>
      <c r="D23">
        <v>87</v>
      </c>
      <c r="E23" s="629">
        <v>41776.402050000004</v>
      </c>
      <c r="F23" s="629">
        <v>47763</v>
      </c>
      <c r="G23" s="629">
        <v>41776.402050000004</v>
      </c>
      <c r="H23" s="629">
        <f>F23</f>
        <v>47763</v>
      </c>
      <c r="O23" t="s">
        <v>588</v>
      </c>
      <c r="P23" s="433">
        <v>72.337649999999996</v>
      </c>
      <c r="Q23" s="433">
        <v>68.53</v>
      </c>
      <c r="R23" s="433"/>
      <c r="S23" s="433">
        <v>1.1165</v>
      </c>
      <c r="T23" s="433"/>
      <c r="U23" s="433">
        <v>2.6911499999999999</v>
      </c>
    </row>
    <row r="24" spans="2:22">
      <c r="B24" t="s">
        <v>588</v>
      </c>
      <c r="C24" s="433">
        <v>72.337649999999996</v>
      </c>
      <c r="E24" s="629">
        <v>46947.134850000002</v>
      </c>
      <c r="G24" s="629">
        <v>46947.134850000002</v>
      </c>
      <c r="H24" s="629">
        <f>E24</f>
        <v>46947.134850000002</v>
      </c>
      <c r="O24" t="s">
        <v>589</v>
      </c>
      <c r="P24" s="433">
        <v>1.8789</v>
      </c>
      <c r="Q24" s="433">
        <v>1.78</v>
      </c>
      <c r="R24" s="433"/>
      <c r="S24" s="433">
        <v>2.9000000000000001E-2</v>
      </c>
      <c r="T24" s="433"/>
      <c r="U24" s="433">
        <v>6.9900000000000004E-2</v>
      </c>
    </row>
    <row r="25" spans="2:22">
      <c r="B25" t="s">
        <v>589</v>
      </c>
      <c r="C25" s="433">
        <v>1.8789</v>
      </c>
      <c r="E25" s="629">
        <v>1404.3960999999999</v>
      </c>
      <c r="G25" s="629">
        <v>1404.3960999999999</v>
      </c>
      <c r="H25" s="629">
        <f>E25</f>
        <v>1404.3960999999999</v>
      </c>
      <c r="P25" s="433"/>
      <c r="Q25" s="433"/>
      <c r="R25" s="433"/>
      <c r="S25" s="433"/>
      <c r="T25" s="433"/>
      <c r="U25" s="433"/>
    </row>
    <row r="26" spans="2:22">
      <c r="C26" s="433"/>
      <c r="E26" s="629"/>
      <c r="O26" s="632" t="s">
        <v>590</v>
      </c>
      <c r="P26" s="633">
        <v>533.60760000000005</v>
      </c>
      <c r="Q26" s="633">
        <v>505.51999999999992</v>
      </c>
      <c r="R26" s="633"/>
      <c r="S26" s="633">
        <v>8.2360000000000007</v>
      </c>
      <c r="T26" s="633"/>
      <c r="U26" s="633">
        <v>19.851600000000001</v>
      </c>
      <c r="V26" s="632"/>
    </row>
    <row r="27" spans="2:22">
      <c r="B27" s="625" t="s">
        <v>590</v>
      </c>
      <c r="C27" s="626">
        <v>533.60760000000005</v>
      </c>
      <c r="D27" s="625"/>
      <c r="E27" s="628">
        <v>180263.54490000004</v>
      </c>
      <c r="F27" s="628"/>
      <c r="G27" s="631">
        <f>SUM(G28:G31)</f>
        <v>163716.93985000002</v>
      </c>
      <c r="H27" s="631">
        <f>SUM(H28:H31)</f>
        <v>167616.64190000002</v>
      </c>
      <c r="O27" t="s">
        <v>591</v>
      </c>
      <c r="P27" s="433">
        <v>273.37995000000001</v>
      </c>
      <c r="Q27" s="433">
        <v>258.99</v>
      </c>
      <c r="R27" s="433">
        <v>192</v>
      </c>
      <c r="S27" s="433">
        <v>4.2195</v>
      </c>
      <c r="T27" s="433">
        <v>2</v>
      </c>
      <c r="U27" s="433">
        <v>10.170450000000001</v>
      </c>
      <c r="V27">
        <v>15</v>
      </c>
    </row>
    <row r="28" spans="2:22">
      <c r="B28" t="s">
        <v>591</v>
      </c>
      <c r="C28" s="433">
        <v>273.37995000000001</v>
      </c>
      <c r="D28">
        <v>211</v>
      </c>
      <c r="E28" s="629">
        <v>81740.605050000013</v>
      </c>
      <c r="F28" s="629">
        <v>63089</v>
      </c>
      <c r="G28" s="629">
        <f>64596+598</f>
        <v>65194</v>
      </c>
      <c r="H28" s="629">
        <f>F28</f>
        <v>63089</v>
      </c>
      <c r="O28" t="s">
        <v>592</v>
      </c>
      <c r="P28" s="433">
        <v>111.79454999999999</v>
      </c>
      <c r="Q28" s="433">
        <v>105.91</v>
      </c>
      <c r="R28" s="433"/>
      <c r="S28" s="433">
        <v>1.7255</v>
      </c>
      <c r="T28" s="433"/>
      <c r="U28" s="433">
        <v>4.1590500000000006</v>
      </c>
    </row>
    <row r="29" spans="2:22">
      <c r="B29" t="s">
        <v>592</v>
      </c>
      <c r="C29" s="433">
        <v>111.79454999999999</v>
      </c>
      <c r="D29">
        <v>129</v>
      </c>
      <c r="E29" s="629">
        <v>39016.29795</v>
      </c>
      <c r="F29" s="629">
        <v>45021</v>
      </c>
      <c r="G29" s="629">
        <v>39016.29795</v>
      </c>
      <c r="H29" s="629">
        <f>F29</f>
        <v>45021</v>
      </c>
      <c r="O29" t="s">
        <v>593</v>
      </c>
      <c r="P29" s="433">
        <v>142.79640000000001</v>
      </c>
      <c r="Q29" s="433">
        <v>135.28</v>
      </c>
      <c r="R29" s="433"/>
      <c r="S29" s="433">
        <v>2.2040000000000002</v>
      </c>
      <c r="T29" s="433"/>
      <c r="U29" s="433">
        <v>5.3124000000000002</v>
      </c>
    </row>
    <row r="30" spans="2:22">
      <c r="B30" t="s">
        <v>593</v>
      </c>
      <c r="C30" s="433">
        <v>142.79640000000001</v>
      </c>
      <c r="E30" s="629">
        <v>56975.763600000006</v>
      </c>
      <c r="G30" s="629">
        <v>56975.763600000006</v>
      </c>
      <c r="H30" s="629">
        <f>E30</f>
        <v>56975.763600000006</v>
      </c>
      <c r="O30" t="s">
        <v>594</v>
      </c>
      <c r="P30" s="433">
        <v>5.6366999999999994</v>
      </c>
      <c r="Q30" s="433">
        <v>5.34</v>
      </c>
      <c r="R30" s="433"/>
      <c r="S30" s="433">
        <v>8.7000000000000008E-2</v>
      </c>
      <c r="T30" s="433"/>
      <c r="U30" s="433">
        <v>0.2097</v>
      </c>
    </row>
    <row r="31" spans="2:22">
      <c r="B31" t="s">
        <v>594</v>
      </c>
      <c r="C31" s="433">
        <v>5.6366999999999994</v>
      </c>
      <c r="E31" s="629">
        <v>2530.8782999999999</v>
      </c>
      <c r="G31" s="629">
        <v>2530.8782999999999</v>
      </c>
      <c r="H31" s="629">
        <f>E31</f>
        <v>2530.8782999999999</v>
      </c>
      <c r="P31" s="433"/>
      <c r="Q31" s="433"/>
      <c r="R31" s="433"/>
      <c r="S31" s="433"/>
      <c r="T31" s="433"/>
      <c r="U31" s="433"/>
    </row>
    <row r="32" spans="2:22">
      <c r="C32" s="433"/>
      <c r="E32" s="629"/>
      <c r="O32" s="632" t="s">
        <v>595</v>
      </c>
      <c r="P32" s="633">
        <v>719.05500000000006</v>
      </c>
      <c r="Q32" s="633">
        <v>580.29000000000008</v>
      </c>
      <c r="R32" s="633"/>
      <c r="S32" s="633">
        <v>12.615000000000002</v>
      </c>
      <c r="T32" s="633"/>
      <c r="U32" s="633">
        <v>126.15</v>
      </c>
      <c r="V32" s="632"/>
    </row>
    <row r="33" spans="2:22" ht="33.75" customHeight="1">
      <c r="B33" s="649" t="s">
        <v>596</v>
      </c>
      <c r="C33" s="626">
        <v>719.05500000000006</v>
      </c>
      <c r="D33" s="625"/>
      <c r="E33" s="628">
        <v>1163736.7949999999</v>
      </c>
      <c r="F33" s="628"/>
      <c r="G33" s="631">
        <f>SUM(G34:G37)</f>
        <v>1042265.2915000001</v>
      </c>
      <c r="H33" s="631">
        <f>SUM(H34:H37)</f>
        <v>1166844.7675000001</v>
      </c>
      <c r="O33" t="s">
        <v>597</v>
      </c>
      <c r="P33" s="433">
        <v>232.24650000000003</v>
      </c>
      <c r="Q33" s="433">
        <v>187.42700000000002</v>
      </c>
      <c r="R33" s="433">
        <v>88</v>
      </c>
      <c r="S33" s="433">
        <v>4.0745000000000005</v>
      </c>
      <c r="T33" s="433">
        <v>0</v>
      </c>
      <c r="U33" s="433">
        <v>40.744999999999997</v>
      </c>
      <c r="V33">
        <v>66</v>
      </c>
    </row>
    <row r="34" spans="2:22">
      <c r="B34" t="s">
        <v>597</v>
      </c>
      <c r="C34" s="433">
        <v>232.24650000000003</v>
      </c>
      <c r="D34">
        <f>131+4+27</f>
        <v>162</v>
      </c>
      <c r="E34" s="629">
        <v>348137.50350000005</v>
      </c>
      <c r="F34" s="629">
        <f>196369+43173+396+597</f>
        <v>240535</v>
      </c>
      <c r="G34" s="629">
        <v>226666</v>
      </c>
      <c r="H34" s="629">
        <f>F34</f>
        <v>240535</v>
      </c>
      <c r="O34" t="s">
        <v>598</v>
      </c>
      <c r="P34" s="433">
        <v>152.07600000000002</v>
      </c>
      <c r="Q34" s="433">
        <v>122.72800000000001</v>
      </c>
      <c r="R34" s="433"/>
      <c r="S34" s="433">
        <v>2.6680000000000001</v>
      </c>
      <c r="T34" s="433"/>
      <c r="U34" s="433">
        <v>26.68</v>
      </c>
    </row>
    <row r="35" spans="2:22">
      <c r="B35" t="s">
        <v>598</v>
      </c>
      <c r="C35" s="433">
        <v>152.07600000000002</v>
      </c>
      <c r="D35">
        <f>199+3+21</f>
        <v>223</v>
      </c>
      <c r="E35" s="629">
        <v>243169.52400000003</v>
      </c>
      <c r="F35" s="629">
        <f>318201+35679</f>
        <v>353880</v>
      </c>
      <c r="G35" s="629">
        <v>243169.52400000003</v>
      </c>
      <c r="H35" s="629">
        <f>F35</f>
        <v>353880</v>
      </c>
      <c r="O35" t="s">
        <v>599</v>
      </c>
      <c r="P35" s="433">
        <v>297.54000000000002</v>
      </c>
      <c r="Q35" s="433">
        <v>240.12</v>
      </c>
      <c r="R35" s="433"/>
      <c r="S35" s="433">
        <v>5.2200000000000006</v>
      </c>
      <c r="T35" s="433"/>
      <c r="U35" s="433">
        <v>52.199999999999996</v>
      </c>
    </row>
    <row r="36" spans="2:22">
      <c r="B36" t="s">
        <v>599</v>
      </c>
      <c r="C36" s="433">
        <v>297.54000000000002</v>
      </c>
      <c r="E36" s="629">
        <v>505520.46</v>
      </c>
      <c r="G36" s="629">
        <v>505520.46</v>
      </c>
      <c r="H36" s="629">
        <f>E36</f>
        <v>505520.46</v>
      </c>
      <c r="O36" t="s">
        <v>600</v>
      </c>
      <c r="P36" s="433">
        <v>37.192500000000003</v>
      </c>
      <c r="Q36" s="433">
        <v>30.015000000000001</v>
      </c>
      <c r="R36" s="433"/>
      <c r="S36" s="433">
        <v>0.65250000000000008</v>
      </c>
      <c r="T36" s="433"/>
      <c r="U36" s="433">
        <v>6.5249999999999995</v>
      </c>
    </row>
    <row r="37" spans="2:22">
      <c r="B37" t="s">
        <v>600</v>
      </c>
      <c r="C37" s="433">
        <v>37.192500000000003</v>
      </c>
      <c r="E37" s="629">
        <v>66909.307499999995</v>
      </c>
      <c r="G37" s="629">
        <v>66909.307499999995</v>
      </c>
      <c r="H37" s="629">
        <f>E37</f>
        <v>66909.307499999995</v>
      </c>
      <c r="P37" s="433"/>
      <c r="Q37" s="433"/>
      <c r="R37" s="433"/>
      <c r="S37" s="433"/>
      <c r="T37" s="433"/>
      <c r="U37" s="433"/>
    </row>
    <row r="38" spans="2:22">
      <c r="C38" s="433"/>
      <c r="E38" s="629"/>
      <c r="G38" s="629"/>
      <c r="H38" s="629"/>
      <c r="P38" s="433"/>
      <c r="Q38" s="433"/>
      <c r="R38" s="433"/>
      <c r="S38" s="433"/>
      <c r="T38" s="433"/>
      <c r="U38" s="433"/>
    </row>
    <row r="39" spans="2:22">
      <c r="B39" s="625" t="s">
        <v>601</v>
      </c>
      <c r="C39" s="626"/>
      <c r="D39" s="625"/>
      <c r="E39" s="628">
        <f>SUM(E40:E44)</f>
        <v>42434.163</v>
      </c>
      <c r="F39" s="628">
        <f>SUM(F40:F44)</f>
        <v>157126</v>
      </c>
      <c r="G39" s="631">
        <f>SUM(G40:G43)</f>
        <v>42434.163</v>
      </c>
      <c r="H39" s="631">
        <f>SUM(H40:H44)</f>
        <v>157126</v>
      </c>
      <c r="O39" t="s">
        <v>597</v>
      </c>
      <c r="P39" s="433">
        <v>232.24650000000003</v>
      </c>
      <c r="Q39" s="433">
        <v>187.42700000000002</v>
      </c>
      <c r="R39" s="433">
        <v>88</v>
      </c>
      <c r="S39" s="433">
        <v>4.0745000000000005</v>
      </c>
      <c r="T39" s="433">
        <v>0</v>
      </c>
      <c r="U39" s="433">
        <v>40.744999999999997</v>
      </c>
      <c r="V39">
        <v>66</v>
      </c>
    </row>
    <row r="40" spans="2:22">
      <c r="B40" t="s">
        <v>602</v>
      </c>
      <c r="C40" s="433">
        <v>0</v>
      </c>
      <c r="E40" s="629">
        <v>0</v>
      </c>
      <c r="O40" t="s">
        <v>603</v>
      </c>
      <c r="P40" s="433">
        <v>213.23700000000002</v>
      </c>
      <c r="Q40" s="433">
        <v>172.08600000000001</v>
      </c>
      <c r="R40" s="433"/>
      <c r="S40" s="433">
        <v>3.7410000000000001</v>
      </c>
      <c r="T40" s="433"/>
      <c r="U40" s="433">
        <v>37.409999999999997</v>
      </c>
    </row>
    <row r="41" spans="2:22">
      <c r="B41" t="s">
        <v>603</v>
      </c>
      <c r="C41" s="433">
        <v>213.23700000000002</v>
      </c>
      <c r="D41">
        <v>182</v>
      </c>
      <c r="E41" s="629">
        <v>42434.163</v>
      </c>
      <c r="F41" s="629">
        <v>145418</v>
      </c>
      <c r="G41" s="629">
        <v>42434.163</v>
      </c>
      <c r="H41" s="629">
        <f>F41</f>
        <v>145418</v>
      </c>
      <c r="P41" s="433"/>
      <c r="Q41" s="433"/>
      <c r="R41" s="433"/>
      <c r="S41" s="433"/>
      <c r="T41" s="433"/>
      <c r="U41" s="433"/>
    </row>
    <row r="42" spans="2:22">
      <c r="B42" t="s">
        <v>604</v>
      </c>
      <c r="C42" s="433">
        <v>0</v>
      </c>
      <c r="D42">
        <v>5</v>
      </c>
      <c r="E42" s="629"/>
      <c r="F42" s="629">
        <v>4995</v>
      </c>
      <c r="H42" s="629">
        <f t="shared" ref="H42:H44" si="0">F42</f>
        <v>4995</v>
      </c>
      <c r="P42" s="433"/>
      <c r="Q42" s="433"/>
      <c r="R42" s="433"/>
      <c r="S42" s="433"/>
      <c r="T42" s="433"/>
      <c r="U42" s="433"/>
    </row>
    <row r="43" spans="2:22">
      <c r="B43" t="s">
        <v>605</v>
      </c>
      <c r="C43" s="433">
        <v>0</v>
      </c>
      <c r="D43">
        <v>17</v>
      </c>
      <c r="E43" s="629"/>
      <c r="F43" s="629">
        <v>833</v>
      </c>
      <c r="H43" s="629">
        <f t="shared" si="0"/>
        <v>833</v>
      </c>
      <c r="P43" s="433"/>
      <c r="Q43" s="433"/>
      <c r="R43" s="433"/>
      <c r="S43" s="433"/>
      <c r="T43" s="433"/>
      <c r="U43" s="433"/>
    </row>
    <row r="44" spans="2:22">
      <c r="B44" t="s">
        <v>606</v>
      </c>
      <c r="C44" s="433">
        <v>0</v>
      </c>
      <c r="D44">
        <v>120</v>
      </c>
      <c r="E44" s="629"/>
      <c r="F44" s="629">
        <v>5880</v>
      </c>
      <c r="H44" s="629">
        <f t="shared" si="0"/>
        <v>5880</v>
      </c>
      <c r="P44" s="433"/>
      <c r="Q44" s="433"/>
      <c r="R44" s="433"/>
      <c r="S44" s="433"/>
      <c r="T44" s="433"/>
      <c r="U44" s="433"/>
    </row>
    <row r="45" spans="2:22">
      <c r="B45" s="624" t="s">
        <v>607</v>
      </c>
      <c r="C45" s="627">
        <v>3171.9407999999994</v>
      </c>
      <c r="D45" s="624"/>
      <c r="E45" s="630">
        <v>2726635.9417000003</v>
      </c>
      <c r="F45" s="630"/>
      <c r="G45" s="630">
        <f>SUM(G41,G33,G27,G21,G15,G9)</f>
        <v>2511735.2620000001</v>
      </c>
      <c r="H45" s="630">
        <f>SUM(H39,H33,H27,H21,H15,H9)</f>
        <v>2888559.4077500002</v>
      </c>
      <c r="P45" s="433"/>
      <c r="Q45" s="433"/>
      <c r="R45" s="433"/>
      <c r="S45" s="433"/>
      <c r="T45" s="433"/>
      <c r="U45" s="433"/>
    </row>
    <row r="46" spans="2:22">
      <c r="B46" t="s">
        <v>608</v>
      </c>
      <c r="F46" s="629">
        <v>-23400</v>
      </c>
      <c r="H46" s="629">
        <v>-23400</v>
      </c>
      <c r="P46" s="433"/>
      <c r="Q46" s="433"/>
      <c r="R46" s="433"/>
      <c r="S46" s="433"/>
      <c r="T46" s="433"/>
      <c r="U46" s="433"/>
    </row>
    <row r="47" spans="2:22">
      <c r="B47" s="647"/>
      <c r="C47" s="647"/>
      <c r="D47" s="647"/>
      <c r="E47" s="648"/>
      <c r="F47" s="648">
        <f>F45+F46</f>
        <v>-23400</v>
      </c>
      <c r="G47" s="648"/>
      <c r="H47" s="648">
        <f>H45+H46</f>
        <v>2865159.4077500002</v>
      </c>
      <c r="P47" s="433"/>
      <c r="Q47" s="433"/>
      <c r="R47" s="433"/>
      <c r="S47" s="433"/>
      <c r="T47" s="433"/>
      <c r="U47" s="433"/>
    </row>
    <row r="48" spans="2:22">
      <c r="P48" s="433"/>
      <c r="Q48" s="433"/>
      <c r="R48" s="433"/>
      <c r="S48" s="433"/>
      <c r="T48" s="433"/>
      <c r="U48" s="433"/>
    </row>
    <row r="49" spans="3:22">
      <c r="P49" s="433"/>
      <c r="Q49" s="433">
        <f>Q9+Q15+Q21+Q27+Q33</f>
        <v>1330.1869999999999</v>
      </c>
      <c r="R49" s="433">
        <f>R9+R15+R21+R27+R33</f>
        <v>973</v>
      </c>
      <c r="S49" s="621">
        <f>R49/Q49</f>
        <v>0.73147610072869462</v>
      </c>
      <c r="T49" s="433">
        <f>T9+T15+T21+T27+T33</f>
        <v>21</v>
      </c>
      <c r="U49" s="433"/>
      <c r="V49" s="433">
        <f>V9+V15+V21+V27+V33</f>
        <v>143</v>
      </c>
    </row>
    <row r="50" spans="3:22">
      <c r="P50" s="433"/>
      <c r="Q50" s="433"/>
      <c r="R50" s="433"/>
      <c r="S50" s="433"/>
      <c r="T50" s="433"/>
      <c r="U50" s="433"/>
    </row>
    <row r="51" spans="3:22">
      <c r="P51" s="433"/>
      <c r="Q51" s="433"/>
      <c r="R51" s="433"/>
      <c r="S51" s="433"/>
      <c r="T51" s="433"/>
      <c r="U51" s="433"/>
    </row>
    <row r="52" spans="3:22">
      <c r="P52" s="433"/>
      <c r="Q52" s="433"/>
      <c r="R52" s="433"/>
      <c r="S52" s="433"/>
      <c r="T52" s="433"/>
      <c r="U52" s="433"/>
    </row>
    <row r="53" spans="3:22">
      <c r="C53">
        <v>3098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24B4A-DC83-4D53-8FC6-238A0CB407A6}">
  <dimension ref="C2:E49"/>
  <sheetViews>
    <sheetView topLeftCell="A3" workbookViewId="0">
      <selection activeCell="G19" sqref="G19"/>
    </sheetView>
  </sheetViews>
  <sheetFormatPr defaultColWidth="8.83203125" defaultRowHeight="14"/>
  <cols>
    <col min="3" max="3" width="25" customWidth="1"/>
    <col min="4" max="4" width="29.5" customWidth="1"/>
  </cols>
  <sheetData>
    <row r="2" spans="3:5">
      <c r="D2" s="623" t="s">
        <v>609</v>
      </c>
      <c r="E2" s="623"/>
    </row>
    <row r="3" spans="3:5">
      <c r="D3" s="623" t="s">
        <v>556</v>
      </c>
      <c r="E3" s="623">
        <f>E12+E13+E14+E18+E19+E20+E24+E25+E26</f>
        <v>1040478</v>
      </c>
    </row>
    <row r="4" spans="3:5">
      <c r="D4" s="623" t="s">
        <v>610</v>
      </c>
      <c r="E4" s="623">
        <f>E36+E37+E38</f>
        <v>562142</v>
      </c>
    </row>
    <row r="5" spans="3:5">
      <c r="D5" s="623" t="s">
        <v>611</v>
      </c>
      <c r="E5" s="623">
        <f>E30+E31+E32+E44+E45+E46</f>
        <v>124207</v>
      </c>
    </row>
    <row r="6" spans="3:5">
      <c r="D6" s="623" t="s">
        <v>559</v>
      </c>
      <c r="E6" s="623">
        <f>E43</f>
        <v>145418</v>
      </c>
    </row>
    <row r="7" spans="3:5">
      <c r="D7" t="s">
        <v>560</v>
      </c>
      <c r="E7">
        <f>E48</f>
        <v>-23400</v>
      </c>
    </row>
    <row r="10" spans="3:5">
      <c r="C10" t="s">
        <v>561</v>
      </c>
      <c r="D10" t="s">
        <v>570</v>
      </c>
      <c r="E10" t="s">
        <v>572</v>
      </c>
    </row>
    <row r="11" spans="3:5">
      <c r="C11" t="s">
        <v>575</v>
      </c>
    </row>
    <row r="12" spans="3:5">
      <c r="C12" t="s">
        <v>576</v>
      </c>
      <c r="D12">
        <v>499</v>
      </c>
      <c r="E12">
        <v>398701</v>
      </c>
    </row>
    <row r="13" spans="3:5">
      <c r="C13" t="s">
        <v>577</v>
      </c>
      <c r="D13">
        <v>324</v>
      </c>
      <c r="E13">
        <v>291276</v>
      </c>
    </row>
    <row r="14" spans="3:5">
      <c r="C14" t="s">
        <v>578</v>
      </c>
      <c r="E14">
        <v>21978</v>
      </c>
    </row>
    <row r="15" spans="3:5">
      <c r="C15" t="s">
        <v>579</v>
      </c>
      <c r="E15">
        <v>0</v>
      </c>
    </row>
    <row r="17" spans="3:5">
      <c r="C17" t="s">
        <v>580</v>
      </c>
    </row>
    <row r="18" spans="3:5">
      <c r="C18" t="s">
        <v>581</v>
      </c>
      <c r="D18">
        <v>190</v>
      </c>
      <c r="E18">
        <v>132810</v>
      </c>
    </row>
    <row r="19" spans="3:5">
      <c r="C19" t="s">
        <v>582</v>
      </c>
      <c r="D19">
        <v>89</v>
      </c>
      <c r="E19">
        <v>71111</v>
      </c>
    </row>
    <row r="20" spans="3:5">
      <c r="C20" t="s">
        <v>583</v>
      </c>
      <c r="E20">
        <v>6293</v>
      </c>
    </row>
    <row r="21" spans="3:5">
      <c r="C21" t="s">
        <v>584</v>
      </c>
      <c r="E21">
        <v>0</v>
      </c>
    </row>
    <row r="23" spans="3:5">
      <c r="C23" t="s">
        <v>585</v>
      </c>
    </row>
    <row r="24" spans="3:5">
      <c r="C24" t="s">
        <v>586</v>
      </c>
      <c r="D24">
        <v>147</v>
      </c>
      <c r="E24">
        <v>66003</v>
      </c>
    </row>
    <row r="25" spans="3:5">
      <c r="C25" t="s">
        <v>587</v>
      </c>
      <c r="D25">
        <v>87</v>
      </c>
      <c r="E25">
        <v>47763</v>
      </c>
    </row>
    <row r="26" spans="3:5">
      <c r="C26" t="s">
        <v>588</v>
      </c>
      <c r="E26">
        <v>4543</v>
      </c>
    </row>
    <row r="27" spans="3:5">
      <c r="C27" t="s">
        <v>589</v>
      </c>
      <c r="E27">
        <v>0</v>
      </c>
    </row>
    <row r="29" spans="3:5">
      <c r="C29" t="s">
        <v>590</v>
      </c>
    </row>
    <row r="30" spans="3:5">
      <c r="C30" t="s">
        <v>591</v>
      </c>
      <c r="D30">
        <v>211</v>
      </c>
      <c r="E30">
        <v>63089</v>
      </c>
    </row>
    <row r="31" spans="3:5">
      <c r="C31" t="s">
        <v>592</v>
      </c>
      <c r="D31">
        <v>129</v>
      </c>
      <c r="E31">
        <v>45021</v>
      </c>
    </row>
    <row r="32" spans="3:5">
      <c r="C32" t="s">
        <v>593</v>
      </c>
      <c r="E32">
        <v>4389</v>
      </c>
    </row>
    <row r="33" spans="3:5">
      <c r="C33" t="s">
        <v>594</v>
      </c>
      <c r="E33">
        <v>0</v>
      </c>
    </row>
    <row r="35" spans="3:5">
      <c r="C35" t="s">
        <v>596</v>
      </c>
    </row>
    <row r="36" spans="3:5">
      <c r="C36" t="s">
        <v>597</v>
      </c>
      <c r="D36">
        <v>162</v>
      </c>
      <c r="E36">
        <v>196369</v>
      </c>
    </row>
    <row r="37" spans="3:5">
      <c r="C37" t="s">
        <v>598</v>
      </c>
      <c r="D37">
        <v>223</v>
      </c>
      <c r="E37">
        <v>318201</v>
      </c>
    </row>
    <row r="38" spans="3:5">
      <c r="C38" t="s">
        <v>599</v>
      </c>
      <c r="E38">
        <v>47572</v>
      </c>
    </row>
    <row r="39" spans="3:5">
      <c r="C39" t="s">
        <v>600</v>
      </c>
    </row>
    <row r="41" spans="3:5">
      <c r="C41" t="s">
        <v>601</v>
      </c>
      <c r="E41">
        <v>157126</v>
      </c>
    </row>
    <row r="42" spans="3:5">
      <c r="C42" t="s">
        <v>602</v>
      </c>
    </row>
    <row r="43" spans="3:5">
      <c r="C43" t="s">
        <v>603</v>
      </c>
      <c r="D43">
        <v>182</v>
      </c>
      <c r="E43">
        <v>145418</v>
      </c>
    </row>
    <row r="44" spans="3:5">
      <c r="C44" t="s">
        <v>604</v>
      </c>
      <c r="D44">
        <v>5</v>
      </c>
      <c r="E44">
        <v>4995</v>
      </c>
    </row>
    <row r="45" spans="3:5">
      <c r="C45" t="s">
        <v>605</v>
      </c>
      <c r="D45">
        <v>17</v>
      </c>
      <c r="E45">
        <v>833</v>
      </c>
    </row>
    <row r="46" spans="3:5">
      <c r="C46" t="s">
        <v>606</v>
      </c>
      <c r="D46">
        <v>120</v>
      </c>
      <c r="E46">
        <v>5880</v>
      </c>
    </row>
    <row r="47" spans="3:5">
      <c r="C47" t="s">
        <v>607</v>
      </c>
    </row>
    <row r="48" spans="3:5">
      <c r="C48" t="s">
        <v>608</v>
      </c>
      <c r="E48">
        <v>-23400</v>
      </c>
    </row>
    <row r="49" spans="5:5">
      <c r="E49">
        <v>-23400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D0E6B-F015-4827-AC58-14C8BFA0CFD3}">
  <dimension ref="B3:AB9"/>
  <sheetViews>
    <sheetView topLeftCell="M1" workbookViewId="0">
      <selection activeCell="AA9" sqref="AA9"/>
    </sheetView>
  </sheetViews>
  <sheetFormatPr defaultColWidth="8.83203125" defaultRowHeight="14"/>
  <cols>
    <col min="2" max="2" width="21.83203125" customWidth="1"/>
  </cols>
  <sheetData>
    <row r="3" spans="2:28">
      <c r="K3" s="361" t="s">
        <v>469</v>
      </c>
      <c r="U3" s="361" t="s">
        <v>471</v>
      </c>
      <c r="AB3" s="49" t="s">
        <v>472</v>
      </c>
    </row>
    <row r="4" spans="2:28" ht="18">
      <c r="B4" s="352"/>
      <c r="C4" s="42">
        <v>24</v>
      </c>
      <c r="D4" s="42">
        <v>23</v>
      </c>
      <c r="E4" s="42">
        <v>22</v>
      </c>
      <c r="F4" s="42">
        <v>21</v>
      </c>
      <c r="G4" s="42">
        <v>20</v>
      </c>
      <c r="H4" s="42">
        <v>19</v>
      </c>
      <c r="I4" s="42">
        <v>18</v>
      </c>
      <c r="J4" s="42">
        <v>17</v>
      </c>
      <c r="K4" s="42">
        <v>16</v>
      </c>
      <c r="L4" s="42">
        <v>15</v>
      </c>
      <c r="M4" s="42">
        <v>14</v>
      </c>
      <c r="N4" s="298">
        <v>13</v>
      </c>
      <c r="O4" s="300">
        <v>12</v>
      </c>
      <c r="P4" s="610">
        <v>11</v>
      </c>
      <c r="Q4" s="42">
        <v>10</v>
      </c>
      <c r="R4" s="42">
        <v>9</v>
      </c>
      <c r="S4" s="298">
        <v>8</v>
      </c>
      <c r="T4" s="300">
        <v>7</v>
      </c>
      <c r="U4" s="354">
        <v>6</v>
      </c>
      <c r="V4" s="42">
        <v>5</v>
      </c>
      <c r="W4" s="42">
        <v>4</v>
      </c>
      <c r="X4" s="42">
        <v>3</v>
      </c>
      <c r="Y4" s="42">
        <v>2</v>
      </c>
      <c r="Z4" s="42">
        <v>1</v>
      </c>
      <c r="AA4" s="42">
        <v>0</v>
      </c>
    </row>
    <row r="5" spans="2:28">
      <c r="B5" s="47" t="s">
        <v>474</v>
      </c>
      <c r="C5" s="42"/>
      <c r="D5" s="5" t="s">
        <v>475</v>
      </c>
      <c r="E5" s="5" t="s">
        <v>476</v>
      </c>
      <c r="F5" s="5" t="s">
        <v>477</v>
      </c>
      <c r="G5" s="5" t="s">
        <v>478</v>
      </c>
      <c r="H5" s="5" t="s">
        <v>479</v>
      </c>
      <c r="I5" s="5" t="s">
        <v>480</v>
      </c>
      <c r="J5" s="5" t="s">
        <v>481</v>
      </c>
      <c r="K5" s="5" t="s">
        <v>482</v>
      </c>
      <c r="L5" s="5" t="s">
        <v>483</v>
      </c>
      <c r="M5" s="48" t="s">
        <v>484</v>
      </c>
      <c r="N5" s="299" t="s">
        <v>485</v>
      </c>
      <c r="O5" s="357" t="s">
        <v>486</v>
      </c>
      <c r="P5" s="355" t="s">
        <v>487</v>
      </c>
      <c r="Q5" s="5" t="s">
        <v>488</v>
      </c>
      <c r="R5" s="5" t="s">
        <v>489</v>
      </c>
      <c r="S5" s="299" t="s">
        <v>490</v>
      </c>
      <c r="T5" s="357" t="s">
        <v>491</v>
      </c>
      <c r="U5" s="355" t="s">
        <v>492</v>
      </c>
      <c r="V5" s="5" t="s">
        <v>493</v>
      </c>
      <c r="W5" s="5" t="s">
        <v>494</v>
      </c>
      <c r="X5" s="5" t="s">
        <v>495</v>
      </c>
      <c r="Y5" s="5" t="s">
        <v>496</v>
      </c>
      <c r="Z5" s="5" t="s">
        <v>497</v>
      </c>
      <c r="AA5" s="48" t="s">
        <v>498</v>
      </c>
    </row>
    <row r="6" spans="2:28">
      <c r="B6" s="47" t="s">
        <v>499</v>
      </c>
      <c r="C6" s="5" t="s">
        <v>500</v>
      </c>
      <c r="D6" s="5" t="s">
        <v>501</v>
      </c>
      <c r="E6" s="5" t="s">
        <v>502</v>
      </c>
      <c r="F6" s="5" t="s">
        <v>503</v>
      </c>
      <c r="G6" s="5" t="s">
        <v>504</v>
      </c>
      <c r="H6" s="5" t="s">
        <v>505</v>
      </c>
      <c r="I6" s="5" t="s">
        <v>506</v>
      </c>
      <c r="J6" s="5" t="s">
        <v>507</v>
      </c>
      <c r="K6" s="48" t="s">
        <v>508</v>
      </c>
      <c r="L6" s="299" t="s">
        <v>509</v>
      </c>
      <c r="M6" s="357" t="s">
        <v>510</v>
      </c>
      <c r="N6" s="355" t="s">
        <v>511</v>
      </c>
      <c r="O6" s="5" t="s">
        <v>512</v>
      </c>
      <c r="P6" s="5" t="s">
        <v>513</v>
      </c>
      <c r="Q6" s="299" t="s">
        <v>514</v>
      </c>
      <c r="R6" s="357" t="s">
        <v>515</v>
      </c>
      <c r="S6" s="355" t="s">
        <v>516</v>
      </c>
      <c r="T6" s="5" t="s">
        <v>517</v>
      </c>
      <c r="U6" s="5" t="s">
        <v>518</v>
      </c>
      <c r="V6" s="5" t="s">
        <v>519</v>
      </c>
      <c r="W6" s="5" t="s">
        <v>520</v>
      </c>
      <c r="X6" s="5" t="s">
        <v>521</v>
      </c>
      <c r="Y6" s="48" t="s">
        <v>522</v>
      </c>
      <c r="Z6" s="48" t="s">
        <v>523</v>
      </c>
      <c r="AA6" s="48" t="s">
        <v>524</v>
      </c>
      <c r="AB6" s="48" t="s">
        <v>525</v>
      </c>
    </row>
    <row r="7" spans="2:28">
      <c r="B7" t="s">
        <v>612</v>
      </c>
    </row>
    <row r="8" spans="2:28">
      <c r="B8" t="s">
        <v>613</v>
      </c>
      <c r="D8" s="433">
        <v>25</v>
      </c>
      <c r="E8" s="433">
        <v>75</v>
      </c>
      <c r="F8" s="433">
        <v>125</v>
      </c>
      <c r="G8" s="433">
        <v>300</v>
      </c>
      <c r="H8" s="433">
        <f>180*3</f>
        <v>540</v>
      </c>
      <c r="I8" s="433">
        <f>180*4</f>
        <v>720</v>
      </c>
      <c r="J8" s="433">
        <v>1080</v>
      </c>
      <c r="K8" s="433">
        <f>232+273+167+207+559</f>
        <v>1438</v>
      </c>
      <c r="L8" s="433">
        <f t="shared" ref="L8:T8" si="0">K8+62</f>
        <v>1500</v>
      </c>
      <c r="M8" s="433">
        <f t="shared" si="0"/>
        <v>1562</v>
      </c>
      <c r="N8" s="433">
        <f t="shared" si="0"/>
        <v>1624</v>
      </c>
      <c r="O8" s="433">
        <f t="shared" si="0"/>
        <v>1686</v>
      </c>
      <c r="P8" s="433">
        <f t="shared" si="0"/>
        <v>1748</v>
      </c>
      <c r="Q8" s="433">
        <f t="shared" si="0"/>
        <v>1810</v>
      </c>
      <c r="R8" s="433">
        <f t="shared" si="0"/>
        <v>1872</v>
      </c>
      <c r="S8" s="433">
        <f t="shared" si="0"/>
        <v>1934</v>
      </c>
      <c r="T8" s="433">
        <f t="shared" si="0"/>
        <v>1996</v>
      </c>
      <c r="U8" s="433">
        <f>K8+215+62+76+112+152</f>
        <v>2055</v>
      </c>
      <c r="V8" s="433">
        <f>U8+175</f>
        <v>2230</v>
      </c>
      <c r="W8" s="433">
        <f>V8+200</f>
        <v>2430</v>
      </c>
      <c r="X8" s="433">
        <f>W8+200</f>
        <v>2630</v>
      </c>
      <c r="Y8" s="433">
        <f>X8+200</f>
        <v>2830</v>
      </c>
      <c r="Z8" s="433">
        <f>Y8+225</f>
        <v>3055</v>
      </c>
      <c r="AA8">
        <v>3098</v>
      </c>
    </row>
    <row r="9" spans="2:28">
      <c r="B9" t="s">
        <v>614</v>
      </c>
      <c r="AA9" s="43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E051B-BEF3-E447-93B7-33D54F4E1619}">
  <sheetPr>
    <tabColor theme="1"/>
  </sheetPr>
  <dimension ref="A1"/>
  <sheetViews>
    <sheetView showGridLines="0" workbookViewId="0">
      <selection activeCell="J69" sqref="J69"/>
    </sheetView>
  </sheetViews>
  <sheetFormatPr defaultColWidth="11.5" defaultRowHeight="14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BCF1D-18BA-2C42-ADE2-28FA7541FEAB}">
  <dimension ref="A1:Q53"/>
  <sheetViews>
    <sheetView showGridLines="0" zoomScale="215" workbookViewId="0"/>
  </sheetViews>
  <sheetFormatPr defaultColWidth="11.5" defaultRowHeight="14.25" customHeight="1"/>
  <cols>
    <col min="1" max="1" width="23.5" customWidth="1"/>
    <col min="2" max="2" width="16.83203125" customWidth="1"/>
    <col min="3" max="3" width="18.5" customWidth="1"/>
  </cols>
  <sheetData>
    <row r="1" spans="1:17" ht="23.25" customHeight="1">
      <c r="A1" s="18" t="s">
        <v>615</v>
      </c>
      <c r="B1" s="403"/>
      <c r="C1" s="8"/>
      <c r="D1" s="9"/>
      <c r="E1" s="10"/>
      <c r="F1" s="10"/>
      <c r="G1" s="10"/>
      <c r="H1" s="11"/>
      <c r="I1" s="11"/>
      <c r="J1" s="11"/>
      <c r="K1" s="11"/>
      <c r="L1" s="11"/>
      <c r="M1" s="11"/>
      <c r="N1" s="11"/>
      <c r="O1" s="11"/>
      <c r="P1" s="11"/>
      <c r="Q1" s="11"/>
    </row>
    <row r="3" spans="1:17" ht="14">
      <c r="A3" s="46" t="s">
        <v>616</v>
      </c>
      <c r="B3" s="46" t="s">
        <v>617</v>
      </c>
      <c r="C3" s="46" t="s">
        <v>618</v>
      </c>
      <c r="D3" s="46" t="s">
        <v>619</v>
      </c>
    </row>
    <row r="4" spans="1:17" ht="14">
      <c r="A4" s="51" t="s">
        <v>575</v>
      </c>
      <c r="B4" s="407"/>
      <c r="C4" s="94">
        <v>1030</v>
      </c>
      <c r="D4" s="50">
        <f>C4/SUM(C$4:C$13)</f>
        <v>0.29572207866781508</v>
      </c>
    </row>
    <row r="5" spans="1:17" ht="14">
      <c r="A5" s="51" t="s">
        <v>595</v>
      </c>
      <c r="B5" s="407"/>
      <c r="C5" s="94">
        <v>649</v>
      </c>
      <c r="D5" s="50">
        <f t="shared" ref="D5:D14" si="0">C5/SUM(C$4:C$13)</f>
        <v>0.18633362044214757</v>
      </c>
    </row>
    <row r="6" spans="1:17" ht="14">
      <c r="A6" s="51" t="s">
        <v>620</v>
      </c>
      <c r="B6" s="407"/>
      <c r="C6" s="94">
        <v>313</v>
      </c>
      <c r="D6" s="50">
        <f t="shared" si="0"/>
        <v>8.9865058857306918E-2</v>
      </c>
    </row>
    <row r="7" spans="1:17" ht="14">
      <c r="A7" s="51" t="s">
        <v>585</v>
      </c>
      <c r="B7" s="407"/>
      <c r="C7" s="94">
        <v>298</v>
      </c>
      <c r="D7" s="50">
        <f t="shared" si="0"/>
        <v>8.5558426643697963E-2</v>
      </c>
    </row>
    <row r="8" spans="1:17" ht="14">
      <c r="A8" s="51" t="s">
        <v>621</v>
      </c>
      <c r="B8" s="407"/>
      <c r="C8" s="94">
        <v>492</v>
      </c>
      <c r="D8" s="50">
        <f t="shared" si="0"/>
        <v>0.14125753660637383</v>
      </c>
    </row>
    <row r="9" spans="1:17" ht="14">
      <c r="A9" s="51" t="s">
        <v>559</v>
      </c>
      <c r="B9" s="407">
        <v>410</v>
      </c>
      <c r="C9" s="94">
        <v>280</v>
      </c>
      <c r="D9" s="50">
        <f t="shared" si="0"/>
        <v>8.0390467987367209E-2</v>
      </c>
    </row>
    <row r="10" spans="1:17" ht="14">
      <c r="A10" s="51" t="s">
        <v>622</v>
      </c>
      <c r="B10" s="407"/>
      <c r="C10" s="94">
        <v>274</v>
      </c>
      <c r="D10" s="50">
        <f t="shared" si="0"/>
        <v>7.8667815101923624E-2</v>
      </c>
    </row>
    <row r="11" spans="1:17" ht="14">
      <c r="A11" s="51" t="s">
        <v>605</v>
      </c>
      <c r="B11" s="407"/>
      <c r="C11" s="94">
        <v>15</v>
      </c>
      <c r="D11" s="50">
        <f t="shared" si="0"/>
        <v>4.3066322136089581E-3</v>
      </c>
    </row>
    <row r="12" spans="1:17" ht="14">
      <c r="A12" s="51" t="s">
        <v>623</v>
      </c>
      <c r="B12" s="407"/>
      <c r="C12" s="94">
        <v>101</v>
      </c>
      <c r="D12" s="50">
        <f t="shared" si="0"/>
        <v>2.8997990238300315E-2</v>
      </c>
    </row>
    <row r="13" spans="1:17" ht="14">
      <c r="A13" s="51" t="s">
        <v>602</v>
      </c>
      <c r="B13" s="407">
        <v>2</v>
      </c>
      <c r="C13" s="94">
        <v>31</v>
      </c>
      <c r="D13" s="50">
        <f t="shared" si="0"/>
        <v>8.9003732414585125E-3</v>
      </c>
    </row>
    <row r="14" spans="1:17" ht="14">
      <c r="A14" s="270" t="s">
        <v>624</v>
      </c>
      <c r="B14" s="408">
        <v>23</v>
      </c>
      <c r="C14" s="271">
        <v>8</v>
      </c>
      <c r="D14" s="50">
        <f t="shared" si="0"/>
        <v>2.2968705139247776E-3</v>
      </c>
    </row>
    <row r="15" spans="1:17" ht="14">
      <c r="A15" s="52" t="s">
        <v>625</v>
      </c>
      <c r="B15" s="53"/>
      <c r="C15" s="53">
        <f>SUM(C4:C14)</f>
        <v>3491</v>
      </c>
      <c r="D15" s="190">
        <f>SUM(D4:D13)</f>
        <v>1</v>
      </c>
    </row>
    <row r="25" spans="1:5" ht="42">
      <c r="A25" s="46" t="s">
        <v>616</v>
      </c>
      <c r="B25" s="280"/>
      <c r="C25" s="280">
        <v>2022</v>
      </c>
      <c r="D25" s="280">
        <v>2023</v>
      </c>
      <c r="E25" s="280" t="s">
        <v>618</v>
      </c>
    </row>
    <row r="26" spans="1:5" ht="14">
      <c r="A26" s="278" t="s">
        <v>575</v>
      </c>
      <c r="B26" s="404"/>
      <c r="C26" s="256"/>
      <c r="D26" s="256"/>
      <c r="E26" s="94">
        <v>1030</v>
      </c>
    </row>
    <row r="27" spans="1:5" ht="14">
      <c r="A27" s="278" t="s">
        <v>595</v>
      </c>
      <c r="B27" s="404"/>
      <c r="C27" s="256"/>
      <c r="D27" s="256"/>
      <c r="E27" s="94">
        <v>649</v>
      </c>
    </row>
    <row r="28" spans="1:5" ht="14">
      <c r="A28" s="278" t="s">
        <v>620</v>
      </c>
      <c r="B28" s="404"/>
      <c r="C28" s="256"/>
      <c r="D28" s="256"/>
      <c r="E28" s="94">
        <v>313</v>
      </c>
    </row>
    <row r="29" spans="1:5" ht="14">
      <c r="A29" s="278" t="s">
        <v>585</v>
      </c>
      <c r="B29" s="404"/>
      <c r="C29" s="256"/>
      <c r="D29" s="256"/>
      <c r="E29" s="94">
        <v>298</v>
      </c>
    </row>
    <row r="30" spans="1:5" ht="14">
      <c r="A30" s="278" t="s">
        <v>621</v>
      </c>
      <c r="B30" s="404"/>
      <c r="C30" s="256"/>
      <c r="D30" s="256"/>
      <c r="E30" s="94">
        <v>492</v>
      </c>
    </row>
    <row r="31" spans="1:5" ht="14">
      <c r="A31" s="278" t="s">
        <v>559</v>
      </c>
      <c r="B31" s="404"/>
      <c r="C31" s="256"/>
      <c r="D31" s="256"/>
      <c r="E31" s="94">
        <v>280</v>
      </c>
    </row>
    <row r="32" spans="1:5" ht="14">
      <c r="A32" s="278" t="s">
        <v>622</v>
      </c>
      <c r="B32" s="404"/>
      <c r="C32" s="256"/>
      <c r="D32" s="256"/>
      <c r="E32" s="94">
        <v>274</v>
      </c>
    </row>
    <row r="33" spans="1:5" ht="14">
      <c r="A33" s="278" t="s">
        <v>605</v>
      </c>
      <c r="B33" s="404"/>
      <c r="C33" s="256"/>
      <c r="D33" s="256"/>
      <c r="E33" s="94">
        <v>15</v>
      </c>
    </row>
    <row r="34" spans="1:5" ht="14">
      <c r="A34" s="278" t="s">
        <v>623</v>
      </c>
      <c r="B34" s="404"/>
      <c r="C34" s="256"/>
      <c r="D34" s="256"/>
      <c r="E34" s="94">
        <v>101</v>
      </c>
    </row>
    <row r="35" spans="1:5" ht="14">
      <c r="A35" s="278" t="s">
        <v>602</v>
      </c>
      <c r="B35" s="404"/>
      <c r="C35" s="256"/>
      <c r="D35" s="256"/>
      <c r="E35" s="94">
        <v>31</v>
      </c>
    </row>
    <row r="36" spans="1:5" ht="14">
      <c r="A36" s="279" t="s">
        <v>624</v>
      </c>
      <c r="B36" s="404"/>
      <c r="C36" s="256"/>
      <c r="D36" s="256"/>
      <c r="E36" s="271">
        <v>8</v>
      </c>
    </row>
    <row r="37" spans="1:5" ht="14">
      <c r="A37" s="52" t="s">
        <v>625</v>
      </c>
      <c r="B37" s="53"/>
      <c r="C37" s="53"/>
      <c r="D37" s="53"/>
      <c r="E37" s="53">
        <f>SUM(E26:E35)</f>
        <v>3483</v>
      </c>
    </row>
    <row r="45" spans="1:5" ht="14">
      <c r="A45" s="46" t="s">
        <v>616</v>
      </c>
      <c r="B45" s="272"/>
      <c r="C45" s="272">
        <v>2023</v>
      </c>
      <c r="D45" s="44"/>
    </row>
    <row r="46" spans="1:5" ht="14">
      <c r="A46" s="51" t="s">
        <v>626</v>
      </c>
      <c r="B46" s="278"/>
      <c r="C46" s="273">
        <v>2746</v>
      </c>
      <c r="D46" s="276"/>
    </row>
    <row r="47" spans="1:5" ht="14">
      <c r="A47" s="51" t="s">
        <v>595</v>
      </c>
      <c r="B47" s="278"/>
      <c r="C47" s="273">
        <v>1336</v>
      </c>
      <c r="D47" s="276"/>
    </row>
    <row r="48" spans="1:5" ht="14">
      <c r="A48" s="257" t="s">
        <v>559</v>
      </c>
      <c r="B48" s="405"/>
      <c r="C48" s="274">
        <v>411</v>
      </c>
      <c r="D48" s="276"/>
    </row>
    <row r="49" spans="1:4" ht="14">
      <c r="A49" s="255" t="s">
        <v>627</v>
      </c>
      <c r="B49" s="406"/>
      <c r="C49" s="275">
        <v>23</v>
      </c>
      <c r="D49" s="276"/>
    </row>
    <row r="50" spans="1:4" ht="14">
      <c r="A50" s="255" t="s">
        <v>628</v>
      </c>
      <c r="B50" s="406"/>
      <c r="C50" s="275">
        <f>5038-C53</f>
        <v>522</v>
      </c>
      <c r="D50" s="276"/>
    </row>
    <row r="51" spans="1:4" ht="14">
      <c r="A51" s="255" t="s">
        <v>629</v>
      </c>
      <c r="B51" s="406"/>
      <c r="C51" s="275">
        <v>192</v>
      </c>
      <c r="D51" s="276"/>
    </row>
    <row r="52" spans="1:4" ht="14">
      <c r="A52" s="255" t="s">
        <v>630</v>
      </c>
      <c r="B52" s="406"/>
      <c r="C52" s="275">
        <v>10</v>
      </c>
      <c r="D52" s="276"/>
    </row>
    <row r="53" spans="1:4" ht="14">
      <c r="A53" s="52" t="s">
        <v>625</v>
      </c>
      <c r="B53" s="53"/>
      <c r="C53" s="53">
        <f>SUM(C46:C49)</f>
        <v>4516</v>
      </c>
      <c r="D53" s="277"/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80F0-9B83-5148-A9FA-06C80D934D27}">
  <dimension ref="A1:F15"/>
  <sheetViews>
    <sheetView showGridLines="0" zoomScale="174" zoomScaleNormal="174" workbookViewId="0">
      <selection activeCell="G5" sqref="G5"/>
    </sheetView>
  </sheetViews>
  <sheetFormatPr defaultColWidth="11.5" defaultRowHeight="14"/>
  <cols>
    <col min="1" max="1" width="11.5" style="187"/>
    <col min="2" max="2" width="15" customWidth="1"/>
    <col min="3" max="4" width="20.5" style="181" customWidth="1"/>
    <col min="5" max="5" width="17.5" style="181" customWidth="1"/>
    <col min="6" max="6" width="31" style="181" bestFit="1" customWidth="1"/>
  </cols>
  <sheetData>
    <row r="1" spans="1:6">
      <c r="A1" s="184" t="s">
        <v>364</v>
      </c>
      <c r="B1" s="184" t="s">
        <v>631</v>
      </c>
      <c r="C1" s="185" t="s">
        <v>632</v>
      </c>
      <c r="D1" s="185" t="s">
        <v>633</v>
      </c>
      <c r="E1" s="182" t="s">
        <v>634</v>
      </c>
      <c r="F1" s="182" t="s">
        <v>635</v>
      </c>
    </row>
    <row r="2" spans="1:6" s="189" customFormat="1" ht="63.75" customHeight="1">
      <c r="A2" s="186" t="s">
        <v>398</v>
      </c>
      <c r="B2" s="188"/>
      <c r="C2" s="183"/>
      <c r="D2" s="183"/>
      <c r="E2" s="183"/>
      <c r="F2" s="183"/>
    </row>
    <row r="3" spans="1:6" s="189" customFormat="1" ht="25.5" customHeight="1">
      <c r="A3" s="186" t="s">
        <v>399</v>
      </c>
      <c r="B3" s="188"/>
      <c r="C3" s="183"/>
      <c r="D3" s="183"/>
      <c r="E3" s="183"/>
      <c r="F3" s="183"/>
    </row>
    <row r="4" spans="1:6" s="189" customFormat="1" ht="25.5" customHeight="1">
      <c r="A4" s="186" t="s">
        <v>388</v>
      </c>
      <c r="B4" s="188"/>
      <c r="C4" s="183"/>
      <c r="D4" s="183"/>
      <c r="E4" s="183"/>
      <c r="F4" s="183"/>
    </row>
    <row r="5" spans="1:6" s="189" customFormat="1" ht="69" customHeight="1">
      <c r="A5" s="186" t="s">
        <v>389</v>
      </c>
      <c r="B5" s="188"/>
      <c r="C5" s="183"/>
      <c r="D5" s="183"/>
      <c r="E5" s="183"/>
      <c r="F5" s="183"/>
    </row>
    <row r="6" spans="1:6" s="189" customFormat="1" ht="25.5" customHeight="1">
      <c r="A6" s="186" t="s">
        <v>390</v>
      </c>
      <c r="B6" s="188"/>
      <c r="C6" s="183"/>
      <c r="D6" s="183"/>
      <c r="E6" s="183"/>
      <c r="F6" s="183"/>
    </row>
    <row r="7" spans="1:6" s="189" customFormat="1" ht="25.5" customHeight="1">
      <c r="A7" s="186" t="s">
        <v>391</v>
      </c>
      <c r="B7" s="188"/>
      <c r="C7" s="183"/>
      <c r="D7" s="183"/>
      <c r="E7" s="183"/>
      <c r="F7" s="183"/>
    </row>
    <row r="8" spans="1:6" s="189" customFormat="1" ht="25.5" customHeight="1">
      <c r="A8" s="186" t="s">
        <v>392</v>
      </c>
      <c r="B8" s="188"/>
      <c r="C8" s="183"/>
      <c r="D8" s="183"/>
      <c r="E8" s="183"/>
      <c r="F8" s="183"/>
    </row>
    <row r="9" spans="1:6" s="189" customFormat="1" ht="25.5" customHeight="1">
      <c r="A9" s="186" t="s">
        <v>393</v>
      </c>
      <c r="B9" s="188"/>
      <c r="C9" s="183"/>
      <c r="D9" s="183"/>
      <c r="E9" s="183"/>
      <c r="F9" s="183"/>
    </row>
    <row r="10" spans="1:6" s="189" customFormat="1" ht="25.5" customHeight="1">
      <c r="A10" s="186" t="s">
        <v>394</v>
      </c>
      <c r="B10" s="188"/>
      <c r="C10" s="183"/>
      <c r="D10" s="183"/>
      <c r="E10" s="183"/>
      <c r="F10" s="183"/>
    </row>
    <row r="11" spans="1:6" s="189" customFormat="1" ht="25.5" customHeight="1">
      <c r="A11" s="186" t="s">
        <v>395</v>
      </c>
      <c r="B11" s="188"/>
      <c r="C11" s="183"/>
      <c r="D11" s="183"/>
      <c r="E11" s="183"/>
      <c r="F11" s="183"/>
    </row>
    <row r="12" spans="1:6" s="189" customFormat="1" ht="25.5" customHeight="1">
      <c r="A12" s="186" t="s">
        <v>396</v>
      </c>
      <c r="B12" s="188"/>
      <c r="C12" s="183"/>
      <c r="D12" s="183"/>
      <c r="E12" s="183"/>
      <c r="F12" s="183"/>
    </row>
    <row r="13" spans="1:6" s="189" customFormat="1" ht="25.5" customHeight="1">
      <c r="A13" s="186" t="s">
        <v>397</v>
      </c>
      <c r="B13" s="188"/>
      <c r="C13" s="183"/>
      <c r="D13" s="183"/>
      <c r="E13" s="183"/>
      <c r="F13" s="183"/>
    </row>
    <row r="14" spans="1:6" s="189" customFormat="1" ht="25.5" customHeight="1">
      <c r="A14" s="186" t="s">
        <v>398</v>
      </c>
      <c r="B14" s="188"/>
      <c r="C14" s="183"/>
      <c r="D14" s="183"/>
      <c r="E14" s="183"/>
      <c r="F14" s="183"/>
    </row>
    <row r="15" spans="1:6" s="189" customFormat="1" ht="25.5" customHeight="1">
      <c r="A15" s="186" t="s">
        <v>399</v>
      </c>
      <c r="B15" s="188"/>
      <c r="C15" s="183"/>
      <c r="D15" s="183"/>
      <c r="E15" s="183"/>
      <c r="F15" s="183"/>
    </row>
  </sheetData>
  <autoFilter ref="A1:F15" xr:uid="{8F7380F0-9B83-5148-A9FA-06C80D934D27}"/>
  <phoneticPr fontId="17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FBD57-E0E2-4DE2-AACB-084146D45C8D}">
  <sheetPr>
    <tabColor rgb="FFFF0000"/>
  </sheetPr>
  <dimension ref="A1"/>
  <sheetViews>
    <sheetView workbookViewId="0">
      <selection activeCell="S14" sqref="S14"/>
    </sheetView>
  </sheetViews>
  <sheetFormatPr defaultColWidth="8.83203125" defaultRowHeight="14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5899B-BC64-4840-B87C-532C8AFDF994}">
  <dimension ref="A1:AA95"/>
  <sheetViews>
    <sheetView showGridLines="0" topLeftCell="A27" zoomScale="87" zoomScaleNormal="60" workbookViewId="0">
      <pane xSplit="1" topLeftCell="B1" activePane="topRight" state="frozen"/>
      <selection pane="topRight" activeCell="H26" sqref="H26"/>
    </sheetView>
  </sheetViews>
  <sheetFormatPr defaultColWidth="11.5" defaultRowHeight="14.25" customHeight="1"/>
  <cols>
    <col min="1" max="1" width="32.5" bestFit="1" customWidth="1"/>
    <col min="2" max="2" width="21.5" customWidth="1"/>
    <col min="3" max="3" width="14" customWidth="1"/>
    <col min="4" max="11" width="10.5" customWidth="1"/>
    <col min="12" max="14" width="16" customWidth="1"/>
    <col min="15" max="15" width="18" bestFit="1" customWidth="1"/>
    <col min="16" max="25" width="16" customWidth="1"/>
    <col min="26" max="26" width="15.5" customWidth="1"/>
    <col min="27" max="27" width="26" customWidth="1"/>
    <col min="28" max="28" width="21" bestFit="1" customWidth="1"/>
    <col min="29" max="29" width="10" customWidth="1"/>
    <col min="32" max="32" width="21" bestFit="1" customWidth="1"/>
  </cols>
  <sheetData>
    <row r="1" spans="1:27" s="3" customFormat="1" ht="23.25" customHeight="1">
      <c r="A1" s="17" t="s">
        <v>466</v>
      </c>
      <c r="B1" s="593"/>
      <c r="C1" s="8"/>
      <c r="D1" s="8"/>
      <c r="E1" s="9"/>
      <c r="F1" s="10"/>
      <c r="G1" s="10"/>
      <c r="H1" s="10"/>
      <c r="I1" s="11"/>
      <c r="J1" s="11"/>
      <c r="K1" s="11"/>
      <c r="L1" s="11"/>
      <c r="M1" s="11"/>
      <c r="N1" s="11"/>
      <c r="O1" s="11"/>
      <c r="P1" s="11"/>
      <c r="Q1" s="11"/>
      <c r="R1" s="11"/>
      <c r="S1" s="43"/>
      <c r="T1" s="43"/>
      <c r="U1" s="43"/>
      <c r="V1" s="43"/>
      <c r="W1" s="43"/>
      <c r="X1" s="43"/>
      <c r="Y1" s="43"/>
      <c r="Z1" s="43"/>
      <c r="AA1" s="43"/>
    </row>
    <row r="2" spans="1:27" s="12" customFormat="1" ht="14">
      <c r="A2" s="45" t="s">
        <v>467</v>
      </c>
      <c r="B2" s="59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</row>
    <row r="3" spans="1:27" ht="14.25" customHeight="1">
      <c r="J3" s="361" t="s">
        <v>469</v>
      </c>
      <c r="N3" t="s">
        <v>470</v>
      </c>
      <c r="R3" s="361" t="s">
        <v>471</v>
      </c>
      <c r="T3" s="634"/>
      <c r="AA3" s="49" t="s">
        <v>472</v>
      </c>
    </row>
    <row r="4" spans="1:27" ht="18">
      <c r="A4" s="352" t="s">
        <v>473</v>
      </c>
      <c r="B4" s="42">
        <v>24</v>
      </c>
      <c r="C4" s="42">
        <v>23</v>
      </c>
      <c r="D4" s="42">
        <v>22</v>
      </c>
      <c r="E4" s="42">
        <v>21</v>
      </c>
      <c r="F4" s="42">
        <v>20</v>
      </c>
      <c r="G4" s="42">
        <v>19</v>
      </c>
      <c r="H4" s="42">
        <v>18</v>
      </c>
      <c r="I4" s="42">
        <v>17</v>
      </c>
      <c r="J4" s="42">
        <v>16</v>
      </c>
      <c r="K4" s="42">
        <v>15</v>
      </c>
      <c r="L4" s="42">
        <v>14</v>
      </c>
      <c r="M4" s="298">
        <v>13</v>
      </c>
      <c r="N4" s="300">
        <v>12</v>
      </c>
      <c r="O4" s="610">
        <v>11</v>
      </c>
      <c r="P4" s="42">
        <v>10</v>
      </c>
      <c r="Q4" s="42">
        <v>9</v>
      </c>
      <c r="R4" s="298">
        <v>8</v>
      </c>
      <c r="S4" s="300">
        <v>7</v>
      </c>
      <c r="T4" s="354">
        <v>6</v>
      </c>
      <c r="U4" s="42">
        <v>5</v>
      </c>
      <c r="V4" s="42">
        <v>4</v>
      </c>
      <c r="W4" s="42">
        <v>3</v>
      </c>
      <c r="X4" s="42">
        <v>2</v>
      </c>
      <c r="Y4" s="42">
        <v>1</v>
      </c>
      <c r="Z4" s="42">
        <v>0</v>
      </c>
    </row>
    <row r="5" spans="1:27" ht="14">
      <c r="A5" s="47" t="s">
        <v>474</v>
      </c>
      <c r="B5" s="42"/>
      <c r="C5" s="5" t="s">
        <v>475</v>
      </c>
      <c r="D5" s="5" t="s">
        <v>476</v>
      </c>
      <c r="E5" s="5" t="s">
        <v>477</v>
      </c>
      <c r="F5" s="5" t="s">
        <v>478</v>
      </c>
      <c r="G5" s="5" t="s">
        <v>479</v>
      </c>
      <c r="H5" s="5" t="s">
        <v>480</v>
      </c>
      <c r="I5" s="5" t="s">
        <v>481</v>
      </c>
      <c r="J5" s="5" t="s">
        <v>482</v>
      </c>
      <c r="K5" s="5" t="s">
        <v>483</v>
      </c>
      <c r="L5" s="48" t="s">
        <v>484</v>
      </c>
      <c r="M5" s="299" t="s">
        <v>485</v>
      </c>
      <c r="N5" s="357" t="s">
        <v>486</v>
      </c>
      <c r="O5" s="355" t="s">
        <v>487</v>
      </c>
      <c r="P5" s="5" t="s">
        <v>488</v>
      </c>
      <c r="Q5" s="5" t="s">
        <v>489</v>
      </c>
      <c r="R5" s="299" t="s">
        <v>490</v>
      </c>
      <c r="S5" s="357" t="s">
        <v>491</v>
      </c>
      <c r="T5" s="355" t="s">
        <v>492</v>
      </c>
      <c r="U5" s="5" t="s">
        <v>493</v>
      </c>
      <c r="V5" s="5" t="s">
        <v>494</v>
      </c>
      <c r="W5" s="5" t="s">
        <v>495</v>
      </c>
      <c r="X5" s="5" t="s">
        <v>496</v>
      </c>
      <c r="Y5" s="5" t="s">
        <v>497</v>
      </c>
      <c r="Z5" s="48" t="s">
        <v>498</v>
      </c>
    </row>
    <row r="6" spans="1:27" ht="14">
      <c r="A6" s="47" t="s">
        <v>499</v>
      </c>
      <c r="B6" s="637" t="s">
        <v>500</v>
      </c>
      <c r="C6" s="637" t="s">
        <v>501</v>
      </c>
      <c r="D6" s="637" t="s">
        <v>502</v>
      </c>
      <c r="E6" s="637" t="s">
        <v>503</v>
      </c>
      <c r="F6" s="637" t="s">
        <v>504</v>
      </c>
      <c r="G6" s="637" t="s">
        <v>505</v>
      </c>
      <c r="H6" s="637" t="s">
        <v>506</v>
      </c>
      <c r="I6" s="637" t="s">
        <v>507</v>
      </c>
      <c r="J6" s="637" t="s">
        <v>508</v>
      </c>
      <c r="K6" s="638" t="s">
        <v>509</v>
      </c>
      <c r="L6" s="639" t="s">
        <v>510</v>
      </c>
      <c r="M6" s="640" t="s">
        <v>511</v>
      </c>
      <c r="N6" s="637" t="s">
        <v>512</v>
      </c>
      <c r="O6" s="637" t="s">
        <v>513</v>
      </c>
      <c r="P6" s="299" t="s">
        <v>514</v>
      </c>
      <c r="Q6" s="357" t="s">
        <v>515</v>
      </c>
      <c r="R6" s="355" t="s">
        <v>544</v>
      </c>
      <c r="S6" s="5" t="s">
        <v>517</v>
      </c>
      <c r="T6" s="5" t="s">
        <v>518</v>
      </c>
      <c r="U6" s="5" t="s">
        <v>519</v>
      </c>
      <c r="V6" s="5" t="s">
        <v>520</v>
      </c>
      <c r="W6" s="5" t="s">
        <v>521</v>
      </c>
      <c r="X6" s="48" t="s">
        <v>522</v>
      </c>
      <c r="Y6" s="48" t="s">
        <v>523</v>
      </c>
      <c r="Z6" s="48" t="s">
        <v>524</v>
      </c>
      <c r="AA6" s="48" t="s">
        <v>525</v>
      </c>
    </row>
    <row r="7" spans="1:27" ht="14">
      <c r="A7" s="6">
        <v>2023</v>
      </c>
      <c r="B7" s="93">
        <v>0</v>
      </c>
      <c r="C7" s="93">
        <v>0</v>
      </c>
      <c r="D7" s="93">
        <v>4</v>
      </c>
      <c r="E7" s="93">
        <v>18</v>
      </c>
      <c r="F7" s="93">
        <v>21</v>
      </c>
      <c r="G7" s="93">
        <v>140</v>
      </c>
      <c r="H7" s="93">
        <v>54</v>
      </c>
      <c r="I7" s="93">
        <v>273</v>
      </c>
      <c r="J7" s="93">
        <v>134</v>
      </c>
      <c r="K7" s="93">
        <v>163</v>
      </c>
      <c r="L7" s="93">
        <v>188</v>
      </c>
      <c r="M7" s="353">
        <v>236</v>
      </c>
      <c r="N7" s="358">
        <v>161</v>
      </c>
      <c r="O7" s="356">
        <v>148</v>
      </c>
      <c r="P7" s="93">
        <v>177</v>
      </c>
      <c r="Q7" s="93">
        <v>202</v>
      </c>
      <c r="R7" s="353">
        <v>245</v>
      </c>
      <c r="S7" s="358">
        <v>257</v>
      </c>
      <c r="T7" s="356">
        <v>496</v>
      </c>
      <c r="U7" s="93">
        <v>1029</v>
      </c>
      <c r="V7" s="93">
        <v>157</v>
      </c>
      <c r="W7" s="93">
        <v>163</v>
      </c>
      <c r="X7" s="93">
        <v>285</v>
      </c>
      <c r="Y7" s="93">
        <v>256</v>
      </c>
      <c r="Z7" s="93">
        <v>170</v>
      </c>
      <c r="AA7" s="254">
        <v>19</v>
      </c>
    </row>
    <row r="8" spans="1:27" ht="14">
      <c r="A8" s="6">
        <v>2024</v>
      </c>
      <c r="B8" s="93">
        <v>0</v>
      </c>
      <c r="C8" s="93">
        <v>0</v>
      </c>
      <c r="D8" s="93">
        <v>0</v>
      </c>
      <c r="E8" s="93">
        <v>0</v>
      </c>
      <c r="F8" s="93">
        <v>0</v>
      </c>
      <c r="G8" s="93">
        <v>0</v>
      </c>
      <c r="H8" s="93">
        <v>0</v>
      </c>
      <c r="I8" s="93">
        <v>0</v>
      </c>
      <c r="J8" s="93">
        <v>0</v>
      </c>
      <c r="K8" s="93">
        <v>62</v>
      </c>
      <c r="L8" s="93">
        <v>477</v>
      </c>
      <c r="M8" s="353">
        <v>483</v>
      </c>
      <c r="N8" s="358">
        <v>883</v>
      </c>
      <c r="O8" s="356">
        <v>155</v>
      </c>
      <c r="P8" s="93">
        <v>184</v>
      </c>
      <c r="Q8" s="93">
        <v>139</v>
      </c>
      <c r="R8" s="353">
        <v>197</v>
      </c>
      <c r="S8" s="358">
        <v>324</v>
      </c>
      <c r="T8" s="356">
        <v>226</v>
      </c>
      <c r="U8" s="93">
        <v>361</v>
      </c>
      <c r="V8" s="93">
        <v>199</v>
      </c>
      <c r="W8" s="93">
        <v>217</v>
      </c>
      <c r="X8" s="93">
        <v>271</v>
      </c>
      <c r="Y8" s="93">
        <v>441</v>
      </c>
      <c r="Z8" s="93">
        <v>34</v>
      </c>
    </row>
    <row r="9" spans="1:27" ht="14">
      <c r="A9" s="6">
        <v>2026</v>
      </c>
      <c r="B9" s="93">
        <v>76</v>
      </c>
      <c r="C9" s="93">
        <v>78</v>
      </c>
      <c r="D9" s="93">
        <v>20</v>
      </c>
      <c r="E9" s="93">
        <v>153</v>
      </c>
      <c r="F9" s="93">
        <v>84</v>
      </c>
      <c r="G9" s="93">
        <v>64</v>
      </c>
      <c r="H9" s="93">
        <v>128</v>
      </c>
      <c r="I9" s="93">
        <v>264</v>
      </c>
      <c r="J9" s="93">
        <v>799</v>
      </c>
      <c r="K9" s="93">
        <v>109</v>
      </c>
      <c r="L9" s="93">
        <v>110</v>
      </c>
      <c r="M9" s="353">
        <v>88</v>
      </c>
      <c r="N9" s="358">
        <v>78</v>
      </c>
      <c r="O9" s="356">
        <v>75</v>
      </c>
      <c r="P9" s="93">
        <v>156</v>
      </c>
      <c r="Q9" s="93">
        <v>164</v>
      </c>
      <c r="R9" s="353">
        <v>422</v>
      </c>
      <c r="S9" s="358">
        <v>125</v>
      </c>
      <c r="T9" s="356"/>
      <c r="U9" s="93"/>
      <c r="V9" s="93"/>
      <c r="W9" s="93"/>
      <c r="X9" s="93"/>
      <c r="Y9" s="93"/>
      <c r="Z9" s="93"/>
    </row>
    <row r="10" spans="1:27" ht="14">
      <c r="K10">
        <v>791</v>
      </c>
      <c r="L10">
        <v>113</v>
      </c>
      <c r="M10">
        <v>119</v>
      </c>
      <c r="N10">
        <v>89</v>
      </c>
      <c r="O10" s="359">
        <v>78</v>
      </c>
      <c r="P10">
        <v>77</v>
      </c>
      <c r="Q10">
        <v>171</v>
      </c>
      <c r="R10">
        <v>163</v>
      </c>
      <c r="S10">
        <v>422</v>
      </c>
      <c r="T10" s="359"/>
    </row>
    <row r="11" spans="1:27" ht="14">
      <c r="O11" s="359"/>
      <c r="T11" s="359"/>
      <c r="AA11" s="49" t="s">
        <v>472</v>
      </c>
    </row>
    <row r="12" spans="1:27" ht="14">
      <c r="A12" s="47" t="s">
        <v>526</v>
      </c>
      <c r="B12" s="42">
        <v>24</v>
      </c>
      <c r="C12" s="42">
        <v>23</v>
      </c>
      <c r="D12" s="42">
        <v>22</v>
      </c>
      <c r="E12" s="42">
        <v>21</v>
      </c>
      <c r="F12" s="42">
        <v>20</v>
      </c>
      <c r="G12" s="42">
        <v>19</v>
      </c>
      <c r="H12" s="42">
        <v>18</v>
      </c>
      <c r="I12" s="42">
        <v>17</v>
      </c>
      <c r="J12" s="42">
        <v>16</v>
      </c>
      <c r="K12" s="42">
        <v>15</v>
      </c>
      <c r="L12" s="42">
        <v>14</v>
      </c>
      <c r="M12" s="298">
        <v>13</v>
      </c>
      <c r="N12" s="300">
        <v>12</v>
      </c>
      <c r="O12" s="354">
        <v>11</v>
      </c>
      <c r="P12" s="42">
        <v>10</v>
      </c>
      <c r="Q12" s="42">
        <v>9</v>
      </c>
      <c r="R12" s="298">
        <v>8</v>
      </c>
      <c r="S12" s="300">
        <v>7</v>
      </c>
      <c r="T12" s="354">
        <v>6</v>
      </c>
      <c r="U12" s="42">
        <v>5</v>
      </c>
      <c r="V12" s="42">
        <v>4</v>
      </c>
      <c r="W12" s="42">
        <v>3</v>
      </c>
      <c r="X12" s="42">
        <v>2</v>
      </c>
      <c r="Y12" s="42">
        <v>1</v>
      </c>
      <c r="Z12" s="42">
        <v>0</v>
      </c>
    </row>
    <row r="13" spans="1:27" ht="18">
      <c r="A13" s="352" t="s">
        <v>13</v>
      </c>
      <c r="B13" s="5" t="s">
        <v>500</v>
      </c>
      <c r="C13" s="5" t="s">
        <v>501</v>
      </c>
      <c r="D13" s="5" t="s">
        <v>502</v>
      </c>
      <c r="E13" s="5" t="s">
        <v>503</v>
      </c>
      <c r="F13" s="5" t="s">
        <v>504</v>
      </c>
      <c r="G13" s="5" t="s">
        <v>505</v>
      </c>
      <c r="H13" s="5" t="s">
        <v>506</v>
      </c>
      <c r="I13" s="5" t="s">
        <v>507</v>
      </c>
      <c r="J13" s="48" t="s">
        <v>508</v>
      </c>
      <c r="K13" s="299" t="s">
        <v>509</v>
      </c>
      <c r="L13" s="357" t="s">
        <v>510</v>
      </c>
      <c r="M13" s="355" t="s">
        <v>511</v>
      </c>
      <c r="N13" s="5" t="s">
        <v>512</v>
      </c>
      <c r="O13" s="5" t="s">
        <v>513</v>
      </c>
      <c r="P13" s="299" t="s">
        <v>514</v>
      </c>
      <c r="Q13" s="357" t="s">
        <v>515</v>
      </c>
      <c r="R13" s="355" t="s">
        <v>544</v>
      </c>
      <c r="S13" s="5" t="s">
        <v>517</v>
      </c>
      <c r="T13" s="5" t="s">
        <v>518</v>
      </c>
      <c r="U13" s="5" t="s">
        <v>519</v>
      </c>
      <c r="V13" s="5" t="s">
        <v>520</v>
      </c>
      <c r="W13" s="5" t="s">
        <v>521</v>
      </c>
      <c r="X13" s="48" t="s">
        <v>522</v>
      </c>
      <c r="Y13" s="48" t="s">
        <v>523</v>
      </c>
      <c r="Z13" s="48" t="s">
        <v>524</v>
      </c>
      <c r="AA13" s="48" t="s">
        <v>525</v>
      </c>
    </row>
    <row r="14" spans="1:27" ht="14">
      <c r="A14" s="6">
        <v>2023</v>
      </c>
      <c r="B14" s="93">
        <v>0</v>
      </c>
      <c r="C14" s="93">
        <v>0</v>
      </c>
      <c r="D14" s="93">
        <v>0</v>
      </c>
      <c r="E14" s="93">
        <v>0</v>
      </c>
      <c r="F14" s="93">
        <v>0</v>
      </c>
      <c r="G14" s="93">
        <v>0</v>
      </c>
      <c r="H14" s="93">
        <v>0</v>
      </c>
      <c r="I14" s="93">
        <v>247</v>
      </c>
      <c r="J14" s="93">
        <v>118</v>
      </c>
      <c r="K14" s="93">
        <v>121</v>
      </c>
      <c r="L14" s="93">
        <v>164</v>
      </c>
      <c r="M14" s="353">
        <v>179</v>
      </c>
      <c r="N14" s="358">
        <v>161</v>
      </c>
      <c r="O14" s="356">
        <v>137</v>
      </c>
      <c r="P14" s="93">
        <v>144</v>
      </c>
      <c r="Q14" s="93">
        <v>164</v>
      </c>
      <c r="R14" s="353">
        <v>203</v>
      </c>
      <c r="S14" s="358">
        <v>223</v>
      </c>
      <c r="T14" s="356">
        <v>404</v>
      </c>
      <c r="U14" s="93">
        <v>823</v>
      </c>
      <c r="V14" s="93">
        <v>121</v>
      </c>
      <c r="W14" s="93">
        <v>108</v>
      </c>
      <c r="X14" s="93">
        <v>86</v>
      </c>
      <c r="Y14" s="93">
        <v>145</v>
      </c>
      <c r="Z14" s="93">
        <v>86</v>
      </c>
      <c r="AA14" s="254"/>
    </row>
    <row r="15" spans="1:27" ht="14">
      <c r="A15" s="6">
        <v>2024</v>
      </c>
      <c r="B15" s="93">
        <v>0</v>
      </c>
      <c r="C15" s="93">
        <v>0</v>
      </c>
      <c r="D15" s="93">
        <v>0</v>
      </c>
      <c r="E15" s="93">
        <v>0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55</v>
      </c>
      <c r="L15" s="93">
        <v>317</v>
      </c>
      <c r="M15" s="353">
        <v>394</v>
      </c>
      <c r="N15" s="360">
        <v>811</v>
      </c>
      <c r="O15" s="356">
        <v>121</v>
      </c>
      <c r="P15" s="93">
        <v>159</v>
      </c>
      <c r="Q15" s="93">
        <v>117</v>
      </c>
      <c r="R15" s="353">
        <v>169</v>
      </c>
      <c r="S15" s="360">
        <v>278</v>
      </c>
      <c r="T15" s="356">
        <v>144</v>
      </c>
      <c r="U15" s="93">
        <v>272</v>
      </c>
      <c r="V15" s="93">
        <v>122</v>
      </c>
      <c r="W15" s="93">
        <v>141</v>
      </c>
      <c r="X15" s="93">
        <v>154</v>
      </c>
      <c r="Y15" s="93">
        <v>255</v>
      </c>
      <c r="Z15" s="296">
        <v>19</v>
      </c>
    </row>
    <row r="16" spans="1:27" ht="14">
      <c r="A16" s="6">
        <v>2026</v>
      </c>
      <c r="B16" s="93">
        <v>13</v>
      </c>
      <c r="C16" s="93">
        <v>18</v>
      </c>
      <c r="D16" s="93">
        <v>4</v>
      </c>
      <c r="E16" s="93">
        <v>115</v>
      </c>
      <c r="F16" s="93">
        <v>54</v>
      </c>
      <c r="G16" s="93">
        <v>45</v>
      </c>
      <c r="H16" s="93">
        <v>115</v>
      </c>
      <c r="I16" s="93">
        <v>231</v>
      </c>
      <c r="J16" s="93">
        <v>748</v>
      </c>
      <c r="K16" s="93">
        <v>97</v>
      </c>
      <c r="L16" s="93">
        <v>91</v>
      </c>
      <c r="M16" s="353">
        <v>75</v>
      </c>
      <c r="N16" s="360">
        <v>67</v>
      </c>
      <c r="O16" s="356">
        <v>66</v>
      </c>
      <c r="P16" s="93">
        <v>125</v>
      </c>
      <c r="Q16" s="93">
        <v>150</v>
      </c>
      <c r="R16" s="353">
        <v>357</v>
      </c>
      <c r="S16" s="360">
        <v>98</v>
      </c>
      <c r="T16" s="356"/>
      <c r="U16" s="93"/>
      <c r="V16" s="93"/>
      <c r="W16" s="93"/>
      <c r="X16" s="93"/>
      <c r="Y16" s="93"/>
      <c r="Z16" s="296"/>
    </row>
    <row r="17" spans="1:27" ht="14">
      <c r="A17" t="s">
        <v>528</v>
      </c>
      <c r="K17">
        <v>743</v>
      </c>
      <c r="L17">
        <v>99</v>
      </c>
      <c r="M17">
        <v>101</v>
      </c>
      <c r="N17">
        <v>76</v>
      </c>
      <c r="O17">
        <v>65</v>
      </c>
      <c r="P17">
        <v>68</v>
      </c>
      <c r="Q17">
        <v>134</v>
      </c>
      <c r="R17">
        <v>145</v>
      </c>
    </row>
    <row r="18" spans="1:27" ht="14"/>
    <row r="19" spans="1:27" ht="14">
      <c r="A19" s="47" t="s">
        <v>526</v>
      </c>
      <c r="B19" s="42">
        <v>24</v>
      </c>
      <c r="C19" s="42">
        <v>23</v>
      </c>
      <c r="D19" s="42">
        <v>22</v>
      </c>
      <c r="E19" s="42">
        <v>21</v>
      </c>
      <c r="F19" s="42">
        <v>20</v>
      </c>
      <c r="G19" s="42">
        <v>19</v>
      </c>
      <c r="H19" s="42">
        <v>18</v>
      </c>
      <c r="I19" s="42">
        <v>17</v>
      </c>
      <c r="J19" s="42">
        <v>16</v>
      </c>
      <c r="K19" s="42">
        <v>15</v>
      </c>
      <c r="L19" s="42">
        <v>14</v>
      </c>
      <c r="M19" s="298">
        <v>13</v>
      </c>
      <c r="N19" s="300">
        <v>12</v>
      </c>
      <c r="O19" s="354">
        <v>11</v>
      </c>
      <c r="P19" s="42">
        <v>10</v>
      </c>
      <c r="Q19" s="42">
        <v>9</v>
      </c>
      <c r="R19" s="298">
        <v>8</v>
      </c>
      <c r="S19" s="300">
        <v>7</v>
      </c>
      <c r="T19" s="354">
        <v>6</v>
      </c>
      <c r="U19" s="42">
        <v>5</v>
      </c>
      <c r="V19" s="42">
        <v>4</v>
      </c>
      <c r="W19" s="42">
        <v>3</v>
      </c>
      <c r="X19" s="42">
        <v>2</v>
      </c>
      <c r="Y19" s="42">
        <v>1</v>
      </c>
      <c r="Z19" s="42">
        <v>0</v>
      </c>
    </row>
    <row r="20" spans="1:27" ht="18">
      <c r="A20" s="352" t="s">
        <v>539</v>
      </c>
      <c r="B20" s="5" t="s">
        <v>500</v>
      </c>
      <c r="C20" s="5" t="s">
        <v>501</v>
      </c>
      <c r="D20" s="5" t="s">
        <v>502</v>
      </c>
      <c r="E20" s="5" t="s">
        <v>503</v>
      </c>
      <c r="F20" s="5" t="s">
        <v>504</v>
      </c>
      <c r="G20" s="5" t="s">
        <v>505</v>
      </c>
      <c r="H20" s="5" t="s">
        <v>506</v>
      </c>
      <c r="I20" s="5" t="s">
        <v>507</v>
      </c>
      <c r="J20" s="48" t="s">
        <v>508</v>
      </c>
      <c r="K20" s="299" t="s">
        <v>509</v>
      </c>
      <c r="L20" s="357" t="s">
        <v>510</v>
      </c>
      <c r="M20" s="355" t="s">
        <v>511</v>
      </c>
      <c r="N20" s="5" t="s">
        <v>512</v>
      </c>
      <c r="O20" s="5" t="s">
        <v>513</v>
      </c>
      <c r="P20" s="299" t="s">
        <v>514</v>
      </c>
      <c r="Q20" s="357" t="s">
        <v>515</v>
      </c>
      <c r="R20" s="355" t="s">
        <v>544</v>
      </c>
      <c r="S20" s="5" t="s">
        <v>517</v>
      </c>
      <c r="T20" s="5" t="s">
        <v>518</v>
      </c>
      <c r="U20" s="5" t="s">
        <v>519</v>
      </c>
      <c r="V20" s="5" t="s">
        <v>520</v>
      </c>
      <c r="W20" s="5" t="s">
        <v>521</v>
      </c>
      <c r="X20" s="48" t="s">
        <v>522</v>
      </c>
      <c r="Y20" s="48" t="s">
        <v>523</v>
      </c>
      <c r="Z20" s="48" t="s">
        <v>524</v>
      </c>
      <c r="AA20" s="48" t="s">
        <v>525</v>
      </c>
    </row>
    <row r="21" spans="1:27" ht="14">
      <c r="A21" s="6">
        <v>2023</v>
      </c>
      <c r="B21" s="93">
        <f>B7-B14</f>
        <v>0</v>
      </c>
      <c r="C21" s="93">
        <f t="shared" ref="C21:Z21" si="0">C7-C14</f>
        <v>0</v>
      </c>
      <c r="D21" s="93">
        <f t="shared" si="0"/>
        <v>4</v>
      </c>
      <c r="E21" s="93">
        <f t="shared" si="0"/>
        <v>18</v>
      </c>
      <c r="F21" s="93">
        <f t="shared" si="0"/>
        <v>21</v>
      </c>
      <c r="G21" s="93">
        <f t="shared" si="0"/>
        <v>140</v>
      </c>
      <c r="H21" s="93">
        <f t="shared" si="0"/>
        <v>54</v>
      </c>
      <c r="I21" s="93">
        <f t="shared" si="0"/>
        <v>26</v>
      </c>
      <c r="J21" s="93">
        <f t="shared" si="0"/>
        <v>16</v>
      </c>
      <c r="K21" s="93">
        <f t="shared" si="0"/>
        <v>42</v>
      </c>
      <c r="L21" s="93">
        <f t="shared" si="0"/>
        <v>24</v>
      </c>
      <c r="M21" s="93">
        <f t="shared" si="0"/>
        <v>57</v>
      </c>
      <c r="N21" s="93">
        <f>N7-N14</f>
        <v>0</v>
      </c>
      <c r="O21" s="93">
        <f t="shared" si="0"/>
        <v>11</v>
      </c>
      <c r="P21" s="93">
        <f t="shared" si="0"/>
        <v>33</v>
      </c>
      <c r="Q21" s="93">
        <f t="shared" si="0"/>
        <v>38</v>
      </c>
      <c r="R21" s="93">
        <f t="shared" si="0"/>
        <v>42</v>
      </c>
      <c r="S21" s="93">
        <f t="shared" si="0"/>
        <v>34</v>
      </c>
      <c r="T21" s="93">
        <f t="shared" si="0"/>
        <v>92</v>
      </c>
      <c r="U21" s="93">
        <f t="shared" si="0"/>
        <v>206</v>
      </c>
      <c r="V21" s="93">
        <f t="shared" si="0"/>
        <v>36</v>
      </c>
      <c r="W21" s="93">
        <f t="shared" si="0"/>
        <v>55</v>
      </c>
      <c r="X21" s="93">
        <f t="shared" si="0"/>
        <v>199</v>
      </c>
      <c r="Y21" s="93">
        <f t="shared" si="0"/>
        <v>111</v>
      </c>
      <c r="Z21" s="93">
        <f t="shared" si="0"/>
        <v>84</v>
      </c>
      <c r="AA21" s="254"/>
    </row>
    <row r="22" spans="1:27" ht="14">
      <c r="A22" s="6">
        <v>2024</v>
      </c>
      <c r="B22" s="93">
        <f>B8-B15</f>
        <v>0</v>
      </c>
      <c r="C22" s="93">
        <f t="shared" ref="C22:Z22" si="1">C8-C15</f>
        <v>0</v>
      </c>
      <c r="D22" s="93">
        <f t="shared" si="1"/>
        <v>0</v>
      </c>
      <c r="E22" s="93">
        <f t="shared" si="1"/>
        <v>0</v>
      </c>
      <c r="F22" s="93">
        <f t="shared" si="1"/>
        <v>0</v>
      </c>
      <c r="G22" s="93">
        <f t="shared" si="1"/>
        <v>0</v>
      </c>
      <c r="H22" s="93">
        <f t="shared" si="1"/>
        <v>0</v>
      </c>
      <c r="I22" s="93">
        <f t="shared" si="1"/>
        <v>0</v>
      </c>
      <c r="J22" s="93">
        <f t="shared" si="1"/>
        <v>0</v>
      </c>
      <c r="K22" s="93">
        <f t="shared" si="1"/>
        <v>7</v>
      </c>
      <c r="L22" s="93">
        <f t="shared" si="1"/>
        <v>160</v>
      </c>
      <c r="M22" s="93">
        <f t="shared" si="1"/>
        <v>89</v>
      </c>
      <c r="N22" s="93">
        <f t="shared" si="1"/>
        <v>72</v>
      </c>
      <c r="O22" s="93">
        <f t="shared" si="1"/>
        <v>34</v>
      </c>
      <c r="P22" s="93">
        <f t="shared" si="1"/>
        <v>25</v>
      </c>
      <c r="Q22" s="93">
        <f t="shared" si="1"/>
        <v>22</v>
      </c>
      <c r="R22" s="93">
        <f t="shared" si="1"/>
        <v>28</v>
      </c>
      <c r="S22" s="93">
        <f t="shared" si="1"/>
        <v>46</v>
      </c>
      <c r="T22" s="93">
        <f t="shared" si="1"/>
        <v>82</v>
      </c>
      <c r="U22" s="93">
        <f t="shared" si="1"/>
        <v>89</v>
      </c>
      <c r="V22" s="93">
        <f t="shared" si="1"/>
        <v>77</v>
      </c>
      <c r="W22" s="93">
        <f t="shared" si="1"/>
        <v>76</v>
      </c>
      <c r="X22" s="93">
        <f t="shared" si="1"/>
        <v>117</v>
      </c>
      <c r="Y22" s="93">
        <f t="shared" si="1"/>
        <v>186</v>
      </c>
      <c r="Z22" s="93">
        <f t="shared" si="1"/>
        <v>15</v>
      </c>
    </row>
    <row r="23" spans="1:27" ht="14">
      <c r="A23" s="6">
        <v>2026</v>
      </c>
      <c r="B23" s="93">
        <v>63</v>
      </c>
      <c r="C23" s="93">
        <v>60</v>
      </c>
      <c r="D23" s="93">
        <f t="shared" ref="D23" si="2">D9-D16</f>
        <v>16</v>
      </c>
      <c r="E23" s="93">
        <v>38</v>
      </c>
      <c r="F23" s="93">
        <v>30</v>
      </c>
      <c r="G23" s="93">
        <v>19</v>
      </c>
      <c r="H23" s="93">
        <v>13</v>
      </c>
      <c r="I23" s="93">
        <v>33</v>
      </c>
      <c r="J23" s="93">
        <f>J9-J16</f>
        <v>51</v>
      </c>
      <c r="K23" s="93">
        <v>12</v>
      </c>
      <c r="L23" s="93">
        <v>19</v>
      </c>
      <c r="M23" s="353">
        <v>13</v>
      </c>
      <c r="N23" s="360">
        <v>11</v>
      </c>
      <c r="O23" s="356">
        <v>9</v>
      </c>
      <c r="P23" s="93">
        <v>31</v>
      </c>
      <c r="Q23" s="93">
        <v>14</v>
      </c>
      <c r="R23" s="353">
        <v>65</v>
      </c>
      <c r="S23" s="360">
        <v>27</v>
      </c>
      <c r="T23" s="356"/>
      <c r="U23" s="93"/>
      <c r="V23" s="93"/>
      <c r="W23" s="93"/>
      <c r="X23" s="93"/>
      <c r="Y23" s="93"/>
      <c r="Z23" s="296"/>
    </row>
    <row r="24" spans="1:27" ht="14">
      <c r="A24" t="s">
        <v>528</v>
      </c>
      <c r="K24">
        <v>48</v>
      </c>
      <c r="L24">
        <v>14</v>
      </c>
      <c r="M24">
        <v>18</v>
      </c>
      <c r="N24">
        <v>13</v>
      </c>
      <c r="O24">
        <v>13</v>
      </c>
      <c r="P24">
        <v>9</v>
      </c>
      <c r="Q24">
        <v>37</v>
      </c>
      <c r="R24">
        <v>18</v>
      </c>
      <c r="S24">
        <v>64</v>
      </c>
    </row>
    <row r="25" spans="1:27" s="447" customFormat="1" ht="14">
      <c r="A25" s="445"/>
      <c r="B25" s="445"/>
      <c r="C25" s="446"/>
      <c r="D25" s="446"/>
      <c r="E25" s="446"/>
      <c r="F25" s="446"/>
      <c r="G25" s="446"/>
      <c r="H25" s="446"/>
      <c r="I25" s="446"/>
      <c r="J25" s="446"/>
      <c r="K25" s="446"/>
      <c r="L25" s="446"/>
      <c r="M25" s="446"/>
      <c r="N25" s="446"/>
      <c r="O25" s="446"/>
      <c r="P25" s="446"/>
      <c r="Q25" s="446"/>
      <c r="R25" s="446"/>
      <c r="S25" s="446"/>
      <c r="T25" s="446"/>
      <c r="U25" s="446"/>
      <c r="V25" s="446"/>
      <c r="W25" s="446"/>
      <c r="X25" s="446"/>
      <c r="Y25" s="446"/>
      <c r="Z25" s="446"/>
    </row>
    <row r="26" spans="1:27" ht="14">
      <c r="A26" s="47" t="s">
        <v>526</v>
      </c>
      <c r="B26" s="42">
        <v>24</v>
      </c>
      <c r="C26" s="42">
        <v>23</v>
      </c>
      <c r="D26" s="42">
        <v>22</v>
      </c>
      <c r="E26" s="42">
        <v>21</v>
      </c>
      <c r="F26" s="42">
        <v>20</v>
      </c>
      <c r="G26" s="42">
        <v>19</v>
      </c>
      <c r="H26" s="42">
        <v>18</v>
      </c>
      <c r="I26" s="42">
        <v>17</v>
      </c>
      <c r="J26" s="42">
        <v>16</v>
      </c>
      <c r="K26" s="42">
        <v>15</v>
      </c>
      <c r="L26" s="42">
        <v>14</v>
      </c>
      <c r="M26" s="298">
        <v>13</v>
      </c>
      <c r="N26" s="300">
        <v>12</v>
      </c>
      <c r="O26" s="354">
        <v>11</v>
      </c>
      <c r="P26" s="42">
        <v>10</v>
      </c>
      <c r="Q26" s="42">
        <v>9</v>
      </c>
      <c r="R26" s="298">
        <v>8</v>
      </c>
      <c r="S26" s="300">
        <v>7</v>
      </c>
      <c r="T26" s="354">
        <v>6</v>
      </c>
      <c r="U26" s="42">
        <v>5</v>
      </c>
      <c r="V26" s="42">
        <v>4</v>
      </c>
      <c r="W26" s="42">
        <v>3</v>
      </c>
      <c r="X26" s="42">
        <v>2</v>
      </c>
      <c r="Y26" s="42">
        <v>1</v>
      </c>
      <c r="Z26" s="42">
        <v>0</v>
      </c>
    </row>
    <row r="27" spans="1:27" ht="18">
      <c r="A27" s="352" t="s">
        <v>531</v>
      </c>
      <c r="B27" s="5" t="s">
        <v>500</v>
      </c>
      <c r="C27" s="5" t="s">
        <v>501</v>
      </c>
      <c r="D27" s="5" t="s">
        <v>502</v>
      </c>
      <c r="E27" s="5" t="s">
        <v>503</v>
      </c>
      <c r="F27" s="5" t="s">
        <v>504</v>
      </c>
      <c r="G27" s="5" t="s">
        <v>505</v>
      </c>
      <c r="H27" s="5" t="s">
        <v>506</v>
      </c>
      <c r="I27" s="5" t="s">
        <v>507</v>
      </c>
      <c r="J27" s="48" t="s">
        <v>508</v>
      </c>
      <c r="K27" s="299" t="s">
        <v>509</v>
      </c>
      <c r="L27" s="357" t="s">
        <v>510</v>
      </c>
      <c r="M27" s="355" t="s">
        <v>511</v>
      </c>
      <c r="N27" s="5" t="s">
        <v>512</v>
      </c>
      <c r="O27" s="5" t="s">
        <v>513</v>
      </c>
      <c r="P27" s="299" t="s">
        <v>514</v>
      </c>
      <c r="Q27" s="357" t="s">
        <v>515</v>
      </c>
      <c r="R27" s="355" t="s">
        <v>544</v>
      </c>
      <c r="S27" s="5" t="s">
        <v>517</v>
      </c>
      <c r="T27" s="5" t="s">
        <v>518</v>
      </c>
      <c r="U27" s="5" t="s">
        <v>519</v>
      </c>
      <c r="V27" s="5" t="s">
        <v>520</v>
      </c>
      <c r="W27" s="5" t="s">
        <v>521</v>
      </c>
      <c r="X27" s="48" t="s">
        <v>522</v>
      </c>
      <c r="Y27" s="48" t="s">
        <v>523</v>
      </c>
      <c r="Z27" s="48" t="s">
        <v>524</v>
      </c>
      <c r="AA27" s="48" t="s">
        <v>525</v>
      </c>
    </row>
    <row r="28" spans="1:27" ht="14">
      <c r="A28" s="6">
        <v>2023</v>
      </c>
      <c r="B28" s="93"/>
      <c r="C28" s="93">
        <f>SUM($B$7:C7)</f>
        <v>0</v>
      </c>
      <c r="D28" s="93">
        <f>SUM($B$7:D7)</f>
        <v>4</v>
      </c>
      <c r="E28" s="93">
        <f>SUM($B$7:E7)</f>
        <v>22</v>
      </c>
      <c r="F28" s="93">
        <f>SUM($B$7:F7)</f>
        <v>43</v>
      </c>
      <c r="G28" s="93">
        <f>SUM($B$7:G7)</f>
        <v>183</v>
      </c>
      <c r="H28" s="93">
        <f>SUM($B$7:H7)</f>
        <v>237</v>
      </c>
      <c r="I28" s="93">
        <f>SUM($B$7:I7)</f>
        <v>510</v>
      </c>
      <c r="J28" s="93">
        <f>SUM($B$7:J7)</f>
        <v>644</v>
      </c>
      <c r="K28" s="93">
        <f>SUM($B$7:K7)</f>
        <v>807</v>
      </c>
      <c r="L28" s="93">
        <f>SUM($B$7:L7)</f>
        <v>995</v>
      </c>
      <c r="M28" s="93">
        <f>SUM($B$7:M7)</f>
        <v>1231</v>
      </c>
      <c r="N28" s="93">
        <f>SUM($B$7:N7)</f>
        <v>1392</v>
      </c>
      <c r="O28" s="93">
        <f>SUM($B$7:O7)</f>
        <v>1540</v>
      </c>
      <c r="P28" s="93">
        <f>SUM($B$7:P7)</f>
        <v>1717</v>
      </c>
      <c r="Q28" s="93">
        <f>SUM($B$7:Q7)</f>
        <v>1919</v>
      </c>
      <c r="R28" s="93">
        <f>SUM($B$7:R7)</f>
        <v>2164</v>
      </c>
      <c r="S28" s="93">
        <f>SUM($B$7:S7)</f>
        <v>2421</v>
      </c>
      <c r="T28" s="93">
        <f>SUM($B$7:T7)</f>
        <v>2917</v>
      </c>
      <c r="U28" s="93">
        <f>SUM($B$7:U7)</f>
        <v>3946</v>
      </c>
      <c r="V28" s="93">
        <f>SUM($B$7:V7)</f>
        <v>4103</v>
      </c>
      <c r="W28" s="93">
        <f>SUM($B$7:W7)</f>
        <v>4266</v>
      </c>
      <c r="X28" s="93">
        <f>SUM($B$7:X7)</f>
        <v>4551</v>
      </c>
      <c r="Y28" s="93">
        <f>SUM($B$7:Y7)</f>
        <v>4807</v>
      </c>
      <c r="Z28" s="93">
        <f>SUM($B$7:Z7)</f>
        <v>4977</v>
      </c>
      <c r="AA28" s="254">
        <v>19</v>
      </c>
    </row>
    <row r="29" spans="1:27" ht="14">
      <c r="A29" s="6">
        <v>2024</v>
      </c>
      <c r="B29" s="93"/>
      <c r="C29" s="93">
        <f>SUM($B$8:C8)</f>
        <v>0</v>
      </c>
      <c r="D29" s="93">
        <f>SUM($B$8:D8)</f>
        <v>0</v>
      </c>
      <c r="E29" s="93">
        <f>SUM($B$8:E8)</f>
        <v>0</v>
      </c>
      <c r="F29" s="93">
        <f>SUM($B$8:F8)</f>
        <v>0</v>
      </c>
      <c r="G29" s="93">
        <f>SUM($B$8:G8)</f>
        <v>0</v>
      </c>
      <c r="H29" s="93">
        <f>SUM($B$8:H8)</f>
        <v>0</v>
      </c>
      <c r="I29" s="93">
        <f>SUM($B$8:I8)</f>
        <v>0</v>
      </c>
      <c r="J29" s="93">
        <f>SUM($B$8:J8)</f>
        <v>0</v>
      </c>
      <c r="K29" s="93">
        <f>SUM($B$8:K8)</f>
        <v>62</v>
      </c>
      <c r="L29" s="93">
        <f>SUM($B$8:L8)</f>
        <v>539</v>
      </c>
      <c r="M29" s="93">
        <f>SUM($B$8:M8)</f>
        <v>1022</v>
      </c>
      <c r="N29" s="93">
        <f>SUM($B$8:N8)</f>
        <v>1905</v>
      </c>
      <c r="O29" s="93">
        <f>SUM($B$8:O8)</f>
        <v>2060</v>
      </c>
      <c r="P29" s="93">
        <f>SUM($B$8:P8)</f>
        <v>2244</v>
      </c>
      <c r="Q29" s="93">
        <f>SUM($B$8:Q8)</f>
        <v>2383</v>
      </c>
      <c r="R29" s="93">
        <f>SUM($B$8:R8)</f>
        <v>2580</v>
      </c>
      <c r="S29" s="93">
        <f>SUM($B$8:S8)</f>
        <v>2904</v>
      </c>
      <c r="T29" s="93">
        <f>SUM($B$8:T8)</f>
        <v>3130</v>
      </c>
      <c r="U29" s="93">
        <f>SUM($B$8:U8)</f>
        <v>3491</v>
      </c>
      <c r="V29" s="93">
        <f>SUM($B$8:V8)</f>
        <v>3690</v>
      </c>
      <c r="W29" s="93">
        <f>SUM($B$8:W8)</f>
        <v>3907</v>
      </c>
      <c r="X29" s="93">
        <f>SUM($B$8:X8)</f>
        <v>4178</v>
      </c>
      <c r="Y29" s="93">
        <f>SUM($B$8:Y8)</f>
        <v>4619</v>
      </c>
      <c r="Z29" s="93">
        <f>SUM($B$8:Z8)</f>
        <v>4653</v>
      </c>
    </row>
    <row r="30" spans="1:27" ht="14">
      <c r="A30" s="6">
        <v>2026</v>
      </c>
      <c r="B30" s="93">
        <v>76</v>
      </c>
      <c r="C30" s="93">
        <f>SUM($B$9:C9)</f>
        <v>154</v>
      </c>
      <c r="D30" s="93">
        <f>SUM($B$9:D9)</f>
        <v>174</v>
      </c>
      <c r="E30" s="93">
        <f>SUM($B$9:E9)</f>
        <v>327</v>
      </c>
      <c r="F30" s="93">
        <f>SUM($B$9:F9)</f>
        <v>411</v>
      </c>
      <c r="G30" s="93">
        <f>SUM($B$9:G9)</f>
        <v>475</v>
      </c>
      <c r="H30" s="93">
        <f>SUM($B$9:H9)</f>
        <v>603</v>
      </c>
      <c r="I30" s="93">
        <f>SUM($B$9:I9)</f>
        <v>867</v>
      </c>
      <c r="J30" s="93">
        <f>SUM($B$9:J9)</f>
        <v>1666</v>
      </c>
      <c r="K30" s="93">
        <f>SUM($B$9:K9)</f>
        <v>1775</v>
      </c>
      <c r="L30" s="93">
        <f>SUM($B$9:L9)</f>
        <v>1885</v>
      </c>
      <c r="M30" s="93">
        <f>SUM($B$9:M9)</f>
        <v>1973</v>
      </c>
      <c r="N30" s="93">
        <f>SUM($B$9:N9)</f>
        <v>2051</v>
      </c>
      <c r="O30" s="93">
        <v>2134</v>
      </c>
      <c r="P30" s="93">
        <v>2289</v>
      </c>
      <c r="Q30" s="93">
        <v>2453</v>
      </c>
      <c r="R30" s="93">
        <v>2875</v>
      </c>
      <c r="S30" s="93">
        <v>3000</v>
      </c>
      <c r="T30" s="650">
        <v>3043</v>
      </c>
      <c r="U30" s="93"/>
      <c r="V30" s="93"/>
      <c r="W30" s="93"/>
      <c r="X30" s="93"/>
      <c r="Y30" s="93"/>
      <c r="Z30" s="93"/>
    </row>
    <row r="31" spans="1:27" ht="14">
      <c r="A31" s="623" t="s">
        <v>528</v>
      </c>
      <c r="B31" s="623"/>
      <c r="C31" s="623"/>
      <c r="D31" s="623"/>
      <c r="E31" s="623"/>
      <c r="F31" s="623"/>
      <c r="G31" s="623"/>
      <c r="H31" s="623"/>
      <c r="I31" s="623"/>
      <c r="J31" s="531">
        <v>851</v>
      </c>
      <c r="K31" s="531">
        <v>1642</v>
      </c>
      <c r="L31" s="531">
        <v>1755</v>
      </c>
      <c r="M31" s="531">
        <v>1874</v>
      </c>
      <c r="N31" s="531">
        <v>1963</v>
      </c>
      <c r="O31" s="531">
        <v>2041</v>
      </c>
      <c r="P31" s="531">
        <v>2118</v>
      </c>
      <c r="Q31" s="531">
        <v>2289</v>
      </c>
      <c r="R31" s="531">
        <v>2452</v>
      </c>
      <c r="S31" s="531">
        <v>2874</v>
      </c>
      <c r="T31" s="623"/>
      <c r="U31" s="623"/>
      <c r="V31" s="623"/>
      <c r="W31" s="623"/>
      <c r="X31" s="623"/>
      <c r="Y31" s="623"/>
      <c r="Z31" s="623"/>
    </row>
    <row r="32" spans="1:27" s="447" customFormat="1" ht="14">
      <c r="A32" s="445"/>
      <c r="B32" s="446"/>
      <c r="C32" s="446"/>
      <c r="D32" s="446"/>
      <c r="E32" s="446"/>
      <c r="F32" s="446"/>
      <c r="G32" s="446"/>
      <c r="H32" s="446"/>
      <c r="I32" s="446"/>
      <c r="J32" s="645"/>
      <c r="K32" s="645"/>
      <c r="L32" s="645"/>
      <c r="M32" s="645"/>
      <c r="N32" s="645"/>
      <c r="O32" s="645"/>
      <c r="P32" s="645"/>
      <c r="Q32" s="645"/>
      <c r="R32" s="645"/>
      <c r="S32" s="645"/>
      <c r="T32" s="446"/>
      <c r="U32" s="446"/>
      <c r="V32" s="446"/>
      <c r="W32" s="446"/>
      <c r="X32" s="446"/>
      <c r="Y32" s="446"/>
      <c r="Z32" s="446"/>
    </row>
    <row r="33" spans="1:27" ht="14">
      <c r="A33" s="47" t="s">
        <v>526</v>
      </c>
      <c r="B33" s="42">
        <v>24</v>
      </c>
      <c r="C33" s="42">
        <v>23</v>
      </c>
      <c r="D33" s="42">
        <v>22</v>
      </c>
      <c r="E33" s="42">
        <v>21</v>
      </c>
      <c r="F33" s="42">
        <v>20</v>
      </c>
      <c r="G33" s="42">
        <v>19</v>
      </c>
      <c r="H33" s="42">
        <v>18</v>
      </c>
      <c r="I33" s="42">
        <v>17</v>
      </c>
      <c r="J33" s="42">
        <v>16</v>
      </c>
      <c r="K33" s="42">
        <v>15</v>
      </c>
      <c r="L33" s="42">
        <v>14</v>
      </c>
      <c r="M33" s="298">
        <v>13</v>
      </c>
      <c r="N33" s="300">
        <v>12</v>
      </c>
      <c r="O33" s="354">
        <v>11</v>
      </c>
      <c r="P33" s="42">
        <v>10</v>
      </c>
      <c r="Q33" s="42">
        <v>9</v>
      </c>
      <c r="R33" s="298">
        <v>8</v>
      </c>
      <c r="S33" s="300">
        <v>7</v>
      </c>
      <c r="T33" s="354">
        <v>6</v>
      </c>
      <c r="U33" s="42">
        <v>5</v>
      </c>
      <c r="V33" s="42">
        <v>4</v>
      </c>
      <c r="W33" s="42">
        <v>3</v>
      </c>
      <c r="X33" s="42">
        <v>2</v>
      </c>
      <c r="Y33" s="42">
        <v>1</v>
      </c>
      <c r="Z33" s="42">
        <v>0</v>
      </c>
    </row>
    <row r="34" spans="1:27" ht="18">
      <c r="A34" s="352" t="s">
        <v>532</v>
      </c>
      <c r="B34" s="5" t="s">
        <v>500</v>
      </c>
      <c r="C34" s="5" t="s">
        <v>501</v>
      </c>
      <c r="D34" s="5" t="s">
        <v>502</v>
      </c>
      <c r="E34" s="5" t="s">
        <v>503</v>
      </c>
      <c r="F34" s="5" t="s">
        <v>504</v>
      </c>
      <c r="G34" s="5" t="s">
        <v>505</v>
      </c>
      <c r="H34" s="5" t="s">
        <v>506</v>
      </c>
      <c r="I34" s="5" t="s">
        <v>507</v>
      </c>
      <c r="J34" s="48" t="s">
        <v>508</v>
      </c>
      <c r="K34" s="299" t="s">
        <v>509</v>
      </c>
      <c r="L34" s="357" t="s">
        <v>510</v>
      </c>
      <c r="M34" s="355" t="s">
        <v>511</v>
      </c>
      <c r="N34" s="5" t="s">
        <v>512</v>
      </c>
      <c r="O34" s="5" t="s">
        <v>513</v>
      </c>
      <c r="P34" s="299" t="s">
        <v>514</v>
      </c>
      <c r="Q34" s="357" t="s">
        <v>515</v>
      </c>
      <c r="R34" s="355" t="s">
        <v>516</v>
      </c>
      <c r="S34" s="5" t="s">
        <v>517</v>
      </c>
      <c r="T34" s="5" t="s">
        <v>518</v>
      </c>
      <c r="U34" s="5" t="s">
        <v>519</v>
      </c>
      <c r="V34" s="5" t="s">
        <v>520</v>
      </c>
      <c r="W34" s="5" t="s">
        <v>521</v>
      </c>
      <c r="X34" s="48" t="s">
        <v>522</v>
      </c>
      <c r="Y34" s="48" t="s">
        <v>523</v>
      </c>
      <c r="Z34" s="48" t="s">
        <v>524</v>
      </c>
      <c r="AA34" s="48" t="s">
        <v>525</v>
      </c>
    </row>
    <row r="35" spans="1:27" ht="14">
      <c r="A35" s="6">
        <v>2023</v>
      </c>
      <c r="B35" s="93"/>
      <c r="C35" s="93">
        <f>SUM($B$21:C21)</f>
        <v>0</v>
      </c>
      <c r="D35" s="93">
        <f>SUM($B$21:D21)</f>
        <v>4</v>
      </c>
      <c r="E35" s="93">
        <f>SUM($B$21:E21)</f>
        <v>22</v>
      </c>
      <c r="F35" s="93">
        <f>SUM($B$21:F21)</f>
        <v>43</v>
      </c>
      <c r="G35" s="93">
        <f>SUM($B$21:G21)</f>
        <v>183</v>
      </c>
      <c r="H35" s="93">
        <f>SUM($B$21:H21)</f>
        <v>237</v>
      </c>
      <c r="I35" s="93">
        <f>SUM($B$21:I21)</f>
        <v>263</v>
      </c>
      <c r="J35" s="93">
        <f>SUM($B$21:J21)</f>
        <v>279</v>
      </c>
      <c r="K35" s="93">
        <f>SUM($B$21:K21)</f>
        <v>321</v>
      </c>
      <c r="L35" s="93">
        <f>SUM($B$21:L21)</f>
        <v>345</v>
      </c>
      <c r="M35" s="93">
        <f>SUM($B$21:M21)</f>
        <v>402</v>
      </c>
      <c r="N35" s="93">
        <f>SUM($B$21:N21)</f>
        <v>402</v>
      </c>
      <c r="O35" s="93">
        <f>SUM($B$21:O21)</f>
        <v>413</v>
      </c>
      <c r="P35" s="93">
        <f>SUM($B$21:P21)</f>
        <v>446</v>
      </c>
      <c r="Q35" s="93">
        <f>SUM($B$21:Q21)</f>
        <v>484</v>
      </c>
      <c r="R35" s="93">
        <f>SUM($B$21:R21)</f>
        <v>526</v>
      </c>
      <c r="S35" s="93">
        <f>SUM($B$21:S21)</f>
        <v>560</v>
      </c>
      <c r="T35" s="93">
        <f>SUM($B$21:T21)</f>
        <v>652</v>
      </c>
      <c r="U35" s="93">
        <f>SUM($B$21:U21)</f>
        <v>858</v>
      </c>
      <c r="V35" s="93">
        <f>SUM($B$21:V21)</f>
        <v>894</v>
      </c>
      <c r="W35" s="93">
        <f>SUM($B$21:W21)</f>
        <v>949</v>
      </c>
      <c r="X35" s="93">
        <f>SUM($B$21:X21)</f>
        <v>1148</v>
      </c>
      <c r="Y35" s="93">
        <f>SUM($B$21:Y21)</f>
        <v>1259</v>
      </c>
      <c r="Z35" s="93">
        <f>SUM($B$21:Z21)</f>
        <v>1343</v>
      </c>
      <c r="AA35" s="254"/>
    </row>
    <row r="36" spans="1:27" ht="14">
      <c r="A36" s="6">
        <v>2024</v>
      </c>
      <c r="B36" s="93"/>
      <c r="C36" s="93">
        <f>SUM($B$22:C22)</f>
        <v>0</v>
      </c>
      <c r="D36" s="93">
        <f>SUM($B$22:D22)</f>
        <v>0</v>
      </c>
      <c r="E36" s="93">
        <f>SUM($B$22:E22)</f>
        <v>0</v>
      </c>
      <c r="F36" s="93">
        <f>SUM($B$22:F22)</f>
        <v>0</v>
      </c>
      <c r="G36" s="93">
        <f>SUM($B$22:G22)</f>
        <v>0</v>
      </c>
      <c r="H36" s="93">
        <f>SUM($B$22:H22)</f>
        <v>0</v>
      </c>
      <c r="I36" s="93">
        <f>SUM($B$22:I22)</f>
        <v>0</v>
      </c>
      <c r="J36" s="93">
        <f>SUM($B$22:J22)</f>
        <v>0</v>
      </c>
      <c r="K36" s="93">
        <f>SUM($B$22:K22)</f>
        <v>7</v>
      </c>
      <c r="L36" s="93">
        <f>SUM($B$22:L22)</f>
        <v>167</v>
      </c>
      <c r="M36" s="93">
        <f>SUM($B$22:M22)</f>
        <v>256</v>
      </c>
      <c r="N36" s="93">
        <f>SUM($B$22:N22)</f>
        <v>328</v>
      </c>
      <c r="O36" s="93">
        <f>SUM($B$22:O22)</f>
        <v>362</v>
      </c>
      <c r="P36" s="93">
        <f>SUM($B$22:P22)</f>
        <v>387</v>
      </c>
      <c r="Q36" s="93">
        <f>SUM($B$22:Q22)</f>
        <v>409</v>
      </c>
      <c r="R36" s="93">
        <f>SUM($B$22:R22)</f>
        <v>437</v>
      </c>
      <c r="S36" s="93">
        <f>SUM($B$22:S22)</f>
        <v>483</v>
      </c>
      <c r="T36" s="93">
        <f>SUM($B$22:T22)</f>
        <v>565</v>
      </c>
      <c r="U36" s="93">
        <f>SUM($B$22:U22)</f>
        <v>654</v>
      </c>
      <c r="V36" s="93">
        <f>SUM($B$22:V22)</f>
        <v>731</v>
      </c>
      <c r="W36" s="93">
        <f>SUM($B$22:W22)</f>
        <v>807</v>
      </c>
      <c r="X36" s="93">
        <f>SUM($B$22:X22)</f>
        <v>924</v>
      </c>
      <c r="Y36" s="93">
        <f>SUM($B$22:Y22)</f>
        <v>1110</v>
      </c>
      <c r="Z36" s="93">
        <f>SUM($B$22:Z22)</f>
        <v>1125</v>
      </c>
    </row>
    <row r="37" spans="1:27" ht="14">
      <c r="A37" s="6">
        <v>2026</v>
      </c>
      <c r="B37" s="93">
        <v>63</v>
      </c>
      <c r="C37" s="93">
        <v>123</v>
      </c>
      <c r="D37" s="93">
        <v>139</v>
      </c>
      <c r="E37" s="93">
        <v>177</v>
      </c>
      <c r="F37" s="93">
        <v>207</v>
      </c>
      <c r="G37" s="93">
        <v>226</v>
      </c>
      <c r="H37" s="93">
        <v>239</v>
      </c>
      <c r="I37" s="93">
        <v>272</v>
      </c>
      <c r="J37" s="93">
        <v>323</v>
      </c>
      <c r="K37" s="93">
        <v>335</v>
      </c>
      <c r="L37" s="93">
        <v>354</v>
      </c>
      <c r="M37" s="353">
        <v>367</v>
      </c>
      <c r="N37" s="360">
        <v>378</v>
      </c>
      <c r="O37" s="356">
        <v>387</v>
      </c>
      <c r="P37" s="93">
        <v>418</v>
      </c>
      <c r="Q37" s="93">
        <v>432</v>
      </c>
      <c r="R37" s="353">
        <v>497</v>
      </c>
      <c r="S37" s="360">
        <v>524</v>
      </c>
      <c r="T37" s="356"/>
      <c r="U37" s="93"/>
      <c r="V37" s="93"/>
      <c r="W37" s="93"/>
      <c r="X37" s="93"/>
      <c r="Y37" s="93"/>
      <c r="Z37" s="296"/>
    </row>
    <row r="38" spans="1:27" ht="14">
      <c r="A38" s="623" t="s">
        <v>528</v>
      </c>
      <c r="B38" s="623"/>
      <c r="C38" s="623"/>
      <c r="D38" s="623"/>
      <c r="E38" s="623"/>
      <c r="F38" s="623"/>
      <c r="G38" s="623"/>
      <c r="H38" s="623"/>
      <c r="I38" s="623"/>
      <c r="J38" s="531">
        <v>274</v>
      </c>
      <c r="K38" s="531">
        <v>322</v>
      </c>
      <c r="L38" s="531">
        <v>336</v>
      </c>
      <c r="M38" s="531">
        <v>354</v>
      </c>
      <c r="N38" s="531">
        <v>367</v>
      </c>
      <c r="O38" s="531">
        <v>380</v>
      </c>
      <c r="P38" s="531">
        <v>389</v>
      </c>
      <c r="Q38" s="531">
        <v>426</v>
      </c>
      <c r="R38" s="531">
        <v>444</v>
      </c>
      <c r="S38" s="531">
        <v>508</v>
      </c>
      <c r="T38" s="623"/>
      <c r="U38" s="623"/>
      <c r="V38" s="623"/>
      <c r="W38" s="623"/>
      <c r="X38" s="623"/>
      <c r="Y38" s="623"/>
      <c r="Z38" s="623"/>
    </row>
    <row r="39" spans="1:27" ht="14">
      <c r="A39" s="605"/>
      <c r="B39" s="606"/>
      <c r="C39" s="606"/>
      <c r="D39" s="606"/>
      <c r="E39" s="606"/>
      <c r="F39" s="606"/>
      <c r="G39" s="606"/>
      <c r="H39" s="606"/>
      <c r="I39" s="606"/>
      <c r="J39" s="606"/>
      <c r="K39" s="606"/>
      <c r="L39" s="606"/>
      <c r="M39" s="606"/>
      <c r="N39" s="606"/>
      <c r="O39" s="606"/>
      <c r="P39" s="606"/>
      <c r="Q39" s="606"/>
      <c r="R39" s="606"/>
      <c r="S39" s="606"/>
      <c r="T39" s="606"/>
      <c r="U39" s="606"/>
      <c r="V39" s="606"/>
      <c r="W39" s="606"/>
      <c r="X39" s="606"/>
      <c r="Y39" s="606"/>
      <c r="Z39" s="606"/>
    </row>
    <row r="40" spans="1:27" ht="14">
      <c r="A40" s="47" t="s">
        <v>526</v>
      </c>
      <c r="B40" s="42">
        <v>24</v>
      </c>
      <c r="C40" s="42">
        <v>23</v>
      </c>
      <c r="D40" s="42">
        <v>22</v>
      </c>
      <c r="E40" s="42">
        <v>21</v>
      </c>
      <c r="F40" s="42">
        <v>20</v>
      </c>
      <c r="G40" s="42">
        <v>19</v>
      </c>
      <c r="H40" s="42">
        <v>18</v>
      </c>
      <c r="I40" s="42">
        <v>17</v>
      </c>
      <c r="J40" s="42">
        <v>16</v>
      </c>
      <c r="K40" s="42">
        <v>15</v>
      </c>
      <c r="L40" s="42">
        <v>14</v>
      </c>
      <c r="M40" s="298">
        <v>13</v>
      </c>
      <c r="N40" s="300">
        <v>12</v>
      </c>
      <c r="O40" s="354">
        <v>11</v>
      </c>
      <c r="P40" s="42">
        <v>10</v>
      </c>
      <c r="Q40" s="42">
        <v>9</v>
      </c>
      <c r="R40" s="298">
        <v>8</v>
      </c>
      <c r="S40" s="300">
        <v>7</v>
      </c>
      <c r="T40" s="354">
        <v>6</v>
      </c>
      <c r="U40" s="42">
        <v>5</v>
      </c>
      <c r="V40" s="42">
        <v>4</v>
      </c>
      <c r="W40" s="42">
        <v>3</v>
      </c>
      <c r="X40" s="42">
        <v>2</v>
      </c>
      <c r="Y40" s="42">
        <v>1</v>
      </c>
      <c r="Z40" s="42">
        <v>0</v>
      </c>
    </row>
    <row r="41" spans="1:27" ht="18">
      <c r="A41" s="352" t="s">
        <v>533</v>
      </c>
      <c r="B41" s="5" t="s">
        <v>500</v>
      </c>
      <c r="C41" s="5" t="s">
        <v>501</v>
      </c>
      <c r="D41" s="5" t="s">
        <v>502</v>
      </c>
      <c r="E41" s="5" t="s">
        <v>503</v>
      </c>
      <c r="F41" s="5" t="s">
        <v>504</v>
      </c>
      <c r="G41" s="5" t="s">
        <v>505</v>
      </c>
      <c r="H41" s="5" t="s">
        <v>506</v>
      </c>
      <c r="I41" s="5" t="s">
        <v>507</v>
      </c>
      <c r="J41" s="48" t="s">
        <v>508</v>
      </c>
      <c r="K41" s="299" t="s">
        <v>509</v>
      </c>
      <c r="L41" s="357" t="s">
        <v>510</v>
      </c>
      <c r="M41" s="355" t="s">
        <v>511</v>
      </c>
      <c r="N41" s="5" t="s">
        <v>512</v>
      </c>
      <c r="O41" s="5" t="s">
        <v>513</v>
      </c>
      <c r="P41" s="299" t="s">
        <v>514</v>
      </c>
      <c r="Q41" s="357" t="s">
        <v>515</v>
      </c>
      <c r="R41" s="355" t="s">
        <v>516</v>
      </c>
      <c r="S41" s="5" t="s">
        <v>517</v>
      </c>
      <c r="T41" s="5" t="s">
        <v>518</v>
      </c>
      <c r="U41" s="5" t="s">
        <v>519</v>
      </c>
      <c r="V41" s="5" t="s">
        <v>520</v>
      </c>
      <c r="W41" s="5" t="s">
        <v>521</v>
      </c>
      <c r="X41" s="48" t="s">
        <v>522</v>
      </c>
      <c r="Y41" s="48" t="s">
        <v>523</v>
      </c>
      <c r="Z41" s="48" t="s">
        <v>524</v>
      </c>
      <c r="AA41" s="48" t="s">
        <v>525</v>
      </c>
    </row>
    <row r="42" spans="1:27" ht="14">
      <c r="A42" s="6">
        <v>2023</v>
      </c>
      <c r="B42" s="93"/>
      <c r="C42" s="93">
        <f>SUM($B$14:C14)</f>
        <v>0</v>
      </c>
      <c r="D42" s="93">
        <f>SUM($B$14:D14)</f>
        <v>0</v>
      </c>
      <c r="E42" s="93">
        <f>SUM($B$14:E14)</f>
        <v>0</v>
      </c>
      <c r="F42" s="93">
        <f>SUM($B$14:F14)</f>
        <v>0</v>
      </c>
      <c r="G42" s="93">
        <f>SUM($B$14:G14)</f>
        <v>0</v>
      </c>
      <c r="H42" s="93">
        <f>SUM($B$14:H14)</f>
        <v>0</v>
      </c>
      <c r="I42" s="93">
        <f>SUM($B$14:I14)</f>
        <v>247</v>
      </c>
      <c r="J42" s="93">
        <f>SUM($B$14:J14)</f>
        <v>365</v>
      </c>
      <c r="K42" s="93">
        <f>SUM($B$14:K14)</f>
        <v>486</v>
      </c>
      <c r="L42" s="93">
        <f>SUM($B$14:L14)</f>
        <v>650</v>
      </c>
      <c r="M42" s="93">
        <f>SUM($B$14:M14)</f>
        <v>829</v>
      </c>
      <c r="N42" s="93">
        <f>SUM($B$14:N14)</f>
        <v>990</v>
      </c>
      <c r="O42" s="93">
        <f>SUM($B$14:O14)</f>
        <v>1127</v>
      </c>
      <c r="P42" s="93">
        <f>SUM($B$14:P14)</f>
        <v>1271</v>
      </c>
      <c r="Q42" s="93">
        <f>SUM($B$14:Q14)</f>
        <v>1435</v>
      </c>
      <c r="R42" s="93">
        <f>SUM($B$14:R14)</f>
        <v>1638</v>
      </c>
      <c r="S42" s="93">
        <f>SUM($B$14:S14)</f>
        <v>1861</v>
      </c>
      <c r="T42" s="93">
        <f>SUM($B$14:T14)</f>
        <v>2265</v>
      </c>
      <c r="U42" s="93">
        <f>SUM($B$14:U14)</f>
        <v>3088</v>
      </c>
      <c r="V42" s="93">
        <f>SUM($B$14:V14)</f>
        <v>3209</v>
      </c>
      <c r="W42" s="93">
        <f>SUM($B$14:W14)</f>
        <v>3317</v>
      </c>
      <c r="X42" s="93">
        <f>SUM($B$14:X14)</f>
        <v>3403</v>
      </c>
      <c r="Y42" s="93">
        <f>SUM($B$14:Y14)</f>
        <v>3548</v>
      </c>
      <c r="Z42" s="93">
        <f>SUM($B$14:Z14)</f>
        <v>3634</v>
      </c>
      <c r="AA42" s="254"/>
    </row>
    <row r="43" spans="1:27" ht="14">
      <c r="A43" s="6">
        <v>2024</v>
      </c>
      <c r="B43" s="93"/>
      <c r="C43" s="93">
        <f>SUM($B$15:C15)</f>
        <v>0</v>
      </c>
      <c r="D43" s="93">
        <f>SUM($B$15:D15)</f>
        <v>0</v>
      </c>
      <c r="E43" s="93">
        <f>SUM($B$15:E15)</f>
        <v>0</v>
      </c>
      <c r="F43" s="93">
        <f>SUM($B$15:F15)</f>
        <v>0</v>
      </c>
      <c r="G43" s="93">
        <f>SUM($B$15:G15)</f>
        <v>0</v>
      </c>
      <c r="H43" s="93">
        <f>SUM($B$15:H15)</f>
        <v>0</v>
      </c>
      <c r="I43" s="93">
        <f>SUM($B$15:I15)</f>
        <v>0</v>
      </c>
      <c r="J43" s="93">
        <f>SUM($B$15:J15)</f>
        <v>0</v>
      </c>
      <c r="K43" s="93">
        <f>SUM($B$15:K15)</f>
        <v>55</v>
      </c>
      <c r="L43" s="93">
        <f>SUM($B$15:L15)</f>
        <v>372</v>
      </c>
      <c r="M43" s="93">
        <f>SUM($B$15:M15)</f>
        <v>766</v>
      </c>
      <c r="N43" s="93">
        <f>SUM($B$15:N15)</f>
        <v>1577</v>
      </c>
      <c r="O43" s="93">
        <f>SUM($B$15:O15)</f>
        <v>1698</v>
      </c>
      <c r="P43" s="93">
        <f>SUM($B$15:P15)</f>
        <v>1857</v>
      </c>
      <c r="Q43" s="93">
        <f>SUM($B$15:Q15)</f>
        <v>1974</v>
      </c>
      <c r="R43" s="93">
        <f>SUM($B$15:R15)</f>
        <v>2143</v>
      </c>
      <c r="S43" s="93">
        <f>SUM($B$15:S15)</f>
        <v>2421</v>
      </c>
      <c r="T43" s="93">
        <f>SUM($B$15:T15)</f>
        <v>2565</v>
      </c>
      <c r="U43" s="93">
        <f>SUM($B$15:U15)</f>
        <v>2837</v>
      </c>
      <c r="V43" s="93">
        <f>SUM($B$15:V15)</f>
        <v>2959</v>
      </c>
      <c r="W43" s="93">
        <f>SUM($B$15:W15)</f>
        <v>3100</v>
      </c>
      <c r="X43" s="93">
        <f>SUM($B$15:X15)</f>
        <v>3254</v>
      </c>
      <c r="Y43" s="93">
        <f>SUM($B$15:Y15)</f>
        <v>3509</v>
      </c>
      <c r="Z43" s="93">
        <f>SUM($B$15:Z15)</f>
        <v>3528</v>
      </c>
    </row>
    <row r="44" spans="1:27" ht="14">
      <c r="A44" s="6">
        <v>2026</v>
      </c>
      <c r="B44" s="93">
        <v>13</v>
      </c>
      <c r="C44" s="93">
        <f>SUM($B$16:C16)</f>
        <v>31</v>
      </c>
      <c r="D44" s="93">
        <f>SUM($B$16:D16)</f>
        <v>35</v>
      </c>
      <c r="E44" s="93">
        <f>SUM($B$16:E16)</f>
        <v>150</v>
      </c>
      <c r="F44" s="93">
        <f>SUM($B$16:F16)</f>
        <v>204</v>
      </c>
      <c r="G44" s="93">
        <f>SUM($B$16:G16)</f>
        <v>249</v>
      </c>
      <c r="H44" s="93">
        <f>SUM($B$16:H16)</f>
        <v>364</v>
      </c>
      <c r="I44" s="93">
        <v>595</v>
      </c>
      <c r="J44" s="93">
        <f>SUM($B$16:J16)</f>
        <v>1343</v>
      </c>
      <c r="K44" s="93">
        <v>1440</v>
      </c>
      <c r="L44" s="93">
        <v>1531</v>
      </c>
      <c r="M44" s="353">
        <v>1606</v>
      </c>
      <c r="N44" s="360">
        <v>1673</v>
      </c>
      <c r="O44" s="356">
        <v>1739</v>
      </c>
      <c r="P44" s="93">
        <v>1864</v>
      </c>
      <c r="Q44" s="93">
        <v>2014</v>
      </c>
      <c r="R44" s="353">
        <v>2371</v>
      </c>
      <c r="S44" s="360">
        <v>2469</v>
      </c>
      <c r="T44" s="356"/>
      <c r="U44" s="93"/>
      <c r="V44" s="93"/>
      <c r="W44" s="93"/>
      <c r="X44" s="93"/>
      <c r="Y44" s="93"/>
      <c r="Z44" s="296"/>
    </row>
    <row r="45" spans="1:27" ht="14">
      <c r="A45" s="6" t="s">
        <v>528</v>
      </c>
      <c r="B45" s="6"/>
      <c r="C45" s="6"/>
      <c r="D45" s="6"/>
      <c r="E45" s="6"/>
      <c r="F45" s="6"/>
      <c r="G45" s="6"/>
      <c r="H45" s="6"/>
      <c r="I45" s="6"/>
      <c r="J45" s="6">
        <f>71+506</f>
        <v>577</v>
      </c>
      <c r="K45" s="6">
        <f>1116+204</f>
        <v>1320</v>
      </c>
      <c r="L45" s="6">
        <f>1185+234</f>
        <v>1419</v>
      </c>
      <c r="M45" s="6">
        <f>287+1233</f>
        <v>1520</v>
      </c>
      <c r="N45" s="6">
        <f>1295+301</f>
        <v>1596</v>
      </c>
      <c r="O45" s="6">
        <f>310+1351</f>
        <v>1661</v>
      </c>
      <c r="P45" s="6">
        <f>1409+320</f>
        <v>1729</v>
      </c>
      <c r="Q45" s="6">
        <f>1498+365</f>
        <v>1863</v>
      </c>
      <c r="R45" s="6">
        <f>408+1600</f>
        <v>2008</v>
      </c>
      <c r="S45" s="6"/>
      <c r="T45" s="6"/>
      <c r="U45" s="6"/>
      <c r="V45" s="6"/>
      <c r="W45" s="6"/>
      <c r="X45" s="6"/>
      <c r="Y45" s="6"/>
      <c r="Z45" s="6"/>
      <c r="AA45" s="6"/>
    </row>
    <row r="46" spans="1:27" ht="14">
      <c r="A46" s="605" t="s">
        <v>534</v>
      </c>
      <c r="C46" s="433">
        <v>25</v>
      </c>
      <c r="D46" s="433">
        <v>75</v>
      </c>
      <c r="E46" s="433">
        <v>125</v>
      </c>
      <c r="F46" s="433">
        <v>300</v>
      </c>
      <c r="G46" s="433">
        <f>180*3</f>
        <v>540</v>
      </c>
      <c r="H46" s="433">
        <f>180*4</f>
        <v>720</v>
      </c>
      <c r="I46" s="433">
        <v>1080</v>
      </c>
      <c r="J46" s="433">
        <f>232+273+167+207+559</f>
        <v>1438</v>
      </c>
      <c r="K46" s="433">
        <f t="shared" ref="K46:S46" si="3">J46+62</f>
        <v>1500</v>
      </c>
      <c r="L46" s="433">
        <f>K46+62</f>
        <v>1562</v>
      </c>
      <c r="M46" s="433">
        <f t="shared" si="3"/>
        <v>1624</v>
      </c>
      <c r="N46" s="433">
        <f t="shared" si="3"/>
        <v>1686</v>
      </c>
      <c r="O46" s="433">
        <f t="shared" si="3"/>
        <v>1748</v>
      </c>
      <c r="P46" s="433">
        <f t="shared" si="3"/>
        <v>1810</v>
      </c>
      <c r="Q46" s="433">
        <f t="shared" si="3"/>
        <v>1872</v>
      </c>
      <c r="R46" s="433">
        <f t="shared" si="3"/>
        <v>1934</v>
      </c>
      <c r="S46" s="433">
        <f t="shared" si="3"/>
        <v>1996</v>
      </c>
      <c r="T46" s="433">
        <f>J46+215+62+76+112+152</f>
        <v>2055</v>
      </c>
      <c r="U46" s="433">
        <f>T46+175</f>
        <v>2230</v>
      </c>
      <c r="V46" s="433">
        <f>U46+200</f>
        <v>2430</v>
      </c>
      <c r="W46" s="433">
        <f>V46+200</f>
        <v>2630</v>
      </c>
      <c r="X46" s="433">
        <f>W46+200</f>
        <v>2830</v>
      </c>
      <c r="Y46" s="433">
        <f>X46+225</f>
        <v>3055</v>
      </c>
      <c r="Z46">
        <v>3172</v>
      </c>
    </row>
    <row r="47" spans="1:27" ht="14"/>
    <row r="48" spans="1:27" ht="14"/>
    <row r="49" spans="1:6" ht="14">
      <c r="A49" s="47" t="s">
        <v>535</v>
      </c>
      <c r="B49" s="595"/>
    </row>
    <row r="50" spans="1:6" ht="14">
      <c r="A50" s="41" t="s">
        <v>536</v>
      </c>
      <c r="B50" s="4" t="s">
        <v>537</v>
      </c>
      <c r="C50" s="4" t="s">
        <v>10</v>
      </c>
      <c r="D50" s="612" t="s">
        <v>538</v>
      </c>
      <c r="E50" s="614"/>
      <c r="F50" s="614"/>
    </row>
    <row r="51" spans="1:6" ht="14">
      <c r="A51" s="6" t="s">
        <v>12</v>
      </c>
      <c r="B51" s="297">
        <v>3043</v>
      </c>
      <c r="C51" s="94">
        <v>4937</v>
      </c>
      <c r="D51" s="613">
        <f>B51/C51</f>
        <v>0.61636621430018235</v>
      </c>
      <c r="E51" s="187"/>
      <c r="F51" s="615"/>
    </row>
    <row r="52" spans="1:6" ht="14">
      <c r="A52" s="6" t="s">
        <v>13</v>
      </c>
      <c r="B52" s="297">
        <v>2469</v>
      </c>
      <c r="C52" s="94">
        <v>3855</v>
      </c>
      <c r="D52" s="613">
        <f>B52/C52</f>
        <v>0.64046692607003886</v>
      </c>
      <c r="E52" s="187"/>
      <c r="F52" s="615"/>
    </row>
    <row r="53" spans="1:6" ht="14.25" customHeight="1">
      <c r="A53" s="6" t="s">
        <v>539</v>
      </c>
      <c r="B53" s="297">
        <v>524</v>
      </c>
      <c r="C53" s="94">
        <v>1082</v>
      </c>
      <c r="D53" s="613">
        <f>B53/C53</f>
        <v>0.48428835489833644</v>
      </c>
      <c r="E53" s="187"/>
      <c r="F53" s="615"/>
    </row>
    <row r="54" spans="1:6" ht="14.25" customHeight="1">
      <c r="E54" s="433"/>
    </row>
    <row r="60" spans="1:6" s="449" customFormat="1" ht="14">
      <c r="A60" s="448"/>
      <c r="B60" s="448"/>
    </row>
    <row r="61" spans="1:6" s="449" customFormat="1" ht="14">
      <c r="A61" s="448"/>
      <c r="B61" s="448"/>
    </row>
    <row r="62" spans="1:6" s="449" customFormat="1" ht="14">
      <c r="A62" s="448"/>
      <c r="B62" s="448"/>
    </row>
    <row r="63" spans="1:6" s="447" customFormat="1" ht="14.25" customHeight="1"/>
    <row r="64" spans="1:6" s="447" customFormat="1" ht="14.25" customHeight="1"/>
    <row r="65" s="447" customFormat="1" ht="14.25" customHeight="1"/>
    <row r="66" s="447" customFormat="1" ht="14.25" customHeight="1"/>
    <row r="67" s="447" customFormat="1" ht="14.25" customHeight="1"/>
    <row r="68" s="447" customFormat="1" ht="14.25" customHeight="1"/>
    <row r="69" s="447" customFormat="1" ht="14.25" customHeight="1"/>
    <row r="70" s="447" customFormat="1" ht="14.25" customHeight="1"/>
    <row r="71" s="447" customFormat="1" ht="14.25" customHeight="1"/>
    <row r="72" s="447" customFormat="1" ht="14.25" customHeight="1"/>
    <row r="73" s="447" customFormat="1" ht="14.25" customHeight="1"/>
    <row r="74" s="447" customFormat="1" ht="14.25" customHeight="1"/>
    <row r="75" s="447" customFormat="1" ht="14.25" customHeight="1"/>
    <row r="76" s="447" customFormat="1" ht="14.25" customHeight="1"/>
    <row r="77" s="447" customFormat="1" ht="14.25" customHeight="1"/>
    <row r="78" s="447" customFormat="1" ht="14.25" customHeight="1"/>
    <row r="79" s="447" customFormat="1" ht="14.25" customHeight="1"/>
    <row r="80" s="447" customFormat="1" ht="14.25" customHeight="1"/>
    <row r="81" s="447" customFormat="1" ht="14.25" customHeight="1"/>
    <row r="82" s="447" customFormat="1" ht="14.25" customHeight="1"/>
    <row r="83" s="447" customFormat="1" ht="14.25" customHeight="1"/>
    <row r="84" s="447" customFormat="1" ht="14.25" customHeight="1"/>
    <row r="85" s="447" customFormat="1" ht="14.25" customHeight="1"/>
    <row r="86" s="447" customFormat="1" ht="14.25" customHeight="1"/>
    <row r="87" s="447" customFormat="1" ht="14.25" customHeight="1"/>
    <row r="88" s="447" customFormat="1" ht="14.25" customHeight="1"/>
    <row r="89" s="447" customFormat="1" ht="14.25" customHeight="1"/>
    <row r="90" s="447" customFormat="1" ht="14.25" customHeight="1"/>
    <row r="91" s="447" customFormat="1" ht="14.25" customHeight="1"/>
    <row r="92" s="447" customFormat="1" ht="14.25" customHeight="1"/>
    <row r="93" s="447" customFormat="1" ht="14.25" customHeight="1"/>
    <row r="94" s="447" customFormat="1" ht="14.25" customHeight="1"/>
    <row r="95" s="447" customFormat="1" ht="14.25" customHeight="1"/>
  </sheetData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42869E02B8C5439394B5D2B8AB2A04" ma:contentTypeVersion="14" ma:contentTypeDescription="Create a new document." ma:contentTypeScope="" ma:versionID="e4437a2eccb48e51b0ced3fdea04e3d3">
  <xsd:schema xmlns:xsd="http://www.w3.org/2001/XMLSchema" xmlns:xs="http://www.w3.org/2001/XMLSchema" xmlns:p="http://schemas.microsoft.com/office/2006/metadata/properties" xmlns:ns2="b205b5a8-dfff-4896-b5a7-f9d6e31fcad5" xmlns:ns3="8d95c7b7-dbea-4c08-9245-f549862c45a8" targetNamespace="http://schemas.microsoft.com/office/2006/metadata/properties" ma:root="true" ma:fieldsID="0b1ef2714556835c69c82c99b5f2e3fe" ns2:_="" ns3:_="">
    <xsd:import namespace="b205b5a8-dfff-4896-b5a7-f9d6e31fcad5"/>
    <xsd:import namespace="8d95c7b7-dbea-4c08-9245-f549862c45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DescriptionofFol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05b5a8-dfff-4896-b5a7-f9d6e31fca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f99c727-3acf-4c25-8995-31529a2543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DescriptionofFolder" ma:index="21" nillable="true" ma:displayName="Description of Folder" ma:default="225" ma:format="Dropdown" ma:internalName="DescriptionofFolde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95c7b7-dbea-4c08-9245-f549862c45a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e7dc55-a171-4856-8a41-444a297568c2}" ma:internalName="TaxCatchAll" ma:showField="CatchAllData" ma:web="8d95c7b7-dbea-4c08-9245-f549862c45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05b5a8-dfff-4896-b5a7-f9d6e31fcad5">
      <Terms xmlns="http://schemas.microsoft.com/office/infopath/2007/PartnerControls"/>
    </lcf76f155ced4ddcb4097134ff3c332f>
    <TaxCatchAll xmlns="8d95c7b7-dbea-4c08-9245-f549862c45a8" xsi:nil="true"/>
    <DescriptionofFolder xmlns="b205b5a8-dfff-4896-b5a7-f9d6e31fcad5">225</DescriptionofFolde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384478-98FF-4AE0-B4F5-C956FEAE3C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05b5a8-dfff-4896-b5a7-f9d6e31fcad5"/>
    <ds:schemaRef ds:uri="8d95c7b7-dbea-4c08-9245-f549862c45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0C6731-81A5-40FA-87B6-ECC13A5A7B9D}">
  <ds:schemaRefs>
    <ds:schemaRef ds:uri="b205b5a8-dfff-4896-b5a7-f9d6e31fcad5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  <ds:schemaRef ds:uri="8d95c7b7-dbea-4c08-9245-f549862c45a8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A95CF30-224F-4E42-836B-15543819AB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TM11424609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DASHBOARD</vt:lpstr>
      <vt:lpstr>MARKETING DATA --&gt;</vt:lpstr>
      <vt:lpstr>Emails</vt:lpstr>
      <vt:lpstr>Emails (Sponsored)</vt:lpstr>
      <vt:lpstr>Emails (2)</vt:lpstr>
      <vt:lpstr>Heatmap</vt:lpstr>
      <vt:lpstr>Organic Social Media (Weekly)</vt:lpstr>
      <vt:lpstr>Organic Social (Monthly)</vt:lpstr>
      <vt:lpstr>Website (Weekly)</vt:lpstr>
      <vt:lpstr>Website (Monthly)</vt:lpstr>
      <vt:lpstr>Website (Monthly by Channel)</vt:lpstr>
      <vt:lpstr>PR DATA</vt:lpstr>
      <vt:lpstr>Paid Media</vt:lpstr>
      <vt:lpstr>Sheet1</vt:lpstr>
      <vt:lpstr>EVENT DATA --&gt;</vt:lpstr>
      <vt:lpstr>Total Registrations</vt:lpstr>
      <vt:lpstr>GA4 Registrations</vt:lpstr>
      <vt:lpstr>Abstracts</vt:lpstr>
      <vt:lpstr>PROJECTIONS --&gt;</vt:lpstr>
      <vt:lpstr>5.12 Projections</vt:lpstr>
      <vt:lpstr>Actuals 5.12</vt:lpstr>
      <vt:lpstr>Projections</vt:lpstr>
      <vt:lpstr>OPERATIONS --&gt;</vt:lpstr>
      <vt:lpstr>Pass Types</vt:lpstr>
      <vt:lpstr>Optimizations</vt:lpstr>
      <vt:lpstr>ARCHIVE --&gt;</vt:lpstr>
      <vt:lpstr>OLD Total Registrations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2018-07-27T22:58:30Z</dcterms:created>
  <dcterms:modified xsi:type="dcterms:W3CDTF">2026-06-16T20:22:49Z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0x0101001442869E02B8C5439394B5D2B8AB2A04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